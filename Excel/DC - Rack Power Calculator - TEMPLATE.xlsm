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4G5597897\Box\IBM Cloud Capacity\DC Files\DC - Rack Power Calculator\"/>
    </mc:Choice>
  </mc:AlternateContent>
  <xr:revisionPtr revIDLastSave="0" documentId="13_ncr:1_{FBF1D729-C468-4F2B-9DB6-00636829492A}" xr6:coauthVersionLast="47" xr6:coauthVersionMax="47" xr10:uidLastSave="{00000000-0000-0000-0000-000000000000}"/>
  <bookViews>
    <workbookView xWindow="375" yWindow="-15030" windowWidth="27495" windowHeight="13245" xr2:uid="{83F44474-BA46-4398-9779-29E7ED4A9A93}"/>
  </bookViews>
  <sheets>
    <sheet name="information" sheetId="17" r:id="rId1"/>
    <sheet name="aggregate" sheetId="18" r:id="rId2"/>
    <sheet name="Sheet1" sheetId="6" state="hidden" r:id="rId3"/>
    <sheet name="sr01" sheetId="1" r:id="rId4"/>
    <sheet name="rack_breakdown" sheetId="4" r:id="rId5"/>
    <sheet name="site_assumptions" sheetId="3" r:id="rId6"/>
    <sheet name="ancillary" sheetId="5" state="hidden" r:id="rId7"/>
    <sheet name="file_path" sheetId="2" state="hidden" r:id="rId8"/>
  </sheets>
  <definedNames>
    <definedName name="_xlpm.filter" hidden="1" xlm="1">#NAME?</definedName>
    <definedName name="_xlpm.manual_reading" hidden="1" xlm="1">#NAME?</definedName>
    <definedName name="_xlpm.p3_calc" hidden="1" xlm="1">#NAME?</definedName>
    <definedName name="_xlpm.phase" hidden="1" xlm="1">#NAME?</definedName>
    <definedName name="_xlpm.ps" hidden="1" xlm="1">#NAME?</definedName>
    <definedName name="_xlpm.ps_" hidden="1" xlm="1">#NAME?</definedName>
    <definedName name="_xlpm.ps_1" hidden="1" xlm="1">#NAME?</definedName>
    <definedName name="_xlpm.ps_2" hidden="1" xlm="1">#NAME?</definedName>
    <definedName name="_xlpm.ps_3" hidden="1" xlm="1">#NAME?</definedName>
    <definedName name="_xlpm.ps_4" hidden="1" xlm="1">#NAME?</definedName>
    <definedName name="_xlpm.pso" hidden="1" xlm="1">#NAME?</definedName>
    <definedName name="_xlpm.pson" hidden="1" xlm="1">#NAME?</definedName>
    <definedName name="_xlpm.psone" hidden="1" xlm="1">#NAME?</definedName>
    <definedName name="_xlpm.pst" hidden="1" xlm="1">#NAME?</definedName>
    <definedName name="_xlpm.psth" hidden="1" xlm="1">#NAME?</definedName>
    <definedName name="_xlpm.psthr" hidden="1" xlm="1">#NAME?</definedName>
    <definedName name="_xlpm.psthre" hidden="1" xlm="1">#NAME?</definedName>
    <definedName name="_xlpm.psthree" hidden="1" xlm="1">#NAME?</definedName>
    <definedName name="_xlpm.pstw" hidden="1" xlm="1">#NAME?</definedName>
    <definedName name="_xlpm.pstwo" hidden="1" xlm="1">#NAME?</definedName>
    <definedName name="_xlpm.sp_calc" hidden="1" xlm="1">#NAME?</definedName>
    <definedName name="ExternalData_1" localSheetId="6" hidden="1">ancillary!$B$14:$B$15</definedName>
    <definedName name="ExternalData_1" localSheetId="5" hidden="1">site_assumptions!$A$1:$D$131</definedName>
    <definedName name="ExternalData_2" localSheetId="4" hidden="1">'rack_breakdown'!$A$1:$BE$1720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000" i="1" l="1"/>
  <c r="AC999" i="1"/>
  <c r="AC998" i="1"/>
  <c r="AC997" i="1"/>
  <c r="AC996" i="1"/>
  <c r="AC995" i="1"/>
  <c r="AC994" i="1"/>
  <c r="AC993" i="1"/>
  <c r="AC992" i="1"/>
  <c r="AC991" i="1"/>
  <c r="AC990" i="1"/>
  <c r="AC989" i="1"/>
  <c r="AC988" i="1"/>
  <c r="AC987" i="1"/>
  <c r="AC986" i="1"/>
  <c r="AC985" i="1"/>
  <c r="AC984" i="1"/>
  <c r="AC983" i="1"/>
  <c r="AC982" i="1"/>
  <c r="AC981" i="1"/>
  <c r="AC980" i="1"/>
  <c r="AC979" i="1"/>
  <c r="AC978" i="1"/>
  <c r="AC977" i="1"/>
  <c r="AC976" i="1"/>
  <c r="AC975" i="1"/>
  <c r="AC974" i="1"/>
  <c r="AC973" i="1"/>
  <c r="AC972" i="1"/>
  <c r="AC971" i="1"/>
  <c r="AC970" i="1"/>
  <c r="AC969" i="1"/>
  <c r="AC968" i="1"/>
  <c r="AC967" i="1"/>
  <c r="AC966" i="1"/>
  <c r="AC965" i="1"/>
  <c r="AC964" i="1"/>
  <c r="AC963" i="1"/>
  <c r="AC962" i="1"/>
  <c r="AC961" i="1"/>
  <c r="AC960" i="1"/>
  <c r="AC959" i="1"/>
  <c r="AC958" i="1"/>
  <c r="AC957" i="1"/>
  <c r="AC956" i="1"/>
  <c r="AC955" i="1"/>
  <c r="AC954" i="1"/>
  <c r="AC953" i="1"/>
  <c r="AC952" i="1"/>
  <c r="AC951" i="1"/>
  <c r="AC950" i="1"/>
  <c r="AC949" i="1"/>
  <c r="AC948" i="1"/>
  <c r="AC947" i="1"/>
  <c r="AC946" i="1"/>
  <c r="AC945" i="1"/>
  <c r="AC944" i="1"/>
  <c r="AC943" i="1"/>
  <c r="AC942" i="1"/>
  <c r="AC941" i="1"/>
  <c r="AC940" i="1"/>
  <c r="AC939" i="1"/>
  <c r="AC938" i="1"/>
  <c r="AC937" i="1"/>
  <c r="AC936" i="1"/>
  <c r="AC935" i="1"/>
  <c r="AC934" i="1"/>
  <c r="AC933" i="1"/>
  <c r="AC932" i="1"/>
  <c r="AC931" i="1"/>
  <c r="AC930" i="1"/>
  <c r="AC929" i="1"/>
  <c r="AC928" i="1"/>
  <c r="AC927" i="1"/>
  <c r="AC926" i="1"/>
  <c r="AC925" i="1"/>
  <c r="AC924" i="1"/>
  <c r="AC923" i="1"/>
  <c r="AC922" i="1"/>
  <c r="AC921" i="1"/>
  <c r="AC920" i="1"/>
  <c r="AC919" i="1"/>
  <c r="AC918" i="1"/>
  <c r="AC917" i="1"/>
  <c r="AC916" i="1"/>
  <c r="AC915" i="1"/>
  <c r="AC914" i="1"/>
  <c r="AC913" i="1"/>
  <c r="AC912" i="1"/>
  <c r="AC911" i="1"/>
  <c r="AC910" i="1"/>
  <c r="AC909" i="1"/>
  <c r="AC908" i="1"/>
  <c r="AC907" i="1"/>
  <c r="AC906" i="1"/>
  <c r="AC905" i="1"/>
  <c r="AC904" i="1"/>
  <c r="AC903" i="1"/>
  <c r="AC902" i="1"/>
  <c r="AC901" i="1"/>
  <c r="AC900" i="1"/>
  <c r="AC899" i="1"/>
  <c r="AC898" i="1"/>
  <c r="AC897" i="1"/>
  <c r="AC896" i="1"/>
  <c r="AC895" i="1"/>
  <c r="AC894" i="1"/>
  <c r="AC893" i="1"/>
  <c r="AC892" i="1"/>
  <c r="AC891" i="1"/>
  <c r="AC890" i="1"/>
  <c r="AC889" i="1"/>
  <c r="AC888" i="1"/>
  <c r="AC887" i="1"/>
  <c r="AC886" i="1"/>
  <c r="AC885" i="1"/>
  <c r="AC884" i="1"/>
  <c r="AC883" i="1"/>
  <c r="AC882" i="1"/>
  <c r="AC881" i="1"/>
  <c r="AC880" i="1"/>
  <c r="AC879" i="1"/>
  <c r="AC878" i="1"/>
  <c r="AC877" i="1"/>
  <c r="AC876" i="1"/>
  <c r="AC875" i="1"/>
  <c r="AC874" i="1"/>
  <c r="AC873" i="1"/>
  <c r="AC872" i="1"/>
  <c r="AC871" i="1"/>
  <c r="AC870" i="1"/>
  <c r="AC869" i="1"/>
  <c r="AC868" i="1"/>
  <c r="AC867" i="1"/>
  <c r="AC866" i="1"/>
  <c r="AC865" i="1"/>
  <c r="AC864" i="1"/>
  <c r="AC863" i="1"/>
  <c r="AC862" i="1"/>
  <c r="AC861" i="1"/>
  <c r="AC860" i="1"/>
  <c r="AC859" i="1"/>
  <c r="AC858" i="1"/>
  <c r="AC857" i="1"/>
  <c r="AC856" i="1"/>
  <c r="AC855" i="1"/>
  <c r="AC854" i="1"/>
  <c r="AC853" i="1"/>
  <c r="AC852" i="1"/>
  <c r="AC851" i="1"/>
  <c r="AC850" i="1"/>
  <c r="AC849" i="1"/>
  <c r="AC848" i="1"/>
  <c r="AC847" i="1"/>
  <c r="AC846" i="1"/>
  <c r="AC845" i="1"/>
  <c r="AC844" i="1"/>
  <c r="AC843" i="1"/>
  <c r="AC842" i="1"/>
  <c r="AC841" i="1"/>
  <c r="AC840" i="1"/>
  <c r="AC839" i="1"/>
  <c r="AC838" i="1"/>
  <c r="AC837" i="1"/>
  <c r="AC836" i="1"/>
  <c r="AC835" i="1"/>
  <c r="AC834" i="1"/>
  <c r="AC833" i="1"/>
  <c r="AC832" i="1"/>
  <c r="AC831" i="1"/>
  <c r="AC830" i="1"/>
  <c r="AC829" i="1"/>
  <c r="AC828" i="1"/>
  <c r="AC827" i="1"/>
  <c r="AC826" i="1"/>
  <c r="AC825" i="1"/>
  <c r="AC824" i="1"/>
  <c r="AC823" i="1"/>
  <c r="AC822" i="1"/>
  <c r="AC821" i="1"/>
  <c r="AC820" i="1"/>
  <c r="AC819" i="1"/>
  <c r="AC818" i="1"/>
  <c r="AC817" i="1"/>
  <c r="AC816" i="1"/>
  <c r="AC815" i="1"/>
  <c r="AC814" i="1"/>
  <c r="AC813" i="1"/>
  <c r="AC812" i="1"/>
  <c r="AC811" i="1"/>
  <c r="AC810" i="1"/>
  <c r="AC809" i="1"/>
  <c r="AC808" i="1"/>
  <c r="AC807" i="1"/>
  <c r="AC806" i="1"/>
  <c r="AC805" i="1"/>
  <c r="AC804" i="1"/>
  <c r="AC803" i="1"/>
  <c r="AC802" i="1"/>
  <c r="AC801" i="1"/>
  <c r="AC800" i="1"/>
  <c r="AC799" i="1"/>
  <c r="AC798" i="1"/>
  <c r="AC797" i="1"/>
  <c r="AC796" i="1"/>
  <c r="AC795" i="1"/>
  <c r="AC794" i="1"/>
  <c r="AC793" i="1"/>
  <c r="AC792" i="1"/>
  <c r="AC791" i="1"/>
  <c r="AC790" i="1"/>
  <c r="AC789" i="1"/>
  <c r="AC788" i="1"/>
  <c r="AC787" i="1"/>
  <c r="AC786" i="1"/>
  <c r="AC785" i="1"/>
  <c r="AC784" i="1"/>
  <c r="AC783" i="1"/>
  <c r="AC782" i="1"/>
  <c r="AC781" i="1"/>
  <c r="AC780" i="1"/>
  <c r="AC779" i="1"/>
  <c r="AC778" i="1"/>
  <c r="AC777" i="1"/>
  <c r="AC776" i="1"/>
  <c r="AC775" i="1"/>
  <c r="AC774" i="1"/>
  <c r="AC773" i="1"/>
  <c r="AC772" i="1"/>
  <c r="AC771" i="1"/>
  <c r="AC770" i="1"/>
  <c r="AC769" i="1"/>
  <c r="AC768" i="1"/>
  <c r="AC767" i="1"/>
  <c r="AC766" i="1"/>
  <c r="AC765" i="1"/>
  <c r="AC764" i="1"/>
  <c r="AC763" i="1"/>
  <c r="AC762" i="1"/>
  <c r="AC761" i="1"/>
  <c r="AC760" i="1"/>
  <c r="AC759" i="1"/>
  <c r="AC758" i="1"/>
  <c r="AC757" i="1"/>
  <c r="AC756" i="1"/>
  <c r="AC755" i="1"/>
  <c r="AC754" i="1"/>
  <c r="AC753" i="1"/>
  <c r="AC752" i="1"/>
  <c r="AC751" i="1"/>
  <c r="AC750" i="1"/>
  <c r="AC749" i="1"/>
  <c r="AC748" i="1"/>
  <c r="AC747" i="1"/>
  <c r="AC746" i="1"/>
  <c r="AC745" i="1"/>
  <c r="AC744" i="1"/>
  <c r="AC743" i="1"/>
  <c r="AC742" i="1"/>
  <c r="AC741" i="1"/>
  <c r="AC740" i="1"/>
  <c r="AC739" i="1"/>
  <c r="AC738" i="1"/>
  <c r="AC737" i="1"/>
  <c r="AC736" i="1"/>
  <c r="AC735" i="1"/>
  <c r="AC734" i="1"/>
  <c r="AC733" i="1"/>
  <c r="AC732" i="1"/>
  <c r="AC731" i="1"/>
  <c r="AC730" i="1"/>
  <c r="AC729" i="1"/>
  <c r="AC728" i="1"/>
  <c r="AC727" i="1"/>
  <c r="AC726" i="1"/>
  <c r="AC725" i="1"/>
  <c r="AC724" i="1"/>
  <c r="AC723" i="1"/>
  <c r="AC722" i="1"/>
  <c r="AC721" i="1"/>
  <c r="AC720" i="1"/>
  <c r="AC719" i="1"/>
  <c r="AC718" i="1"/>
  <c r="AC717" i="1"/>
  <c r="AC716" i="1"/>
  <c r="AC715" i="1"/>
  <c r="AC714" i="1"/>
  <c r="AC713" i="1"/>
  <c r="AC712" i="1"/>
  <c r="AC711" i="1"/>
  <c r="AC710" i="1"/>
  <c r="AC709" i="1"/>
  <c r="AC708" i="1"/>
  <c r="AC707" i="1"/>
  <c r="AC706" i="1"/>
  <c r="AC705" i="1"/>
  <c r="AC704" i="1"/>
  <c r="AC703" i="1"/>
  <c r="AC702" i="1"/>
  <c r="AC701" i="1"/>
  <c r="AC700" i="1"/>
  <c r="AC699" i="1"/>
  <c r="AC698" i="1"/>
  <c r="AC697" i="1"/>
  <c r="AC696" i="1"/>
  <c r="AC695" i="1"/>
  <c r="AC694" i="1"/>
  <c r="AC693" i="1"/>
  <c r="AC692" i="1"/>
  <c r="AC691" i="1"/>
  <c r="AC690" i="1"/>
  <c r="AC689" i="1"/>
  <c r="AC688" i="1"/>
  <c r="AC687" i="1"/>
  <c r="AC686" i="1"/>
  <c r="AC685" i="1"/>
  <c r="AC684" i="1"/>
  <c r="AC683" i="1"/>
  <c r="AC682" i="1"/>
  <c r="AC681" i="1"/>
  <c r="AC680" i="1"/>
  <c r="AC679" i="1"/>
  <c r="AC678" i="1"/>
  <c r="AC677" i="1"/>
  <c r="AC676" i="1"/>
  <c r="AC675" i="1"/>
  <c r="AC674" i="1"/>
  <c r="AC673" i="1"/>
  <c r="AC672" i="1"/>
  <c r="AC671" i="1"/>
  <c r="AC670" i="1"/>
  <c r="AC669" i="1"/>
  <c r="AC668" i="1"/>
  <c r="AC667" i="1"/>
  <c r="AC666" i="1"/>
  <c r="AC665" i="1"/>
  <c r="AC664" i="1"/>
  <c r="AC663" i="1"/>
  <c r="AC662" i="1"/>
  <c r="AC661" i="1"/>
  <c r="AC660" i="1"/>
  <c r="AC659" i="1"/>
  <c r="AC658" i="1"/>
  <c r="AC657" i="1"/>
  <c r="AC656" i="1"/>
  <c r="AC655" i="1"/>
  <c r="AC654" i="1"/>
  <c r="AC653" i="1"/>
  <c r="AC652" i="1"/>
  <c r="AC651" i="1"/>
  <c r="AC650" i="1"/>
  <c r="AC649" i="1"/>
  <c r="AC648" i="1"/>
  <c r="AC647" i="1"/>
  <c r="AC646" i="1"/>
  <c r="AC645" i="1"/>
  <c r="AC644" i="1"/>
  <c r="AC643" i="1"/>
  <c r="AC642" i="1"/>
  <c r="AC641" i="1"/>
  <c r="AC640" i="1"/>
  <c r="AC639" i="1"/>
  <c r="AC638" i="1"/>
  <c r="AC637" i="1"/>
  <c r="AC636" i="1"/>
  <c r="AC635" i="1"/>
  <c r="AC634" i="1"/>
  <c r="AC633" i="1"/>
  <c r="AC632" i="1"/>
  <c r="AC631" i="1"/>
  <c r="AC630" i="1"/>
  <c r="AC629" i="1"/>
  <c r="AC628" i="1"/>
  <c r="AC627" i="1"/>
  <c r="AC626" i="1"/>
  <c r="AC625" i="1"/>
  <c r="AC624" i="1"/>
  <c r="AC623" i="1"/>
  <c r="AC622" i="1"/>
  <c r="AC621" i="1"/>
  <c r="AC620" i="1"/>
  <c r="AC619" i="1"/>
  <c r="AC618" i="1"/>
  <c r="AC617" i="1"/>
  <c r="AC616" i="1"/>
  <c r="AC615" i="1"/>
  <c r="AC614" i="1"/>
  <c r="AC613" i="1"/>
  <c r="AC612" i="1"/>
  <c r="AC611" i="1"/>
  <c r="AC610" i="1"/>
  <c r="AC609" i="1"/>
  <c r="AC608" i="1"/>
  <c r="AC607" i="1"/>
  <c r="AC606" i="1"/>
  <c r="AC605" i="1"/>
  <c r="AC604" i="1"/>
  <c r="AC603" i="1"/>
  <c r="AC602" i="1"/>
  <c r="AC601" i="1"/>
  <c r="AC600" i="1"/>
  <c r="AC599" i="1"/>
  <c r="AC598" i="1"/>
  <c r="AC597" i="1"/>
  <c r="AC596" i="1"/>
  <c r="AC595" i="1"/>
  <c r="AC594" i="1"/>
  <c r="AC593" i="1"/>
  <c r="AC592" i="1"/>
  <c r="AC591" i="1"/>
  <c r="AC590" i="1"/>
  <c r="AC589" i="1"/>
  <c r="AC588" i="1"/>
  <c r="AC587" i="1"/>
  <c r="AC586" i="1"/>
  <c r="AC585" i="1"/>
  <c r="AC584" i="1"/>
  <c r="AC583" i="1"/>
  <c r="AC582" i="1"/>
  <c r="AC581" i="1"/>
  <c r="AC580" i="1"/>
  <c r="AC579" i="1"/>
  <c r="AC578" i="1"/>
  <c r="AC577" i="1"/>
  <c r="AC576" i="1"/>
  <c r="AC575" i="1"/>
  <c r="AC574" i="1"/>
  <c r="AC573" i="1"/>
  <c r="AC572" i="1"/>
  <c r="AC571" i="1"/>
  <c r="AC570" i="1"/>
  <c r="AC569" i="1"/>
  <c r="AC568" i="1"/>
  <c r="AC567" i="1"/>
  <c r="AC566" i="1"/>
  <c r="AC565" i="1"/>
  <c r="AC564" i="1"/>
  <c r="AC563" i="1"/>
  <c r="AC562" i="1"/>
  <c r="AC561" i="1"/>
  <c r="AC560" i="1"/>
  <c r="AC559" i="1"/>
  <c r="AC558" i="1"/>
  <c r="AC557" i="1"/>
  <c r="AC556" i="1"/>
  <c r="AC555" i="1"/>
  <c r="AC554" i="1"/>
  <c r="AC553" i="1"/>
  <c r="AC552" i="1"/>
  <c r="AC551" i="1"/>
  <c r="AC550" i="1"/>
  <c r="AC549" i="1"/>
  <c r="AC548" i="1"/>
  <c r="AC547" i="1"/>
  <c r="AC546" i="1"/>
  <c r="AC545" i="1"/>
  <c r="AC544" i="1"/>
  <c r="AC543" i="1"/>
  <c r="AC542" i="1"/>
  <c r="AC541" i="1"/>
  <c r="AC540" i="1"/>
  <c r="AC539" i="1"/>
  <c r="AC538" i="1"/>
  <c r="AC537" i="1"/>
  <c r="AC536" i="1"/>
  <c r="AC535" i="1"/>
  <c r="AC534" i="1"/>
  <c r="AC533" i="1"/>
  <c r="AC532" i="1"/>
  <c r="AC531" i="1"/>
  <c r="AC530" i="1"/>
  <c r="AC529" i="1"/>
  <c r="AC528" i="1"/>
  <c r="AC527" i="1"/>
  <c r="AC526" i="1"/>
  <c r="AC525" i="1"/>
  <c r="AC524" i="1"/>
  <c r="AC523" i="1"/>
  <c r="AC522" i="1"/>
  <c r="AC521" i="1"/>
  <c r="AC520" i="1"/>
  <c r="AC519" i="1"/>
  <c r="AC518" i="1"/>
  <c r="AC517" i="1"/>
  <c r="AC516" i="1"/>
  <c r="AC515" i="1"/>
  <c r="AC514" i="1"/>
  <c r="AC513" i="1"/>
  <c r="AC512" i="1"/>
  <c r="AC511" i="1"/>
  <c r="AC510" i="1"/>
  <c r="AC509" i="1"/>
  <c r="AC508" i="1"/>
  <c r="AC507" i="1"/>
  <c r="AC506" i="1"/>
  <c r="AC505" i="1"/>
  <c r="AC504" i="1"/>
  <c r="AC503" i="1"/>
  <c r="AC502" i="1"/>
  <c r="AC501" i="1"/>
  <c r="AC500" i="1"/>
  <c r="AC499" i="1"/>
  <c r="AC498" i="1"/>
  <c r="AC497" i="1"/>
  <c r="AC496" i="1"/>
  <c r="AC495" i="1"/>
  <c r="AC494" i="1"/>
  <c r="AC493" i="1"/>
  <c r="AC492" i="1"/>
  <c r="AC491" i="1"/>
  <c r="AC490" i="1"/>
  <c r="AC489" i="1"/>
  <c r="AC488" i="1"/>
  <c r="AC487" i="1"/>
  <c r="AC486" i="1"/>
  <c r="AC485" i="1"/>
  <c r="AC484" i="1"/>
  <c r="AC483" i="1"/>
  <c r="AC482" i="1"/>
  <c r="AC481" i="1"/>
  <c r="AC480" i="1"/>
  <c r="AC479" i="1"/>
  <c r="AC478" i="1"/>
  <c r="AC477" i="1"/>
  <c r="AC476" i="1"/>
  <c r="AC475" i="1"/>
  <c r="AC474" i="1"/>
  <c r="AC473" i="1"/>
  <c r="AC472" i="1"/>
  <c r="AC471" i="1"/>
  <c r="AC470" i="1"/>
  <c r="AC469" i="1"/>
  <c r="AC468" i="1"/>
  <c r="AC467" i="1"/>
  <c r="AC466" i="1"/>
  <c r="AC465" i="1"/>
  <c r="AC464" i="1"/>
  <c r="AC463" i="1"/>
  <c r="AC462" i="1"/>
  <c r="AC461" i="1"/>
  <c r="AC460" i="1"/>
  <c r="AC459" i="1"/>
  <c r="AC458" i="1"/>
  <c r="AC457" i="1"/>
  <c r="AC456" i="1"/>
  <c r="AC455" i="1"/>
  <c r="AC454" i="1"/>
  <c r="AC453" i="1"/>
  <c r="AC452" i="1"/>
  <c r="AC451" i="1"/>
  <c r="AC450" i="1"/>
  <c r="AC449" i="1"/>
  <c r="AC448" i="1"/>
  <c r="AC447" i="1"/>
  <c r="AC446" i="1"/>
  <c r="AC445" i="1"/>
  <c r="AC444" i="1"/>
  <c r="AC443" i="1"/>
  <c r="AC442" i="1"/>
  <c r="AC441" i="1"/>
  <c r="AC440" i="1"/>
  <c r="AC439" i="1"/>
  <c r="AC438" i="1"/>
  <c r="AC437" i="1"/>
  <c r="AC436" i="1"/>
  <c r="AC435" i="1"/>
  <c r="AC434" i="1"/>
  <c r="AC433" i="1"/>
  <c r="AC432" i="1"/>
  <c r="AC431" i="1"/>
  <c r="AC430" i="1"/>
  <c r="AC429" i="1"/>
  <c r="AC428" i="1"/>
  <c r="AC427" i="1"/>
  <c r="AC426" i="1"/>
  <c r="AC425" i="1"/>
  <c r="AC424" i="1"/>
  <c r="AC423" i="1"/>
  <c r="AC422" i="1"/>
  <c r="AC421" i="1"/>
  <c r="AC420" i="1"/>
  <c r="AC419" i="1"/>
  <c r="AC418" i="1"/>
  <c r="AC417" i="1"/>
  <c r="AC416" i="1"/>
  <c r="AC415" i="1"/>
  <c r="AC414" i="1"/>
  <c r="AC413" i="1"/>
  <c r="AC412" i="1"/>
  <c r="AC411" i="1"/>
  <c r="AC410" i="1"/>
  <c r="AC409" i="1"/>
  <c r="AC408" i="1"/>
  <c r="AC407" i="1"/>
  <c r="AC406" i="1"/>
  <c r="AC405" i="1"/>
  <c r="AC404" i="1"/>
  <c r="AC403" i="1"/>
  <c r="AC402" i="1"/>
  <c r="AC401" i="1"/>
  <c r="AC400" i="1"/>
  <c r="AC399" i="1"/>
  <c r="AC398" i="1"/>
  <c r="AC397" i="1"/>
  <c r="AC396" i="1"/>
  <c r="AC395" i="1"/>
  <c r="AC394" i="1"/>
  <c r="AC393" i="1"/>
  <c r="AC392" i="1"/>
  <c r="AC391" i="1"/>
  <c r="AC390" i="1"/>
  <c r="AC389" i="1"/>
  <c r="AC388" i="1"/>
  <c r="AC387" i="1"/>
  <c r="AC386" i="1"/>
  <c r="AC385" i="1"/>
  <c r="AC384" i="1"/>
  <c r="AC383" i="1"/>
  <c r="AC382" i="1"/>
  <c r="AC381" i="1"/>
  <c r="AC380" i="1"/>
  <c r="AC379" i="1"/>
  <c r="AC378" i="1"/>
  <c r="AC377" i="1"/>
  <c r="AC376" i="1"/>
  <c r="AC375" i="1"/>
  <c r="AC374" i="1"/>
  <c r="AC373" i="1"/>
  <c r="AC372" i="1"/>
  <c r="AC371" i="1"/>
  <c r="AC370" i="1"/>
  <c r="AC369" i="1"/>
  <c r="AC368" i="1"/>
  <c r="AC367" i="1"/>
  <c r="AC366" i="1"/>
  <c r="AC365" i="1"/>
  <c r="AC364" i="1"/>
  <c r="AC363" i="1"/>
  <c r="AC362" i="1"/>
  <c r="AC361" i="1"/>
  <c r="AC360" i="1"/>
  <c r="AC359" i="1"/>
  <c r="AC358" i="1"/>
  <c r="AC357" i="1"/>
  <c r="AC356" i="1"/>
  <c r="AC355" i="1"/>
  <c r="AC354" i="1"/>
  <c r="AC353" i="1"/>
  <c r="AC352" i="1"/>
  <c r="AC351" i="1"/>
  <c r="AC350" i="1"/>
  <c r="AC349" i="1"/>
  <c r="AC348" i="1"/>
  <c r="AC347" i="1"/>
  <c r="AC346" i="1"/>
  <c r="AC345" i="1"/>
  <c r="AC344" i="1"/>
  <c r="AC343" i="1"/>
  <c r="AC342" i="1"/>
  <c r="AC341" i="1"/>
  <c r="AC340" i="1"/>
  <c r="AC339" i="1"/>
  <c r="AC338" i="1"/>
  <c r="AC337" i="1"/>
  <c r="AC336" i="1"/>
  <c r="AC335" i="1"/>
  <c r="AC334" i="1"/>
  <c r="AC333" i="1"/>
  <c r="AC332" i="1"/>
  <c r="AC331" i="1"/>
  <c r="AC330" i="1"/>
  <c r="AC329" i="1"/>
  <c r="AC328" i="1"/>
  <c r="AC327" i="1"/>
  <c r="AC326" i="1"/>
  <c r="AC325" i="1"/>
  <c r="AC324" i="1"/>
  <c r="AC323" i="1"/>
  <c r="AC322" i="1"/>
  <c r="AC321" i="1"/>
  <c r="AC320" i="1"/>
  <c r="AC319" i="1"/>
  <c r="AC318" i="1"/>
  <c r="AC317" i="1"/>
  <c r="AC316" i="1"/>
  <c r="AC315" i="1"/>
  <c r="AC314" i="1"/>
  <c r="AC313" i="1"/>
  <c r="AC312" i="1"/>
  <c r="AC311" i="1"/>
  <c r="AC310" i="1"/>
  <c r="AC309" i="1"/>
  <c r="AC308" i="1"/>
  <c r="AC307" i="1"/>
  <c r="AC306" i="1"/>
  <c r="AC305" i="1"/>
  <c r="AC304" i="1"/>
  <c r="AC303" i="1"/>
  <c r="AC302" i="1"/>
  <c r="AC301" i="1"/>
  <c r="AC300" i="1"/>
  <c r="AC299" i="1"/>
  <c r="AC298" i="1"/>
  <c r="AC297" i="1"/>
  <c r="AC296" i="1"/>
  <c r="AC295" i="1"/>
  <c r="AC294" i="1"/>
  <c r="AC293" i="1"/>
  <c r="AC292" i="1"/>
  <c r="AC291" i="1"/>
  <c r="AC290" i="1"/>
  <c r="AC289" i="1"/>
  <c r="AC288" i="1"/>
  <c r="AC287" i="1"/>
  <c r="AC286" i="1"/>
  <c r="AC285" i="1"/>
  <c r="AC284" i="1"/>
  <c r="AC283" i="1"/>
  <c r="AC282" i="1"/>
  <c r="AC281" i="1"/>
  <c r="AC280" i="1"/>
  <c r="AC279" i="1"/>
  <c r="AC278" i="1"/>
  <c r="AC277" i="1"/>
  <c r="AC276" i="1"/>
  <c r="AC275" i="1"/>
  <c r="AC274" i="1"/>
  <c r="AC273" i="1"/>
  <c r="AC272" i="1"/>
  <c r="AC271" i="1"/>
  <c r="AC270" i="1"/>
  <c r="AC269" i="1"/>
  <c r="AC268" i="1"/>
  <c r="AC267" i="1"/>
  <c r="AC266" i="1"/>
  <c r="AC265" i="1"/>
  <c r="AC264" i="1"/>
  <c r="AC263" i="1"/>
  <c r="AC262" i="1"/>
  <c r="AC261" i="1"/>
  <c r="AC260" i="1"/>
  <c r="AC259" i="1"/>
  <c r="AC258" i="1"/>
  <c r="AC257" i="1"/>
  <c r="AC256" i="1"/>
  <c r="AC255" i="1"/>
  <c r="AC254" i="1"/>
  <c r="AC253" i="1"/>
  <c r="AC252" i="1"/>
  <c r="AC251" i="1"/>
  <c r="AC250" i="1"/>
  <c r="AC249" i="1"/>
  <c r="AC248" i="1"/>
  <c r="AC247" i="1"/>
  <c r="AC246" i="1"/>
  <c r="AC245" i="1"/>
  <c r="AC244" i="1"/>
  <c r="AC243" i="1"/>
  <c r="AC242" i="1"/>
  <c r="AC241" i="1"/>
  <c r="AC240" i="1"/>
  <c r="AC239" i="1"/>
  <c r="AC238" i="1"/>
  <c r="AC237" i="1"/>
  <c r="AC236" i="1"/>
  <c r="AC235" i="1"/>
  <c r="AC234" i="1"/>
  <c r="AC233" i="1"/>
  <c r="AC232" i="1"/>
  <c r="AC231" i="1"/>
  <c r="AC230" i="1"/>
  <c r="AC229" i="1"/>
  <c r="AC228" i="1"/>
  <c r="AC227" i="1"/>
  <c r="AC226" i="1"/>
  <c r="AC225" i="1"/>
  <c r="AC224" i="1"/>
  <c r="AC223" i="1"/>
  <c r="AC222" i="1"/>
  <c r="AC221" i="1"/>
  <c r="AC220" i="1"/>
  <c r="AC219" i="1"/>
  <c r="AC218" i="1"/>
  <c r="AC217" i="1"/>
  <c r="AC216" i="1"/>
  <c r="AC215" i="1"/>
  <c r="AC214" i="1"/>
  <c r="AC213" i="1"/>
  <c r="AC212" i="1"/>
  <c r="AC211" i="1"/>
  <c r="AC210" i="1"/>
  <c r="AC209" i="1"/>
  <c r="AC208" i="1"/>
  <c r="AC207" i="1"/>
  <c r="AC206" i="1"/>
  <c r="AC205" i="1"/>
  <c r="AC204" i="1"/>
  <c r="AC203" i="1"/>
  <c r="AC202" i="1"/>
  <c r="AC201" i="1"/>
  <c r="AC200" i="1"/>
  <c r="AC199" i="1"/>
  <c r="AC198" i="1"/>
  <c r="AC197" i="1"/>
  <c r="AC196" i="1"/>
  <c r="AC195" i="1"/>
  <c r="AC194" i="1"/>
  <c r="AC193" i="1"/>
  <c r="AC192" i="1"/>
  <c r="AC191" i="1"/>
  <c r="AC190" i="1"/>
  <c r="AC189" i="1"/>
  <c r="AC188" i="1"/>
  <c r="AC187" i="1"/>
  <c r="AC186" i="1"/>
  <c r="AC185" i="1"/>
  <c r="AC184" i="1"/>
  <c r="AC183" i="1"/>
  <c r="AC182" i="1"/>
  <c r="AC181" i="1"/>
  <c r="AC180" i="1"/>
  <c r="AC179" i="1"/>
  <c r="AC178" i="1"/>
  <c r="AC177" i="1"/>
  <c r="AC176" i="1"/>
  <c r="AC175" i="1"/>
  <c r="AC174" i="1"/>
  <c r="AC173" i="1"/>
  <c r="AC172" i="1"/>
  <c r="AC171" i="1"/>
  <c r="AC170" i="1"/>
  <c r="AC169" i="1"/>
  <c r="AC168" i="1"/>
  <c r="AC167" i="1"/>
  <c r="AC166" i="1"/>
  <c r="AC165" i="1"/>
  <c r="AC164" i="1"/>
  <c r="AC163" i="1"/>
  <c r="AC162" i="1"/>
  <c r="AC161" i="1"/>
  <c r="AC160" i="1"/>
  <c r="AC159" i="1"/>
  <c r="AC158" i="1"/>
  <c r="AC157" i="1"/>
  <c r="AC156" i="1"/>
  <c r="AC155" i="1"/>
  <c r="AC154" i="1"/>
  <c r="AC153" i="1"/>
  <c r="AC152" i="1"/>
  <c r="AC151" i="1"/>
  <c r="AC150" i="1"/>
  <c r="AC149" i="1"/>
  <c r="AC148" i="1"/>
  <c r="AC147" i="1"/>
  <c r="AC146" i="1"/>
  <c r="AC145" i="1"/>
  <c r="AC144" i="1"/>
  <c r="AC143" i="1"/>
  <c r="AC142" i="1"/>
  <c r="AC141" i="1"/>
  <c r="AC140" i="1"/>
  <c r="AC139" i="1"/>
  <c r="AC138" i="1"/>
  <c r="AC137" i="1"/>
  <c r="AC136" i="1"/>
  <c r="AC135" i="1"/>
  <c r="AC134" i="1"/>
  <c r="AC133" i="1"/>
  <c r="AC132" i="1"/>
  <c r="AC131" i="1"/>
  <c r="AC130" i="1"/>
  <c r="AC129" i="1"/>
  <c r="AC128" i="1"/>
  <c r="AC127" i="1"/>
  <c r="AC126" i="1"/>
  <c r="AC125" i="1"/>
  <c r="AC124" i="1"/>
  <c r="AC123" i="1"/>
  <c r="AC122" i="1"/>
  <c r="AC121" i="1"/>
  <c r="AC120" i="1"/>
  <c r="AC119" i="1"/>
  <c r="AC118" i="1"/>
  <c r="AC117" i="1"/>
  <c r="AC116" i="1"/>
  <c r="AC115" i="1"/>
  <c r="AC114" i="1"/>
  <c r="AC113" i="1"/>
  <c r="AC112" i="1"/>
  <c r="AC111" i="1"/>
  <c r="AC110" i="1"/>
  <c r="AC109" i="1"/>
  <c r="AC108" i="1"/>
  <c r="AC107" i="1"/>
  <c r="AC106" i="1"/>
  <c r="AC105" i="1"/>
  <c r="AC104" i="1"/>
  <c r="AC103" i="1"/>
  <c r="AC102" i="1"/>
  <c r="AC101" i="1"/>
  <c r="AC100" i="1"/>
  <c r="AC99" i="1"/>
  <c r="AC98" i="1"/>
  <c r="AC97" i="1"/>
  <c r="AC96" i="1"/>
  <c r="AC95" i="1"/>
  <c r="AC94" i="1"/>
  <c r="AC93" i="1"/>
  <c r="AC92" i="1"/>
  <c r="AC91" i="1"/>
  <c r="AC90" i="1"/>
  <c r="AC89" i="1"/>
  <c r="AC88" i="1"/>
  <c r="AC87" i="1"/>
  <c r="AC86" i="1"/>
  <c r="AC85" i="1"/>
  <c r="AC84" i="1"/>
  <c r="AC83" i="1"/>
  <c r="AC82" i="1"/>
  <c r="AC81" i="1"/>
  <c r="AC80" i="1"/>
  <c r="AC79" i="1"/>
  <c r="AC78" i="1"/>
  <c r="AC77" i="1"/>
  <c r="AC76" i="1"/>
  <c r="AC75" i="1"/>
  <c r="AC74" i="1"/>
  <c r="AC73" i="1"/>
  <c r="AC72" i="1"/>
  <c r="AC71" i="1"/>
  <c r="AC70" i="1"/>
  <c r="AC69" i="1"/>
  <c r="AC68" i="1"/>
  <c r="AC67" i="1"/>
  <c r="AC66" i="1"/>
  <c r="AC65" i="1"/>
  <c r="AC64" i="1"/>
  <c r="AC63" i="1"/>
  <c r="AC62" i="1"/>
  <c r="AC61" i="1"/>
  <c r="AC60" i="1"/>
  <c r="AC59" i="1"/>
  <c r="AC58" i="1"/>
  <c r="AC57" i="1"/>
  <c r="AC56" i="1"/>
  <c r="AC55" i="1"/>
  <c r="AC54" i="1"/>
  <c r="AC53" i="1"/>
  <c r="AC52" i="1"/>
  <c r="AC51" i="1"/>
  <c r="AC50" i="1"/>
  <c r="AC49" i="1"/>
  <c r="AC48" i="1"/>
  <c r="AC47" i="1"/>
  <c r="AC46" i="1"/>
  <c r="AC45" i="1"/>
  <c r="AC44" i="1"/>
  <c r="AC43" i="1"/>
  <c r="AC42" i="1"/>
  <c r="AC41" i="1"/>
  <c r="AC40" i="1"/>
  <c r="AC39" i="1"/>
  <c r="AC38" i="1"/>
  <c r="AC37" i="1"/>
  <c r="AC36" i="1"/>
  <c r="AC35" i="1"/>
  <c r="AC34" i="1"/>
  <c r="AC33" i="1"/>
  <c r="AC32" i="1"/>
  <c r="AC31" i="1"/>
  <c r="AC30" i="1"/>
  <c r="AC29" i="1"/>
  <c r="AC28" i="1"/>
  <c r="AC27" i="1"/>
  <c r="AC26" i="1"/>
  <c r="AC25" i="1"/>
  <c r="AC24" i="1"/>
  <c r="AC23" i="1"/>
  <c r="AC22" i="1"/>
  <c r="AC21" i="1"/>
  <c r="AC20" i="1"/>
  <c r="AC19" i="1"/>
  <c r="AC18" i="1"/>
  <c r="AC17" i="1"/>
  <c r="AC16" i="1"/>
  <c r="AC15" i="1"/>
  <c r="AC14" i="1"/>
  <c r="AC13" i="1"/>
  <c r="G12" i="5" a="1"/>
  <c r="G12" i="5" s="1"/>
  <c r="H12" i="5" l="1"/>
  <c r="H14" i="5" s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B3" i="17" a="1"/>
  <c r="B3" i="17" s="1"/>
  <c r="B1" i="1" s="1" a="1"/>
  <c r="B1" i="1" s="1"/>
  <c r="B1" i="17"/>
  <c r="B12" i="5"/>
  <c r="D12" i="5" s="1" a="1"/>
  <c r="D12" i="5" s="1"/>
  <c r="E12" i="5" s="1" a="1"/>
  <c r="E12" i="5" s="1"/>
  <c r="C5" i="1"/>
  <c r="D628" i="1" a="1"/>
  <c r="D628" i="1" s="1"/>
  <c r="AB628" i="1" s="1"/>
  <c r="D629" i="1" a="1"/>
  <c r="D629" i="1" s="1"/>
  <c r="AB629" i="1" s="1"/>
  <c r="D630" i="1" a="1"/>
  <c r="D630" i="1" s="1"/>
  <c r="AB630" i="1" s="1"/>
  <c r="D631" i="1" a="1"/>
  <c r="D631" i="1" s="1"/>
  <c r="AB631" i="1" s="1"/>
  <c r="D632" i="1" a="1"/>
  <c r="D632" i="1" s="1"/>
  <c r="AB632" i="1" s="1"/>
  <c r="D633" i="1" a="1"/>
  <c r="D633" i="1" s="1"/>
  <c r="AB633" i="1" s="1"/>
  <c r="D634" i="1" a="1"/>
  <c r="D634" i="1" s="1"/>
  <c r="AB634" i="1" s="1"/>
  <c r="D635" i="1" a="1"/>
  <c r="D635" i="1" s="1"/>
  <c r="AB635" i="1" s="1"/>
  <c r="D636" i="1" a="1"/>
  <c r="D636" i="1" s="1"/>
  <c r="AB636" i="1" s="1"/>
  <c r="D637" i="1" a="1"/>
  <c r="D637" i="1" s="1"/>
  <c r="AB637" i="1" s="1"/>
  <c r="D638" i="1" a="1"/>
  <c r="D638" i="1" s="1"/>
  <c r="AB638" i="1" s="1"/>
  <c r="D639" i="1" a="1"/>
  <c r="D639" i="1" s="1"/>
  <c r="AB639" i="1" s="1"/>
  <c r="D640" i="1" a="1"/>
  <c r="D640" i="1" s="1"/>
  <c r="AB640" i="1" s="1"/>
  <c r="D641" i="1" a="1"/>
  <c r="D641" i="1" s="1"/>
  <c r="AB641" i="1" s="1"/>
  <c r="D642" i="1" a="1"/>
  <c r="D642" i="1" s="1"/>
  <c r="AB642" i="1" s="1"/>
  <c r="D643" i="1" a="1"/>
  <c r="D643" i="1" s="1"/>
  <c r="AB643" i="1" s="1"/>
  <c r="D644" i="1" a="1"/>
  <c r="D644" i="1" s="1"/>
  <c r="AB644" i="1" s="1"/>
  <c r="D645" i="1" a="1"/>
  <c r="D645" i="1" s="1"/>
  <c r="AB645" i="1" s="1"/>
  <c r="D646" i="1" a="1"/>
  <c r="D646" i="1" s="1"/>
  <c r="AB646" i="1" s="1"/>
  <c r="D647" i="1" a="1"/>
  <c r="D647" i="1" s="1"/>
  <c r="AB647" i="1" s="1"/>
  <c r="D648" i="1" a="1"/>
  <c r="D648" i="1" s="1"/>
  <c r="AB648" i="1" s="1"/>
  <c r="D649" i="1" a="1"/>
  <c r="D649" i="1" s="1"/>
  <c r="AB649" i="1" s="1"/>
  <c r="D650" i="1" a="1"/>
  <c r="D650" i="1" s="1"/>
  <c r="AB650" i="1" s="1"/>
  <c r="D651" i="1" a="1"/>
  <c r="D651" i="1" s="1"/>
  <c r="AB651" i="1" s="1"/>
  <c r="D652" i="1" a="1"/>
  <c r="D652" i="1" s="1"/>
  <c r="AB652" i="1" s="1"/>
  <c r="D653" i="1" a="1"/>
  <c r="D653" i="1" s="1"/>
  <c r="AB653" i="1" s="1"/>
  <c r="D654" i="1" a="1"/>
  <c r="D654" i="1" s="1"/>
  <c r="AB654" i="1" s="1"/>
  <c r="D655" i="1" a="1"/>
  <c r="D655" i="1" s="1"/>
  <c r="AB655" i="1" s="1"/>
  <c r="D656" i="1" a="1"/>
  <c r="D656" i="1" s="1"/>
  <c r="AB656" i="1" s="1"/>
  <c r="D657" i="1" a="1"/>
  <c r="D657" i="1" s="1"/>
  <c r="AB657" i="1" s="1"/>
  <c r="D658" i="1" a="1"/>
  <c r="D658" i="1" s="1"/>
  <c r="AB658" i="1" s="1"/>
  <c r="D659" i="1" a="1"/>
  <c r="D659" i="1" s="1"/>
  <c r="AB659" i="1" s="1"/>
  <c r="D660" i="1" a="1"/>
  <c r="D660" i="1" s="1"/>
  <c r="AB660" i="1" s="1"/>
  <c r="D661" i="1" a="1"/>
  <c r="D661" i="1" s="1"/>
  <c r="AB661" i="1" s="1"/>
  <c r="D662" i="1" a="1"/>
  <c r="D662" i="1" s="1"/>
  <c r="AB662" i="1" s="1"/>
  <c r="D663" i="1" a="1"/>
  <c r="D663" i="1" s="1"/>
  <c r="AB663" i="1" s="1"/>
  <c r="D664" i="1" a="1"/>
  <c r="D664" i="1" s="1"/>
  <c r="AB664" i="1" s="1"/>
  <c r="D665" i="1" a="1"/>
  <c r="D665" i="1" s="1"/>
  <c r="AB665" i="1" s="1"/>
  <c r="D666" i="1" a="1"/>
  <c r="D666" i="1" s="1"/>
  <c r="AB666" i="1" s="1"/>
  <c r="D667" i="1" a="1"/>
  <c r="D667" i="1" s="1"/>
  <c r="AB667" i="1" s="1"/>
  <c r="D668" i="1" a="1"/>
  <c r="D668" i="1" s="1"/>
  <c r="AB668" i="1" s="1"/>
  <c r="D669" i="1" a="1"/>
  <c r="D669" i="1" s="1"/>
  <c r="AB669" i="1" s="1"/>
  <c r="D670" i="1" a="1"/>
  <c r="D670" i="1" s="1"/>
  <c r="AB670" i="1" s="1"/>
  <c r="D671" i="1" a="1"/>
  <c r="D671" i="1" s="1"/>
  <c r="AB671" i="1" s="1"/>
  <c r="D672" i="1" a="1"/>
  <c r="D672" i="1" s="1"/>
  <c r="AB672" i="1" s="1"/>
  <c r="D673" i="1" a="1"/>
  <c r="D673" i="1" s="1"/>
  <c r="AB673" i="1" s="1"/>
  <c r="D674" i="1" a="1"/>
  <c r="D674" i="1" s="1"/>
  <c r="AB674" i="1" s="1"/>
  <c r="D675" i="1" a="1"/>
  <c r="D675" i="1" s="1"/>
  <c r="AB675" i="1" s="1"/>
  <c r="D676" i="1" a="1"/>
  <c r="D676" i="1" s="1"/>
  <c r="AB676" i="1" s="1"/>
  <c r="D677" i="1" a="1"/>
  <c r="D677" i="1" s="1"/>
  <c r="AB677" i="1" s="1"/>
  <c r="D678" i="1" a="1"/>
  <c r="D678" i="1" s="1"/>
  <c r="AB678" i="1" s="1"/>
  <c r="D679" i="1" a="1"/>
  <c r="D679" i="1" s="1"/>
  <c r="AB679" i="1" s="1"/>
  <c r="D680" i="1" a="1"/>
  <c r="D680" i="1" s="1"/>
  <c r="AB680" i="1" s="1"/>
  <c r="D681" i="1" a="1"/>
  <c r="D681" i="1" s="1"/>
  <c r="AB681" i="1" s="1"/>
  <c r="D682" i="1" a="1"/>
  <c r="D682" i="1" s="1"/>
  <c r="AB682" i="1" s="1"/>
  <c r="D683" i="1" a="1"/>
  <c r="D683" i="1" s="1"/>
  <c r="AB683" i="1" s="1"/>
  <c r="D684" i="1" a="1"/>
  <c r="D684" i="1" s="1"/>
  <c r="AB684" i="1" s="1"/>
  <c r="D685" i="1" a="1"/>
  <c r="D685" i="1" s="1"/>
  <c r="AB685" i="1" s="1"/>
  <c r="D686" i="1" a="1"/>
  <c r="D686" i="1" s="1"/>
  <c r="AB686" i="1" s="1"/>
  <c r="D687" i="1" a="1"/>
  <c r="D687" i="1" s="1"/>
  <c r="AB687" i="1" s="1"/>
  <c r="D688" i="1" a="1"/>
  <c r="D688" i="1" s="1"/>
  <c r="AB688" i="1" s="1"/>
  <c r="D689" i="1" a="1"/>
  <c r="D689" i="1" s="1"/>
  <c r="AB689" i="1" s="1"/>
  <c r="D690" i="1" a="1"/>
  <c r="D690" i="1" s="1"/>
  <c r="AB690" i="1" s="1"/>
  <c r="D691" i="1" a="1"/>
  <c r="D691" i="1" s="1"/>
  <c r="AB691" i="1" s="1"/>
  <c r="D692" i="1" a="1"/>
  <c r="D692" i="1" s="1"/>
  <c r="AB692" i="1" s="1"/>
  <c r="D693" i="1" a="1"/>
  <c r="D693" i="1" s="1"/>
  <c r="AB693" i="1" s="1"/>
  <c r="D694" i="1" a="1"/>
  <c r="D694" i="1" s="1"/>
  <c r="AB694" i="1" s="1"/>
  <c r="D695" i="1" a="1"/>
  <c r="D695" i="1" s="1"/>
  <c r="AB695" i="1" s="1"/>
  <c r="D696" i="1" a="1"/>
  <c r="D696" i="1" s="1"/>
  <c r="AB696" i="1" s="1"/>
  <c r="D697" i="1" a="1"/>
  <c r="D697" i="1" s="1"/>
  <c r="AB697" i="1" s="1"/>
  <c r="D698" i="1" a="1"/>
  <c r="D698" i="1" s="1"/>
  <c r="AB698" i="1" s="1"/>
  <c r="D699" i="1" a="1"/>
  <c r="D699" i="1" s="1"/>
  <c r="AB699" i="1" s="1"/>
  <c r="D700" i="1" a="1"/>
  <c r="D700" i="1" s="1"/>
  <c r="AB700" i="1" s="1"/>
  <c r="D701" i="1" a="1"/>
  <c r="D701" i="1" s="1"/>
  <c r="AB701" i="1" s="1"/>
  <c r="D702" i="1" a="1"/>
  <c r="D702" i="1" s="1"/>
  <c r="AB702" i="1" s="1"/>
  <c r="D703" i="1" a="1"/>
  <c r="D703" i="1" s="1"/>
  <c r="AB703" i="1" s="1"/>
  <c r="D704" i="1" a="1"/>
  <c r="D704" i="1" s="1"/>
  <c r="AB704" i="1" s="1"/>
  <c r="D705" i="1" a="1"/>
  <c r="D705" i="1" s="1"/>
  <c r="AB705" i="1" s="1"/>
  <c r="D706" i="1" a="1"/>
  <c r="D706" i="1" s="1"/>
  <c r="AB706" i="1" s="1"/>
  <c r="D707" i="1" a="1"/>
  <c r="D707" i="1" s="1"/>
  <c r="AB707" i="1" s="1"/>
  <c r="D708" i="1" a="1"/>
  <c r="D708" i="1" s="1"/>
  <c r="AB708" i="1" s="1"/>
  <c r="D709" i="1" a="1"/>
  <c r="D709" i="1" s="1"/>
  <c r="AB709" i="1" s="1"/>
  <c r="D710" i="1" a="1"/>
  <c r="D710" i="1" s="1"/>
  <c r="AB710" i="1" s="1"/>
  <c r="D711" i="1" a="1"/>
  <c r="D711" i="1" s="1"/>
  <c r="AB711" i="1" s="1"/>
  <c r="D712" i="1" a="1"/>
  <c r="D712" i="1" s="1"/>
  <c r="AB712" i="1" s="1"/>
  <c r="D713" i="1" a="1"/>
  <c r="D713" i="1" s="1"/>
  <c r="AB713" i="1" s="1"/>
  <c r="D714" i="1" a="1"/>
  <c r="D714" i="1" s="1"/>
  <c r="AB714" i="1" s="1"/>
  <c r="D715" i="1" a="1"/>
  <c r="D715" i="1" s="1"/>
  <c r="AB715" i="1" s="1"/>
  <c r="D716" i="1" a="1"/>
  <c r="D716" i="1" s="1"/>
  <c r="AB716" i="1" s="1"/>
  <c r="D717" i="1" a="1"/>
  <c r="D717" i="1" s="1"/>
  <c r="AB717" i="1" s="1"/>
  <c r="D718" i="1" a="1"/>
  <c r="D718" i="1" s="1"/>
  <c r="AB718" i="1" s="1"/>
  <c r="D719" i="1" a="1"/>
  <c r="D719" i="1" s="1"/>
  <c r="AB719" i="1" s="1"/>
  <c r="D720" i="1" a="1"/>
  <c r="D720" i="1" s="1"/>
  <c r="AB720" i="1" s="1"/>
  <c r="D721" i="1" a="1"/>
  <c r="D721" i="1" s="1"/>
  <c r="AB721" i="1" s="1"/>
  <c r="D722" i="1" a="1"/>
  <c r="D722" i="1" s="1"/>
  <c r="AB722" i="1" s="1"/>
  <c r="D723" i="1" a="1"/>
  <c r="D723" i="1" s="1"/>
  <c r="AB723" i="1" s="1"/>
  <c r="D724" i="1" a="1"/>
  <c r="D724" i="1" s="1"/>
  <c r="AB724" i="1" s="1"/>
  <c r="D725" i="1" a="1"/>
  <c r="D725" i="1" s="1"/>
  <c r="AB725" i="1" s="1"/>
  <c r="D726" i="1" a="1"/>
  <c r="D726" i="1" s="1"/>
  <c r="AB726" i="1" s="1"/>
  <c r="D727" i="1" a="1"/>
  <c r="D727" i="1" s="1"/>
  <c r="AB727" i="1" s="1"/>
  <c r="D728" i="1" a="1"/>
  <c r="D728" i="1" s="1"/>
  <c r="AB728" i="1" s="1"/>
  <c r="D729" i="1" a="1"/>
  <c r="D729" i="1" s="1"/>
  <c r="AB729" i="1" s="1"/>
  <c r="D730" i="1" a="1"/>
  <c r="D730" i="1" s="1"/>
  <c r="AB730" i="1" s="1"/>
  <c r="D731" i="1" a="1"/>
  <c r="D731" i="1" s="1"/>
  <c r="AB731" i="1" s="1"/>
  <c r="D732" i="1" a="1"/>
  <c r="D732" i="1" s="1"/>
  <c r="AB732" i="1" s="1"/>
  <c r="D733" i="1" a="1"/>
  <c r="D733" i="1" s="1"/>
  <c r="AB733" i="1" s="1"/>
  <c r="D734" i="1" a="1"/>
  <c r="D734" i="1" s="1"/>
  <c r="AB734" i="1" s="1"/>
  <c r="D735" i="1" a="1"/>
  <c r="D735" i="1" s="1"/>
  <c r="AB735" i="1" s="1"/>
  <c r="D736" i="1" a="1"/>
  <c r="D736" i="1" s="1"/>
  <c r="AB736" i="1" s="1"/>
  <c r="D737" i="1" a="1"/>
  <c r="D737" i="1" s="1"/>
  <c r="AB737" i="1" s="1"/>
  <c r="D738" i="1" a="1"/>
  <c r="D738" i="1" s="1"/>
  <c r="AB738" i="1" s="1"/>
  <c r="D739" i="1" a="1"/>
  <c r="D739" i="1" s="1"/>
  <c r="AB739" i="1" s="1"/>
  <c r="D740" i="1" a="1"/>
  <c r="D740" i="1" s="1"/>
  <c r="AB740" i="1" s="1"/>
  <c r="D741" i="1" a="1"/>
  <c r="D741" i="1" s="1"/>
  <c r="AB741" i="1" s="1"/>
  <c r="D742" i="1" a="1"/>
  <c r="D742" i="1" s="1"/>
  <c r="AB742" i="1" s="1"/>
  <c r="D743" i="1" a="1"/>
  <c r="D743" i="1" s="1"/>
  <c r="AB743" i="1" s="1"/>
  <c r="D744" i="1" a="1"/>
  <c r="D744" i="1" s="1"/>
  <c r="AB744" i="1" s="1"/>
  <c r="D745" i="1" a="1"/>
  <c r="D745" i="1" s="1"/>
  <c r="AB745" i="1" s="1"/>
  <c r="D746" i="1" a="1"/>
  <c r="D746" i="1" s="1"/>
  <c r="AB746" i="1" s="1"/>
  <c r="D747" i="1" a="1"/>
  <c r="D747" i="1" s="1"/>
  <c r="AB747" i="1" s="1"/>
  <c r="D748" i="1" a="1"/>
  <c r="D748" i="1" s="1"/>
  <c r="AB748" i="1" s="1"/>
  <c r="D749" i="1" a="1"/>
  <c r="D749" i="1" s="1"/>
  <c r="AB749" i="1" s="1"/>
  <c r="D750" i="1" a="1"/>
  <c r="D750" i="1" s="1"/>
  <c r="AB750" i="1" s="1"/>
  <c r="D751" i="1" a="1"/>
  <c r="D751" i="1" s="1"/>
  <c r="AB751" i="1" s="1"/>
  <c r="D752" i="1" a="1"/>
  <c r="D752" i="1" s="1"/>
  <c r="AB752" i="1" s="1"/>
  <c r="D753" i="1" a="1"/>
  <c r="D753" i="1" s="1"/>
  <c r="AB753" i="1" s="1"/>
  <c r="D754" i="1" a="1"/>
  <c r="D754" i="1" s="1"/>
  <c r="AB754" i="1" s="1"/>
  <c r="D755" i="1" a="1"/>
  <c r="D755" i="1" s="1"/>
  <c r="AB755" i="1" s="1"/>
  <c r="D756" i="1" a="1"/>
  <c r="D756" i="1" s="1"/>
  <c r="AB756" i="1" s="1"/>
  <c r="D757" i="1" a="1"/>
  <c r="D757" i="1" s="1"/>
  <c r="AB757" i="1" s="1"/>
  <c r="D758" i="1" a="1"/>
  <c r="D758" i="1" s="1"/>
  <c r="AB758" i="1" s="1"/>
  <c r="D759" i="1" a="1"/>
  <c r="D759" i="1" s="1"/>
  <c r="AB759" i="1" s="1"/>
  <c r="D760" i="1" a="1"/>
  <c r="D760" i="1" s="1"/>
  <c r="AB760" i="1" s="1"/>
  <c r="D761" i="1" a="1"/>
  <c r="D761" i="1" s="1"/>
  <c r="AB761" i="1" s="1"/>
  <c r="D762" i="1" a="1"/>
  <c r="D762" i="1" s="1"/>
  <c r="AB762" i="1" s="1"/>
  <c r="D763" i="1" a="1"/>
  <c r="D763" i="1" s="1"/>
  <c r="AB763" i="1" s="1"/>
  <c r="D764" i="1" a="1"/>
  <c r="D764" i="1" s="1"/>
  <c r="AB764" i="1" s="1"/>
  <c r="D765" i="1" a="1"/>
  <c r="D765" i="1" s="1"/>
  <c r="AB765" i="1" s="1"/>
  <c r="D766" i="1" a="1"/>
  <c r="D766" i="1" s="1"/>
  <c r="AB766" i="1" s="1"/>
  <c r="D767" i="1" a="1"/>
  <c r="D767" i="1" s="1"/>
  <c r="AB767" i="1" s="1"/>
  <c r="D768" i="1" a="1"/>
  <c r="D768" i="1" s="1"/>
  <c r="AB768" i="1" s="1"/>
  <c r="D769" i="1" a="1"/>
  <c r="D769" i="1" s="1"/>
  <c r="AB769" i="1" s="1"/>
  <c r="D770" i="1" a="1"/>
  <c r="D770" i="1" s="1"/>
  <c r="AB770" i="1" s="1"/>
  <c r="D771" i="1" a="1"/>
  <c r="D771" i="1" s="1"/>
  <c r="AB771" i="1" s="1"/>
  <c r="D772" i="1" a="1"/>
  <c r="D772" i="1" s="1"/>
  <c r="AB772" i="1" s="1"/>
  <c r="D773" i="1" a="1"/>
  <c r="D773" i="1" s="1"/>
  <c r="AB773" i="1" s="1"/>
  <c r="D774" i="1" a="1"/>
  <c r="D774" i="1" s="1"/>
  <c r="AB774" i="1" s="1"/>
  <c r="D775" i="1" a="1"/>
  <c r="D775" i="1" s="1"/>
  <c r="AB775" i="1" s="1"/>
  <c r="D776" i="1" a="1"/>
  <c r="D776" i="1" s="1"/>
  <c r="AB776" i="1" s="1"/>
  <c r="D777" i="1" a="1"/>
  <c r="D777" i="1" s="1"/>
  <c r="AB777" i="1" s="1"/>
  <c r="D778" i="1" a="1"/>
  <c r="D778" i="1" s="1"/>
  <c r="AB778" i="1" s="1"/>
  <c r="D779" i="1" a="1"/>
  <c r="D779" i="1" s="1"/>
  <c r="AB779" i="1" s="1"/>
  <c r="D780" i="1" a="1"/>
  <c r="D780" i="1" s="1"/>
  <c r="AB780" i="1" s="1"/>
  <c r="D781" i="1" a="1"/>
  <c r="D781" i="1" s="1"/>
  <c r="AB781" i="1" s="1"/>
  <c r="D782" i="1" a="1"/>
  <c r="D782" i="1" s="1"/>
  <c r="AB782" i="1" s="1"/>
  <c r="D783" i="1" a="1"/>
  <c r="D783" i="1" s="1"/>
  <c r="AB783" i="1" s="1"/>
  <c r="D784" i="1" a="1"/>
  <c r="D784" i="1" s="1"/>
  <c r="AB784" i="1" s="1"/>
  <c r="D785" i="1" a="1"/>
  <c r="D785" i="1" s="1"/>
  <c r="AB785" i="1" s="1"/>
  <c r="D786" i="1" a="1"/>
  <c r="D786" i="1" s="1"/>
  <c r="AB786" i="1" s="1"/>
  <c r="D787" i="1" a="1"/>
  <c r="D787" i="1" s="1"/>
  <c r="AB787" i="1" s="1"/>
  <c r="D788" i="1" a="1"/>
  <c r="D788" i="1" s="1"/>
  <c r="AB788" i="1" s="1"/>
  <c r="D789" i="1" a="1"/>
  <c r="D789" i="1" s="1"/>
  <c r="AB789" i="1" s="1"/>
  <c r="D790" i="1" a="1"/>
  <c r="D790" i="1" s="1"/>
  <c r="AB790" i="1" s="1"/>
  <c r="D791" i="1" a="1"/>
  <c r="D791" i="1" s="1"/>
  <c r="AB791" i="1" s="1"/>
  <c r="D792" i="1" a="1"/>
  <c r="D792" i="1" s="1"/>
  <c r="AB792" i="1" s="1"/>
  <c r="D793" i="1" a="1"/>
  <c r="D793" i="1" s="1"/>
  <c r="AB793" i="1" s="1"/>
  <c r="D794" i="1" a="1"/>
  <c r="D794" i="1" s="1"/>
  <c r="AB794" i="1" s="1"/>
  <c r="D795" i="1" a="1"/>
  <c r="D795" i="1" s="1"/>
  <c r="AB795" i="1" s="1"/>
  <c r="D796" i="1" a="1"/>
  <c r="D796" i="1" s="1"/>
  <c r="AB796" i="1" s="1"/>
  <c r="D797" i="1" a="1"/>
  <c r="D797" i="1" s="1"/>
  <c r="AB797" i="1" s="1"/>
  <c r="D798" i="1" a="1"/>
  <c r="D798" i="1" s="1"/>
  <c r="AB798" i="1" s="1"/>
  <c r="D799" i="1" a="1"/>
  <c r="D799" i="1" s="1"/>
  <c r="AB799" i="1" s="1"/>
  <c r="D800" i="1" a="1"/>
  <c r="D800" i="1" s="1"/>
  <c r="AB800" i="1" s="1"/>
  <c r="D801" i="1" a="1"/>
  <c r="D801" i="1" s="1"/>
  <c r="AB801" i="1" s="1"/>
  <c r="D802" i="1" a="1"/>
  <c r="D802" i="1" s="1"/>
  <c r="AB802" i="1" s="1"/>
  <c r="D803" i="1" a="1"/>
  <c r="D803" i="1" s="1"/>
  <c r="AB803" i="1" s="1"/>
  <c r="D804" i="1" a="1"/>
  <c r="D804" i="1" s="1"/>
  <c r="AB804" i="1" s="1"/>
  <c r="D805" i="1" a="1"/>
  <c r="D805" i="1" s="1"/>
  <c r="AB805" i="1" s="1"/>
  <c r="D806" i="1" a="1"/>
  <c r="D806" i="1" s="1"/>
  <c r="AB806" i="1" s="1"/>
  <c r="D807" i="1" a="1"/>
  <c r="D807" i="1" s="1"/>
  <c r="AB807" i="1" s="1"/>
  <c r="D808" i="1" a="1"/>
  <c r="D808" i="1" s="1"/>
  <c r="AB808" i="1" s="1"/>
  <c r="D809" i="1" a="1"/>
  <c r="D809" i="1" s="1"/>
  <c r="AB809" i="1" s="1"/>
  <c r="D810" i="1" a="1"/>
  <c r="D810" i="1" s="1"/>
  <c r="AB810" i="1" s="1"/>
  <c r="D811" i="1" a="1"/>
  <c r="D811" i="1" s="1"/>
  <c r="AB811" i="1" s="1"/>
  <c r="D812" i="1" a="1"/>
  <c r="D812" i="1" s="1"/>
  <c r="AB812" i="1" s="1"/>
  <c r="D813" i="1" a="1"/>
  <c r="D813" i="1" s="1"/>
  <c r="AB813" i="1" s="1"/>
  <c r="D814" i="1" a="1"/>
  <c r="D814" i="1" s="1"/>
  <c r="AB814" i="1" s="1"/>
  <c r="D815" i="1" a="1"/>
  <c r="D815" i="1" s="1"/>
  <c r="AB815" i="1" s="1"/>
  <c r="D816" i="1" a="1"/>
  <c r="D816" i="1" s="1"/>
  <c r="AB816" i="1" s="1"/>
  <c r="D817" i="1" a="1"/>
  <c r="D817" i="1" s="1"/>
  <c r="AB817" i="1" s="1"/>
  <c r="D818" i="1" a="1"/>
  <c r="D818" i="1" s="1"/>
  <c r="AB818" i="1" s="1"/>
  <c r="D819" i="1" a="1"/>
  <c r="D819" i="1" s="1"/>
  <c r="AB819" i="1" s="1"/>
  <c r="D820" i="1" a="1"/>
  <c r="D820" i="1" s="1"/>
  <c r="AB820" i="1" s="1"/>
  <c r="D821" i="1" a="1"/>
  <c r="D821" i="1" s="1"/>
  <c r="AB821" i="1" s="1"/>
  <c r="D822" i="1" a="1"/>
  <c r="D822" i="1" s="1"/>
  <c r="AB822" i="1" s="1"/>
  <c r="D823" i="1" a="1"/>
  <c r="D823" i="1" s="1"/>
  <c r="AB823" i="1" s="1"/>
  <c r="D824" i="1" a="1"/>
  <c r="D824" i="1" s="1"/>
  <c r="AB824" i="1" s="1"/>
  <c r="D825" i="1" a="1"/>
  <c r="D825" i="1" s="1"/>
  <c r="AB825" i="1" s="1"/>
  <c r="D826" i="1" a="1"/>
  <c r="D826" i="1" s="1"/>
  <c r="AB826" i="1" s="1"/>
  <c r="D827" i="1" a="1"/>
  <c r="D827" i="1" s="1"/>
  <c r="AB827" i="1" s="1"/>
  <c r="D828" i="1" a="1"/>
  <c r="D828" i="1" s="1"/>
  <c r="AB828" i="1" s="1"/>
  <c r="D829" i="1" a="1"/>
  <c r="D829" i="1" s="1"/>
  <c r="AB829" i="1" s="1"/>
  <c r="D830" i="1" a="1"/>
  <c r="D830" i="1" s="1"/>
  <c r="AB830" i="1" s="1"/>
  <c r="D831" i="1" a="1"/>
  <c r="D831" i="1" s="1"/>
  <c r="AB831" i="1" s="1"/>
  <c r="D832" i="1" a="1"/>
  <c r="D832" i="1" s="1"/>
  <c r="AB832" i="1" s="1"/>
  <c r="D833" i="1" a="1"/>
  <c r="D833" i="1" s="1"/>
  <c r="AB833" i="1" s="1"/>
  <c r="D834" i="1" a="1"/>
  <c r="D834" i="1" s="1"/>
  <c r="AB834" i="1" s="1"/>
  <c r="D835" i="1" a="1"/>
  <c r="D835" i="1" s="1"/>
  <c r="AB835" i="1" s="1"/>
  <c r="D836" i="1" a="1"/>
  <c r="D836" i="1" s="1"/>
  <c r="AB836" i="1" s="1"/>
  <c r="D837" i="1" a="1"/>
  <c r="D837" i="1" s="1"/>
  <c r="AB837" i="1" s="1"/>
  <c r="D838" i="1" a="1"/>
  <c r="D838" i="1" s="1"/>
  <c r="AB838" i="1" s="1"/>
  <c r="D839" i="1" a="1"/>
  <c r="D839" i="1" s="1"/>
  <c r="AB839" i="1" s="1"/>
  <c r="D840" i="1" a="1"/>
  <c r="D840" i="1" s="1"/>
  <c r="AB840" i="1" s="1"/>
  <c r="D841" i="1" a="1"/>
  <c r="D841" i="1" s="1"/>
  <c r="AB841" i="1" s="1"/>
  <c r="D842" i="1" a="1"/>
  <c r="D842" i="1" s="1"/>
  <c r="AB842" i="1" s="1"/>
  <c r="D843" i="1" a="1"/>
  <c r="D843" i="1" s="1"/>
  <c r="AB843" i="1" s="1"/>
  <c r="D844" i="1" a="1"/>
  <c r="D844" i="1" s="1"/>
  <c r="AB844" i="1" s="1"/>
  <c r="D845" i="1" a="1"/>
  <c r="D845" i="1" s="1"/>
  <c r="AB845" i="1" s="1"/>
  <c r="D846" i="1" a="1"/>
  <c r="D846" i="1" s="1"/>
  <c r="AB846" i="1" s="1"/>
  <c r="D847" i="1" a="1"/>
  <c r="D847" i="1" s="1"/>
  <c r="AB847" i="1" s="1"/>
  <c r="D848" i="1" a="1"/>
  <c r="D848" i="1" s="1"/>
  <c r="AB848" i="1" s="1"/>
  <c r="D849" i="1" a="1"/>
  <c r="D849" i="1" s="1"/>
  <c r="AB849" i="1" s="1"/>
  <c r="D850" i="1" a="1"/>
  <c r="D850" i="1" s="1"/>
  <c r="AB850" i="1" s="1"/>
  <c r="D851" i="1" a="1"/>
  <c r="D851" i="1" s="1"/>
  <c r="AB851" i="1" s="1"/>
  <c r="D852" i="1" a="1"/>
  <c r="D852" i="1" s="1"/>
  <c r="AB852" i="1" s="1"/>
  <c r="D853" i="1" a="1"/>
  <c r="D853" i="1" s="1"/>
  <c r="AB853" i="1" s="1"/>
  <c r="D854" i="1" a="1"/>
  <c r="D854" i="1" s="1"/>
  <c r="AB854" i="1" s="1"/>
  <c r="D855" i="1" a="1"/>
  <c r="D855" i="1" s="1"/>
  <c r="AB855" i="1" s="1"/>
  <c r="D856" i="1" a="1"/>
  <c r="D856" i="1" s="1"/>
  <c r="AB856" i="1" s="1"/>
  <c r="D857" i="1" a="1"/>
  <c r="D857" i="1" s="1"/>
  <c r="AB857" i="1" s="1"/>
  <c r="D858" i="1" a="1"/>
  <c r="D858" i="1" s="1"/>
  <c r="AB858" i="1" s="1"/>
  <c r="D859" i="1" a="1"/>
  <c r="D859" i="1" s="1"/>
  <c r="AB859" i="1" s="1"/>
  <c r="D860" i="1" a="1"/>
  <c r="D860" i="1" s="1"/>
  <c r="AB860" i="1" s="1"/>
  <c r="D861" i="1" a="1"/>
  <c r="D861" i="1" s="1"/>
  <c r="AB861" i="1" s="1"/>
  <c r="D862" i="1" a="1"/>
  <c r="D862" i="1" s="1"/>
  <c r="AB862" i="1" s="1"/>
  <c r="D863" i="1" a="1"/>
  <c r="D863" i="1" s="1"/>
  <c r="AB863" i="1" s="1"/>
  <c r="D864" i="1" a="1"/>
  <c r="D864" i="1" s="1"/>
  <c r="AB864" i="1" s="1"/>
  <c r="D865" i="1" a="1"/>
  <c r="D865" i="1" s="1"/>
  <c r="AB865" i="1" s="1"/>
  <c r="D866" i="1" a="1"/>
  <c r="D866" i="1" s="1"/>
  <c r="AB866" i="1" s="1"/>
  <c r="D867" i="1" a="1"/>
  <c r="D867" i="1" s="1"/>
  <c r="AB867" i="1" s="1"/>
  <c r="D868" i="1" a="1"/>
  <c r="D868" i="1" s="1"/>
  <c r="AB868" i="1" s="1"/>
  <c r="D869" i="1" a="1"/>
  <c r="D869" i="1" s="1"/>
  <c r="AB869" i="1" s="1"/>
  <c r="D870" i="1" a="1"/>
  <c r="D870" i="1" s="1"/>
  <c r="AB870" i="1" s="1"/>
  <c r="D871" i="1" a="1"/>
  <c r="D871" i="1" s="1"/>
  <c r="AB871" i="1" s="1"/>
  <c r="D872" i="1" a="1"/>
  <c r="D872" i="1" s="1"/>
  <c r="AB872" i="1" s="1"/>
  <c r="D873" i="1" a="1"/>
  <c r="D873" i="1" s="1"/>
  <c r="AB873" i="1" s="1"/>
  <c r="D874" i="1" a="1"/>
  <c r="D874" i="1" s="1"/>
  <c r="AB874" i="1" s="1"/>
  <c r="D875" i="1" a="1"/>
  <c r="D875" i="1" s="1"/>
  <c r="AB875" i="1" s="1"/>
  <c r="D876" i="1" a="1"/>
  <c r="D876" i="1" s="1"/>
  <c r="AB876" i="1" s="1"/>
  <c r="D877" i="1" a="1"/>
  <c r="D877" i="1" s="1"/>
  <c r="AB877" i="1" s="1"/>
  <c r="D878" i="1" a="1"/>
  <c r="D878" i="1" s="1"/>
  <c r="AB878" i="1" s="1"/>
  <c r="D879" i="1" a="1"/>
  <c r="D879" i="1" s="1"/>
  <c r="AB879" i="1" s="1"/>
  <c r="D880" i="1" a="1"/>
  <c r="D880" i="1" s="1"/>
  <c r="AB880" i="1" s="1"/>
  <c r="D881" i="1" a="1"/>
  <c r="D881" i="1" s="1"/>
  <c r="AB881" i="1" s="1"/>
  <c r="D882" i="1" a="1"/>
  <c r="D882" i="1" s="1"/>
  <c r="AB882" i="1" s="1"/>
  <c r="D883" i="1" a="1"/>
  <c r="D883" i="1" s="1"/>
  <c r="AB883" i="1" s="1"/>
  <c r="D884" i="1" a="1"/>
  <c r="D884" i="1" s="1"/>
  <c r="AB884" i="1" s="1"/>
  <c r="D885" i="1" a="1"/>
  <c r="D885" i="1" s="1"/>
  <c r="AB885" i="1" s="1"/>
  <c r="D886" i="1" a="1"/>
  <c r="D886" i="1" s="1"/>
  <c r="AB886" i="1" s="1"/>
  <c r="D887" i="1" a="1"/>
  <c r="D887" i="1" s="1"/>
  <c r="AB887" i="1" s="1"/>
  <c r="D888" i="1" a="1"/>
  <c r="D888" i="1" s="1"/>
  <c r="AB888" i="1" s="1"/>
  <c r="D889" i="1" a="1"/>
  <c r="D889" i="1" s="1"/>
  <c r="AB889" i="1" s="1"/>
  <c r="D890" i="1" a="1"/>
  <c r="D890" i="1" s="1"/>
  <c r="AB890" i="1" s="1"/>
  <c r="D891" i="1" a="1"/>
  <c r="D891" i="1" s="1"/>
  <c r="AB891" i="1" s="1"/>
  <c r="D892" i="1" a="1"/>
  <c r="D892" i="1" s="1"/>
  <c r="AB892" i="1" s="1"/>
  <c r="D893" i="1" a="1"/>
  <c r="D893" i="1" s="1"/>
  <c r="AB893" i="1" s="1"/>
  <c r="D894" i="1" a="1"/>
  <c r="D894" i="1" s="1"/>
  <c r="AB894" i="1" s="1"/>
  <c r="D895" i="1" a="1"/>
  <c r="D895" i="1" s="1"/>
  <c r="AB895" i="1" s="1"/>
  <c r="D896" i="1" a="1"/>
  <c r="D896" i="1" s="1"/>
  <c r="AB896" i="1" s="1"/>
  <c r="D897" i="1" a="1"/>
  <c r="D897" i="1" s="1"/>
  <c r="AB897" i="1" s="1"/>
  <c r="D898" i="1" a="1"/>
  <c r="D898" i="1" s="1"/>
  <c r="AB898" i="1" s="1"/>
  <c r="D899" i="1" a="1"/>
  <c r="D899" i="1" s="1"/>
  <c r="AB899" i="1" s="1"/>
  <c r="D900" i="1" a="1"/>
  <c r="D900" i="1" s="1"/>
  <c r="AB900" i="1" s="1"/>
  <c r="D901" i="1" a="1"/>
  <c r="D901" i="1" s="1"/>
  <c r="AB901" i="1" s="1"/>
  <c r="D902" i="1" a="1"/>
  <c r="D902" i="1" s="1"/>
  <c r="AB902" i="1" s="1"/>
  <c r="D903" i="1" a="1"/>
  <c r="D903" i="1" s="1"/>
  <c r="AB903" i="1" s="1"/>
  <c r="D904" i="1" a="1"/>
  <c r="D904" i="1" s="1"/>
  <c r="AB904" i="1" s="1"/>
  <c r="D905" i="1" a="1"/>
  <c r="D905" i="1" s="1"/>
  <c r="AB905" i="1" s="1"/>
  <c r="D906" i="1" a="1"/>
  <c r="D906" i="1" s="1"/>
  <c r="AB906" i="1" s="1"/>
  <c r="D907" i="1" a="1"/>
  <c r="D907" i="1" s="1"/>
  <c r="AB907" i="1" s="1"/>
  <c r="D908" i="1" a="1"/>
  <c r="D908" i="1" s="1"/>
  <c r="AB908" i="1" s="1"/>
  <c r="D909" i="1" a="1"/>
  <c r="D909" i="1" s="1"/>
  <c r="AB909" i="1" s="1"/>
  <c r="D910" i="1" a="1"/>
  <c r="D910" i="1" s="1"/>
  <c r="AB910" i="1" s="1"/>
  <c r="D911" i="1" a="1"/>
  <c r="D911" i="1" s="1"/>
  <c r="AB911" i="1" s="1"/>
  <c r="D912" i="1" a="1"/>
  <c r="D912" i="1" s="1"/>
  <c r="AB912" i="1" s="1"/>
  <c r="D913" i="1" a="1"/>
  <c r="D913" i="1" s="1"/>
  <c r="AB913" i="1" s="1"/>
  <c r="D914" i="1" a="1"/>
  <c r="D914" i="1" s="1"/>
  <c r="AB914" i="1" s="1"/>
  <c r="D915" i="1" a="1"/>
  <c r="D915" i="1" s="1"/>
  <c r="AB915" i="1" s="1"/>
  <c r="D916" i="1" a="1"/>
  <c r="D916" i="1" s="1"/>
  <c r="AB916" i="1" s="1"/>
  <c r="D917" i="1" a="1"/>
  <c r="D917" i="1" s="1"/>
  <c r="AB917" i="1" s="1"/>
  <c r="D918" i="1" a="1"/>
  <c r="D918" i="1" s="1"/>
  <c r="AB918" i="1" s="1"/>
  <c r="D919" i="1" a="1"/>
  <c r="D919" i="1" s="1"/>
  <c r="AB919" i="1" s="1"/>
  <c r="D920" i="1" a="1"/>
  <c r="D920" i="1" s="1"/>
  <c r="AB920" i="1" s="1"/>
  <c r="D921" i="1" a="1"/>
  <c r="D921" i="1" s="1"/>
  <c r="AB921" i="1" s="1"/>
  <c r="D922" i="1" a="1"/>
  <c r="D922" i="1" s="1"/>
  <c r="AB922" i="1" s="1"/>
  <c r="D923" i="1" a="1"/>
  <c r="D923" i="1" s="1"/>
  <c r="AB923" i="1" s="1"/>
  <c r="D924" i="1" a="1"/>
  <c r="D924" i="1" s="1"/>
  <c r="AB924" i="1" s="1"/>
  <c r="D925" i="1" a="1"/>
  <c r="D925" i="1" s="1"/>
  <c r="AB925" i="1" s="1"/>
  <c r="D926" i="1" a="1"/>
  <c r="D926" i="1" s="1"/>
  <c r="AB926" i="1" s="1"/>
  <c r="D927" i="1" a="1"/>
  <c r="D927" i="1" s="1"/>
  <c r="AB927" i="1" s="1"/>
  <c r="D928" i="1" a="1"/>
  <c r="D928" i="1" s="1"/>
  <c r="AB928" i="1" s="1"/>
  <c r="D929" i="1" a="1"/>
  <c r="D929" i="1" s="1"/>
  <c r="AB929" i="1" s="1"/>
  <c r="D930" i="1" a="1"/>
  <c r="D930" i="1" s="1"/>
  <c r="AB930" i="1" s="1"/>
  <c r="D931" i="1" a="1"/>
  <c r="D931" i="1" s="1"/>
  <c r="AB931" i="1" s="1"/>
  <c r="D932" i="1" a="1"/>
  <c r="D932" i="1" s="1"/>
  <c r="AB932" i="1" s="1"/>
  <c r="D933" i="1" a="1"/>
  <c r="D933" i="1" s="1"/>
  <c r="AB933" i="1" s="1"/>
  <c r="D934" i="1" a="1"/>
  <c r="D934" i="1" s="1"/>
  <c r="AB934" i="1" s="1"/>
  <c r="D935" i="1" a="1"/>
  <c r="D935" i="1" s="1"/>
  <c r="AB935" i="1" s="1"/>
  <c r="D936" i="1" a="1"/>
  <c r="D936" i="1" s="1"/>
  <c r="AB936" i="1" s="1"/>
  <c r="D937" i="1" a="1"/>
  <c r="D937" i="1" s="1"/>
  <c r="AB937" i="1" s="1"/>
  <c r="D938" i="1" a="1"/>
  <c r="D938" i="1" s="1"/>
  <c r="AB938" i="1" s="1"/>
  <c r="D939" i="1" a="1"/>
  <c r="D939" i="1" s="1"/>
  <c r="AB939" i="1" s="1"/>
  <c r="D940" i="1" a="1"/>
  <c r="D940" i="1" s="1"/>
  <c r="AB940" i="1" s="1"/>
  <c r="D941" i="1" a="1"/>
  <c r="D941" i="1" s="1"/>
  <c r="AB941" i="1" s="1"/>
  <c r="D942" i="1" a="1"/>
  <c r="D942" i="1" s="1"/>
  <c r="AB942" i="1" s="1"/>
  <c r="D943" i="1" a="1"/>
  <c r="D943" i="1" s="1"/>
  <c r="AB943" i="1" s="1"/>
  <c r="D944" i="1" a="1"/>
  <c r="D944" i="1" s="1"/>
  <c r="AB944" i="1" s="1"/>
  <c r="D945" i="1" a="1"/>
  <c r="D945" i="1" s="1"/>
  <c r="AB945" i="1" s="1"/>
  <c r="D946" i="1" a="1"/>
  <c r="D946" i="1" s="1"/>
  <c r="AB946" i="1" s="1"/>
  <c r="D947" i="1" a="1"/>
  <c r="D947" i="1" s="1"/>
  <c r="AB947" i="1" s="1"/>
  <c r="D948" i="1" a="1"/>
  <c r="D948" i="1" s="1"/>
  <c r="AB948" i="1" s="1"/>
  <c r="D949" i="1" a="1"/>
  <c r="D949" i="1" s="1"/>
  <c r="AB949" i="1" s="1"/>
  <c r="D950" i="1" a="1"/>
  <c r="D950" i="1" s="1"/>
  <c r="AB950" i="1" s="1"/>
  <c r="D951" i="1" a="1"/>
  <c r="D951" i="1" s="1"/>
  <c r="AB951" i="1" s="1"/>
  <c r="D952" i="1" a="1"/>
  <c r="D952" i="1" s="1"/>
  <c r="AB952" i="1" s="1"/>
  <c r="D953" i="1" a="1"/>
  <c r="D953" i="1" s="1"/>
  <c r="AB953" i="1" s="1"/>
  <c r="D954" i="1" a="1"/>
  <c r="D954" i="1" s="1"/>
  <c r="AB954" i="1" s="1"/>
  <c r="D955" i="1" a="1"/>
  <c r="D955" i="1" s="1"/>
  <c r="AB955" i="1" s="1"/>
  <c r="D956" i="1" a="1"/>
  <c r="D956" i="1" s="1"/>
  <c r="AB956" i="1" s="1"/>
  <c r="D957" i="1" a="1"/>
  <c r="D957" i="1" s="1"/>
  <c r="AB957" i="1" s="1"/>
  <c r="D958" i="1" a="1"/>
  <c r="D958" i="1" s="1"/>
  <c r="AB958" i="1" s="1"/>
  <c r="D959" i="1" a="1"/>
  <c r="D959" i="1" s="1"/>
  <c r="AB959" i="1" s="1"/>
  <c r="D960" i="1" a="1"/>
  <c r="D960" i="1" s="1"/>
  <c r="AB960" i="1" s="1"/>
  <c r="D961" i="1" a="1"/>
  <c r="D961" i="1" s="1"/>
  <c r="AB961" i="1" s="1"/>
  <c r="D962" i="1" a="1"/>
  <c r="D962" i="1" s="1"/>
  <c r="AB962" i="1" s="1"/>
  <c r="D963" i="1" a="1"/>
  <c r="D963" i="1" s="1"/>
  <c r="AB963" i="1" s="1"/>
  <c r="D964" i="1" a="1"/>
  <c r="D964" i="1" s="1"/>
  <c r="AB964" i="1" s="1"/>
  <c r="D965" i="1" a="1"/>
  <c r="D965" i="1" s="1"/>
  <c r="AB965" i="1" s="1"/>
  <c r="D966" i="1" a="1"/>
  <c r="D966" i="1" s="1"/>
  <c r="AB966" i="1" s="1"/>
  <c r="D967" i="1" a="1"/>
  <c r="D967" i="1" s="1"/>
  <c r="AB967" i="1" s="1"/>
  <c r="D968" i="1" a="1"/>
  <c r="D968" i="1" s="1"/>
  <c r="AB968" i="1" s="1"/>
  <c r="D969" i="1" a="1"/>
  <c r="D969" i="1" s="1"/>
  <c r="AB969" i="1" s="1"/>
  <c r="D970" i="1" a="1"/>
  <c r="D970" i="1" s="1"/>
  <c r="AB970" i="1" s="1"/>
  <c r="D971" i="1" a="1"/>
  <c r="D971" i="1" s="1"/>
  <c r="AB971" i="1" s="1"/>
  <c r="D972" i="1" a="1"/>
  <c r="D972" i="1" s="1"/>
  <c r="AB972" i="1" s="1"/>
  <c r="D973" i="1" a="1"/>
  <c r="D973" i="1" s="1"/>
  <c r="AB973" i="1" s="1"/>
  <c r="D974" i="1" a="1"/>
  <c r="D974" i="1" s="1"/>
  <c r="AB974" i="1" s="1"/>
  <c r="D975" i="1" a="1"/>
  <c r="D975" i="1" s="1"/>
  <c r="AB975" i="1" s="1"/>
  <c r="D976" i="1" a="1"/>
  <c r="D976" i="1" s="1"/>
  <c r="AB976" i="1" s="1"/>
  <c r="D977" i="1" a="1"/>
  <c r="D977" i="1" s="1"/>
  <c r="AB977" i="1" s="1"/>
  <c r="D978" i="1" a="1"/>
  <c r="D978" i="1" s="1"/>
  <c r="AB978" i="1" s="1"/>
  <c r="D979" i="1" a="1"/>
  <c r="D979" i="1" s="1"/>
  <c r="AB979" i="1" s="1"/>
  <c r="D980" i="1" a="1"/>
  <c r="D980" i="1" s="1"/>
  <c r="AB980" i="1" s="1"/>
  <c r="D981" i="1" a="1"/>
  <c r="D981" i="1" s="1"/>
  <c r="AB981" i="1" s="1"/>
  <c r="D982" i="1" a="1"/>
  <c r="D982" i="1" s="1"/>
  <c r="AB982" i="1" s="1"/>
  <c r="D983" i="1" a="1"/>
  <c r="D983" i="1" s="1"/>
  <c r="AB983" i="1" s="1"/>
  <c r="D984" i="1" a="1"/>
  <c r="D984" i="1" s="1"/>
  <c r="AB984" i="1" s="1"/>
  <c r="D985" i="1" a="1"/>
  <c r="D985" i="1" s="1"/>
  <c r="AB985" i="1" s="1"/>
  <c r="D986" i="1" a="1"/>
  <c r="D986" i="1" s="1"/>
  <c r="AB986" i="1" s="1"/>
  <c r="D987" i="1" a="1"/>
  <c r="D987" i="1" s="1"/>
  <c r="AB987" i="1" s="1"/>
  <c r="D988" i="1" a="1"/>
  <c r="D988" i="1" s="1"/>
  <c r="AB988" i="1" s="1"/>
  <c r="D989" i="1" a="1"/>
  <c r="D989" i="1" s="1"/>
  <c r="AB989" i="1" s="1"/>
  <c r="D990" i="1" a="1"/>
  <c r="D990" i="1" s="1"/>
  <c r="AB990" i="1" s="1"/>
  <c r="D991" i="1" a="1"/>
  <c r="D991" i="1" s="1"/>
  <c r="AB991" i="1" s="1"/>
  <c r="D992" i="1" a="1"/>
  <c r="D992" i="1" s="1"/>
  <c r="AB992" i="1" s="1"/>
  <c r="D993" i="1" a="1"/>
  <c r="D993" i="1" s="1"/>
  <c r="AB993" i="1" s="1"/>
  <c r="D994" i="1" a="1"/>
  <c r="D994" i="1" s="1"/>
  <c r="AB994" i="1" s="1"/>
  <c r="D995" i="1" a="1"/>
  <c r="D995" i="1" s="1"/>
  <c r="AB995" i="1" s="1"/>
  <c r="D996" i="1" a="1"/>
  <c r="D996" i="1" s="1"/>
  <c r="AB996" i="1" s="1"/>
  <c r="D997" i="1" a="1"/>
  <c r="D997" i="1" s="1"/>
  <c r="AB997" i="1" s="1"/>
  <c r="D998" i="1" a="1"/>
  <c r="D998" i="1" s="1"/>
  <c r="AB998" i="1" s="1"/>
  <c r="D999" i="1" a="1"/>
  <c r="D999" i="1" s="1"/>
  <c r="AB999" i="1" s="1"/>
  <c r="D1000" i="1" a="1"/>
  <c r="D1000" i="1" s="1"/>
  <c r="AB1000" i="1" s="1"/>
  <c r="I12" i="5" l="1" a="1"/>
  <c r="I12" i="5" s="1"/>
  <c r="G20" i="6"/>
  <c r="G19" i="6"/>
  <c r="G22" i="6"/>
  <c r="G21" i="6"/>
  <c r="BF674" i="4"/>
  <c r="BF787" i="4"/>
  <c r="BF900" i="4"/>
  <c r="BF638" i="4"/>
  <c r="BF751" i="4"/>
  <c r="BF864" i="4"/>
  <c r="BF969" i="4"/>
  <c r="BF1485" i="4"/>
  <c r="BF1182" i="4"/>
  <c r="BF1718" i="4"/>
  <c r="BF1447" i="4"/>
  <c r="BF1128" i="4"/>
  <c r="BF1640" i="4"/>
  <c r="BF1337" i="4"/>
  <c r="BF1034" i="4"/>
  <c r="BF1546" i="4"/>
  <c r="BF1002" i="4"/>
  <c r="BF716" i="4"/>
  <c r="BF829" i="4"/>
  <c r="BF966" i="4"/>
  <c r="BF680" i="4"/>
  <c r="BF785" i="4"/>
  <c r="BF1301" i="4"/>
  <c r="BF1628" i="4"/>
  <c r="BF1510" i="4"/>
  <c r="BF1263" i="4"/>
  <c r="BF1244" i="4"/>
  <c r="BF1456" i="4"/>
  <c r="BF1153" i="4"/>
  <c r="BF1665" i="4"/>
  <c r="BF1362" i="4"/>
  <c r="BF1067" i="4"/>
  <c r="BF675" i="4"/>
  <c r="BF788" i="4"/>
  <c r="BF901" i="4"/>
  <c r="BF639" i="4"/>
  <c r="BF752" i="4"/>
  <c r="BF857" i="4"/>
  <c r="BF1373" i="4"/>
  <c r="BF1070" i="4"/>
  <c r="BF1582" i="4"/>
  <c r="BF1335" i="4"/>
  <c r="BF1013" i="4"/>
  <c r="BF1528" i="4"/>
  <c r="BF1225" i="4"/>
  <c r="BF1132" i="4"/>
  <c r="BF1434" i="4"/>
  <c r="BF826" i="4"/>
  <c r="BF939" i="4"/>
  <c r="BF653" i="4"/>
  <c r="BF790" i="4"/>
  <c r="BF903" i="4"/>
  <c r="BF1016" i="4"/>
  <c r="BF1125" i="4"/>
  <c r="BF1637" i="4"/>
  <c r="BF1334" i="4"/>
  <c r="BF1087" i="4"/>
  <c r="BF1599" i="4"/>
  <c r="BF1280" i="4"/>
  <c r="BF1492" i="4"/>
  <c r="BF1489" i="4"/>
  <c r="BF1186" i="4"/>
  <c r="BF898" i="4"/>
  <c r="BF1011" i="4"/>
  <c r="BF725" i="4"/>
  <c r="BF862" i="4"/>
  <c r="BF975" i="4"/>
  <c r="BF681" i="4"/>
  <c r="BF1197" i="4"/>
  <c r="BF1709" i="4"/>
  <c r="BF1406" i="4"/>
  <c r="BF1159" i="4"/>
  <c r="BF1671" i="4"/>
  <c r="BF1352" i="4"/>
  <c r="BF1049" i="4"/>
  <c r="BF1561" i="4"/>
  <c r="BF1258" i="4"/>
  <c r="BF699" i="4"/>
  <c r="BF812" i="4"/>
  <c r="BF925" i="4"/>
  <c r="BF663" i="4"/>
  <c r="BF776" i="4"/>
  <c r="BF881" i="4"/>
  <c r="BF1397" i="4"/>
  <c r="BF1094" i="4"/>
  <c r="BF1606" i="4"/>
  <c r="BF1359" i="4"/>
  <c r="BF1040" i="4"/>
  <c r="BF1552" i="4"/>
  <c r="BF1249" i="4"/>
  <c r="BF1268" i="4"/>
  <c r="BF1458" i="4"/>
  <c r="BF628" i="4"/>
  <c r="BF697" i="4"/>
  <c r="BF1175" i="4"/>
  <c r="BF1577" i="4"/>
  <c r="BF1107" i="4"/>
  <c r="BF1619" i="4"/>
  <c r="BF828" i="4"/>
  <c r="BF922" i="4"/>
  <c r="BF999" i="4"/>
  <c r="BF1430" i="4"/>
  <c r="BF1073" i="4"/>
  <c r="BF1388" i="4"/>
  <c r="BF1499" i="4"/>
  <c r="BF1219" i="4"/>
  <c r="BF1540" i="4"/>
  <c r="BF942" i="4"/>
  <c r="BF1468" i="4"/>
  <c r="BF1432" i="4"/>
  <c r="BF1594" i="4"/>
  <c r="BF1379" i="4"/>
  <c r="BF1661" i="4"/>
  <c r="BF1056" i="4"/>
  <c r="BF956" i="4"/>
  <c r="BF1029" i="4"/>
  <c r="BF1503" i="4"/>
  <c r="BF1090" i="4"/>
  <c r="BF1195" i="4"/>
  <c r="BF1707" i="4"/>
  <c r="BF858" i="4"/>
  <c r="BF899" i="4"/>
  <c r="BF976" i="4"/>
  <c r="BF1047" i="4"/>
  <c r="BF1449" i="4"/>
  <c r="BF1075" i="4"/>
  <c r="BF1587" i="4"/>
  <c r="BF738" i="4"/>
  <c r="BF851" i="4"/>
  <c r="BF964" i="4"/>
  <c r="BF702" i="4"/>
  <c r="BF815" i="4"/>
  <c r="BF928" i="4"/>
  <c r="BF1037" i="4"/>
  <c r="BF1549" i="4"/>
  <c r="BF1246" i="4"/>
  <c r="BF1636" i="4"/>
  <c r="BF1511" i="4"/>
  <c r="BF1192" i="4"/>
  <c r="BF1704" i="4"/>
  <c r="BF1401" i="4"/>
  <c r="BF1098" i="4"/>
  <c r="BF1610" i="4"/>
  <c r="BF667" i="4"/>
  <c r="BF780" i="4"/>
  <c r="BF893" i="4"/>
  <c r="BF631" i="4"/>
  <c r="BF744" i="4"/>
  <c r="BF849" i="4"/>
  <c r="BF1365" i="4"/>
  <c r="BF1062" i="4"/>
  <c r="BF1574" i="4"/>
  <c r="BF1327" i="4"/>
  <c r="BF1684" i="4"/>
  <c r="BF1520" i="4"/>
  <c r="BF1217" i="4"/>
  <c r="BF1084" i="4"/>
  <c r="BF1426" i="4"/>
  <c r="BF626" i="4"/>
  <c r="BF739" i="4"/>
  <c r="BF852" i="4"/>
  <c r="BF965" i="4"/>
  <c r="BF703" i="4"/>
  <c r="BF816" i="4"/>
  <c r="BF921" i="4"/>
  <c r="BF1437" i="4"/>
  <c r="BF1134" i="4"/>
  <c r="BF1646" i="4"/>
  <c r="BF1399" i="4"/>
  <c r="BF1080" i="4"/>
  <c r="BF1592" i="4"/>
  <c r="BF1289" i="4"/>
  <c r="BF1532" i="4"/>
  <c r="BF1498" i="4"/>
  <c r="BF890" i="4"/>
  <c r="BF1003" i="4"/>
  <c r="BF717" i="4"/>
  <c r="BF854" i="4"/>
  <c r="BF967" i="4"/>
  <c r="BF673" i="4"/>
  <c r="BF1189" i="4"/>
  <c r="BF1701" i="4"/>
  <c r="BF1398" i="4"/>
  <c r="BF1151" i="4"/>
  <c r="BF1663" i="4"/>
  <c r="BF1344" i="4"/>
  <c r="BF1041" i="4"/>
  <c r="BF1553" i="4"/>
  <c r="BF1250" i="4"/>
  <c r="BF962" i="4"/>
  <c r="BF676" i="4"/>
  <c r="BF789" i="4"/>
  <c r="BF926" i="4"/>
  <c r="BF640" i="4"/>
  <c r="BF745" i="4"/>
  <c r="BF1261" i="4"/>
  <c r="BF1348" i="4"/>
  <c r="BF1470" i="4"/>
  <c r="BF1223" i="4"/>
  <c r="BF1052" i="4"/>
  <c r="BF1416" i="4"/>
  <c r="BF1113" i="4"/>
  <c r="BF1625" i="4"/>
  <c r="BF650" i="4"/>
  <c r="BF763" i="4"/>
  <c r="BF876" i="4"/>
  <c r="BF989" i="4"/>
  <c r="BF727" i="4"/>
  <c r="BF840" i="4"/>
  <c r="BF945" i="4"/>
  <c r="BF1461" i="4"/>
  <c r="BF1158" i="4"/>
  <c r="BF1670" i="4"/>
  <c r="BF1423" i="4"/>
  <c r="BF1104" i="4"/>
  <c r="BF1616" i="4"/>
  <c r="BF1313" i="4"/>
  <c r="BF1700" i="4"/>
  <c r="BF1522" i="4"/>
  <c r="BF884" i="4"/>
  <c r="BF953" i="4"/>
  <c r="BF1431" i="4"/>
  <c r="BF1018" i="4"/>
  <c r="BF1171" i="4"/>
  <c r="BF1683" i="4"/>
  <c r="BF935" i="4"/>
  <c r="BF779" i="4"/>
  <c r="BF856" i="4"/>
  <c r="BF1702" i="4"/>
  <c r="BF1329" i="4"/>
  <c r="BF1043" i="4"/>
  <c r="BF1563" i="4"/>
  <c r="BF1484" i="4"/>
  <c r="BF722" i="4"/>
  <c r="BF802" i="4"/>
  <c r="BF915" i="4"/>
  <c r="BF629" i="4"/>
  <c r="BF766" i="4"/>
  <c r="BF879" i="4"/>
  <c r="BF992" i="4"/>
  <c r="BF1101" i="4"/>
  <c r="BF1613" i="4"/>
  <c r="BF1310" i="4"/>
  <c r="BF1063" i="4"/>
  <c r="BF1575" i="4"/>
  <c r="BF1256" i="4"/>
  <c r="BF1340" i="4"/>
  <c r="BF1465" i="4"/>
  <c r="BF1162" i="4"/>
  <c r="BF618" i="4"/>
  <c r="BF731" i="4"/>
  <c r="BF844" i="4"/>
  <c r="BF957" i="4"/>
  <c r="BF695" i="4"/>
  <c r="BF808" i="4"/>
  <c r="BF913" i="4"/>
  <c r="BF1429" i="4"/>
  <c r="BF1126" i="4"/>
  <c r="BF1638" i="4"/>
  <c r="BF1391" i="4"/>
  <c r="BF1072" i="4"/>
  <c r="BF1584" i="4"/>
  <c r="BF1281" i="4"/>
  <c r="BF1476" i="4"/>
  <c r="BF1490" i="4"/>
  <c r="BF690" i="4"/>
  <c r="BF803" i="4"/>
  <c r="BF916" i="4"/>
  <c r="BF654" i="4"/>
  <c r="BF767" i="4"/>
  <c r="BF880" i="4"/>
  <c r="BF985" i="4"/>
  <c r="BF1501" i="4"/>
  <c r="BF1198" i="4"/>
  <c r="BF1260" i="4"/>
  <c r="BF1463" i="4"/>
  <c r="BF1144" i="4"/>
  <c r="BF1656" i="4"/>
  <c r="BF1353" i="4"/>
  <c r="BF1050" i="4"/>
  <c r="BF1562" i="4"/>
  <c r="BF954" i="4"/>
  <c r="BF668" i="4"/>
  <c r="BF781" i="4"/>
  <c r="BF918" i="4"/>
  <c r="BF632" i="4"/>
  <c r="BF737" i="4"/>
  <c r="BF1253" i="4"/>
  <c r="BF1292" i="4"/>
  <c r="BF1462" i="4"/>
  <c r="BF1215" i="4"/>
  <c r="BF1720" i="4"/>
  <c r="BF1408" i="4"/>
  <c r="BF1105" i="4"/>
  <c r="BF1617" i="4"/>
  <c r="BF1314" i="4"/>
  <c r="BF627" i="4"/>
  <c r="BF740" i="4"/>
  <c r="BF853" i="4"/>
  <c r="BF990" i="4"/>
  <c r="BF704" i="4"/>
  <c r="BF809" i="4"/>
  <c r="BF1325" i="4"/>
  <c r="BF1022" i="4"/>
  <c r="BF1534" i="4"/>
  <c r="BF1287" i="4"/>
  <c r="BF1412" i="4"/>
  <c r="BF1480" i="4"/>
  <c r="BF1177" i="4"/>
  <c r="BF1689" i="4"/>
  <c r="BF714" i="4"/>
  <c r="BF827" i="4"/>
  <c r="BF940" i="4"/>
  <c r="BF678" i="4"/>
  <c r="BF791" i="4"/>
  <c r="BF904" i="4"/>
  <c r="BF997" i="4"/>
  <c r="BF1525" i="4"/>
  <c r="BF1222" i="4"/>
  <c r="BF1444" i="4"/>
  <c r="BF1487" i="4"/>
  <c r="BF1168" i="4"/>
  <c r="BF1680" i="4"/>
  <c r="BF1377" i="4"/>
  <c r="BF1074" i="4"/>
  <c r="BF1586" i="4"/>
  <c r="BF741" i="4"/>
  <c r="BF1213" i="4"/>
  <c r="BF1687" i="4"/>
  <c r="BF1274" i="4"/>
  <c r="BF1235" i="4"/>
  <c r="BF1156" i="4"/>
  <c r="BF1110" i="4"/>
  <c r="BF636" i="4"/>
  <c r="BF705" i="4"/>
  <c r="BF1183" i="4"/>
  <c r="BF1585" i="4"/>
  <c r="BF1115" i="4"/>
  <c r="BF1627" i="4"/>
  <c r="BF822" i="4"/>
  <c r="BF978" i="4"/>
  <c r="BF656" i="4"/>
  <c r="BF1486" i="4"/>
  <c r="BF1129" i="4"/>
  <c r="BF1452" i="4"/>
  <c r="BF1507" i="4"/>
  <c r="BF1220" i="4"/>
  <c r="BF1099" i="4"/>
  <c r="BF694" i="4"/>
  <c r="BF1541" i="4"/>
  <c r="BF1184" i="4"/>
  <c r="BF1474" i="4"/>
  <c r="BF1323" i="4"/>
  <c r="BF1428" i="4"/>
  <c r="BF1631" i="4"/>
  <c r="BF1012" i="4"/>
  <c r="BF1085" i="4"/>
  <c r="BF1559" i="4"/>
  <c r="BF1146" i="4"/>
  <c r="BF1203" i="4"/>
  <c r="BF1715" i="4"/>
  <c r="BF866" i="4"/>
  <c r="BF979" i="4"/>
  <c r="BF693" i="4"/>
  <c r="BF830" i="4"/>
  <c r="BF943" i="4"/>
  <c r="BF649" i="4"/>
  <c r="BF1165" i="4"/>
  <c r="BF1677" i="4"/>
  <c r="BF1374" i="4"/>
  <c r="BF1127" i="4"/>
  <c r="BF1639" i="4"/>
  <c r="BF1320" i="4"/>
  <c r="BF1017" i="4"/>
  <c r="BF1529" i="4"/>
  <c r="BF1226" i="4"/>
  <c r="BF682" i="4"/>
  <c r="BF795" i="4"/>
  <c r="BF908" i="4"/>
  <c r="BF646" i="4"/>
  <c r="BF759" i="4"/>
  <c r="BF872" i="4"/>
  <c r="BF977" i="4"/>
  <c r="BF1493" i="4"/>
  <c r="BF1190" i="4"/>
  <c r="BF1148" i="4"/>
  <c r="BF1455" i="4"/>
  <c r="BF1136" i="4"/>
  <c r="BF1648" i="4"/>
  <c r="BF1345" i="4"/>
  <c r="BF1042" i="4"/>
  <c r="BF1554" i="4"/>
  <c r="BF754" i="4"/>
  <c r="BF867" i="4"/>
  <c r="BF980" i="4"/>
  <c r="BF718" i="4"/>
  <c r="BF831" i="4"/>
  <c r="BF944" i="4"/>
  <c r="BF1053" i="4"/>
  <c r="BF1565" i="4"/>
  <c r="BF1262" i="4"/>
  <c r="BF1009" i="4"/>
  <c r="BF1527" i="4"/>
  <c r="BF1208" i="4"/>
  <c r="BF1028" i="4"/>
  <c r="BF1417" i="4"/>
  <c r="BF1114" i="4"/>
  <c r="BF1626" i="4"/>
  <c r="BF619" i="4"/>
  <c r="BF732" i="4"/>
  <c r="BF845" i="4"/>
  <c r="BF982" i="4"/>
  <c r="BF696" i="4"/>
  <c r="BF801" i="4"/>
  <c r="BF1317" i="4"/>
  <c r="BF1005" i="4"/>
  <c r="BF1526" i="4"/>
  <c r="BF1279" i="4"/>
  <c r="BF1356" i="4"/>
  <c r="BF1472" i="4"/>
  <c r="BF1169" i="4"/>
  <c r="BF1681" i="4"/>
  <c r="BF1378" i="4"/>
  <c r="BF691" i="4"/>
  <c r="BF804" i="4"/>
  <c r="BF917" i="4"/>
  <c r="BF655" i="4"/>
  <c r="BF768" i="4"/>
  <c r="BF873" i="4"/>
  <c r="BF1389" i="4"/>
  <c r="BF1086" i="4"/>
  <c r="BF1598" i="4"/>
  <c r="BF1351" i="4"/>
  <c r="BF1032" i="4"/>
  <c r="BF1544" i="4"/>
  <c r="BF1241" i="4"/>
  <c r="BF1212" i="4"/>
  <c r="BF778" i="4"/>
  <c r="BF891" i="4"/>
  <c r="BF1004" i="4"/>
  <c r="BF742" i="4"/>
  <c r="BF855" i="4"/>
  <c r="BF968" i="4"/>
  <c r="BF1077" i="4"/>
  <c r="BF1589" i="4"/>
  <c r="BF1286" i="4"/>
  <c r="BF1039" i="4"/>
  <c r="BF1551" i="4"/>
  <c r="BF1232" i="4"/>
  <c r="BF1164" i="4"/>
  <c r="BF1441" i="4"/>
  <c r="BF1138" i="4"/>
  <c r="BF1650" i="4"/>
  <c r="BF622" i="4"/>
  <c r="BF1469" i="4"/>
  <c r="BF1112" i="4"/>
  <c r="BF1442" i="4"/>
  <c r="BF1299" i="4"/>
  <c r="BF1596" i="4"/>
  <c r="BF1312" i="4"/>
  <c r="BF892" i="4"/>
  <c r="BF961" i="4"/>
  <c r="BF1439" i="4"/>
  <c r="BF1026" i="4"/>
  <c r="BF1179" i="4"/>
  <c r="BF1691" i="4"/>
  <c r="BF641" i="4"/>
  <c r="BF835" i="4"/>
  <c r="BF912" i="4"/>
  <c r="BF1500" i="4"/>
  <c r="BF1385" i="4"/>
  <c r="BF1051" i="4"/>
  <c r="BF1571" i="4"/>
  <c r="BF1347" i="4"/>
  <c r="BF1611" i="4"/>
  <c r="BF950" i="4"/>
  <c r="BF1524" i="4"/>
  <c r="BF1440" i="4"/>
  <c r="BF1602" i="4"/>
  <c r="BF1387" i="4"/>
  <c r="BF1614" i="4"/>
  <c r="BF1364" i="4"/>
  <c r="BF930" i="4"/>
  <c r="BF644" i="4"/>
  <c r="BF757" i="4"/>
  <c r="BF894" i="4"/>
  <c r="BF1007" i="4"/>
  <c r="BF713" i="4"/>
  <c r="BF1229" i="4"/>
  <c r="BF1710" i="4"/>
  <c r="BF1438" i="4"/>
  <c r="BF1191" i="4"/>
  <c r="BF1703" i="4"/>
  <c r="BF1384" i="4"/>
  <c r="BF1081" i="4"/>
  <c r="BF1593" i="4"/>
  <c r="BF1290" i="4"/>
  <c r="BF746" i="4"/>
  <c r="BF859" i="4"/>
  <c r="BF972" i="4"/>
  <c r="BF710" i="4"/>
  <c r="BF823" i="4"/>
  <c r="BF936" i="4"/>
  <c r="BF1045" i="4"/>
  <c r="BF1557" i="4"/>
  <c r="BF1254" i="4"/>
  <c r="BF1692" i="4"/>
  <c r="BF1519" i="4"/>
  <c r="BF1200" i="4"/>
  <c r="BF1712" i="4"/>
  <c r="BF1409" i="4"/>
  <c r="BF1106" i="4"/>
  <c r="BF1618" i="4"/>
  <c r="BF818" i="4"/>
  <c r="BF931" i="4"/>
  <c r="BF645" i="4"/>
  <c r="BF782" i="4"/>
  <c r="BF895" i="4"/>
  <c r="BF1008" i="4"/>
  <c r="BF1117" i="4"/>
  <c r="BF1629" i="4"/>
  <c r="BF1326" i="4"/>
  <c r="BF1079" i="4"/>
  <c r="BF1591" i="4"/>
  <c r="BF1272" i="4"/>
  <c r="BF1436" i="4"/>
  <c r="BF1481" i="4"/>
  <c r="BF1178" i="4"/>
  <c r="BF1690" i="4"/>
  <c r="BF683" i="4"/>
  <c r="BF796" i="4"/>
  <c r="BF909" i="4"/>
  <c r="BF647" i="4"/>
  <c r="BF760" i="4"/>
  <c r="BF865" i="4"/>
  <c r="BF1381" i="4"/>
  <c r="BF1078" i="4"/>
  <c r="BF1590" i="4"/>
  <c r="BF1343" i="4"/>
  <c r="BF1024" i="4"/>
  <c r="BF1536" i="4"/>
  <c r="BF1233" i="4"/>
  <c r="BF1180" i="4"/>
  <c r="BF642" i="4"/>
  <c r="BF755" i="4"/>
  <c r="BF868" i="4"/>
  <c r="BF981" i="4"/>
  <c r="BF719" i="4"/>
  <c r="BF832" i="4"/>
  <c r="BF937" i="4"/>
  <c r="BF1453" i="4"/>
  <c r="BF1150" i="4"/>
  <c r="BF1662" i="4"/>
  <c r="BF1415" i="4"/>
  <c r="BF1096" i="4"/>
  <c r="BF1608" i="4"/>
  <c r="BF1305" i="4"/>
  <c r="BF1644" i="4"/>
  <c r="BF842" i="4"/>
  <c r="BF955" i="4"/>
  <c r="BF669" i="4"/>
  <c r="BF806" i="4"/>
  <c r="BF919" i="4"/>
  <c r="BF625" i="4"/>
  <c r="BF1141" i="4"/>
  <c r="BF1653" i="4"/>
  <c r="BF1350" i="4"/>
  <c r="BF1103" i="4"/>
  <c r="BF1615" i="4"/>
  <c r="BF1296" i="4"/>
  <c r="BF1604" i="4"/>
  <c r="BF1505" i="4"/>
  <c r="BF1202" i="4"/>
  <c r="BF1714" i="4"/>
  <c r="BF878" i="4"/>
  <c r="BF1678" i="4"/>
  <c r="BF1368" i="4"/>
  <c r="BF1570" i="4"/>
  <c r="BF1363" i="4"/>
  <c r="BF1367" i="4"/>
  <c r="BF1410" i="4"/>
  <c r="BF749" i="4"/>
  <c r="BF1221" i="4"/>
  <c r="BF1695" i="4"/>
  <c r="BF1282" i="4"/>
  <c r="BF1243" i="4"/>
  <c r="BF1196" i="4"/>
  <c r="BF1622" i="4"/>
  <c r="BF692" i="4"/>
  <c r="BF761" i="4"/>
  <c r="BF1239" i="4"/>
  <c r="BF1641" i="4"/>
  <c r="BF1123" i="4"/>
  <c r="BF1635" i="4"/>
  <c r="BF1667" i="4"/>
  <c r="BF730" i="4"/>
  <c r="BF807" i="4"/>
  <c r="BF1238" i="4"/>
  <c r="BF1696" i="4"/>
  <c r="BF1044" i="4"/>
  <c r="BF1451" i="4"/>
  <c r="BF1560" i="4"/>
  <c r="BF1163" i="4"/>
  <c r="BF750" i="4"/>
  <c r="BF1597" i="4"/>
  <c r="BF1240" i="4"/>
  <c r="BF994" i="4"/>
  <c r="BF708" i="4"/>
  <c r="BF821" i="4"/>
  <c r="BF958" i="4"/>
  <c r="BF672" i="4"/>
  <c r="BF777" i="4"/>
  <c r="BF1293" i="4"/>
  <c r="BF1580" i="4"/>
  <c r="BF1502" i="4"/>
  <c r="BF1255" i="4"/>
  <c r="BF1204" i="4"/>
  <c r="BF1448" i="4"/>
  <c r="BF1145" i="4"/>
  <c r="BF1657" i="4"/>
  <c r="BF1354" i="4"/>
  <c r="BF810" i="4"/>
  <c r="BF923" i="4"/>
  <c r="BF637" i="4"/>
  <c r="BF774" i="4"/>
  <c r="BF887" i="4"/>
  <c r="BF1000" i="4"/>
  <c r="BF1109" i="4"/>
  <c r="BF1621" i="4"/>
  <c r="BF1318" i="4"/>
  <c r="BF1071" i="4"/>
  <c r="BF1583" i="4"/>
  <c r="BF1264" i="4"/>
  <c r="BF1396" i="4"/>
  <c r="BF1473" i="4"/>
  <c r="BF1170" i="4"/>
  <c r="BF1682" i="4"/>
  <c r="BF882" i="4"/>
  <c r="BF995" i="4"/>
  <c r="BF709" i="4"/>
  <c r="BF846" i="4"/>
  <c r="BF959" i="4"/>
  <c r="BF665" i="4"/>
  <c r="BF1181" i="4"/>
  <c r="BF1693" i="4"/>
  <c r="BF1390" i="4"/>
  <c r="BF1143" i="4"/>
  <c r="BF1655" i="4"/>
  <c r="BF1336" i="4"/>
  <c r="BF1033" i="4"/>
  <c r="BF1545" i="4"/>
  <c r="BF1242" i="4"/>
  <c r="BF634" i="4"/>
  <c r="BF747" i="4"/>
  <c r="BF860" i="4"/>
  <c r="BF973" i="4"/>
  <c r="BF711" i="4"/>
  <c r="BF824" i="4"/>
  <c r="BF929" i="4"/>
  <c r="BF1445" i="4"/>
  <c r="BF1142" i="4"/>
  <c r="BF1654" i="4"/>
  <c r="BF1407" i="4"/>
  <c r="BF1088" i="4"/>
  <c r="BF1600" i="4"/>
  <c r="BF1297" i="4"/>
  <c r="BF1588" i="4"/>
  <c r="BF706" i="4"/>
  <c r="BF819" i="4"/>
  <c r="BF932" i="4"/>
  <c r="BF670" i="4"/>
  <c r="BF783" i="4"/>
  <c r="BF896" i="4"/>
  <c r="BF1001" i="4"/>
  <c r="BF1517" i="4"/>
  <c r="BF1214" i="4"/>
  <c r="BF1380" i="4"/>
  <c r="BF1479" i="4"/>
  <c r="BF1160" i="4"/>
  <c r="BF1672" i="4"/>
  <c r="BF1369" i="4"/>
  <c r="BF1066" i="4"/>
  <c r="BF906" i="4"/>
  <c r="BF620" i="4"/>
  <c r="BF733" i="4"/>
  <c r="BF870" i="4"/>
  <c r="BF983" i="4"/>
  <c r="BF689" i="4"/>
  <c r="BF1205" i="4"/>
  <c r="BF1717" i="4"/>
  <c r="BF1414" i="4"/>
  <c r="BF1167" i="4"/>
  <c r="BF1679" i="4"/>
  <c r="BF1360" i="4"/>
  <c r="BF1057" i="4"/>
  <c r="BF1569" i="4"/>
  <c r="BF1266" i="4"/>
  <c r="BF658" i="4"/>
  <c r="BF735" i="4"/>
  <c r="BF1166" i="4"/>
  <c r="BF1624" i="4"/>
  <c r="BF1674" i="4"/>
  <c r="BF1427" i="4"/>
  <c r="BF1513" i="4"/>
  <c r="BF1291" i="4"/>
  <c r="BF630" i="4"/>
  <c r="BF1477" i="4"/>
  <c r="BF1120" i="4"/>
  <c r="BF1450" i="4"/>
  <c r="BF1307" i="4"/>
  <c r="BF1652" i="4"/>
  <c r="BF1265" i="4"/>
  <c r="BF948" i="4"/>
  <c r="BF1021" i="4"/>
  <c r="BF1495" i="4"/>
  <c r="BF1082" i="4"/>
  <c r="BF1187" i="4"/>
  <c r="BF1699" i="4"/>
  <c r="BF685" i="4"/>
  <c r="BF986" i="4"/>
  <c r="BF664" i="4"/>
  <c r="BF1494" i="4"/>
  <c r="BF1137" i="4"/>
  <c r="BF1508" i="4"/>
  <c r="BF1515" i="4"/>
  <c r="BF1530" i="4"/>
  <c r="BF1547" i="4"/>
  <c r="BF1006" i="4"/>
  <c r="BF1038" i="4"/>
  <c r="BF1496" i="4"/>
  <c r="BF1634" i="4"/>
  <c r="BF1395" i="4"/>
  <c r="BF659" i="4"/>
  <c r="BF772" i="4"/>
  <c r="BF885" i="4"/>
  <c r="BF623" i="4"/>
  <c r="BF736" i="4"/>
  <c r="BF841" i="4"/>
  <c r="BF1357" i="4"/>
  <c r="BF1054" i="4"/>
  <c r="BF1566" i="4"/>
  <c r="BF1319" i="4"/>
  <c r="BF1620" i="4"/>
  <c r="BF1512" i="4"/>
  <c r="BF1209" i="4"/>
  <c r="BF1036" i="4"/>
  <c r="BF1418" i="4"/>
  <c r="BF874" i="4"/>
  <c r="BF987" i="4"/>
  <c r="BF701" i="4"/>
  <c r="BF838" i="4"/>
  <c r="BF951" i="4"/>
  <c r="BF657" i="4"/>
  <c r="BF1173" i="4"/>
  <c r="BF1685" i="4"/>
  <c r="BF1382" i="4"/>
  <c r="BF1135" i="4"/>
  <c r="BF1647" i="4"/>
  <c r="BF1328" i="4"/>
  <c r="BF1025" i="4"/>
  <c r="BF1537" i="4"/>
  <c r="BF1234" i="4"/>
  <c r="BF1172" i="4"/>
  <c r="BF946" i="4"/>
  <c r="BF660" i="4"/>
  <c r="BF773" i="4"/>
  <c r="BF910" i="4"/>
  <c r="BF624" i="4"/>
  <c r="BF729" i="4"/>
  <c r="BF1245" i="4"/>
  <c r="BF1236" i="4"/>
  <c r="BF1454" i="4"/>
  <c r="BF1207" i="4"/>
  <c r="BF1719" i="4"/>
  <c r="BF1400" i="4"/>
  <c r="BF1097" i="4"/>
  <c r="BF1609" i="4"/>
  <c r="BF1306" i="4"/>
  <c r="BF698" i="4"/>
  <c r="BF811" i="4"/>
  <c r="BF924" i="4"/>
  <c r="BF662" i="4"/>
  <c r="BF775" i="4"/>
  <c r="BF888" i="4"/>
  <c r="BF993" i="4"/>
  <c r="BF1509" i="4"/>
  <c r="BF1206" i="4"/>
  <c r="BF1324" i="4"/>
  <c r="BF1471" i="4"/>
  <c r="BF1152" i="4"/>
  <c r="BF1664" i="4"/>
  <c r="BF1361" i="4"/>
  <c r="BF1058" i="4"/>
  <c r="BF770" i="4"/>
  <c r="BF883" i="4"/>
  <c r="BF996" i="4"/>
  <c r="BF734" i="4"/>
  <c r="BF847" i="4"/>
  <c r="BF960" i="4"/>
  <c r="BF1069" i="4"/>
  <c r="BF1581" i="4"/>
  <c r="BF1278" i="4"/>
  <c r="BF1031" i="4"/>
  <c r="BF1543" i="4"/>
  <c r="BF1224" i="4"/>
  <c r="BF1100" i="4"/>
  <c r="BF1433" i="4"/>
  <c r="BF1130" i="4"/>
  <c r="BF970" i="4"/>
  <c r="BF684" i="4"/>
  <c r="BF797" i="4"/>
  <c r="BF934" i="4"/>
  <c r="BF648" i="4"/>
  <c r="BF753" i="4"/>
  <c r="BF1269" i="4"/>
  <c r="BF1404" i="4"/>
  <c r="BF1478" i="4"/>
  <c r="BF1231" i="4"/>
  <c r="BF1092" i="4"/>
  <c r="BF1424" i="4"/>
  <c r="BF1121" i="4"/>
  <c r="BF1633" i="4"/>
  <c r="BF1330" i="4"/>
  <c r="BF914" i="4"/>
  <c r="BF991" i="4"/>
  <c r="BF1422" i="4"/>
  <c r="BF1065" i="4"/>
  <c r="BF1332" i="4"/>
  <c r="BF1491" i="4"/>
  <c r="BF1019" i="4"/>
  <c r="BF1108" i="4"/>
  <c r="BF886" i="4"/>
  <c r="BF1694" i="4"/>
  <c r="BF1376" i="4"/>
  <c r="BF1578" i="4"/>
  <c r="BF1371" i="4"/>
  <c r="BF1623" i="4"/>
  <c r="BF1027" i="4"/>
  <c r="BF805" i="4"/>
  <c r="BF1277" i="4"/>
  <c r="BF1140" i="4"/>
  <c r="BF1322" i="4"/>
  <c r="BF1251" i="4"/>
  <c r="BF1252" i="4"/>
  <c r="BF679" i="4"/>
  <c r="BF843" i="4"/>
  <c r="BF920" i="4"/>
  <c r="BF1572" i="4"/>
  <c r="BF1393" i="4"/>
  <c r="BF1059" i="4"/>
  <c r="BF1579" i="4"/>
  <c r="BF1155" i="4"/>
  <c r="BF786" i="4"/>
  <c r="BF863" i="4"/>
  <c r="BF723" i="4"/>
  <c r="BF836" i="4"/>
  <c r="BF949" i="4"/>
  <c r="BF687" i="4"/>
  <c r="BF800" i="4"/>
  <c r="BF905" i="4"/>
  <c r="BF1421" i="4"/>
  <c r="BF1118" i="4"/>
  <c r="BF1630" i="4"/>
  <c r="BF1383" i="4"/>
  <c r="BF1064" i="4"/>
  <c r="BF1576" i="4"/>
  <c r="BF1273" i="4"/>
  <c r="BF1420" i="4"/>
  <c r="BF1482" i="4"/>
  <c r="BF938" i="4"/>
  <c r="BF652" i="4"/>
  <c r="BF765" i="4"/>
  <c r="BF902" i="4"/>
  <c r="BF1015" i="4"/>
  <c r="BF721" i="4"/>
  <c r="BF1237" i="4"/>
  <c r="BF1116" i="4"/>
  <c r="BF1446" i="4"/>
  <c r="BF1199" i="4"/>
  <c r="BF1711" i="4"/>
  <c r="BF1392" i="4"/>
  <c r="BF1089" i="4"/>
  <c r="BF1601" i="4"/>
  <c r="BF1298" i="4"/>
  <c r="BF1612" i="4"/>
  <c r="BF1010" i="4"/>
  <c r="BF724" i="4"/>
  <c r="BF837" i="4"/>
  <c r="BF974" i="4"/>
  <c r="BF688" i="4"/>
  <c r="BF793" i="4"/>
  <c r="BF1309" i="4"/>
  <c r="BF1676" i="4"/>
  <c r="BF1518" i="4"/>
  <c r="BF1271" i="4"/>
  <c r="BF1300" i="4"/>
  <c r="BF1464" i="4"/>
  <c r="BF1161" i="4"/>
  <c r="BF1673" i="4"/>
  <c r="BF1370" i="4"/>
  <c r="BF762" i="4"/>
  <c r="BF875" i="4"/>
  <c r="BF988" i="4"/>
  <c r="BF726" i="4"/>
  <c r="BF839" i="4"/>
  <c r="BF952" i="4"/>
  <c r="BF1061" i="4"/>
  <c r="BF1573" i="4"/>
  <c r="BF1270" i="4"/>
  <c r="BF1023" i="4"/>
  <c r="BF1535" i="4"/>
  <c r="BF1216" i="4"/>
  <c r="BF1068" i="4"/>
  <c r="BF1425" i="4"/>
  <c r="BF1122" i="4"/>
  <c r="BF834" i="4"/>
  <c r="BF947" i="4"/>
  <c r="BF661" i="4"/>
  <c r="BF798" i="4"/>
  <c r="BF911" i="4"/>
  <c r="BF617" i="4"/>
  <c r="BF1133" i="4"/>
  <c r="BF1645" i="4"/>
  <c r="BF1342" i="4"/>
  <c r="BF1095" i="4"/>
  <c r="BF1607" i="4"/>
  <c r="BF1288" i="4"/>
  <c r="BF1548" i="4"/>
  <c r="BF1497" i="4"/>
  <c r="BF1194" i="4"/>
  <c r="BF635" i="4"/>
  <c r="BF748" i="4"/>
  <c r="BF861" i="4"/>
  <c r="BF998" i="4"/>
  <c r="BF712" i="4"/>
  <c r="BF817" i="4"/>
  <c r="BF1333" i="4"/>
  <c r="BF1030" i="4"/>
  <c r="BF1542" i="4"/>
  <c r="BF1295" i="4"/>
  <c r="BF1460" i="4"/>
  <c r="BF1488" i="4"/>
  <c r="BF1185" i="4"/>
  <c r="BF1697" i="4"/>
  <c r="BF1394" i="4"/>
  <c r="BF771" i="4"/>
  <c r="BF848" i="4"/>
  <c r="BF1686" i="4"/>
  <c r="BF1321" i="4"/>
  <c r="BF1035" i="4"/>
  <c r="BF1555" i="4"/>
  <c r="BF1539" i="4"/>
  <c r="BF666" i="4"/>
  <c r="BF743" i="4"/>
  <c r="BF1174" i="4"/>
  <c r="BF1632" i="4"/>
  <c r="BF1698" i="4"/>
  <c r="BF1435" i="4"/>
  <c r="BF1402" i="4"/>
  <c r="BF1483" i="4"/>
  <c r="BF686" i="4"/>
  <c r="BF1533" i="4"/>
  <c r="BF1176" i="4"/>
  <c r="BF1466" i="4"/>
  <c r="BF1315" i="4"/>
  <c r="BF1708" i="4"/>
  <c r="BF1669" i="4"/>
  <c r="BF700" i="4"/>
  <c r="BF769" i="4"/>
  <c r="BF1247" i="4"/>
  <c r="BF1649" i="4"/>
  <c r="BF1131" i="4"/>
  <c r="BF1643" i="4"/>
  <c r="BF1603" i="4"/>
  <c r="BF643" i="4"/>
  <c r="BF720" i="4"/>
  <c r="BF1550" i="4"/>
  <c r="BF1193" i="4"/>
  <c r="BF1706" i="4"/>
  <c r="BF1259" i="4"/>
  <c r="BF1303" i="4"/>
  <c r="BF1139" i="4"/>
  <c r="BF1660" i="4"/>
  <c r="BF1538" i="4"/>
  <c r="BF758" i="4"/>
  <c r="BF1605" i="4"/>
  <c r="BF1248" i="4"/>
  <c r="BF1514" i="4"/>
  <c r="BF1339" i="4"/>
  <c r="BF1304" i="4"/>
  <c r="BF1276" i="4"/>
  <c r="BF933" i="4"/>
  <c r="BF1405" i="4"/>
  <c r="BF1568" i="4"/>
  <c r="BF1413" i="4"/>
  <c r="BF1091" i="4"/>
  <c r="BF871" i="4"/>
  <c r="BF1284" i="4"/>
  <c r="BF1467" i="4"/>
  <c r="BF1675" i="4"/>
  <c r="BF1048" i="4"/>
  <c r="BF1188" i="4"/>
  <c r="BF1119" i="4"/>
  <c r="BF1154" i="4"/>
  <c r="BF889" i="4"/>
  <c r="BF1294" i="4"/>
  <c r="BF877" i="4"/>
  <c r="BF1386" i="4"/>
  <c r="BF677" i="4"/>
  <c r="BF1443" i="4"/>
  <c r="BF1308" i="4"/>
  <c r="BF1516" i="4"/>
  <c r="BF1267" i="4"/>
  <c r="BF1658" i="4"/>
  <c r="BF1355" i="4"/>
  <c r="BF1014" i="4"/>
  <c r="BF1046" i="4"/>
  <c r="BF1504" i="4"/>
  <c r="BF1642" i="4"/>
  <c r="BF1403" i="4"/>
  <c r="BF1316" i="4"/>
  <c r="BF1227" i="4"/>
  <c r="BF814" i="4"/>
  <c r="BF1111" i="4"/>
  <c r="BF1666" i="4"/>
  <c r="BF1257" i="4"/>
  <c r="BF1228" i="4"/>
  <c r="BF1331" i="4"/>
  <c r="BF794" i="4"/>
  <c r="BF1302" i="4"/>
  <c r="BF1124" i="4"/>
  <c r="BF1283" i="4"/>
  <c r="BF671" i="4"/>
  <c r="BF1419" i="4"/>
  <c r="BF1076" i="4"/>
  <c r="BF1093" i="4"/>
  <c r="BF1020" i="4"/>
  <c r="BF792" i="4"/>
  <c r="BF1556" i="4"/>
  <c r="BF1349" i="4"/>
  <c r="BF1102" i="4"/>
  <c r="BF1218" i="4"/>
  <c r="BF756" i="4"/>
  <c r="BF1705" i="4"/>
  <c r="BF1459" i="4"/>
  <c r="BF1475" i="4"/>
  <c r="BF651" i="4"/>
  <c r="BF728" i="4"/>
  <c r="BF1558" i="4"/>
  <c r="BF1201" i="4"/>
  <c r="BF1668" i="4"/>
  <c r="BF1531" i="4"/>
  <c r="BF1060" i="4"/>
  <c r="BF850" i="4"/>
  <c r="BF927" i="4"/>
  <c r="BF1210" i="4"/>
  <c r="BF1285" i="4"/>
  <c r="BF1506" i="4"/>
  <c r="BF1157" i="4"/>
  <c r="BF833" i="4"/>
  <c r="BF1713" i="4"/>
  <c r="BF897" i="4"/>
  <c r="BF633" i="4"/>
  <c r="BF1230" i="4"/>
  <c r="BF621" i="4"/>
  <c r="BF1211" i="4"/>
  <c r="BF820" i="4"/>
  <c r="BF1338" i="4"/>
  <c r="BF1716" i="4"/>
  <c r="BF1275" i="4"/>
  <c r="BF1149" i="4"/>
  <c r="BF813" i="4"/>
  <c r="BF869" i="4"/>
  <c r="BF1346" i="4"/>
  <c r="BF1523" i="4"/>
  <c r="BF971" i="4"/>
  <c r="BF907" i="4"/>
  <c r="BF984" i="4"/>
  <c r="BF1055" i="4"/>
  <c r="BF1457" i="4"/>
  <c r="BF1083" i="4"/>
  <c r="BF1595" i="4"/>
  <c r="BF941" i="4"/>
  <c r="BF707" i="4"/>
  <c r="BF784" i="4"/>
  <c r="BF1411" i="4"/>
  <c r="BF799" i="4"/>
  <c r="BF825" i="4"/>
  <c r="BF1651" i="4"/>
  <c r="BF764" i="4"/>
  <c r="BF1311" i="4"/>
  <c r="BF1147" i="4"/>
  <c r="BF1659" i="4"/>
  <c r="BF963" i="4"/>
  <c r="BF715" i="4"/>
  <c r="BF1341" i="4"/>
  <c r="BF1372" i="4"/>
  <c r="BF1567" i="4"/>
  <c r="BF1375" i="4"/>
  <c r="BF1688" i="4"/>
  <c r="BF1358" i="4"/>
  <c r="BF1564" i="4"/>
  <c r="BF1521" i="4"/>
  <c r="BF1366" i="4"/>
  <c r="D627" i="1" l="1" a="1"/>
  <c r="D627" i="1" s="1"/>
  <c r="AB627" i="1" s="1"/>
  <c r="D626" i="1" a="1"/>
  <c r="D626" i="1" s="1"/>
  <c r="AB626" i="1" s="1"/>
  <c r="D625" i="1" a="1"/>
  <c r="D625" i="1" s="1"/>
  <c r="AB625" i="1" s="1"/>
  <c r="D624" i="1" a="1"/>
  <c r="D624" i="1" s="1"/>
  <c r="AB624" i="1" s="1"/>
  <c r="D623" i="1" a="1"/>
  <c r="D623" i="1" s="1"/>
  <c r="AB623" i="1" s="1"/>
  <c r="D622" i="1" a="1"/>
  <c r="D622" i="1" s="1"/>
  <c r="AB622" i="1" s="1"/>
  <c r="D621" i="1" a="1"/>
  <c r="D621" i="1" s="1"/>
  <c r="AB621" i="1" s="1"/>
  <c r="D620" i="1" a="1"/>
  <c r="D620" i="1" s="1"/>
  <c r="AB620" i="1" s="1"/>
  <c r="D619" i="1" a="1"/>
  <c r="D619" i="1" s="1"/>
  <c r="AB619" i="1" s="1"/>
  <c r="D618" i="1" a="1"/>
  <c r="D618" i="1" s="1"/>
  <c r="AB618" i="1" s="1"/>
  <c r="D617" i="1" a="1"/>
  <c r="D617" i="1" s="1"/>
  <c r="AB617" i="1" s="1"/>
  <c r="D616" i="1" a="1"/>
  <c r="D616" i="1" s="1"/>
  <c r="AB616" i="1" s="1"/>
  <c r="D615" i="1" a="1"/>
  <c r="D615" i="1" s="1"/>
  <c r="AB615" i="1" s="1"/>
  <c r="D614" i="1" a="1"/>
  <c r="D614" i="1" s="1"/>
  <c r="AB614" i="1" s="1"/>
  <c r="D613" i="1" a="1"/>
  <c r="D613" i="1" s="1"/>
  <c r="AB613" i="1" s="1"/>
  <c r="D612" i="1" a="1"/>
  <c r="D612" i="1" s="1"/>
  <c r="AB612" i="1" s="1"/>
  <c r="D611" i="1" a="1"/>
  <c r="D611" i="1" s="1"/>
  <c r="AB611" i="1" s="1"/>
  <c r="D610" i="1" a="1"/>
  <c r="D610" i="1" s="1"/>
  <c r="AB610" i="1" s="1"/>
  <c r="D609" i="1" a="1"/>
  <c r="D609" i="1" s="1"/>
  <c r="AB609" i="1" s="1"/>
  <c r="D608" i="1" a="1"/>
  <c r="D608" i="1" s="1"/>
  <c r="AB608" i="1" s="1"/>
  <c r="D607" i="1" a="1"/>
  <c r="D607" i="1" s="1"/>
  <c r="AB607" i="1" s="1"/>
  <c r="D606" i="1" a="1"/>
  <c r="D606" i="1" s="1"/>
  <c r="AB606" i="1" s="1"/>
  <c r="D605" i="1" a="1"/>
  <c r="D605" i="1" s="1"/>
  <c r="AB605" i="1" s="1"/>
  <c r="D604" i="1" a="1"/>
  <c r="D604" i="1" s="1"/>
  <c r="AB604" i="1" s="1"/>
  <c r="D603" i="1" a="1"/>
  <c r="D603" i="1" s="1"/>
  <c r="AB603" i="1" s="1"/>
  <c r="D602" i="1" a="1"/>
  <c r="D602" i="1" s="1"/>
  <c r="AB602" i="1" s="1"/>
  <c r="D601" i="1" a="1"/>
  <c r="D601" i="1" s="1"/>
  <c r="AB601" i="1" s="1"/>
  <c r="D600" i="1" a="1"/>
  <c r="D600" i="1" s="1"/>
  <c r="AB600" i="1" s="1"/>
  <c r="D599" i="1" a="1"/>
  <c r="D599" i="1" s="1"/>
  <c r="AB599" i="1" s="1"/>
  <c r="D598" i="1" a="1"/>
  <c r="D598" i="1" s="1"/>
  <c r="AB598" i="1" s="1"/>
  <c r="D597" i="1" a="1"/>
  <c r="D597" i="1" s="1"/>
  <c r="AB597" i="1" s="1"/>
  <c r="D596" i="1" a="1"/>
  <c r="D596" i="1" s="1"/>
  <c r="AB596" i="1" s="1"/>
  <c r="D595" i="1" a="1"/>
  <c r="D595" i="1" s="1"/>
  <c r="AB595" i="1" s="1"/>
  <c r="D594" i="1" a="1"/>
  <c r="D594" i="1" s="1"/>
  <c r="AB594" i="1" s="1"/>
  <c r="D593" i="1" a="1"/>
  <c r="D593" i="1" s="1"/>
  <c r="AB593" i="1" s="1"/>
  <c r="D592" i="1" a="1"/>
  <c r="D592" i="1" s="1"/>
  <c r="AB592" i="1" s="1"/>
  <c r="D591" i="1" a="1"/>
  <c r="D591" i="1" s="1"/>
  <c r="AB591" i="1" s="1"/>
  <c r="D590" i="1" a="1"/>
  <c r="D590" i="1" s="1"/>
  <c r="AB590" i="1" s="1"/>
  <c r="D589" i="1" a="1"/>
  <c r="D589" i="1" s="1"/>
  <c r="AB589" i="1" s="1"/>
  <c r="D588" i="1" a="1"/>
  <c r="D588" i="1" s="1"/>
  <c r="AB588" i="1" s="1"/>
  <c r="D587" i="1" a="1"/>
  <c r="D587" i="1" s="1"/>
  <c r="AB587" i="1" s="1"/>
  <c r="D586" i="1" a="1"/>
  <c r="D586" i="1" s="1"/>
  <c r="AB586" i="1" s="1"/>
  <c r="D585" i="1" a="1"/>
  <c r="D585" i="1" s="1"/>
  <c r="AB585" i="1" s="1"/>
  <c r="D584" i="1" a="1"/>
  <c r="D584" i="1" s="1"/>
  <c r="AB584" i="1" s="1"/>
  <c r="D583" i="1" a="1"/>
  <c r="D583" i="1" s="1"/>
  <c r="AB583" i="1" s="1"/>
  <c r="D582" i="1" a="1"/>
  <c r="D582" i="1" s="1"/>
  <c r="AB582" i="1" s="1"/>
  <c r="D581" i="1" a="1"/>
  <c r="D581" i="1" s="1"/>
  <c r="AB581" i="1" s="1"/>
  <c r="D580" i="1" a="1"/>
  <c r="D580" i="1" s="1"/>
  <c r="AB580" i="1" s="1"/>
  <c r="D579" i="1" a="1"/>
  <c r="D579" i="1" s="1"/>
  <c r="AB579" i="1" s="1"/>
  <c r="D578" i="1" a="1"/>
  <c r="D578" i="1" s="1"/>
  <c r="AB578" i="1" s="1"/>
  <c r="D577" i="1" a="1"/>
  <c r="D577" i="1" s="1"/>
  <c r="AB577" i="1" s="1"/>
  <c r="D576" i="1" a="1"/>
  <c r="D576" i="1" s="1"/>
  <c r="AB576" i="1" s="1"/>
  <c r="D575" i="1" a="1"/>
  <c r="D575" i="1" s="1"/>
  <c r="AB575" i="1" s="1"/>
  <c r="D574" i="1" a="1"/>
  <c r="D574" i="1" s="1"/>
  <c r="AB574" i="1" s="1"/>
  <c r="D573" i="1" a="1"/>
  <c r="D573" i="1" s="1"/>
  <c r="AB573" i="1" s="1"/>
  <c r="D572" i="1" a="1"/>
  <c r="D572" i="1" s="1"/>
  <c r="AB572" i="1" s="1"/>
  <c r="D571" i="1" a="1"/>
  <c r="D571" i="1" s="1"/>
  <c r="AB571" i="1" s="1"/>
  <c r="D570" i="1" a="1"/>
  <c r="D570" i="1" s="1"/>
  <c r="AB570" i="1" s="1"/>
  <c r="D569" i="1" a="1"/>
  <c r="D569" i="1" s="1"/>
  <c r="AB569" i="1" s="1"/>
  <c r="D568" i="1" a="1"/>
  <c r="D568" i="1" s="1"/>
  <c r="AB568" i="1" s="1"/>
  <c r="D567" i="1" a="1"/>
  <c r="D567" i="1" s="1"/>
  <c r="AB567" i="1" s="1"/>
  <c r="D566" i="1" a="1"/>
  <c r="D566" i="1" s="1"/>
  <c r="AB566" i="1" s="1"/>
  <c r="D565" i="1" a="1"/>
  <c r="D565" i="1" s="1"/>
  <c r="AB565" i="1" s="1"/>
  <c r="D564" i="1" a="1"/>
  <c r="D564" i="1" s="1"/>
  <c r="AB564" i="1" s="1"/>
  <c r="D563" i="1" a="1"/>
  <c r="D563" i="1" s="1"/>
  <c r="AB563" i="1" s="1"/>
  <c r="D562" i="1" a="1"/>
  <c r="D562" i="1" s="1"/>
  <c r="AB562" i="1" s="1"/>
  <c r="D561" i="1" a="1"/>
  <c r="D561" i="1" s="1"/>
  <c r="AB561" i="1" s="1"/>
  <c r="D560" i="1" a="1"/>
  <c r="D560" i="1" s="1"/>
  <c r="AB560" i="1" s="1"/>
  <c r="D559" i="1" a="1"/>
  <c r="D559" i="1" s="1"/>
  <c r="AB559" i="1" s="1"/>
  <c r="D558" i="1" a="1"/>
  <c r="D558" i="1" s="1"/>
  <c r="AB558" i="1" s="1"/>
  <c r="D557" i="1" a="1"/>
  <c r="D557" i="1" s="1"/>
  <c r="AB557" i="1" s="1"/>
  <c r="D556" i="1" a="1"/>
  <c r="D556" i="1" s="1"/>
  <c r="AB556" i="1" s="1"/>
  <c r="D555" i="1" a="1"/>
  <c r="D555" i="1" s="1"/>
  <c r="AB555" i="1" s="1"/>
  <c r="D554" i="1" a="1"/>
  <c r="D554" i="1" s="1"/>
  <c r="AB554" i="1" s="1"/>
  <c r="D553" i="1" a="1"/>
  <c r="D553" i="1" s="1"/>
  <c r="AB553" i="1" s="1"/>
  <c r="D552" i="1" a="1"/>
  <c r="D552" i="1" s="1"/>
  <c r="AB552" i="1" s="1"/>
  <c r="D551" i="1" a="1"/>
  <c r="D551" i="1" s="1"/>
  <c r="AB551" i="1" s="1"/>
  <c r="D550" i="1" a="1"/>
  <c r="D550" i="1" s="1"/>
  <c r="AB550" i="1" s="1"/>
  <c r="D549" i="1" a="1"/>
  <c r="D549" i="1" s="1"/>
  <c r="AB549" i="1" s="1"/>
  <c r="D548" i="1" a="1"/>
  <c r="D548" i="1" s="1"/>
  <c r="AB548" i="1" s="1"/>
  <c r="D547" i="1" a="1"/>
  <c r="D547" i="1" s="1"/>
  <c r="AB547" i="1" s="1"/>
  <c r="D546" i="1" a="1"/>
  <c r="D546" i="1" s="1"/>
  <c r="AB546" i="1" s="1"/>
  <c r="D545" i="1" a="1"/>
  <c r="D545" i="1" s="1"/>
  <c r="AB545" i="1" s="1"/>
  <c r="D544" i="1" a="1"/>
  <c r="D544" i="1" s="1"/>
  <c r="AB544" i="1" s="1"/>
  <c r="D543" i="1" a="1"/>
  <c r="D543" i="1" s="1"/>
  <c r="AB543" i="1" s="1"/>
  <c r="D542" i="1" a="1"/>
  <c r="D542" i="1" s="1"/>
  <c r="AB542" i="1" s="1"/>
  <c r="D541" i="1" a="1"/>
  <c r="D541" i="1" s="1"/>
  <c r="AB541" i="1" s="1"/>
  <c r="D540" i="1" a="1"/>
  <c r="D540" i="1" s="1"/>
  <c r="AB540" i="1" s="1"/>
  <c r="D539" i="1" a="1"/>
  <c r="D539" i="1" s="1"/>
  <c r="AB539" i="1" s="1"/>
  <c r="D538" i="1" a="1"/>
  <c r="D538" i="1" s="1"/>
  <c r="AB538" i="1" s="1"/>
  <c r="D537" i="1" a="1"/>
  <c r="D537" i="1" s="1"/>
  <c r="AB537" i="1" s="1"/>
  <c r="D536" i="1" a="1"/>
  <c r="D536" i="1" s="1"/>
  <c r="AB536" i="1" s="1"/>
  <c r="D535" i="1" a="1"/>
  <c r="D535" i="1" s="1"/>
  <c r="AB535" i="1" s="1"/>
  <c r="D534" i="1" a="1"/>
  <c r="D534" i="1" s="1"/>
  <c r="AB534" i="1" s="1"/>
  <c r="D533" i="1" a="1"/>
  <c r="D533" i="1" s="1"/>
  <c r="AB533" i="1" s="1"/>
  <c r="D532" i="1" a="1"/>
  <c r="D532" i="1" s="1"/>
  <c r="AB532" i="1" s="1"/>
  <c r="D531" i="1" a="1"/>
  <c r="D531" i="1" s="1"/>
  <c r="AB531" i="1" s="1"/>
  <c r="D530" i="1" a="1"/>
  <c r="D530" i="1" s="1"/>
  <c r="AB530" i="1" s="1"/>
  <c r="D529" i="1" a="1"/>
  <c r="D529" i="1" s="1"/>
  <c r="AB529" i="1" s="1"/>
  <c r="D528" i="1" a="1"/>
  <c r="D528" i="1" s="1"/>
  <c r="AB528" i="1" s="1"/>
  <c r="D527" i="1" a="1"/>
  <c r="D527" i="1" s="1"/>
  <c r="AB527" i="1" s="1"/>
  <c r="D526" i="1" a="1"/>
  <c r="D526" i="1" s="1"/>
  <c r="AB526" i="1" s="1"/>
  <c r="D525" i="1" a="1"/>
  <c r="D525" i="1" s="1"/>
  <c r="AB525" i="1" s="1"/>
  <c r="D524" i="1" a="1"/>
  <c r="D524" i="1" s="1"/>
  <c r="AB524" i="1" s="1"/>
  <c r="D523" i="1" a="1"/>
  <c r="D523" i="1" s="1"/>
  <c r="AB523" i="1" s="1"/>
  <c r="D522" i="1" a="1"/>
  <c r="D522" i="1" s="1"/>
  <c r="AB522" i="1" s="1"/>
  <c r="D521" i="1" a="1"/>
  <c r="D521" i="1" s="1"/>
  <c r="AB521" i="1" s="1"/>
  <c r="D520" i="1" a="1"/>
  <c r="D520" i="1" s="1"/>
  <c r="AB520" i="1" s="1"/>
  <c r="D519" i="1" a="1"/>
  <c r="D519" i="1" s="1"/>
  <c r="AB519" i="1" s="1"/>
  <c r="D518" i="1" a="1"/>
  <c r="D518" i="1" s="1"/>
  <c r="AB518" i="1" s="1"/>
  <c r="D517" i="1" a="1"/>
  <c r="D517" i="1" s="1"/>
  <c r="AB517" i="1" s="1"/>
  <c r="D516" i="1" a="1"/>
  <c r="D516" i="1" s="1"/>
  <c r="AB516" i="1" s="1"/>
  <c r="D515" i="1" a="1"/>
  <c r="D515" i="1" s="1"/>
  <c r="AB515" i="1" s="1"/>
  <c r="D514" i="1" a="1"/>
  <c r="D514" i="1" s="1"/>
  <c r="AB514" i="1" s="1"/>
  <c r="D513" i="1" a="1"/>
  <c r="D513" i="1" s="1"/>
  <c r="AB513" i="1" s="1"/>
  <c r="D512" i="1" a="1"/>
  <c r="D512" i="1" s="1"/>
  <c r="AB512" i="1" s="1"/>
  <c r="D511" i="1" a="1"/>
  <c r="D511" i="1" s="1"/>
  <c r="AB511" i="1" s="1"/>
  <c r="D510" i="1" a="1"/>
  <c r="D510" i="1" s="1"/>
  <c r="AB510" i="1" s="1"/>
  <c r="D509" i="1" a="1"/>
  <c r="D509" i="1" s="1"/>
  <c r="AB509" i="1" s="1"/>
  <c r="D508" i="1" a="1"/>
  <c r="D508" i="1" s="1"/>
  <c r="AB508" i="1" s="1"/>
  <c r="D507" i="1" a="1"/>
  <c r="D507" i="1" s="1"/>
  <c r="AB507" i="1" s="1"/>
  <c r="D506" i="1" a="1"/>
  <c r="D506" i="1" s="1"/>
  <c r="AB506" i="1" s="1"/>
  <c r="D505" i="1" a="1"/>
  <c r="D505" i="1" s="1"/>
  <c r="AB505" i="1" s="1"/>
  <c r="D504" i="1" a="1"/>
  <c r="D504" i="1" s="1"/>
  <c r="AB504" i="1" s="1"/>
  <c r="D503" i="1" a="1"/>
  <c r="D503" i="1" s="1"/>
  <c r="AB503" i="1" s="1"/>
  <c r="D502" i="1" a="1"/>
  <c r="D502" i="1" s="1"/>
  <c r="AB502" i="1" s="1"/>
  <c r="D501" i="1" a="1"/>
  <c r="D501" i="1" s="1"/>
  <c r="AB501" i="1" s="1"/>
  <c r="D500" i="1" a="1"/>
  <c r="D500" i="1" s="1"/>
  <c r="AB500" i="1" s="1"/>
  <c r="D499" i="1" a="1"/>
  <c r="D499" i="1" s="1"/>
  <c r="AB499" i="1" s="1"/>
  <c r="D498" i="1" a="1"/>
  <c r="D498" i="1" s="1"/>
  <c r="AB498" i="1" s="1"/>
  <c r="D497" i="1" a="1"/>
  <c r="D497" i="1" s="1"/>
  <c r="AB497" i="1" s="1"/>
  <c r="D496" i="1" a="1"/>
  <c r="D496" i="1" s="1"/>
  <c r="AB496" i="1" s="1"/>
  <c r="D495" i="1" a="1"/>
  <c r="D495" i="1" s="1"/>
  <c r="AB495" i="1" s="1"/>
  <c r="D494" i="1" a="1"/>
  <c r="D494" i="1" s="1"/>
  <c r="AB494" i="1" s="1"/>
  <c r="D493" i="1" a="1"/>
  <c r="D493" i="1" s="1"/>
  <c r="AB493" i="1" s="1"/>
  <c r="D492" i="1" a="1"/>
  <c r="D492" i="1" s="1"/>
  <c r="AB492" i="1" s="1"/>
  <c r="D491" i="1" a="1"/>
  <c r="D491" i="1" s="1"/>
  <c r="AB491" i="1" s="1"/>
  <c r="D490" i="1" a="1"/>
  <c r="D490" i="1" s="1"/>
  <c r="AB490" i="1" s="1"/>
  <c r="D489" i="1" a="1"/>
  <c r="D489" i="1" s="1"/>
  <c r="AB489" i="1" s="1"/>
  <c r="D488" i="1" a="1"/>
  <c r="D488" i="1" s="1"/>
  <c r="AB488" i="1" s="1"/>
  <c r="D487" i="1" a="1"/>
  <c r="D487" i="1" s="1"/>
  <c r="AB487" i="1" s="1"/>
  <c r="D486" i="1" a="1"/>
  <c r="D486" i="1" s="1"/>
  <c r="AB486" i="1" s="1"/>
  <c r="D485" i="1" a="1"/>
  <c r="D485" i="1" s="1"/>
  <c r="AB485" i="1" s="1"/>
  <c r="D484" i="1" a="1"/>
  <c r="D484" i="1" s="1"/>
  <c r="AB484" i="1" s="1"/>
  <c r="D483" i="1" a="1"/>
  <c r="D483" i="1" s="1"/>
  <c r="AB483" i="1" s="1"/>
  <c r="D482" i="1" a="1"/>
  <c r="D482" i="1" s="1"/>
  <c r="AB482" i="1" s="1"/>
  <c r="D481" i="1" a="1"/>
  <c r="D481" i="1" s="1"/>
  <c r="AB481" i="1" s="1"/>
  <c r="D480" i="1" a="1"/>
  <c r="D480" i="1" s="1"/>
  <c r="AB480" i="1" s="1"/>
  <c r="D479" i="1" a="1"/>
  <c r="D479" i="1" s="1"/>
  <c r="AB479" i="1" s="1"/>
  <c r="D478" i="1" a="1"/>
  <c r="D478" i="1" s="1"/>
  <c r="AB478" i="1" s="1"/>
  <c r="D477" i="1" a="1"/>
  <c r="D477" i="1" s="1"/>
  <c r="AB477" i="1" s="1"/>
  <c r="D476" i="1" a="1"/>
  <c r="D476" i="1" s="1"/>
  <c r="AB476" i="1" s="1"/>
  <c r="D475" i="1" a="1"/>
  <c r="D475" i="1" s="1"/>
  <c r="AB475" i="1" s="1"/>
  <c r="D474" i="1" a="1"/>
  <c r="D474" i="1" s="1"/>
  <c r="AB474" i="1" s="1"/>
  <c r="D473" i="1" a="1"/>
  <c r="D473" i="1" s="1"/>
  <c r="AB473" i="1" s="1"/>
  <c r="D472" i="1" a="1"/>
  <c r="D472" i="1" s="1"/>
  <c r="AB472" i="1" s="1"/>
  <c r="D471" i="1" a="1"/>
  <c r="D471" i="1" s="1"/>
  <c r="AB471" i="1" s="1"/>
  <c r="D470" i="1" a="1"/>
  <c r="D470" i="1" s="1"/>
  <c r="AB470" i="1" s="1"/>
  <c r="D469" i="1" a="1"/>
  <c r="D469" i="1" s="1"/>
  <c r="AB469" i="1" s="1"/>
  <c r="D468" i="1" a="1"/>
  <c r="D468" i="1" s="1"/>
  <c r="AB468" i="1" s="1"/>
  <c r="D467" i="1" a="1"/>
  <c r="D467" i="1" s="1"/>
  <c r="AB467" i="1" s="1"/>
  <c r="D466" i="1" a="1"/>
  <c r="D466" i="1" s="1"/>
  <c r="AB466" i="1" s="1"/>
  <c r="D465" i="1" a="1"/>
  <c r="D465" i="1" s="1"/>
  <c r="AB465" i="1" s="1"/>
  <c r="D464" i="1" a="1"/>
  <c r="D464" i="1" s="1"/>
  <c r="AB464" i="1" s="1"/>
  <c r="D463" i="1" a="1"/>
  <c r="D463" i="1" s="1"/>
  <c r="AB463" i="1" s="1"/>
  <c r="D462" i="1" a="1"/>
  <c r="D462" i="1" s="1"/>
  <c r="AB462" i="1" s="1"/>
  <c r="D461" i="1" a="1"/>
  <c r="D461" i="1" s="1"/>
  <c r="AB461" i="1" s="1"/>
  <c r="D460" i="1" a="1"/>
  <c r="D460" i="1" s="1"/>
  <c r="AB460" i="1" s="1"/>
  <c r="D459" i="1" a="1"/>
  <c r="D459" i="1" s="1"/>
  <c r="AB459" i="1" s="1"/>
  <c r="D458" i="1" a="1"/>
  <c r="D458" i="1" s="1"/>
  <c r="AB458" i="1" s="1"/>
  <c r="D457" i="1" a="1"/>
  <c r="D457" i="1" s="1"/>
  <c r="AB457" i="1" s="1"/>
  <c r="D456" i="1" a="1"/>
  <c r="D456" i="1" s="1"/>
  <c r="AB456" i="1" s="1"/>
  <c r="D455" i="1" a="1"/>
  <c r="D455" i="1" s="1"/>
  <c r="AB455" i="1" s="1"/>
  <c r="D454" i="1" a="1"/>
  <c r="D454" i="1" s="1"/>
  <c r="AB454" i="1" s="1"/>
  <c r="D453" i="1" a="1"/>
  <c r="D453" i="1" s="1"/>
  <c r="AB453" i="1" s="1"/>
  <c r="D452" i="1" a="1"/>
  <c r="D452" i="1" s="1"/>
  <c r="AB452" i="1" s="1"/>
  <c r="D451" i="1" a="1"/>
  <c r="D451" i="1" s="1"/>
  <c r="AB451" i="1" s="1"/>
  <c r="D450" i="1" a="1"/>
  <c r="D450" i="1" s="1"/>
  <c r="AB450" i="1" s="1"/>
  <c r="D449" i="1" a="1"/>
  <c r="D449" i="1" s="1"/>
  <c r="AB449" i="1" s="1"/>
  <c r="D448" i="1" a="1"/>
  <c r="D448" i="1" s="1"/>
  <c r="AB448" i="1" s="1"/>
  <c r="D447" i="1" a="1"/>
  <c r="D447" i="1" s="1"/>
  <c r="AB447" i="1" s="1"/>
  <c r="D446" i="1" a="1"/>
  <c r="D446" i="1" s="1"/>
  <c r="AB446" i="1" s="1"/>
  <c r="D445" i="1" a="1"/>
  <c r="D445" i="1" s="1"/>
  <c r="AB445" i="1" s="1"/>
  <c r="D444" i="1" a="1"/>
  <c r="D444" i="1" s="1"/>
  <c r="AB444" i="1" s="1"/>
  <c r="D443" i="1" a="1"/>
  <c r="D443" i="1" s="1"/>
  <c r="AB443" i="1" s="1"/>
  <c r="D442" i="1" a="1"/>
  <c r="D442" i="1" s="1"/>
  <c r="AB442" i="1" s="1"/>
  <c r="D441" i="1" a="1"/>
  <c r="D441" i="1" s="1"/>
  <c r="AB441" i="1" s="1"/>
  <c r="D440" i="1" a="1"/>
  <c r="D440" i="1" s="1"/>
  <c r="AB440" i="1" s="1"/>
  <c r="D439" i="1" a="1"/>
  <c r="D439" i="1" s="1"/>
  <c r="AB439" i="1" s="1"/>
  <c r="D438" i="1" a="1"/>
  <c r="D438" i="1" s="1"/>
  <c r="AB438" i="1" s="1"/>
  <c r="D437" i="1" a="1"/>
  <c r="D437" i="1" s="1"/>
  <c r="AB437" i="1" s="1"/>
  <c r="D436" i="1" a="1"/>
  <c r="D436" i="1" s="1"/>
  <c r="AB436" i="1" s="1"/>
  <c r="D435" i="1" a="1"/>
  <c r="D435" i="1" s="1"/>
  <c r="AB435" i="1" s="1"/>
  <c r="D434" i="1" a="1"/>
  <c r="D434" i="1" s="1"/>
  <c r="AB434" i="1" s="1"/>
  <c r="D433" i="1" a="1"/>
  <c r="D433" i="1" s="1"/>
  <c r="AB433" i="1" s="1"/>
  <c r="D432" i="1" a="1"/>
  <c r="D432" i="1" s="1"/>
  <c r="AB432" i="1" s="1"/>
  <c r="D431" i="1" a="1"/>
  <c r="D431" i="1" s="1"/>
  <c r="AB431" i="1" s="1"/>
  <c r="D430" i="1" a="1"/>
  <c r="D430" i="1" s="1"/>
  <c r="AB430" i="1" s="1"/>
  <c r="D429" i="1" a="1"/>
  <c r="D429" i="1" s="1"/>
  <c r="AB429" i="1" s="1"/>
  <c r="D428" i="1" a="1"/>
  <c r="D428" i="1" s="1"/>
  <c r="AB428" i="1" s="1"/>
  <c r="D427" i="1" a="1"/>
  <c r="D427" i="1" s="1"/>
  <c r="AB427" i="1" s="1"/>
  <c r="D426" i="1" a="1"/>
  <c r="D426" i="1" s="1"/>
  <c r="AB426" i="1" s="1"/>
  <c r="D425" i="1" a="1"/>
  <c r="D425" i="1" s="1"/>
  <c r="AB425" i="1" s="1"/>
  <c r="D424" i="1" a="1"/>
  <c r="D424" i="1" s="1"/>
  <c r="AB424" i="1" s="1"/>
  <c r="D423" i="1" a="1"/>
  <c r="D423" i="1" s="1"/>
  <c r="AB423" i="1" s="1"/>
  <c r="D422" i="1" a="1"/>
  <c r="D422" i="1" s="1"/>
  <c r="AB422" i="1" s="1"/>
  <c r="D421" i="1" a="1"/>
  <c r="D421" i="1" s="1"/>
  <c r="AB421" i="1" s="1"/>
  <c r="D420" i="1" a="1"/>
  <c r="D420" i="1" s="1"/>
  <c r="AB420" i="1" s="1"/>
  <c r="D419" i="1" a="1"/>
  <c r="D419" i="1" s="1"/>
  <c r="AB419" i="1" s="1"/>
  <c r="D418" i="1" a="1"/>
  <c r="D418" i="1" s="1"/>
  <c r="AB418" i="1" s="1"/>
  <c r="D417" i="1" a="1"/>
  <c r="D417" i="1" s="1"/>
  <c r="AB417" i="1" s="1"/>
  <c r="D416" i="1" a="1"/>
  <c r="D416" i="1" s="1"/>
  <c r="AB416" i="1" s="1"/>
  <c r="D415" i="1" a="1"/>
  <c r="D415" i="1" s="1"/>
  <c r="AB415" i="1" s="1"/>
  <c r="D414" i="1" a="1"/>
  <c r="D414" i="1" s="1"/>
  <c r="AB414" i="1" s="1"/>
  <c r="D413" i="1" a="1"/>
  <c r="D413" i="1" s="1"/>
  <c r="AB413" i="1" s="1"/>
  <c r="D412" i="1" a="1"/>
  <c r="D412" i="1" s="1"/>
  <c r="AB412" i="1" s="1"/>
  <c r="D411" i="1" a="1"/>
  <c r="D411" i="1" s="1"/>
  <c r="AB411" i="1" s="1"/>
  <c r="D410" i="1" a="1"/>
  <c r="D410" i="1" s="1"/>
  <c r="AB410" i="1" s="1"/>
  <c r="D409" i="1" a="1"/>
  <c r="D409" i="1" s="1"/>
  <c r="AB409" i="1" s="1"/>
  <c r="D408" i="1" a="1"/>
  <c r="D408" i="1" s="1"/>
  <c r="AB408" i="1" s="1"/>
  <c r="D407" i="1" a="1"/>
  <c r="D407" i="1" s="1"/>
  <c r="AB407" i="1" s="1"/>
  <c r="D406" i="1" a="1"/>
  <c r="D406" i="1" s="1"/>
  <c r="AB406" i="1" s="1"/>
  <c r="D405" i="1" a="1"/>
  <c r="D405" i="1" s="1"/>
  <c r="AB405" i="1" s="1"/>
  <c r="D404" i="1" a="1"/>
  <c r="D404" i="1" s="1"/>
  <c r="AB404" i="1" s="1"/>
  <c r="D403" i="1" a="1"/>
  <c r="D403" i="1" s="1"/>
  <c r="AB403" i="1" s="1"/>
  <c r="D402" i="1" a="1"/>
  <c r="D402" i="1" s="1"/>
  <c r="AB402" i="1" s="1"/>
  <c r="D401" i="1" a="1"/>
  <c r="D401" i="1" s="1"/>
  <c r="AB401" i="1" s="1"/>
  <c r="D400" i="1" a="1"/>
  <c r="D400" i="1" s="1"/>
  <c r="AB400" i="1" s="1"/>
  <c r="D399" i="1" a="1"/>
  <c r="D399" i="1" s="1"/>
  <c r="AB399" i="1" s="1"/>
  <c r="D398" i="1" a="1"/>
  <c r="D398" i="1" s="1"/>
  <c r="AB398" i="1" s="1"/>
  <c r="D397" i="1" a="1"/>
  <c r="D397" i="1" s="1"/>
  <c r="AB397" i="1" s="1"/>
  <c r="D396" i="1" a="1"/>
  <c r="D396" i="1" s="1"/>
  <c r="AB396" i="1" s="1"/>
  <c r="D395" i="1" a="1"/>
  <c r="D395" i="1" s="1"/>
  <c r="AB395" i="1" s="1"/>
  <c r="D394" i="1" a="1"/>
  <c r="D394" i="1" s="1"/>
  <c r="AB394" i="1" s="1"/>
  <c r="D393" i="1" a="1"/>
  <c r="D393" i="1" s="1"/>
  <c r="AB393" i="1" s="1"/>
  <c r="D392" i="1" a="1"/>
  <c r="D392" i="1" s="1"/>
  <c r="AB392" i="1" s="1"/>
  <c r="D391" i="1" a="1"/>
  <c r="D391" i="1" s="1"/>
  <c r="AB391" i="1" s="1"/>
  <c r="D390" i="1" a="1"/>
  <c r="D390" i="1" s="1"/>
  <c r="AB390" i="1" s="1"/>
  <c r="D389" i="1" a="1"/>
  <c r="D389" i="1" s="1"/>
  <c r="AB389" i="1" s="1"/>
  <c r="D388" i="1" a="1"/>
  <c r="D388" i="1" s="1"/>
  <c r="AB388" i="1" s="1"/>
  <c r="D387" i="1" a="1"/>
  <c r="D387" i="1" s="1"/>
  <c r="AB387" i="1" s="1"/>
  <c r="D386" i="1" a="1"/>
  <c r="D386" i="1" s="1"/>
  <c r="AB386" i="1" s="1"/>
  <c r="D385" i="1" a="1"/>
  <c r="D385" i="1" s="1"/>
  <c r="AB385" i="1" s="1"/>
  <c r="D384" i="1" a="1"/>
  <c r="D384" i="1" s="1"/>
  <c r="AB384" i="1" s="1"/>
  <c r="D383" i="1" a="1"/>
  <c r="D383" i="1" s="1"/>
  <c r="AB383" i="1" s="1"/>
  <c r="D382" i="1" a="1"/>
  <c r="D382" i="1" s="1"/>
  <c r="AB382" i="1" s="1"/>
  <c r="D381" i="1" a="1"/>
  <c r="D381" i="1" s="1"/>
  <c r="AB381" i="1" s="1"/>
  <c r="D380" i="1" a="1"/>
  <c r="D380" i="1" s="1"/>
  <c r="AB380" i="1" s="1"/>
  <c r="D379" i="1" a="1"/>
  <c r="D379" i="1" s="1"/>
  <c r="AB379" i="1" s="1"/>
  <c r="D378" i="1" a="1"/>
  <c r="D378" i="1" s="1"/>
  <c r="AB378" i="1" s="1"/>
  <c r="D377" i="1" a="1"/>
  <c r="D377" i="1" s="1"/>
  <c r="AB377" i="1" s="1"/>
  <c r="D376" i="1" a="1"/>
  <c r="D376" i="1" s="1"/>
  <c r="AB376" i="1" s="1"/>
  <c r="D375" i="1" a="1"/>
  <c r="D375" i="1" s="1"/>
  <c r="AB375" i="1" s="1"/>
  <c r="D374" i="1" a="1"/>
  <c r="D374" i="1" s="1"/>
  <c r="AB374" i="1" s="1"/>
  <c r="D373" i="1" a="1"/>
  <c r="D373" i="1" s="1"/>
  <c r="AB373" i="1" s="1"/>
  <c r="D372" i="1" a="1"/>
  <c r="D372" i="1" s="1"/>
  <c r="AB372" i="1" s="1"/>
  <c r="D371" i="1" a="1"/>
  <c r="D371" i="1" s="1"/>
  <c r="AB371" i="1" s="1"/>
  <c r="D370" i="1" a="1"/>
  <c r="D370" i="1" s="1"/>
  <c r="AB370" i="1" s="1"/>
  <c r="D369" i="1" a="1"/>
  <c r="D369" i="1" s="1"/>
  <c r="AB369" i="1" s="1"/>
  <c r="D368" i="1" a="1"/>
  <c r="D368" i="1" s="1"/>
  <c r="AB368" i="1" s="1"/>
  <c r="D367" i="1" a="1"/>
  <c r="D367" i="1" s="1"/>
  <c r="AB367" i="1" s="1"/>
  <c r="D366" i="1" a="1"/>
  <c r="D366" i="1" s="1"/>
  <c r="AB366" i="1" s="1"/>
  <c r="D365" i="1" a="1"/>
  <c r="D365" i="1" s="1"/>
  <c r="AB365" i="1" s="1"/>
  <c r="D364" i="1" a="1"/>
  <c r="D364" i="1" s="1"/>
  <c r="AB364" i="1" s="1"/>
  <c r="D363" i="1" a="1"/>
  <c r="D363" i="1" s="1"/>
  <c r="AB363" i="1" s="1"/>
  <c r="D362" i="1" a="1"/>
  <c r="D362" i="1" s="1"/>
  <c r="AB362" i="1" s="1"/>
  <c r="D361" i="1" a="1"/>
  <c r="D361" i="1" s="1"/>
  <c r="AB361" i="1" s="1"/>
  <c r="D360" i="1" a="1"/>
  <c r="D360" i="1" s="1"/>
  <c r="AB360" i="1" s="1"/>
  <c r="D359" i="1" a="1"/>
  <c r="D359" i="1" s="1"/>
  <c r="AB359" i="1" s="1"/>
  <c r="D358" i="1" a="1"/>
  <c r="D358" i="1" s="1"/>
  <c r="AB358" i="1" s="1"/>
  <c r="D357" i="1" a="1"/>
  <c r="D357" i="1" s="1"/>
  <c r="AB357" i="1" s="1"/>
  <c r="D356" i="1" a="1"/>
  <c r="D356" i="1" s="1"/>
  <c r="AB356" i="1" s="1"/>
  <c r="D355" i="1" a="1"/>
  <c r="D355" i="1" s="1"/>
  <c r="AB355" i="1" s="1"/>
  <c r="D354" i="1" a="1"/>
  <c r="D354" i="1" s="1"/>
  <c r="AB354" i="1" s="1"/>
  <c r="D353" i="1" a="1"/>
  <c r="D353" i="1" s="1"/>
  <c r="AB353" i="1" s="1"/>
  <c r="D352" i="1" a="1"/>
  <c r="D352" i="1" s="1"/>
  <c r="AB352" i="1" s="1"/>
  <c r="D351" i="1" a="1"/>
  <c r="D351" i="1" s="1"/>
  <c r="AB351" i="1" s="1"/>
  <c r="D350" i="1" a="1"/>
  <c r="D350" i="1" s="1"/>
  <c r="AB350" i="1" s="1"/>
  <c r="D349" i="1" a="1"/>
  <c r="D349" i="1" s="1"/>
  <c r="AB349" i="1" s="1"/>
  <c r="D348" i="1" a="1"/>
  <c r="D348" i="1" s="1"/>
  <c r="AB348" i="1" s="1"/>
  <c r="D347" i="1" a="1"/>
  <c r="D347" i="1" s="1"/>
  <c r="AB347" i="1" s="1"/>
  <c r="D346" i="1" a="1"/>
  <c r="D346" i="1" s="1"/>
  <c r="AB346" i="1" s="1"/>
  <c r="D345" i="1" a="1"/>
  <c r="D345" i="1" s="1"/>
  <c r="AB345" i="1" s="1"/>
  <c r="D344" i="1" a="1"/>
  <c r="D344" i="1" s="1"/>
  <c r="AB344" i="1" s="1"/>
  <c r="D343" i="1" a="1"/>
  <c r="D343" i="1" s="1"/>
  <c r="AB343" i="1" s="1"/>
  <c r="D342" i="1" a="1"/>
  <c r="D342" i="1" s="1"/>
  <c r="AB342" i="1" s="1"/>
  <c r="D341" i="1" a="1"/>
  <c r="D341" i="1" s="1"/>
  <c r="AB341" i="1" s="1"/>
  <c r="D340" i="1" a="1"/>
  <c r="D340" i="1" s="1"/>
  <c r="AB340" i="1" s="1"/>
  <c r="D339" i="1" a="1"/>
  <c r="D339" i="1" s="1"/>
  <c r="AB339" i="1" s="1"/>
  <c r="D338" i="1" a="1"/>
  <c r="D338" i="1" s="1"/>
  <c r="AB338" i="1" s="1"/>
  <c r="D337" i="1" a="1"/>
  <c r="D337" i="1" s="1"/>
  <c r="AB337" i="1" s="1"/>
  <c r="D336" i="1" a="1"/>
  <c r="D336" i="1" s="1"/>
  <c r="AB336" i="1" s="1"/>
  <c r="D335" i="1" a="1"/>
  <c r="D335" i="1" s="1"/>
  <c r="AB335" i="1" s="1"/>
  <c r="D334" i="1" a="1"/>
  <c r="D334" i="1" s="1"/>
  <c r="AB334" i="1" s="1"/>
  <c r="D333" i="1" a="1"/>
  <c r="D333" i="1" s="1"/>
  <c r="AB333" i="1" s="1"/>
  <c r="D332" i="1" a="1"/>
  <c r="D332" i="1" s="1"/>
  <c r="AB332" i="1" s="1"/>
  <c r="D331" i="1" a="1"/>
  <c r="D331" i="1" s="1"/>
  <c r="AB331" i="1" s="1"/>
  <c r="D330" i="1" a="1"/>
  <c r="D330" i="1" s="1"/>
  <c r="AB330" i="1" s="1"/>
  <c r="D329" i="1" a="1"/>
  <c r="D329" i="1" s="1"/>
  <c r="AB329" i="1" s="1"/>
  <c r="D328" i="1" a="1"/>
  <c r="D328" i="1" s="1"/>
  <c r="AB328" i="1" s="1"/>
  <c r="D327" i="1" a="1"/>
  <c r="D327" i="1" s="1"/>
  <c r="AB327" i="1" s="1"/>
  <c r="D326" i="1" a="1"/>
  <c r="D326" i="1" s="1"/>
  <c r="AB326" i="1" s="1"/>
  <c r="D325" i="1" a="1"/>
  <c r="D325" i="1" s="1"/>
  <c r="AB325" i="1" s="1"/>
  <c r="D324" i="1" a="1"/>
  <c r="D324" i="1" s="1"/>
  <c r="AB324" i="1" s="1"/>
  <c r="D323" i="1" a="1"/>
  <c r="D323" i="1" s="1"/>
  <c r="AB323" i="1" s="1"/>
  <c r="D322" i="1" a="1"/>
  <c r="D322" i="1" s="1"/>
  <c r="AB322" i="1" s="1"/>
  <c r="D321" i="1" a="1"/>
  <c r="D321" i="1" s="1"/>
  <c r="AB321" i="1" s="1"/>
  <c r="D320" i="1" a="1"/>
  <c r="D320" i="1" s="1"/>
  <c r="AB320" i="1" s="1"/>
  <c r="D319" i="1" a="1"/>
  <c r="D319" i="1" s="1"/>
  <c r="AB319" i="1" s="1"/>
  <c r="D318" i="1" a="1"/>
  <c r="D318" i="1" s="1"/>
  <c r="AB318" i="1" s="1"/>
  <c r="D317" i="1" a="1"/>
  <c r="D317" i="1" s="1"/>
  <c r="AB317" i="1" s="1"/>
  <c r="D316" i="1" a="1"/>
  <c r="D316" i="1" s="1"/>
  <c r="AB316" i="1" s="1"/>
  <c r="D315" i="1" a="1"/>
  <c r="D315" i="1" s="1"/>
  <c r="AB315" i="1" s="1"/>
  <c r="D314" i="1" a="1"/>
  <c r="D314" i="1" s="1"/>
  <c r="AB314" i="1" s="1"/>
  <c r="D313" i="1" a="1"/>
  <c r="D313" i="1" s="1"/>
  <c r="AB313" i="1" s="1"/>
  <c r="D312" i="1" a="1"/>
  <c r="D312" i="1" s="1"/>
  <c r="AB312" i="1" s="1"/>
  <c r="D311" i="1" a="1"/>
  <c r="D311" i="1" s="1"/>
  <c r="AB311" i="1" s="1"/>
  <c r="D310" i="1" a="1"/>
  <c r="D310" i="1" s="1"/>
  <c r="AB310" i="1" s="1"/>
  <c r="D309" i="1" a="1"/>
  <c r="D309" i="1" s="1"/>
  <c r="AB309" i="1" s="1"/>
  <c r="D308" i="1" a="1"/>
  <c r="D308" i="1" s="1"/>
  <c r="AB308" i="1" s="1"/>
  <c r="D307" i="1" a="1"/>
  <c r="D307" i="1" s="1"/>
  <c r="AB307" i="1" s="1"/>
  <c r="D306" i="1" a="1"/>
  <c r="D306" i="1" s="1"/>
  <c r="AB306" i="1" s="1"/>
  <c r="D305" i="1" a="1"/>
  <c r="D305" i="1" s="1"/>
  <c r="AB305" i="1" s="1"/>
  <c r="D304" i="1" a="1"/>
  <c r="D304" i="1" s="1"/>
  <c r="AB304" i="1" s="1"/>
  <c r="D303" i="1" a="1"/>
  <c r="D303" i="1" s="1"/>
  <c r="AB303" i="1" s="1"/>
  <c r="D302" i="1" a="1"/>
  <c r="D302" i="1" s="1"/>
  <c r="AB302" i="1" s="1"/>
  <c r="D301" i="1" a="1"/>
  <c r="D301" i="1" s="1"/>
  <c r="AB301" i="1" s="1"/>
  <c r="D300" i="1" a="1"/>
  <c r="D300" i="1" s="1"/>
  <c r="AB300" i="1" s="1"/>
  <c r="D299" i="1" a="1"/>
  <c r="D299" i="1" s="1"/>
  <c r="AB299" i="1" s="1"/>
  <c r="D298" i="1" a="1"/>
  <c r="D298" i="1" s="1"/>
  <c r="AB298" i="1" s="1"/>
  <c r="D297" i="1" a="1"/>
  <c r="D297" i="1" s="1"/>
  <c r="AB297" i="1" s="1"/>
  <c r="D296" i="1" a="1"/>
  <c r="D296" i="1" s="1"/>
  <c r="AB296" i="1" s="1"/>
  <c r="D295" i="1" a="1"/>
  <c r="D295" i="1" s="1"/>
  <c r="AB295" i="1" s="1"/>
  <c r="D294" i="1" a="1"/>
  <c r="D294" i="1" s="1"/>
  <c r="AB294" i="1" s="1"/>
  <c r="D293" i="1" a="1"/>
  <c r="D293" i="1" s="1"/>
  <c r="AB293" i="1" s="1"/>
  <c r="D292" i="1" a="1"/>
  <c r="D292" i="1" s="1"/>
  <c r="AB292" i="1" s="1"/>
  <c r="D291" i="1" a="1"/>
  <c r="D291" i="1" s="1"/>
  <c r="AB291" i="1" s="1"/>
  <c r="D290" i="1" a="1"/>
  <c r="D290" i="1" s="1"/>
  <c r="AB290" i="1" s="1"/>
  <c r="D289" i="1" a="1"/>
  <c r="D289" i="1" s="1"/>
  <c r="AB289" i="1" s="1"/>
  <c r="D288" i="1" a="1"/>
  <c r="D288" i="1" s="1"/>
  <c r="AB288" i="1" s="1"/>
  <c r="D287" i="1" a="1"/>
  <c r="D287" i="1" s="1"/>
  <c r="AB287" i="1" s="1"/>
  <c r="D286" i="1" a="1"/>
  <c r="D286" i="1" s="1"/>
  <c r="AB286" i="1" s="1"/>
  <c r="D285" i="1" a="1"/>
  <c r="D285" i="1" s="1"/>
  <c r="AB285" i="1" s="1"/>
  <c r="D284" i="1" a="1"/>
  <c r="D284" i="1" s="1"/>
  <c r="AB284" i="1" s="1"/>
  <c r="D283" i="1" a="1"/>
  <c r="D283" i="1" s="1"/>
  <c r="AB283" i="1" s="1"/>
  <c r="D282" i="1" a="1"/>
  <c r="D282" i="1" s="1"/>
  <c r="AB282" i="1" s="1"/>
  <c r="D281" i="1" a="1"/>
  <c r="D281" i="1" s="1"/>
  <c r="AB281" i="1" s="1"/>
  <c r="D280" i="1" a="1"/>
  <c r="D280" i="1" s="1"/>
  <c r="AB280" i="1" s="1"/>
  <c r="D279" i="1" a="1"/>
  <c r="D279" i="1" s="1"/>
  <c r="AB279" i="1" s="1"/>
  <c r="D278" i="1" a="1"/>
  <c r="D278" i="1" s="1"/>
  <c r="AB278" i="1" s="1"/>
  <c r="D277" i="1" a="1"/>
  <c r="D277" i="1" s="1"/>
  <c r="AB277" i="1" s="1"/>
  <c r="D276" i="1" a="1"/>
  <c r="D276" i="1" s="1"/>
  <c r="AB276" i="1" s="1"/>
  <c r="D275" i="1" a="1"/>
  <c r="D275" i="1" s="1"/>
  <c r="AB275" i="1" s="1"/>
  <c r="D274" i="1" a="1"/>
  <c r="D274" i="1" s="1"/>
  <c r="AB274" i="1" s="1"/>
  <c r="D273" i="1" a="1"/>
  <c r="D273" i="1" s="1"/>
  <c r="AB273" i="1" s="1"/>
  <c r="D272" i="1" a="1"/>
  <c r="D272" i="1" s="1"/>
  <c r="AB272" i="1" s="1"/>
  <c r="D271" i="1" a="1"/>
  <c r="D271" i="1" s="1"/>
  <c r="AB271" i="1" s="1"/>
  <c r="D270" i="1" a="1"/>
  <c r="D270" i="1" s="1"/>
  <c r="AB270" i="1" s="1"/>
  <c r="D269" i="1" a="1"/>
  <c r="D269" i="1" s="1"/>
  <c r="AB269" i="1" s="1"/>
  <c r="D268" i="1" a="1"/>
  <c r="D268" i="1" s="1"/>
  <c r="AB268" i="1" s="1"/>
  <c r="D267" i="1" a="1"/>
  <c r="D267" i="1" s="1"/>
  <c r="AB267" i="1" s="1"/>
  <c r="D266" i="1" a="1"/>
  <c r="D266" i="1" s="1"/>
  <c r="AB266" i="1" s="1"/>
  <c r="D265" i="1" a="1"/>
  <c r="D265" i="1" s="1"/>
  <c r="AB265" i="1" s="1"/>
  <c r="D264" i="1" a="1"/>
  <c r="D264" i="1" s="1"/>
  <c r="AB264" i="1" s="1"/>
  <c r="D263" i="1" a="1"/>
  <c r="D263" i="1" s="1"/>
  <c r="AB263" i="1" s="1"/>
  <c r="D262" i="1" a="1"/>
  <c r="D262" i="1" s="1"/>
  <c r="AB262" i="1" s="1"/>
  <c r="D261" i="1" a="1"/>
  <c r="D261" i="1" s="1"/>
  <c r="AB261" i="1" s="1"/>
  <c r="D260" i="1" a="1"/>
  <c r="D260" i="1" s="1"/>
  <c r="AB260" i="1" s="1"/>
  <c r="D259" i="1" a="1"/>
  <c r="D259" i="1" s="1"/>
  <c r="AB259" i="1" s="1"/>
  <c r="D258" i="1" a="1"/>
  <c r="D258" i="1" s="1"/>
  <c r="AB258" i="1" s="1"/>
  <c r="D257" i="1" a="1"/>
  <c r="D257" i="1" s="1"/>
  <c r="AB257" i="1" s="1"/>
  <c r="D256" i="1" a="1"/>
  <c r="D256" i="1" s="1"/>
  <c r="AB256" i="1" s="1"/>
  <c r="D255" i="1" a="1"/>
  <c r="D255" i="1" s="1"/>
  <c r="AB255" i="1" s="1"/>
  <c r="D254" i="1" a="1"/>
  <c r="D254" i="1" s="1"/>
  <c r="AB254" i="1" s="1"/>
  <c r="D253" i="1" a="1"/>
  <c r="D253" i="1" s="1"/>
  <c r="AB253" i="1" s="1"/>
  <c r="D252" i="1" a="1"/>
  <c r="D252" i="1" s="1"/>
  <c r="AB252" i="1" s="1"/>
  <c r="D251" i="1" a="1"/>
  <c r="D251" i="1" s="1"/>
  <c r="AB251" i="1" s="1"/>
  <c r="D250" i="1" a="1"/>
  <c r="D250" i="1" s="1"/>
  <c r="AB250" i="1" s="1"/>
  <c r="D249" i="1" a="1"/>
  <c r="D249" i="1" s="1"/>
  <c r="AB249" i="1" s="1"/>
  <c r="D248" i="1" a="1"/>
  <c r="D248" i="1" s="1"/>
  <c r="AB248" i="1" s="1"/>
  <c r="D247" i="1" a="1"/>
  <c r="D247" i="1" s="1"/>
  <c r="AB247" i="1" s="1"/>
  <c r="D246" i="1" a="1"/>
  <c r="D246" i="1" s="1"/>
  <c r="AB246" i="1" s="1"/>
  <c r="D245" i="1" a="1"/>
  <c r="D245" i="1" s="1"/>
  <c r="AB245" i="1" s="1"/>
  <c r="D244" i="1" a="1"/>
  <c r="D244" i="1" s="1"/>
  <c r="AB244" i="1" s="1"/>
  <c r="D243" i="1" a="1"/>
  <c r="D243" i="1" s="1"/>
  <c r="AB243" i="1" s="1"/>
  <c r="D242" i="1" a="1"/>
  <c r="D242" i="1" s="1"/>
  <c r="AB242" i="1" s="1"/>
  <c r="D241" i="1" a="1"/>
  <c r="D241" i="1" s="1"/>
  <c r="AB241" i="1" s="1"/>
  <c r="D240" i="1" a="1"/>
  <c r="D240" i="1" s="1"/>
  <c r="AB240" i="1" s="1"/>
  <c r="D239" i="1" a="1"/>
  <c r="D239" i="1" s="1"/>
  <c r="AB239" i="1" s="1"/>
  <c r="D238" i="1" a="1"/>
  <c r="D238" i="1" s="1"/>
  <c r="AB238" i="1" s="1"/>
  <c r="D237" i="1" a="1"/>
  <c r="D237" i="1" s="1"/>
  <c r="AB237" i="1" s="1"/>
  <c r="D236" i="1" a="1"/>
  <c r="D236" i="1" s="1"/>
  <c r="AB236" i="1" s="1"/>
  <c r="D235" i="1" a="1"/>
  <c r="D235" i="1" s="1"/>
  <c r="AB235" i="1" s="1"/>
  <c r="D234" i="1" a="1"/>
  <c r="D234" i="1" s="1"/>
  <c r="AB234" i="1" s="1"/>
  <c r="D233" i="1" a="1"/>
  <c r="D233" i="1" s="1"/>
  <c r="AB233" i="1" s="1"/>
  <c r="D232" i="1" a="1"/>
  <c r="D232" i="1" s="1"/>
  <c r="AB232" i="1" s="1"/>
  <c r="D231" i="1" a="1"/>
  <c r="D231" i="1" s="1"/>
  <c r="AB231" i="1" s="1"/>
  <c r="D230" i="1" a="1"/>
  <c r="D230" i="1" s="1"/>
  <c r="AB230" i="1" s="1"/>
  <c r="D229" i="1" a="1"/>
  <c r="D229" i="1" s="1"/>
  <c r="AB229" i="1" s="1"/>
  <c r="D228" i="1" a="1"/>
  <c r="D228" i="1" s="1"/>
  <c r="AB228" i="1" s="1"/>
  <c r="D227" i="1" a="1"/>
  <c r="D227" i="1" s="1"/>
  <c r="AB227" i="1" s="1"/>
  <c r="D226" i="1" a="1"/>
  <c r="D226" i="1" s="1"/>
  <c r="AB226" i="1" s="1"/>
  <c r="D225" i="1" a="1"/>
  <c r="D225" i="1" s="1"/>
  <c r="AB225" i="1" s="1"/>
  <c r="D224" i="1" a="1"/>
  <c r="D224" i="1" s="1"/>
  <c r="AB224" i="1" s="1"/>
  <c r="D223" i="1" a="1"/>
  <c r="D223" i="1" s="1"/>
  <c r="AB223" i="1" s="1"/>
  <c r="D222" i="1" a="1"/>
  <c r="D222" i="1" s="1"/>
  <c r="AB222" i="1" s="1"/>
  <c r="D221" i="1" a="1"/>
  <c r="D221" i="1" s="1"/>
  <c r="AB221" i="1" s="1"/>
  <c r="D220" i="1" a="1"/>
  <c r="D220" i="1" s="1"/>
  <c r="AB220" i="1" s="1"/>
  <c r="D219" i="1" a="1"/>
  <c r="D219" i="1" s="1"/>
  <c r="AB219" i="1" s="1"/>
  <c r="D218" i="1" a="1"/>
  <c r="D218" i="1" s="1"/>
  <c r="AB218" i="1" s="1"/>
  <c r="D217" i="1" a="1"/>
  <c r="D217" i="1" s="1"/>
  <c r="AB217" i="1" s="1"/>
  <c r="D216" i="1" a="1"/>
  <c r="D216" i="1" s="1"/>
  <c r="AB216" i="1" s="1"/>
  <c r="D215" i="1" a="1"/>
  <c r="D215" i="1" s="1"/>
  <c r="AB215" i="1" s="1"/>
  <c r="D214" i="1" a="1"/>
  <c r="D214" i="1" s="1"/>
  <c r="AB214" i="1" s="1"/>
  <c r="D213" i="1" a="1"/>
  <c r="D213" i="1" s="1"/>
  <c r="AB213" i="1" s="1"/>
  <c r="D212" i="1" a="1"/>
  <c r="D212" i="1" s="1"/>
  <c r="AB212" i="1" s="1"/>
  <c r="D211" i="1" a="1"/>
  <c r="D211" i="1" s="1"/>
  <c r="AB211" i="1" s="1"/>
  <c r="D210" i="1" a="1"/>
  <c r="D210" i="1" s="1"/>
  <c r="AB210" i="1" s="1"/>
  <c r="D209" i="1" a="1"/>
  <c r="D209" i="1" s="1"/>
  <c r="AB209" i="1" s="1"/>
  <c r="D208" i="1" a="1"/>
  <c r="D208" i="1" s="1"/>
  <c r="AB208" i="1" s="1"/>
  <c r="D207" i="1" a="1"/>
  <c r="D207" i="1" s="1"/>
  <c r="AB207" i="1" s="1"/>
  <c r="D206" i="1" a="1"/>
  <c r="D206" i="1" s="1"/>
  <c r="AB206" i="1" s="1"/>
  <c r="D205" i="1" a="1"/>
  <c r="D205" i="1" s="1"/>
  <c r="AB205" i="1" s="1"/>
  <c r="D204" i="1" a="1"/>
  <c r="D204" i="1" s="1"/>
  <c r="AB204" i="1" s="1"/>
  <c r="D203" i="1" a="1"/>
  <c r="D203" i="1" s="1"/>
  <c r="AB203" i="1" s="1"/>
  <c r="D202" i="1" a="1"/>
  <c r="D202" i="1" s="1"/>
  <c r="AB202" i="1" s="1"/>
  <c r="D201" i="1" a="1"/>
  <c r="D201" i="1" s="1"/>
  <c r="AB201" i="1" s="1"/>
  <c r="D200" i="1" a="1"/>
  <c r="D200" i="1" s="1"/>
  <c r="AB200" i="1" s="1"/>
  <c r="D199" i="1" a="1"/>
  <c r="D199" i="1" s="1"/>
  <c r="AB199" i="1" s="1"/>
  <c r="D198" i="1" a="1"/>
  <c r="D198" i="1" s="1"/>
  <c r="AB198" i="1" s="1"/>
  <c r="D197" i="1" a="1"/>
  <c r="D197" i="1" s="1"/>
  <c r="AB197" i="1" s="1"/>
  <c r="D196" i="1" a="1"/>
  <c r="D196" i="1" s="1"/>
  <c r="AB196" i="1" s="1"/>
  <c r="D195" i="1" a="1"/>
  <c r="D195" i="1" s="1"/>
  <c r="AB195" i="1" s="1"/>
  <c r="D194" i="1" a="1"/>
  <c r="D194" i="1" s="1"/>
  <c r="AB194" i="1" s="1"/>
  <c r="D193" i="1" a="1"/>
  <c r="D193" i="1" s="1"/>
  <c r="AB193" i="1" s="1"/>
  <c r="D192" i="1" a="1"/>
  <c r="D192" i="1" s="1"/>
  <c r="AB192" i="1" s="1"/>
  <c r="D191" i="1" a="1"/>
  <c r="D191" i="1" s="1"/>
  <c r="AB191" i="1" s="1"/>
  <c r="D190" i="1" a="1"/>
  <c r="D190" i="1" s="1"/>
  <c r="AB190" i="1" s="1"/>
  <c r="D189" i="1" a="1"/>
  <c r="D189" i="1" s="1"/>
  <c r="AB189" i="1" s="1"/>
  <c r="D188" i="1" a="1"/>
  <c r="D188" i="1" s="1"/>
  <c r="AB188" i="1" s="1"/>
  <c r="D187" i="1" a="1"/>
  <c r="D187" i="1" s="1"/>
  <c r="AB187" i="1" s="1"/>
  <c r="D186" i="1" a="1"/>
  <c r="D186" i="1" s="1"/>
  <c r="AB186" i="1" s="1"/>
  <c r="D185" i="1" a="1"/>
  <c r="D185" i="1" s="1"/>
  <c r="AB185" i="1" s="1"/>
  <c r="D184" i="1" a="1"/>
  <c r="D184" i="1" s="1"/>
  <c r="AB184" i="1" s="1"/>
  <c r="D183" i="1" a="1"/>
  <c r="D183" i="1" s="1"/>
  <c r="AB183" i="1" s="1"/>
  <c r="D182" i="1" a="1"/>
  <c r="D182" i="1" s="1"/>
  <c r="AB182" i="1" s="1"/>
  <c r="D181" i="1" a="1"/>
  <c r="D181" i="1" s="1"/>
  <c r="AB181" i="1" s="1"/>
  <c r="D180" i="1" a="1"/>
  <c r="D180" i="1" s="1"/>
  <c r="AB180" i="1" s="1"/>
  <c r="D179" i="1" a="1"/>
  <c r="D179" i="1" s="1"/>
  <c r="AB179" i="1" s="1"/>
  <c r="D178" i="1" a="1"/>
  <c r="D178" i="1" s="1"/>
  <c r="AB178" i="1" s="1"/>
  <c r="D177" i="1" a="1"/>
  <c r="D177" i="1" s="1"/>
  <c r="AB177" i="1" s="1"/>
  <c r="D176" i="1" a="1"/>
  <c r="D176" i="1" s="1"/>
  <c r="AB176" i="1" s="1"/>
  <c r="D175" i="1" a="1"/>
  <c r="D175" i="1" s="1"/>
  <c r="AB175" i="1" s="1"/>
  <c r="D174" i="1" a="1"/>
  <c r="D174" i="1" s="1"/>
  <c r="AB174" i="1" s="1"/>
  <c r="D173" i="1" a="1"/>
  <c r="D173" i="1" s="1"/>
  <c r="AB173" i="1" s="1"/>
  <c r="D172" i="1" a="1"/>
  <c r="D172" i="1" s="1"/>
  <c r="AB172" i="1" s="1"/>
  <c r="D171" i="1" a="1"/>
  <c r="D171" i="1" s="1"/>
  <c r="AB171" i="1" s="1"/>
  <c r="D170" i="1" a="1"/>
  <c r="D170" i="1" s="1"/>
  <c r="AB170" i="1" s="1"/>
  <c r="D169" i="1" a="1"/>
  <c r="D169" i="1" s="1"/>
  <c r="AB169" i="1" s="1"/>
  <c r="D168" i="1" a="1"/>
  <c r="D168" i="1" s="1"/>
  <c r="AB168" i="1" s="1"/>
  <c r="D167" i="1" a="1"/>
  <c r="D167" i="1" s="1"/>
  <c r="AB167" i="1" s="1"/>
  <c r="D166" i="1" a="1"/>
  <c r="D166" i="1" s="1"/>
  <c r="AB166" i="1" s="1"/>
  <c r="D165" i="1" a="1"/>
  <c r="D165" i="1" s="1"/>
  <c r="AB165" i="1" s="1"/>
  <c r="D164" i="1" a="1"/>
  <c r="D164" i="1" s="1"/>
  <c r="AB164" i="1" s="1"/>
  <c r="D163" i="1" a="1"/>
  <c r="D163" i="1" s="1"/>
  <c r="AB163" i="1" s="1"/>
  <c r="D162" i="1" a="1"/>
  <c r="D162" i="1" s="1"/>
  <c r="AB162" i="1" s="1"/>
  <c r="D161" i="1" a="1"/>
  <c r="D161" i="1" s="1"/>
  <c r="AB161" i="1" s="1"/>
  <c r="D160" i="1" a="1"/>
  <c r="D160" i="1" s="1"/>
  <c r="AB160" i="1" s="1"/>
  <c r="D159" i="1" a="1"/>
  <c r="D159" i="1" s="1"/>
  <c r="AB159" i="1" s="1"/>
  <c r="D158" i="1" a="1"/>
  <c r="D158" i="1" s="1"/>
  <c r="AB158" i="1" s="1"/>
  <c r="D157" i="1" a="1"/>
  <c r="D157" i="1" s="1"/>
  <c r="AB157" i="1" s="1"/>
  <c r="D156" i="1" a="1"/>
  <c r="D156" i="1" s="1"/>
  <c r="AB156" i="1" s="1"/>
  <c r="D155" i="1" a="1"/>
  <c r="D155" i="1" s="1"/>
  <c r="AB155" i="1" s="1"/>
  <c r="D154" i="1" a="1"/>
  <c r="D154" i="1" s="1"/>
  <c r="AB154" i="1" s="1"/>
  <c r="D153" i="1" a="1"/>
  <c r="D153" i="1" s="1"/>
  <c r="AB153" i="1" s="1"/>
  <c r="D152" i="1" a="1"/>
  <c r="D152" i="1" s="1"/>
  <c r="AB152" i="1" s="1"/>
  <c r="D151" i="1" a="1"/>
  <c r="D151" i="1" s="1"/>
  <c r="AB151" i="1" s="1"/>
  <c r="D150" i="1" a="1"/>
  <c r="D150" i="1" s="1"/>
  <c r="AB150" i="1" s="1"/>
  <c r="D149" i="1" a="1"/>
  <c r="D149" i="1" s="1"/>
  <c r="AB149" i="1" s="1"/>
  <c r="D148" i="1" a="1"/>
  <c r="D148" i="1" s="1"/>
  <c r="AB148" i="1" s="1"/>
  <c r="D147" i="1" a="1"/>
  <c r="D147" i="1" s="1"/>
  <c r="AB147" i="1" s="1"/>
  <c r="D146" i="1" a="1"/>
  <c r="D146" i="1" s="1"/>
  <c r="AB146" i="1" s="1"/>
  <c r="D145" i="1" a="1"/>
  <c r="D145" i="1" s="1"/>
  <c r="AB145" i="1" s="1"/>
  <c r="D144" i="1" a="1"/>
  <c r="D144" i="1" s="1"/>
  <c r="AB144" i="1" s="1"/>
  <c r="D143" i="1" a="1"/>
  <c r="D143" i="1" s="1"/>
  <c r="AB143" i="1" s="1"/>
  <c r="D142" i="1" a="1"/>
  <c r="D142" i="1" s="1"/>
  <c r="AB142" i="1" s="1"/>
  <c r="D141" i="1" a="1"/>
  <c r="D141" i="1" s="1"/>
  <c r="AB141" i="1" s="1"/>
  <c r="D140" i="1" a="1"/>
  <c r="D140" i="1" s="1"/>
  <c r="AB140" i="1" s="1"/>
  <c r="D139" i="1" a="1"/>
  <c r="D139" i="1" s="1"/>
  <c r="AB139" i="1" s="1"/>
  <c r="D138" i="1" a="1"/>
  <c r="D138" i="1" s="1"/>
  <c r="AB138" i="1" s="1"/>
  <c r="D137" i="1" a="1"/>
  <c r="D137" i="1" s="1"/>
  <c r="AB137" i="1" s="1"/>
  <c r="D136" i="1" a="1"/>
  <c r="D136" i="1" s="1"/>
  <c r="AB136" i="1" s="1"/>
  <c r="D135" i="1" a="1"/>
  <c r="D135" i="1" s="1"/>
  <c r="AB135" i="1" s="1"/>
  <c r="D134" i="1" a="1"/>
  <c r="D134" i="1" s="1"/>
  <c r="AB134" i="1" s="1"/>
  <c r="D133" i="1" a="1"/>
  <c r="D133" i="1" s="1"/>
  <c r="AB133" i="1" s="1"/>
  <c r="D132" i="1" a="1"/>
  <c r="D132" i="1" s="1"/>
  <c r="AB132" i="1" s="1"/>
  <c r="D131" i="1" a="1"/>
  <c r="D131" i="1" s="1"/>
  <c r="AB131" i="1" s="1"/>
  <c r="D130" i="1" a="1"/>
  <c r="D130" i="1" s="1"/>
  <c r="AB130" i="1" s="1"/>
  <c r="D129" i="1" a="1"/>
  <c r="D129" i="1" s="1"/>
  <c r="AB129" i="1" s="1"/>
  <c r="D128" i="1" a="1"/>
  <c r="D128" i="1" s="1"/>
  <c r="AB128" i="1" s="1"/>
  <c r="D127" i="1" a="1"/>
  <c r="D127" i="1" s="1"/>
  <c r="AB127" i="1" s="1"/>
  <c r="D126" i="1" a="1"/>
  <c r="D126" i="1" s="1"/>
  <c r="AB126" i="1" s="1"/>
  <c r="D125" i="1" a="1"/>
  <c r="D125" i="1" s="1"/>
  <c r="AB125" i="1" s="1"/>
  <c r="D124" i="1" a="1"/>
  <c r="D124" i="1" s="1"/>
  <c r="AB124" i="1" s="1"/>
  <c r="D123" i="1" a="1"/>
  <c r="D123" i="1" s="1"/>
  <c r="AB123" i="1" s="1"/>
  <c r="D122" i="1" a="1"/>
  <c r="D122" i="1" s="1"/>
  <c r="AB122" i="1" s="1"/>
  <c r="D121" i="1" a="1"/>
  <c r="D121" i="1" s="1"/>
  <c r="AB121" i="1" s="1"/>
  <c r="D120" i="1" a="1"/>
  <c r="D120" i="1" s="1"/>
  <c r="AB120" i="1" s="1"/>
  <c r="D119" i="1" a="1"/>
  <c r="D119" i="1" s="1"/>
  <c r="AB119" i="1" s="1"/>
  <c r="D118" i="1" a="1"/>
  <c r="D118" i="1" s="1"/>
  <c r="AB118" i="1" s="1"/>
  <c r="D117" i="1" a="1"/>
  <c r="D117" i="1" s="1"/>
  <c r="AB117" i="1" s="1"/>
  <c r="D116" i="1" a="1"/>
  <c r="D116" i="1" s="1"/>
  <c r="AB116" i="1" s="1"/>
  <c r="D115" i="1" a="1"/>
  <c r="D115" i="1" s="1"/>
  <c r="AB115" i="1" s="1"/>
  <c r="D114" i="1" a="1"/>
  <c r="D114" i="1" s="1"/>
  <c r="AB114" i="1" s="1"/>
  <c r="D113" i="1" a="1"/>
  <c r="D113" i="1" s="1"/>
  <c r="AB113" i="1" s="1"/>
  <c r="D112" i="1" a="1"/>
  <c r="D112" i="1" s="1"/>
  <c r="AB112" i="1" s="1"/>
  <c r="D111" i="1" a="1"/>
  <c r="D111" i="1" s="1"/>
  <c r="AB111" i="1" s="1"/>
  <c r="D110" i="1" a="1"/>
  <c r="D110" i="1" s="1"/>
  <c r="AB110" i="1" s="1"/>
  <c r="D109" i="1" a="1"/>
  <c r="D109" i="1" s="1"/>
  <c r="AB109" i="1" s="1"/>
  <c r="D108" i="1" a="1"/>
  <c r="D108" i="1" s="1"/>
  <c r="AB108" i="1" s="1"/>
  <c r="D107" i="1" a="1"/>
  <c r="D107" i="1" s="1"/>
  <c r="AB107" i="1" s="1"/>
  <c r="D106" i="1" a="1"/>
  <c r="D106" i="1" s="1"/>
  <c r="AB106" i="1" s="1"/>
  <c r="D105" i="1" a="1"/>
  <c r="D105" i="1" s="1"/>
  <c r="AB105" i="1" s="1"/>
  <c r="D104" i="1" a="1"/>
  <c r="D104" i="1" s="1"/>
  <c r="AB104" i="1" s="1"/>
  <c r="D103" i="1" a="1"/>
  <c r="D103" i="1" s="1"/>
  <c r="AB103" i="1" s="1"/>
  <c r="D102" i="1" a="1"/>
  <c r="D102" i="1" s="1"/>
  <c r="AB102" i="1" s="1"/>
  <c r="D101" i="1" a="1"/>
  <c r="D101" i="1" s="1"/>
  <c r="AB101" i="1" s="1"/>
  <c r="D100" i="1" a="1"/>
  <c r="D100" i="1" s="1"/>
  <c r="AB100" i="1" s="1"/>
  <c r="D99" i="1" a="1"/>
  <c r="D99" i="1" s="1"/>
  <c r="AB99" i="1" s="1"/>
  <c r="D98" i="1" a="1"/>
  <c r="D98" i="1" s="1"/>
  <c r="AB98" i="1" s="1"/>
  <c r="D97" i="1" a="1"/>
  <c r="D97" i="1" s="1"/>
  <c r="AB97" i="1" s="1"/>
  <c r="D96" i="1" a="1"/>
  <c r="D96" i="1" s="1"/>
  <c r="AB96" i="1" s="1"/>
  <c r="D95" i="1" a="1"/>
  <c r="D95" i="1" s="1"/>
  <c r="AB95" i="1" s="1"/>
  <c r="D94" i="1" a="1"/>
  <c r="D94" i="1" s="1"/>
  <c r="AB94" i="1" s="1"/>
  <c r="D93" i="1" a="1"/>
  <c r="D93" i="1" s="1"/>
  <c r="AB93" i="1" s="1"/>
  <c r="D92" i="1" a="1"/>
  <c r="D92" i="1" s="1"/>
  <c r="AB92" i="1" s="1"/>
  <c r="D91" i="1" a="1"/>
  <c r="D91" i="1" s="1"/>
  <c r="AB91" i="1" s="1"/>
  <c r="D90" i="1" a="1"/>
  <c r="D90" i="1" s="1"/>
  <c r="AB90" i="1" s="1"/>
  <c r="D89" i="1" a="1"/>
  <c r="D89" i="1" s="1"/>
  <c r="AB89" i="1" s="1"/>
  <c r="D88" i="1" a="1"/>
  <c r="D88" i="1" s="1"/>
  <c r="AB88" i="1" s="1"/>
  <c r="D87" i="1" a="1"/>
  <c r="D87" i="1" s="1"/>
  <c r="AB87" i="1" s="1"/>
  <c r="D86" i="1" a="1"/>
  <c r="D86" i="1" s="1"/>
  <c r="AB86" i="1" s="1"/>
  <c r="D85" i="1" a="1"/>
  <c r="D85" i="1" s="1"/>
  <c r="AB85" i="1" s="1"/>
  <c r="D84" i="1" a="1"/>
  <c r="D84" i="1" s="1"/>
  <c r="AB84" i="1" s="1"/>
  <c r="D83" i="1" a="1"/>
  <c r="D83" i="1" s="1"/>
  <c r="AB83" i="1" s="1"/>
  <c r="D82" i="1" a="1"/>
  <c r="D82" i="1" s="1"/>
  <c r="AB82" i="1" s="1"/>
  <c r="D81" i="1" a="1"/>
  <c r="D81" i="1" s="1"/>
  <c r="AB81" i="1" s="1"/>
  <c r="D80" i="1" a="1"/>
  <c r="D80" i="1" s="1"/>
  <c r="AB80" i="1" s="1"/>
  <c r="D79" i="1" a="1"/>
  <c r="D79" i="1" s="1"/>
  <c r="AB79" i="1" s="1"/>
  <c r="D78" i="1" a="1"/>
  <c r="D78" i="1" s="1"/>
  <c r="AB78" i="1" s="1"/>
  <c r="D77" i="1" a="1"/>
  <c r="D77" i="1" s="1"/>
  <c r="AB77" i="1" s="1"/>
  <c r="D76" i="1" a="1"/>
  <c r="D76" i="1" s="1"/>
  <c r="AB76" i="1" s="1"/>
  <c r="D75" i="1" a="1"/>
  <c r="D75" i="1" s="1"/>
  <c r="AB75" i="1" s="1"/>
  <c r="D74" i="1" a="1"/>
  <c r="D74" i="1" s="1"/>
  <c r="AB74" i="1" s="1"/>
  <c r="D73" i="1" a="1"/>
  <c r="D73" i="1" s="1"/>
  <c r="AB73" i="1" s="1"/>
  <c r="D72" i="1" a="1"/>
  <c r="D72" i="1" s="1"/>
  <c r="AB72" i="1" s="1"/>
  <c r="D71" i="1" a="1"/>
  <c r="D71" i="1" s="1"/>
  <c r="AB71" i="1" s="1"/>
  <c r="D70" i="1" a="1"/>
  <c r="D70" i="1" s="1"/>
  <c r="AB70" i="1" s="1"/>
  <c r="D69" i="1" a="1"/>
  <c r="D69" i="1" s="1"/>
  <c r="AB69" i="1" s="1"/>
  <c r="D68" i="1" a="1"/>
  <c r="D68" i="1" s="1"/>
  <c r="AB68" i="1" s="1"/>
  <c r="D67" i="1" a="1"/>
  <c r="D67" i="1" s="1"/>
  <c r="AB67" i="1" s="1"/>
  <c r="D66" i="1" a="1"/>
  <c r="D66" i="1" s="1"/>
  <c r="AB66" i="1" s="1"/>
  <c r="D65" i="1" a="1"/>
  <c r="D65" i="1" s="1"/>
  <c r="AB65" i="1" s="1"/>
  <c r="D64" i="1" a="1"/>
  <c r="D64" i="1" s="1"/>
  <c r="AB64" i="1" s="1"/>
  <c r="D63" i="1" a="1"/>
  <c r="D63" i="1" s="1"/>
  <c r="AB63" i="1" s="1"/>
  <c r="D62" i="1" a="1"/>
  <c r="D62" i="1" s="1"/>
  <c r="AB62" i="1" s="1"/>
  <c r="D61" i="1" a="1"/>
  <c r="D61" i="1" s="1"/>
  <c r="AB61" i="1" s="1"/>
  <c r="D60" i="1" a="1"/>
  <c r="D60" i="1" s="1"/>
  <c r="AB60" i="1" s="1"/>
  <c r="D59" i="1" a="1"/>
  <c r="D59" i="1" s="1"/>
  <c r="AB59" i="1" s="1"/>
  <c r="D58" i="1" a="1"/>
  <c r="D58" i="1" s="1"/>
  <c r="AB58" i="1" s="1"/>
  <c r="D57" i="1" a="1"/>
  <c r="D57" i="1" s="1"/>
  <c r="AB57" i="1" s="1"/>
  <c r="D56" i="1" a="1"/>
  <c r="D56" i="1" s="1"/>
  <c r="AB56" i="1" s="1"/>
  <c r="D55" i="1" a="1"/>
  <c r="D55" i="1" s="1"/>
  <c r="AB55" i="1" s="1"/>
  <c r="D54" i="1" a="1"/>
  <c r="D54" i="1" s="1"/>
  <c r="AB54" i="1" s="1"/>
  <c r="D53" i="1" a="1"/>
  <c r="D53" i="1" s="1"/>
  <c r="AB53" i="1" s="1"/>
  <c r="D52" i="1" a="1"/>
  <c r="D52" i="1" s="1"/>
  <c r="AB52" i="1" s="1"/>
  <c r="D51" i="1" a="1"/>
  <c r="D51" i="1" s="1"/>
  <c r="AB51" i="1" s="1"/>
  <c r="D50" i="1" a="1"/>
  <c r="D50" i="1" s="1"/>
  <c r="AB50" i="1" s="1"/>
  <c r="D49" i="1" a="1"/>
  <c r="D49" i="1" s="1"/>
  <c r="AB49" i="1" s="1"/>
  <c r="D48" i="1" a="1"/>
  <c r="D48" i="1" s="1"/>
  <c r="AB48" i="1" s="1"/>
  <c r="D47" i="1" a="1"/>
  <c r="D47" i="1" s="1"/>
  <c r="AB47" i="1" s="1"/>
  <c r="D46" i="1" a="1"/>
  <c r="D46" i="1" s="1"/>
  <c r="AB46" i="1" s="1"/>
  <c r="D45" i="1" a="1"/>
  <c r="D45" i="1" s="1"/>
  <c r="AB45" i="1" s="1"/>
  <c r="D44" i="1" a="1"/>
  <c r="D44" i="1" s="1"/>
  <c r="AB44" i="1" s="1"/>
  <c r="D43" i="1" a="1"/>
  <c r="D43" i="1" s="1"/>
  <c r="AB43" i="1" s="1"/>
  <c r="D42" i="1" a="1"/>
  <c r="D42" i="1" s="1"/>
  <c r="AB42" i="1" s="1"/>
  <c r="D41" i="1" a="1"/>
  <c r="D41" i="1" s="1"/>
  <c r="AB41" i="1" s="1"/>
  <c r="D40" i="1" a="1"/>
  <c r="D40" i="1" s="1"/>
  <c r="AB40" i="1" s="1"/>
  <c r="D39" i="1" a="1"/>
  <c r="D39" i="1" s="1"/>
  <c r="AB39" i="1" s="1"/>
  <c r="D38" i="1" a="1"/>
  <c r="D38" i="1" s="1"/>
  <c r="AB38" i="1" s="1"/>
  <c r="D37" i="1" a="1"/>
  <c r="D37" i="1" s="1"/>
  <c r="AB37" i="1" s="1"/>
  <c r="D36" i="1" a="1"/>
  <c r="D36" i="1" s="1"/>
  <c r="AB36" i="1" s="1"/>
  <c r="D35" i="1" a="1"/>
  <c r="D35" i="1" s="1"/>
  <c r="AB35" i="1" s="1"/>
  <c r="D34" i="1" a="1"/>
  <c r="D34" i="1" s="1"/>
  <c r="AB34" i="1" s="1"/>
  <c r="D33" i="1" a="1"/>
  <c r="D33" i="1" s="1"/>
  <c r="AB33" i="1" s="1"/>
  <c r="D32" i="1" a="1"/>
  <c r="D32" i="1" s="1"/>
  <c r="AB32" i="1" s="1"/>
  <c r="D31" i="1" a="1"/>
  <c r="D31" i="1" s="1"/>
  <c r="AB31" i="1" s="1"/>
  <c r="D30" i="1" a="1"/>
  <c r="D30" i="1" s="1"/>
  <c r="AB30" i="1" s="1"/>
  <c r="D29" i="1" a="1"/>
  <c r="D29" i="1" s="1"/>
  <c r="AB29" i="1" s="1"/>
  <c r="D28" i="1" a="1"/>
  <c r="D28" i="1" s="1"/>
  <c r="AB28" i="1" s="1"/>
  <c r="D27" i="1" a="1"/>
  <c r="D27" i="1" s="1"/>
  <c r="AB27" i="1" s="1"/>
  <c r="D26" i="1" a="1"/>
  <c r="D26" i="1" s="1"/>
  <c r="AB26" i="1" s="1"/>
  <c r="D25" i="1" a="1"/>
  <c r="D25" i="1" s="1"/>
  <c r="AB25" i="1" s="1"/>
  <c r="D24" i="1" a="1"/>
  <c r="D24" i="1" s="1"/>
  <c r="AB24" i="1" s="1"/>
  <c r="D23" i="1" a="1"/>
  <c r="D23" i="1" s="1"/>
  <c r="AB23" i="1" s="1"/>
  <c r="D22" i="1" a="1"/>
  <c r="D22" i="1" s="1"/>
  <c r="AB22" i="1" s="1"/>
  <c r="D21" i="1" a="1"/>
  <c r="D21" i="1" s="1"/>
  <c r="AB21" i="1" s="1"/>
  <c r="D20" i="1" a="1"/>
  <c r="D20" i="1" s="1"/>
  <c r="AB20" i="1" s="1"/>
  <c r="D19" i="1" a="1"/>
  <c r="D19" i="1" s="1"/>
  <c r="AB19" i="1" s="1"/>
  <c r="D18" i="1" a="1"/>
  <c r="D18" i="1" s="1"/>
  <c r="AB18" i="1" s="1"/>
  <c r="D17" i="1" a="1"/>
  <c r="D17" i="1" s="1"/>
  <c r="AB17" i="1" s="1"/>
  <c r="D16" i="1" a="1"/>
  <c r="D16" i="1" s="1"/>
  <c r="AB16" i="1" s="1"/>
  <c r="D15" i="1" a="1"/>
  <c r="D15" i="1" s="1"/>
  <c r="AB15" i="1" s="1"/>
  <c r="D14" i="1" a="1"/>
  <c r="D14" i="1" s="1"/>
  <c r="AB14" i="1" s="1"/>
  <c r="D13" i="1" a="1"/>
  <c r="D13" i="1" s="1"/>
  <c r="AB13" i="1" s="1"/>
  <c r="C7" i="1" a="1"/>
  <c r="C7" i="1" s="1"/>
  <c r="AI997" i="1" l="1"/>
  <c r="AI989" i="1"/>
  <c r="AI981" i="1"/>
  <c r="AI973" i="1"/>
  <c r="AI965" i="1"/>
  <c r="AI957" i="1"/>
  <c r="AI949" i="1"/>
  <c r="AI941" i="1"/>
  <c r="AI933" i="1"/>
  <c r="AI925" i="1"/>
  <c r="AI917" i="1"/>
  <c r="AI909" i="1"/>
  <c r="AI901" i="1"/>
  <c r="AI893" i="1"/>
  <c r="AI885" i="1"/>
  <c r="AI877" i="1"/>
  <c r="AI869" i="1"/>
  <c r="AI861" i="1"/>
  <c r="AI853" i="1"/>
  <c r="AI845" i="1"/>
  <c r="AI837" i="1"/>
  <c r="AI829" i="1"/>
  <c r="AI821" i="1"/>
  <c r="AI813" i="1"/>
  <c r="AI805" i="1"/>
  <c r="AI797" i="1"/>
  <c r="AI789" i="1"/>
  <c r="AI781" i="1"/>
  <c r="AI773" i="1"/>
  <c r="AI765" i="1"/>
  <c r="AI757" i="1"/>
  <c r="AI749" i="1"/>
  <c r="AI741" i="1"/>
  <c r="AI733" i="1"/>
  <c r="AI725" i="1"/>
  <c r="AI717" i="1"/>
  <c r="AI709" i="1"/>
  <c r="AI701" i="1"/>
  <c r="AI693" i="1"/>
  <c r="AI685" i="1"/>
  <c r="AI677" i="1"/>
  <c r="AI669" i="1"/>
  <c r="AI661" i="1"/>
  <c r="AI653" i="1"/>
  <c r="AI645" i="1"/>
  <c r="AI637" i="1"/>
  <c r="AI629" i="1"/>
  <c r="AI969" i="1"/>
  <c r="AI913" i="1"/>
  <c r="AI881" i="1"/>
  <c r="AI849" i="1"/>
  <c r="AI817" i="1"/>
  <c r="AI996" i="1"/>
  <c r="AI988" i="1"/>
  <c r="AI980" i="1"/>
  <c r="AI972" i="1"/>
  <c r="AI964" i="1"/>
  <c r="AI956" i="1"/>
  <c r="AI948" i="1"/>
  <c r="AI940" i="1"/>
  <c r="AI932" i="1"/>
  <c r="AI924" i="1"/>
  <c r="AI916" i="1"/>
  <c r="AI908" i="1"/>
  <c r="AI900" i="1"/>
  <c r="AI892" i="1"/>
  <c r="AI884" i="1"/>
  <c r="AI876" i="1"/>
  <c r="AI868" i="1"/>
  <c r="AI860" i="1"/>
  <c r="AI852" i="1"/>
  <c r="AI844" i="1"/>
  <c r="AI836" i="1"/>
  <c r="AI828" i="1"/>
  <c r="AI820" i="1"/>
  <c r="AI812" i="1"/>
  <c r="AI804" i="1"/>
  <c r="AI796" i="1"/>
  <c r="AI788" i="1"/>
  <c r="AI780" i="1"/>
  <c r="AI772" i="1"/>
  <c r="AI764" i="1"/>
  <c r="AI756" i="1"/>
  <c r="AI748" i="1"/>
  <c r="AI740" i="1"/>
  <c r="AI732" i="1"/>
  <c r="AI724" i="1"/>
  <c r="AI716" i="1"/>
  <c r="AI708" i="1"/>
  <c r="AI700" i="1"/>
  <c r="AI692" i="1"/>
  <c r="AI684" i="1"/>
  <c r="AI676" i="1"/>
  <c r="AI668" i="1"/>
  <c r="AI660" i="1"/>
  <c r="AI652" i="1"/>
  <c r="AI644" i="1"/>
  <c r="AI636" i="1"/>
  <c r="AI628" i="1"/>
  <c r="AI993" i="1"/>
  <c r="AI945" i="1"/>
  <c r="AI921" i="1"/>
  <c r="AI889" i="1"/>
  <c r="AI857" i="1"/>
  <c r="AI833" i="1"/>
  <c r="AI995" i="1"/>
  <c r="AI987" i="1"/>
  <c r="AI979" i="1"/>
  <c r="AI971" i="1"/>
  <c r="AI963" i="1"/>
  <c r="AI955" i="1"/>
  <c r="AI947" i="1"/>
  <c r="AI939" i="1"/>
  <c r="AI931" i="1"/>
  <c r="AI923" i="1"/>
  <c r="AI915" i="1"/>
  <c r="AI907" i="1"/>
  <c r="AI899" i="1"/>
  <c r="AI891" i="1"/>
  <c r="AI883" i="1"/>
  <c r="AI875" i="1"/>
  <c r="AI867" i="1"/>
  <c r="AI859" i="1"/>
  <c r="AI851" i="1"/>
  <c r="AI843" i="1"/>
  <c r="AI835" i="1"/>
  <c r="AI827" i="1"/>
  <c r="AI819" i="1"/>
  <c r="AI811" i="1"/>
  <c r="AI803" i="1"/>
  <c r="AI795" i="1"/>
  <c r="AI787" i="1"/>
  <c r="AI779" i="1"/>
  <c r="AI771" i="1"/>
  <c r="AI763" i="1"/>
  <c r="AI755" i="1"/>
  <c r="AI747" i="1"/>
  <c r="AI739" i="1"/>
  <c r="AI731" i="1"/>
  <c r="AI723" i="1"/>
  <c r="AI715" i="1"/>
  <c r="AI707" i="1"/>
  <c r="AI699" i="1"/>
  <c r="AI691" i="1"/>
  <c r="AI683" i="1"/>
  <c r="AI675" i="1"/>
  <c r="AI667" i="1"/>
  <c r="AI659" i="1"/>
  <c r="AI651" i="1"/>
  <c r="AI643" i="1"/>
  <c r="AI635" i="1"/>
  <c r="AI985" i="1"/>
  <c r="AI961" i="1"/>
  <c r="AI953" i="1"/>
  <c r="AI937" i="1"/>
  <c r="AI905" i="1"/>
  <c r="AI873" i="1"/>
  <c r="AI841" i="1"/>
  <c r="AI809" i="1"/>
  <c r="AI994" i="1"/>
  <c r="AI986" i="1"/>
  <c r="AI978" i="1"/>
  <c r="AI970" i="1"/>
  <c r="AI962" i="1"/>
  <c r="AI954" i="1"/>
  <c r="AI946" i="1"/>
  <c r="AI938" i="1"/>
  <c r="AI930" i="1"/>
  <c r="AI922" i="1"/>
  <c r="AI914" i="1"/>
  <c r="AI906" i="1"/>
  <c r="AI898" i="1"/>
  <c r="AI890" i="1"/>
  <c r="AI882" i="1"/>
  <c r="AI874" i="1"/>
  <c r="AI866" i="1"/>
  <c r="AI858" i="1"/>
  <c r="AI850" i="1"/>
  <c r="AI842" i="1"/>
  <c r="AI834" i="1"/>
  <c r="AI826" i="1"/>
  <c r="AI818" i="1"/>
  <c r="AI810" i="1"/>
  <c r="AI802" i="1"/>
  <c r="AI794" i="1"/>
  <c r="AI786" i="1"/>
  <c r="AI778" i="1"/>
  <c r="AI770" i="1"/>
  <c r="AI762" i="1"/>
  <c r="AI754" i="1"/>
  <c r="AI746" i="1"/>
  <c r="AI738" i="1"/>
  <c r="AI730" i="1"/>
  <c r="AI722" i="1"/>
  <c r="AI714" i="1"/>
  <c r="AI706" i="1"/>
  <c r="AI698" i="1"/>
  <c r="AI690" i="1"/>
  <c r="AI682" i="1"/>
  <c r="AI674" i="1"/>
  <c r="AI666" i="1"/>
  <c r="AI658" i="1"/>
  <c r="AI650" i="1"/>
  <c r="AI642" i="1"/>
  <c r="AI634" i="1"/>
  <c r="AI977" i="1"/>
  <c r="AI929" i="1"/>
  <c r="AI897" i="1"/>
  <c r="AI865" i="1"/>
  <c r="AI825" i="1"/>
  <c r="AI1000" i="1"/>
  <c r="AI992" i="1"/>
  <c r="AI984" i="1"/>
  <c r="AI976" i="1"/>
  <c r="AI968" i="1"/>
  <c r="AI960" i="1"/>
  <c r="AI952" i="1"/>
  <c r="AI944" i="1"/>
  <c r="AI936" i="1"/>
  <c r="AI928" i="1"/>
  <c r="AI920" i="1"/>
  <c r="AI912" i="1"/>
  <c r="AI904" i="1"/>
  <c r="AI896" i="1"/>
  <c r="AI888" i="1"/>
  <c r="AI880" i="1"/>
  <c r="AI872" i="1"/>
  <c r="AI864" i="1"/>
  <c r="AI856" i="1"/>
  <c r="AI848" i="1"/>
  <c r="AI840" i="1"/>
  <c r="AI832" i="1"/>
  <c r="AI824" i="1"/>
  <c r="AI816" i="1"/>
  <c r="AI808" i="1"/>
  <c r="AI800" i="1"/>
  <c r="AI792" i="1"/>
  <c r="AI784" i="1"/>
  <c r="AI776" i="1"/>
  <c r="AI768" i="1"/>
  <c r="AI760" i="1"/>
  <c r="AI752" i="1"/>
  <c r="AI744" i="1"/>
  <c r="AI736" i="1"/>
  <c r="AI728" i="1"/>
  <c r="AI720" i="1"/>
  <c r="AI712" i="1"/>
  <c r="AI704" i="1"/>
  <c r="AI696" i="1"/>
  <c r="AI688" i="1"/>
  <c r="AI680" i="1"/>
  <c r="AI672" i="1"/>
  <c r="AI664" i="1"/>
  <c r="AI656" i="1"/>
  <c r="AI648" i="1"/>
  <c r="AI640" i="1"/>
  <c r="AI632" i="1"/>
  <c r="AI999" i="1"/>
  <c r="AI991" i="1"/>
  <c r="AI983" i="1"/>
  <c r="AI975" i="1"/>
  <c r="AI967" i="1"/>
  <c r="AI959" i="1"/>
  <c r="AI943" i="1"/>
  <c r="AI935" i="1"/>
  <c r="AI927" i="1"/>
  <c r="AI919" i="1"/>
  <c r="AI911" i="1"/>
  <c r="AI903" i="1"/>
  <c r="AI895" i="1"/>
  <c r="AI887" i="1"/>
  <c r="AI879" i="1"/>
  <c r="AI871" i="1"/>
  <c r="AI863" i="1"/>
  <c r="AI855" i="1"/>
  <c r="AI847" i="1"/>
  <c r="AI839" i="1"/>
  <c r="AI831" i="1"/>
  <c r="AI823" i="1"/>
  <c r="AI815" i="1"/>
  <c r="AI807" i="1"/>
  <c r="AI799" i="1"/>
  <c r="AI791" i="1"/>
  <c r="AI783" i="1"/>
  <c r="AI775" i="1"/>
  <c r="AI767" i="1"/>
  <c r="AI759" i="1"/>
  <c r="AI751" i="1"/>
  <c r="AI743" i="1"/>
  <c r="AI735" i="1"/>
  <c r="AI727" i="1"/>
  <c r="AI719" i="1"/>
  <c r="AI711" i="1"/>
  <c r="AI703" i="1"/>
  <c r="AI687" i="1"/>
  <c r="AI679" i="1"/>
  <c r="AI951" i="1"/>
  <c r="AI998" i="1"/>
  <c r="AI934" i="1"/>
  <c r="AI870" i="1"/>
  <c r="AI806" i="1"/>
  <c r="AI774" i="1"/>
  <c r="AI742" i="1"/>
  <c r="AI710" i="1"/>
  <c r="AI681" i="1"/>
  <c r="AI657" i="1"/>
  <c r="AI638" i="1"/>
  <c r="AI990" i="1"/>
  <c r="AI926" i="1"/>
  <c r="AI862" i="1"/>
  <c r="AI801" i="1"/>
  <c r="AI769" i="1"/>
  <c r="AI737" i="1"/>
  <c r="AI705" i="1"/>
  <c r="AI678" i="1"/>
  <c r="AI655" i="1"/>
  <c r="AI633" i="1"/>
  <c r="AI910" i="1"/>
  <c r="AI761" i="1"/>
  <c r="AI697" i="1"/>
  <c r="AI649" i="1"/>
  <c r="AI982" i="1"/>
  <c r="AI918" i="1"/>
  <c r="AI854" i="1"/>
  <c r="AI798" i="1"/>
  <c r="AI766" i="1"/>
  <c r="AI734" i="1"/>
  <c r="AI702" i="1"/>
  <c r="AI673" i="1"/>
  <c r="AI654" i="1"/>
  <c r="AI631" i="1"/>
  <c r="AI974" i="1"/>
  <c r="AI846" i="1"/>
  <c r="AI793" i="1"/>
  <c r="AI729" i="1"/>
  <c r="AI671" i="1"/>
  <c r="AI630" i="1"/>
  <c r="AI966" i="1"/>
  <c r="AI902" i="1"/>
  <c r="AI838" i="1"/>
  <c r="AI790" i="1"/>
  <c r="AI758" i="1"/>
  <c r="AI726" i="1"/>
  <c r="AI695" i="1"/>
  <c r="AI670" i="1"/>
  <c r="AI647" i="1"/>
  <c r="AI950" i="1"/>
  <c r="AI886" i="1"/>
  <c r="AI822" i="1"/>
  <c r="AI782" i="1"/>
  <c r="AI750" i="1"/>
  <c r="AI718" i="1"/>
  <c r="AI689" i="1"/>
  <c r="AI663" i="1"/>
  <c r="AI942" i="1"/>
  <c r="AI878" i="1"/>
  <c r="AI814" i="1"/>
  <c r="AI777" i="1"/>
  <c r="AI745" i="1"/>
  <c r="AI713" i="1"/>
  <c r="AI686" i="1"/>
  <c r="AI662" i="1"/>
  <c r="AI639" i="1"/>
  <c r="AI958" i="1"/>
  <c r="AI894" i="1"/>
  <c r="AI830" i="1"/>
  <c r="AI785" i="1"/>
  <c r="AI753" i="1"/>
  <c r="AI721" i="1"/>
  <c r="AI694" i="1"/>
  <c r="AI665" i="1"/>
  <c r="AI646" i="1"/>
  <c r="AI641" i="1"/>
  <c r="B2" i="2" a="1"/>
  <c r="B2" i="2" s="1"/>
  <c r="B3" i="2" s="1"/>
  <c r="B4" i="2" s="1"/>
  <c r="B13" i="1" a="1"/>
  <c r="B13" i="1" l="1"/>
  <c r="BF105" i="4"/>
  <c r="BF208" i="4"/>
  <c r="BF311" i="4"/>
  <c r="BF414" i="4"/>
  <c r="BF517" i="4"/>
  <c r="BF5" i="4"/>
  <c r="BF108" i="4"/>
  <c r="BF211" i="4"/>
  <c r="BF314" i="4"/>
  <c r="BF498" i="4"/>
  <c r="BF141" i="4"/>
  <c r="BF417" i="4"/>
  <c r="BF520" i="4"/>
  <c r="BF8" i="4"/>
  <c r="BF111" i="4"/>
  <c r="BF214" i="4"/>
  <c r="BF317" i="4"/>
  <c r="BF420" i="4"/>
  <c r="BF523" i="4"/>
  <c r="BF306" i="4"/>
  <c r="BF244" i="4"/>
  <c r="BF281" i="4"/>
  <c r="BF384" i="4"/>
  <c r="BF487" i="4"/>
  <c r="BF590" i="4"/>
  <c r="BF78" i="4"/>
  <c r="BF181" i="4"/>
  <c r="BF284" i="4"/>
  <c r="BF387" i="4"/>
  <c r="BF490" i="4"/>
  <c r="BF411" i="4"/>
  <c r="BF273" i="4"/>
  <c r="BF376" i="4"/>
  <c r="BF479" i="4"/>
  <c r="BF582" i="4"/>
  <c r="BF70" i="4"/>
  <c r="BF173" i="4"/>
  <c r="BF276" i="4"/>
  <c r="BF379" i="4"/>
  <c r="BF482" i="4"/>
  <c r="BF210" i="4"/>
  <c r="BF255" i="4"/>
  <c r="BF66" i="4"/>
  <c r="BF137" i="4"/>
  <c r="BF240" i="4"/>
  <c r="BF343" i="4"/>
  <c r="BF446" i="4"/>
  <c r="BF549" i="4"/>
  <c r="BF37" i="4"/>
  <c r="BF140" i="4"/>
  <c r="BF243" i="4"/>
  <c r="BF346" i="4"/>
  <c r="BF177" i="4"/>
  <c r="BF205" i="4"/>
  <c r="BF385" i="4"/>
  <c r="BF488" i="4"/>
  <c r="BF591" i="4"/>
  <c r="BF79" i="4"/>
  <c r="BF182" i="4"/>
  <c r="BF285" i="4"/>
  <c r="BF388" i="4"/>
  <c r="BF491" i="4"/>
  <c r="BF594" i="4"/>
  <c r="BF113" i="4"/>
  <c r="BF372" i="4"/>
  <c r="BF313" i="4"/>
  <c r="BF416" i="4"/>
  <c r="BF519" i="4"/>
  <c r="BF7" i="4"/>
  <c r="BF110" i="4"/>
  <c r="BF213" i="4"/>
  <c r="BF316" i="4"/>
  <c r="BF419" i="4"/>
  <c r="BF522" i="4"/>
  <c r="BF10" i="4"/>
  <c r="BF294" i="4"/>
  <c r="BF323" i="4"/>
  <c r="BF312" i="4"/>
  <c r="BF518" i="4"/>
  <c r="BF109" i="4"/>
  <c r="BF315" i="4"/>
  <c r="BF18" i="4"/>
  <c r="BF585" i="4"/>
  <c r="BF176" i="4"/>
  <c r="BF76" i="4"/>
  <c r="BF424" i="4"/>
  <c r="BF324" i="4"/>
  <c r="BF455" i="4"/>
  <c r="BF561" i="4"/>
  <c r="BF553" i="4"/>
  <c r="BF41" i="4"/>
  <c r="BF144" i="4"/>
  <c r="BF247" i="4"/>
  <c r="BF350" i="4"/>
  <c r="BF453" i="4"/>
  <c r="BF556" i="4"/>
  <c r="BF44" i="4"/>
  <c r="BF147" i="4"/>
  <c r="BF250" i="4"/>
  <c r="BF370" i="4"/>
  <c r="BF308" i="4"/>
  <c r="BF353" i="4"/>
  <c r="BF456" i="4"/>
  <c r="BF559" i="4"/>
  <c r="BF47" i="4"/>
  <c r="BF150" i="4"/>
  <c r="BF253" i="4"/>
  <c r="BF356" i="4"/>
  <c r="BF459" i="4"/>
  <c r="BF178" i="4"/>
  <c r="BF219" i="4"/>
  <c r="BF217" i="4"/>
  <c r="BF320" i="4"/>
  <c r="BF423" i="4"/>
  <c r="BF526" i="4"/>
  <c r="BF14" i="4"/>
  <c r="BF117" i="4"/>
  <c r="BF220" i="4"/>
  <c r="BF426" i="4"/>
  <c r="BF578" i="4"/>
  <c r="BF209" i="4"/>
  <c r="BF415" i="4"/>
  <c r="BF6" i="4"/>
  <c r="BF212" i="4"/>
  <c r="BF418" i="4"/>
  <c r="BF550" i="4"/>
  <c r="BF73" i="4"/>
  <c r="BF485" i="4"/>
  <c r="BF600" i="4"/>
  <c r="BF221" i="4"/>
  <c r="BF352" i="4"/>
  <c r="BF458" i="4"/>
  <c r="BF489" i="4"/>
  <c r="BF592" i="4"/>
  <c r="BF80" i="4"/>
  <c r="BF183" i="4"/>
  <c r="BF286" i="4"/>
  <c r="BF389" i="4"/>
  <c r="BF492" i="4"/>
  <c r="BF595" i="4"/>
  <c r="BF83" i="4"/>
  <c r="BF186" i="4"/>
  <c r="BF242" i="4"/>
  <c r="BF475" i="4"/>
  <c r="BF289" i="4"/>
  <c r="BF392" i="4"/>
  <c r="BF495" i="4"/>
  <c r="BF598" i="4"/>
  <c r="BF86" i="4"/>
  <c r="BF189" i="4"/>
  <c r="BF292" i="4"/>
  <c r="BF395" i="4"/>
  <c r="BF50" i="4"/>
  <c r="BF386" i="4"/>
  <c r="BF153" i="4"/>
  <c r="BF256" i="4"/>
  <c r="BF359" i="4"/>
  <c r="BF462" i="4"/>
  <c r="BF565" i="4"/>
  <c r="BF53" i="4"/>
  <c r="BF156" i="4"/>
  <c r="BF259" i="4"/>
  <c r="BF234" i="4"/>
  <c r="BF194" i="4"/>
  <c r="BF145" i="4"/>
  <c r="BF248" i="4"/>
  <c r="BF351" i="4"/>
  <c r="BF454" i="4"/>
  <c r="BF557" i="4"/>
  <c r="BF45" i="4"/>
  <c r="BF148" i="4"/>
  <c r="BF251" i="4"/>
  <c r="BF354" i="4"/>
  <c r="BF433" i="4"/>
  <c r="BF230" i="4"/>
  <c r="BF521" i="4"/>
  <c r="BF9" i="4"/>
  <c r="BF112" i="4"/>
  <c r="BF215" i="4"/>
  <c r="BF318" i="4"/>
  <c r="BF421" i="4"/>
  <c r="BF524" i="4"/>
  <c r="BF12" i="4"/>
  <c r="BF115" i="4"/>
  <c r="BF218" i="4"/>
  <c r="BF344" i="4"/>
  <c r="BF603" i="4"/>
  <c r="BF257" i="4"/>
  <c r="BF360" i="4"/>
  <c r="BF463" i="4"/>
  <c r="BF566" i="4"/>
  <c r="BF54" i="4"/>
  <c r="BF157" i="4"/>
  <c r="BF260" i="4"/>
  <c r="BF363" i="4"/>
  <c r="BF466" i="4"/>
  <c r="BF216" i="4"/>
  <c r="BF27" i="4"/>
  <c r="BF185" i="4"/>
  <c r="BF288" i="4"/>
  <c r="BF391" i="4"/>
  <c r="BF494" i="4"/>
  <c r="BF597" i="4"/>
  <c r="BF85" i="4"/>
  <c r="BF188" i="4"/>
  <c r="BF291" i="4"/>
  <c r="BF425" i="4"/>
  <c r="BF528" i="4"/>
  <c r="BF16" i="4"/>
  <c r="BF119" i="4"/>
  <c r="BF222" i="4"/>
  <c r="BF325" i="4"/>
  <c r="BF428" i="4"/>
  <c r="BF531" i="4"/>
  <c r="BF19" i="4"/>
  <c r="BF122" i="4"/>
  <c r="BF114" i="4"/>
  <c r="BF91" i="4"/>
  <c r="BF225" i="4"/>
  <c r="BF328" i="4"/>
  <c r="BF431" i="4"/>
  <c r="BF534" i="4"/>
  <c r="BF22" i="4"/>
  <c r="BF125" i="4"/>
  <c r="BF228" i="4"/>
  <c r="BF267" i="4"/>
  <c r="BF298" i="4"/>
  <c r="BF601" i="4"/>
  <c r="BF89" i="4"/>
  <c r="BF192" i="4"/>
  <c r="BF295" i="4"/>
  <c r="BF398" i="4"/>
  <c r="BF501" i="4"/>
  <c r="BF604" i="4"/>
  <c r="BF92" i="4"/>
  <c r="BF195" i="4"/>
  <c r="BF42" i="4"/>
  <c r="BF593" i="4"/>
  <c r="BF81" i="4"/>
  <c r="BF184" i="4"/>
  <c r="BF287" i="4"/>
  <c r="BF390" i="4"/>
  <c r="BF493" i="4"/>
  <c r="BF596" i="4"/>
  <c r="BF84" i="4"/>
  <c r="BF187" i="4"/>
  <c r="BF290" i="4"/>
  <c r="BF305" i="4"/>
  <c r="BF461" i="4"/>
  <c r="BF457" i="4"/>
  <c r="BF560" i="4"/>
  <c r="BF48" i="4"/>
  <c r="BF151" i="4"/>
  <c r="BF254" i="4"/>
  <c r="BF357" i="4"/>
  <c r="BF460" i="4"/>
  <c r="BF563" i="4"/>
  <c r="BF51" i="4"/>
  <c r="BF154" i="4"/>
  <c r="BF88" i="4"/>
  <c r="BF155" i="4"/>
  <c r="BF193" i="4"/>
  <c r="BF296" i="4"/>
  <c r="BF399" i="4"/>
  <c r="BF502" i="4"/>
  <c r="BF605" i="4"/>
  <c r="BF93" i="4"/>
  <c r="BF196" i="4"/>
  <c r="BF299" i="4"/>
  <c r="BF402" i="4"/>
  <c r="BF575" i="4"/>
  <c r="BF130" i="4"/>
  <c r="BF121" i="4"/>
  <c r="BF224" i="4"/>
  <c r="BF327" i="4"/>
  <c r="BF430" i="4"/>
  <c r="BF533" i="4"/>
  <c r="BF21" i="4"/>
  <c r="BF124" i="4"/>
  <c r="BF227" i="4"/>
  <c r="BF330" i="4"/>
  <c r="BF536" i="4"/>
  <c r="BF500" i="4"/>
  <c r="BF447" i="4"/>
  <c r="BF232" i="4"/>
  <c r="BF438" i="4"/>
  <c r="BF29" i="4"/>
  <c r="BF235" i="4"/>
  <c r="BF338" i="4"/>
  <c r="BF569" i="4"/>
  <c r="BF160" i="4"/>
  <c r="BF366" i="4"/>
  <c r="BF469" i="4"/>
  <c r="BF60" i="4"/>
  <c r="BF266" i="4"/>
  <c r="BF52" i="4"/>
  <c r="BF450" i="4"/>
  <c r="BF484" i="4"/>
  <c r="BF345" i="4"/>
  <c r="BF142" i="4"/>
  <c r="BF116" i="4"/>
  <c r="BF134" i="4"/>
  <c r="BF546" i="4"/>
  <c r="BF304" i="4"/>
  <c r="BF204" i="4"/>
  <c r="BF552" i="4"/>
  <c r="BF246" i="4"/>
  <c r="BF43" i="4"/>
  <c r="BF71" i="4"/>
  <c r="BF586" i="4"/>
  <c r="BF279" i="4"/>
  <c r="BF321" i="4"/>
  <c r="BF427" i="4"/>
  <c r="BF558" i="4"/>
  <c r="BF102" i="4"/>
  <c r="BF361" i="4"/>
  <c r="BF464" i="4"/>
  <c r="BF567" i="4"/>
  <c r="BF55" i="4"/>
  <c r="BF158" i="4"/>
  <c r="BF261" i="4"/>
  <c r="BF364" i="4"/>
  <c r="BF467" i="4"/>
  <c r="BF570" i="4"/>
  <c r="BF58" i="4"/>
  <c r="BF362" i="4"/>
  <c r="BF258" i="4"/>
  <c r="BF161" i="4"/>
  <c r="BF264" i="4"/>
  <c r="BF367" i="4"/>
  <c r="BF470" i="4"/>
  <c r="BF573" i="4"/>
  <c r="BF61" i="4"/>
  <c r="BF164" i="4"/>
  <c r="BF203" i="4"/>
  <c r="BF106" i="4"/>
  <c r="BF537" i="4"/>
  <c r="BF25" i="4"/>
  <c r="BF128" i="4"/>
  <c r="BF231" i="4"/>
  <c r="BF334" i="4"/>
  <c r="BF437" i="4"/>
  <c r="BF540" i="4"/>
  <c r="BF28" i="4"/>
  <c r="BF131" i="4"/>
  <c r="BF614" i="4"/>
  <c r="BF529" i="4"/>
  <c r="BF17" i="4"/>
  <c r="BF120" i="4"/>
  <c r="BF223" i="4"/>
  <c r="BF326" i="4"/>
  <c r="BF429" i="4"/>
  <c r="BF532" i="4"/>
  <c r="BF20" i="4"/>
  <c r="BF123" i="4"/>
  <c r="BF226" i="4"/>
  <c r="BF49" i="4"/>
  <c r="BF77" i="4"/>
  <c r="BF393" i="4"/>
  <c r="BF496" i="4"/>
  <c r="BF599" i="4"/>
  <c r="BF87" i="4"/>
  <c r="BF190" i="4"/>
  <c r="BF293" i="4"/>
  <c r="BF396" i="4"/>
  <c r="BF499" i="4"/>
  <c r="BF602" i="4"/>
  <c r="BF90" i="4"/>
  <c r="BF322" i="4"/>
  <c r="BF129" i="4"/>
  <c r="BF335" i="4"/>
  <c r="BF541" i="4"/>
  <c r="BF132" i="4"/>
  <c r="BF319" i="4"/>
  <c r="BF57" i="4"/>
  <c r="BF263" i="4"/>
  <c r="BF572" i="4"/>
  <c r="BF163" i="4"/>
  <c r="BF280" i="4"/>
  <c r="BF72" i="4"/>
  <c r="BF448" i="4"/>
  <c r="BF348" i="4"/>
  <c r="BF440" i="4"/>
  <c r="BF340" i="4"/>
  <c r="BF514" i="4"/>
  <c r="BF510" i="4"/>
  <c r="BF410" i="4"/>
  <c r="BF40" i="4"/>
  <c r="BF555" i="4"/>
  <c r="BF480" i="4"/>
  <c r="BF380" i="4"/>
  <c r="BF2" i="4"/>
  <c r="BF179" i="4"/>
  <c r="BF118" i="4"/>
  <c r="BF249" i="4"/>
  <c r="BF355" i="4"/>
  <c r="BF241" i="4"/>
  <c r="BF297" i="4"/>
  <c r="BF400" i="4"/>
  <c r="BF503" i="4"/>
  <c r="BF606" i="4"/>
  <c r="BF94" i="4"/>
  <c r="BF197" i="4"/>
  <c r="BF300" i="4"/>
  <c r="BF403" i="4"/>
  <c r="BF506" i="4"/>
  <c r="BF331" i="4"/>
  <c r="BF170" i="4"/>
  <c r="BF609" i="4"/>
  <c r="BF97" i="4"/>
  <c r="BF200" i="4"/>
  <c r="BF303" i="4"/>
  <c r="BF406" i="4"/>
  <c r="BF509" i="4"/>
  <c r="BF612" i="4"/>
  <c r="BF100" i="4"/>
  <c r="BF75" i="4"/>
  <c r="BF422" i="4"/>
  <c r="BF473" i="4"/>
  <c r="BF576" i="4"/>
  <c r="BF64" i="4"/>
  <c r="BF167" i="4"/>
  <c r="BF270" i="4"/>
  <c r="BF373" i="4"/>
  <c r="BF476" i="4"/>
  <c r="BF579" i="4"/>
  <c r="BF67" i="4"/>
  <c r="BF397" i="4"/>
  <c r="BF465" i="4"/>
  <c r="BF568" i="4"/>
  <c r="BF56" i="4"/>
  <c r="BF159" i="4"/>
  <c r="BF262" i="4"/>
  <c r="BF365" i="4"/>
  <c r="BF468" i="4"/>
  <c r="BF571" i="4"/>
  <c r="BF59" i="4"/>
  <c r="BF162" i="4"/>
  <c r="BF408" i="4"/>
  <c r="BF180" i="4"/>
  <c r="BF329" i="4"/>
  <c r="BF432" i="4"/>
  <c r="BF535" i="4"/>
  <c r="BF23" i="4"/>
  <c r="BF126" i="4"/>
  <c r="BF229" i="4"/>
  <c r="BF332" i="4"/>
  <c r="BF435" i="4"/>
  <c r="BF538" i="4"/>
  <c r="BF26" i="4"/>
  <c r="BF191" i="4"/>
  <c r="BF577" i="4"/>
  <c r="BF65" i="4"/>
  <c r="BF168" i="4"/>
  <c r="BF271" i="4"/>
  <c r="BF374" i="4"/>
  <c r="BF477" i="4"/>
  <c r="BF580" i="4"/>
  <c r="BF68" i="4"/>
  <c r="BF171" i="4"/>
  <c r="BF274" i="4"/>
  <c r="BF486" i="4"/>
  <c r="BF505" i="4"/>
  <c r="BF608" i="4"/>
  <c r="BF96" i="4"/>
  <c r="BF199" i="4"/>
  <c r="BF302" i="4"/>
  <c r="BF405" i="4"/>
  <c r="BF508" i="4"/>
  <c r="BF611" i="4"/>
  <c r="BF99" i="4"/>
  <c r="BF202" i="4"/>
  <c r="BF24" i="4"/>
  <c r="BF283" i="4"/>
  <c r="BF135" i="4"/>
  <c r="BF341" i="4"/>
  <c r="BF547" i="4"/>
  <c r="BF138" i="4"/>
  <c r="BF175" i="4"/>
  <c r="BF39" i="4"/>
  <c r="BF554" i="4"/>
  <c r="BF543" i="4"/>
  <c r="BF443" i="4"/>
  <c r="BF201" i="4"/>
  <c r="BF101" i="4"/>
  <c r="BF449" i="4"/>
  <c r="BF452" i="4"/>
  <c r="BF377" i="4"/>
  <c r="BF277" i="4"/>
  <c r="BF74" i="4"/>
  <c r="BF588" i="4"/>
  <c r="BF527" i="4"/>
  <c r="BF472" i="4"/>
  <c r="BF149" i="4"/>
  <c r="BF233" i="4"/>
  <c r="BF336" i="4"/>
  <c r="BF439" i="4"/>
  <c r="BF542" i="4"/>
  <c r="BF30" i="4"/>
  <c r="BF133" i="4"/>
  <c r="BF236" i="4"/>
  <c r="BF339" i="4"/>
  <c r="BF442" i="4"/>
  <c r="BF139" i="4"/>
  <c r="BF127" i="4"/>
  <c r="BF545" i="4"/>
  <c r="BF33" i="4"/>
  <c r="BF136" i="4"/>
  <c r="BF239" i="4"/>
  <c r="BF342" i="4"/>
  <c r="BF445" i="4"/>
  <c r="BF548" i="4"/>
  <c r="BF36" i="4"/>
  <c r="BF562" i="4"/>
  <c r="BF525" i="4"/>
  <c r="BF409" i="4"/>
  <c r="BF512" i="4"/>
  <c r="BF615" i="4"/>
  <c r="BF103" i="4"/>
  <c r="BF206" i="4"/>
  <c r="BF309" i="4"/>
  <c r="BF412" i="4"/>
  <c r="BF515" i="4"/>
  <c r="BF3" i="4"/>
  <c r="BF564" i="4"/>
  <c r="BF401" i="4"/>
  <c r="BF504" i="4"/>
  <c r="BF607" i="4"/>
  <c r="BF95" i="4"/>
  <c r="BF198" i="4"/>
  <c r="BF301" i="4"/>
  <c r="BF404" i="4"/>
  <c r="BF507" i="4"/>
  <c r="BF610" i="4"/>
  <c r="BF98" i="4"/>
  <c r="BF152" i="4"/>
  <c r="BF347" i="4"/>
  <c r="BF265" i="4"/>
  <c r="BF368" i="4"/>
  <c r="BF471" i="4"/>
  <c r="BF574" i="4"/>
  <c r="BF62" i="4"/>
  <c r="BF165" i="4"/>
  <c r="BF268" i="4"/>
  <c r="BF371" i="4"/>
  <c r="BF474" i="4"/>
  <c r="BF82" i="4"/>
  <c r="BF358" i="4"/>
  <c r="BF513" i="4"/>
  <c r="BF616" i="4"/>
  <c r="BF104" i="4"/>
  <c r="BF207" i="4"/>
  <c r="BF310" i="4"/>
  <c r="BF413" i="4"/>
  <c r="BF516" i="4"/>
  <c r="BF4" i="4"/>
  <c r="BF107" i="4"/>
  <c r="BF146" i="4"/>
  <c r="BF166" i="4"/>
  <c r="BF441" i="4"/>
  <c r="BF544" i="4"/>
  <c r="BF32" i="4"/>
  <c r="BF238" i="4"/>
  <c r="BF444" i="4"/>
  <c r="BF35" i="4"/>
  <c r="BF383" i="4"/>
  <c r="BF381" i="4"/>
  <c r="BF13" i="4"/>
  <c r="BF245" i="4"/>
  <c r="BF337" i="4"/>
  <c r="BF237" i="4"/>
  <c r="BF511" i="4"/>
  <c r="BF407" i="4"/>
  <c r="BF307" i="4"/>
  <c r="BF38" i="4"/>
  <c r="BF349" i="4"/>
  <c r="BF369" i="4"/>
  <c r="BF583" i="4"/>
  <c r="BF483" i="4"/>
  <c r="BF382" i="4"/>
  <c r="BF436" i="4"/>
  <c r="BF530" i="4"/>
  <c r="BF46" i="4"/>
  <c r="BF394" i="4"/>
  <c r="BF169" i="4"/>
  <c r="BF272" i="4"/>
  <c r="BF375" i="4"/>
  <c r="BF478" i="4"/>
  <c r="BF581" i="4"/>
  <c r="BF69" i="4"/>
  <c r="BF172" i="4"/>
  <c r="BF275" i="4"/>
  <c r="BF378" i="4"/>
  <c r="BF11" i="4"/>
  <c r="BF589" i="4"/>
  <c r="BF481" i="4"/>
  <c r="BF584" i="4"/>
  <c r="BF278" i="4"/>
  <c r="BF587" i="4"/>
  <c r="BF434" i="4"/>
  <c r="BF551" i="4"/>
  <c r="BF451" i="4"/>
  <c r="BF31" i="4"/>
  <c r="BF34" i="4"/>
  <c r="BF613" i="4"/>
  <c r="BF497" i="4"/>
  <c r="BF143" i="4"/>
  <c r="BF269" i="4"/>
  <c r="BF174" i="4"/>
  <c r="BF63" i="4"/>
  <c r="BF282" i="4"/>
  <c r="BF15" i="4"/>
  <c r="BF539" i="4"/>
  <c r="BF252" i="4"/>
  <c r="BF333" i="4"/>
  <c r="AJ13" i="1" l="1" a="1"/>
  <c r="AJ13" i="1" s="1"/>
  <c r="AE13" i="1" a="1"/>
  <c r="AG13" i="1" a="1"/>
  <c r="AH13" i="1" a="1"/>
  <c r="AF13" i="1" a="1"/>
  <c r="AD13" i="1" a="1"/>
  <c r="AH13" i="1" l="1"/>
  <c r="AE13" i="1"/>
  <c r="AF13" i="1"/>
  <c r="AI536" i="1"/>
  <c r="AI24" i="1"/>
  <c r="AI159" i="1"/>
  <c r="AI133" i="1"/>
  <c r="AI17" i="1"/>
  <c r="AI266" i="1"/>
  <c r="AI476" i="1"/>
  <c r="AI314" i="1"/>
  <c r="AI358" i="1"/>
  <c r="AI560" i="1"/>
  <c r="AI609" i="1"/>
  <c r="AI208" i="1"/>
  <c r="AI375" i="1"/>
  <c r="AI317" i="1"/>
  <c r="AI292" i="1"/>
  <c r="AI590" i="1"/>
  <c r="AI67" i="1"/>
  <c r="AI499" i="1"/>
  <c r="AI180" i="1"/>
  <c r="AI97" i="1"/>
  <c r="AI407" i="1"/>
  <c r="AI456" i="1"/>
  <c r="AI623" i="1"/>
  <c r="AI565" i="1"/>
  <c r="AI53" i="1"/>
  <c r="AI354" i="1"/>
  <c r="AI138" i="1"/>
  <c r="AI348" i="1"/>
  <c r="AI414" i="1"/>
  <c r="AI115" i="1"/>
  <c r="AI496" i="1"/>
  <c r="AI593" i="1"/>
  <c r="AI192" i="1"/>
  <c r="AI359" i="1"/>
  <c r="AI301" i="1"/>
  <c r="AI267" i="1"/>
  <c r="AI548" i="1"/>
  <c r="AI25" i="1"/>
  <c r="AI449" i="1"/>
  <c r="AI155" i="1"/>
  <c r="AI146" i="1"/>
  <c r="AI595" i="1"/>
  <c r="AI312" i="1"/>
  <c r="AI479" i="1"/>
  <c r="AI421" i="1"/>
  <c r="AI459" i="1"/>
  <c r="AI492" i="1"/>
  <c r="AI404" i="1"/>
  <c r="AI118" i="1"/>
  <c r="AI347" i="1"/>
  <c r="AI427" i="1"/>
  <c r="AI349" i="1"/>
  <c r="AI205" i="1"/>
  <c r="AI110" i="1"/>
  <c r="AI198" i="1"/>
  <c r="AI160" i="1"/>
  <c r="AI345" i="1"/>
  <c r="AI542" i="1"/>
  <c r="AI149" i="1"/>
  <c r="AI481" i="1"/>
  <c r="AI233" i="1"/>
  <c r="AI232" i="1"/>
  <c r="AI468" i="1"/>
  <c r="AI371" i="1"/>
  <c r="AI315" i="1"/>
  <c r="AI96" i="1"/>
  <c r="AI143" i="1"/>
  <c r="AI467" i="1"/>
  <c r="AI44" i="1"/>
  <c r="AI274" i="1"/>
  <c r="AI469" i="1"/>
  <c r="AI137" i="1"/>
  <c r="AI285" i="1"/>
  <c r="AI340" i="1"/>
  <c r="AI416" i="1"/>
  <c r="AI269" i="1"/>
  <c r="AI284" i="1"/>
  <c r="AI511" i="1"/>
  <c r="AI507" i="1"/>
  <c r="AI170" i="1"/>
  <c r="AI398" i="1"/>
  <c r="AI55" i="1"/>
  <c r="AI271" i="1"/>
  <c r="AI528" i="1"/>
  <c r="AI472" i="1"/>
  <c r="AI127" i="1"/>
  <c r="AI581" i="1"/>
  <c r="AI69" i="1"/>
  <c r="AI393" i="1"/>
  <c r="AI163" i="1"/>
  <c r="AI374" i="1"/>
  <c r="AI478" i="1"/>
  <c r="AI166" i="1"/>
  <c r="AI167" i="1"/>
  <c r="AI545" i="1"/>
  <c r="AI144" i="1"/>
  <c r="AI311" i="1"/>
  <c r="AI253" i="1"/>
  <c r="AI190" i="1"/>
  <c r="AI458" i="1"/>
  <c r="AI300" i="1"/>
  <c r="AI294" i="1"/>
  <c r="AI83" i="1"/>
  <c r="AI75" i="1"/>
  <c r="AI605" i="1"/>
  <c r="AI392" i="1"/>
  <c r="AI559" i="1"/>
  <c r="AI501" i="1"/>
  <c r="AI518" i="1"/>
  <c r="AI148" i="1"/>
  <c r="AI47" i="1"/>
  <c r="AI246" i="1"/>
  <c r="AI475" i="1"/>
  <c r="AI339" i="1"/>
  <c r="AI304" i="1"/>
  <c r="AI529" i="1"/>
  <c r="AI128" i="1"/>
  <c r="AI295" i="1"/>
  <c r="AI237" i="1"/>
  <c r="AI164" i="1"/>
  <c r="AI433" i="1"/>
  <c r="AI186" i="1"/>
  <c r="AI243" i="1"/>
  <c r="AI62" i="1"/>
  <c r="AI33" i="1"/>
  <c r="AI531" i="1"/>
  <c r="AI248" i="1"/>
  <c r="AI415" i="1"/>
  <c r="AI357" i="1"/>
  <c r="AI356" i="1"/>
  <c r="AI134" i="1"/>
  <c r="AI187" i="1"/>
  <c r="AI31" i="1"/>
  <c r="AI244" i="1"/>
  <c r="AI235" i="1"/>
  <c r="AI579" i="1"/>
  <c r="AI572" i="1"/>
  <c r="AI502" i="1"/>
  <c r="AI299" i="1"/>
  <c r="AI277" i="1"/>
  <c r="AI87" i="1"/>
  <c r="AI571" i="1"/>
  <c r="AI550" i="1"/>
  <c r="AI490" i="1"/>
  <c r="AI608" i="1"/>
  <c r="AI151" i="1"/>
  <c r="AI35" i="1"/>
  <c r="AI76" i="1"/>
  <c r="AI154" i="1"/>
  <c r="AI213" i="1"/>
  <c r="AI391" i="1"/>
  <c r="AI483" i="1"/>
  <c r="AI334" i="1"/>
  <c r="AI561" i="1"/>
  <c r="AI251" i="1"/>
  <c r="AI435" i="1"/>
  <c r="AI77" i="1"/>
  <c r="AI66" i="1"/>
  <c r="AI327" i="1"/>
  <c r="AI114" i="1"/>
  <c r="AI219" i="1"/>
  <c r="AI408" i="1"/>
  <c r="AI575" i="1"/>
  <c r="AI517" i="1"/>
  <c r="AI612" i="1"/>
  <c r="AI201" i="1"/>
  <c r="AI68" i="1"/>
  <c r="AI273" i="1"/>
  <c r="AI500" i="1"/>
  <c r="AI442" i="1"/>
  <c r="AI471" i="1"/>
  <c r="AI592" i="1"/>
  <c r="AI80" i="1"/>
  <c r="AI239" i="1"/>
  <c r="AI189" i="1"/>
  <c r="AI91" i="1"/>
  <c r="AI355" i="1"/>
  <c r="AI602" i="1"/>
  <c r="AI82" i="1"/>
  <c r="AI554" i="1"/>
  <c r="AI350" i="1"/>
  <c r="AI611" i="1"/>
  <c r="AI328" i="1"/>
  <c r="AI495" i="1"/>
  <c r="AI437" i="1"/>
  <c r="AI484" i="1"/>
  <c r="AI522" i="1"/>
  <c r="AI457" i="1"/>
  <c r="AI145" i="1"/>
  <c r="AI372" i="1"/>
  <c r="AI491" i="1"/>
  <c r="AI176" i="1"/>
  <c r="AI576" i="1"/>
  <c r="AI64" i="1"/>
  <c r="AI223" i="1"/>
  <c r="AI173" i="1"/>
  <c r="AI70" i="1"/>
  <c r="AI330" i="1"/>
  <c r="AI558" i="1"/>
  <c r="AI39" i="1"/>
  <c r="AI486" i="1"/>
  <c r="AI222" i="1"/>
  <c r="AI585" i="1"/>
  <c r="AI184" i="1"/>
  <c r="AI351" i="1"/>
  <c r="AI293" i="1"/>
  <c r="AI254" i="1"/>
  <c r="AI526" i="1"/>
  <c r="AI586" i="1"/>
  <c r="AI422" i="1"/>
  <c r="AI142" i="1"/>
  <c r="AI43" i="1"/>
  <c r="AI552" i="1"/>
  <c r="AI318" i="1"/>
  <c r="AI209" i="1"/>
  <c r="AI385" i="1"/>
  <c r="AI276" i="1"/>
  <c r="AI298" i="1"/>
  <c r="AI544" i="1"/>
  <c r="AI242" i="1"/>
  <c r="AI195" i="1"/>
  <c r="AI49" i="1"/>
  <c r="AI399" i="1"/>
  <c r="AI497" i="1"/>
  <c r="AI411" i="1"/>
  <c r="AI30" i="1"/>
  <c r="AI79" i="1"/>
  <c r="AI589" i="1"/>
  <c r="AI188" i="1"/>
  <c r="AI105" i="1"/>
  <c r="AI525" i="1"/>
  <c r="AI540" i="1"/>
  <c r="AI569" i="1"/>
  <c r="AI434" i="1"/>
  <c r="AI387" i="1"/>
  <c r="AI126" i="1"/>
  <c r="AI90" i="1"/>
  <c r="AI627" i="1"/>
  <c r="AI563" i="1"/>
  <c r="AI280" i="1"/>
  <c r="AI447" i="1"/>
  <c r="AI389" i="1"/>
  <c r="AI409" i="1"/>
  <c r="AI326" i="1"/>
  <c r="AI290" i="1"/>
  <c r="AI74" i="1"/>
  <c r="AI297" i="1"/>
  <c r="AI107" i="1"/>
  <c r="AI413" i="1"/>
  <c r="AI464" i="1"/>
  <c r="AI119" i="1"/>
  <c r="AI573" i="1"/>
  <c r="AI61" i="1"/>
  <c r="AI379" i="1"/>
  <c r="AI150" i="1"/>
  <c r="AI362" i="1"/>
  <c r="AI441" i="1"/>
  <c r="AI140" i="1"/>
  <c r="AI432" i="1"/>
  <c r="AI601" i="1"/>
  <c r="AI200" i="1"/>
  <c r="AI367" i="1"/>
  <c r="AI309" i="1"/>
  <c r="AI281" i="1"/>
  <c r="AI570" i="1"/>
  <c r="AI46" i="1"/>
  <c r="AI474" i="1"/>
  <c r="AI169" i="1"/>
  <c r="AI158" i="1"/>
  <c r="AI477" i="1"/>
  <c r="AI448" i="1"/>
  <c r="AI615" i="1"/>
  <c r="AI557" i="1"/>
  <c r="AI45" i="1"/>
  <c r="AI329" i="1"/>
  <c r="AI124" i="1"/>
  <c r="AI337" i="1"/>
  <c r="AI598" i="1"/>
  <c r="AI92" i="1"/>
  <c r="AI48" i="1"/>
  <c r="AI568" i="1"/>
  <c r="AI56" i="1"/>
  <c r="AI215" i="1"/>
  <c r="AI165" i="1"/>
  <c r="AI59" i="1"/>
  <c r="AI316" i="1"/>
  <c r="AI538" i="1"/>
  <c r="AI18" i="1"/>
  <c r="AI460" i="1"/>
  <c r="AI132" i="1"/>
  <c r="AI40" i="1"/>
  <c r="AI78" i="1"/>
  <c r="AI428" i="1"/>
  <c r="AI388" i="1"/>
  <c r="AI310" i="1"/>
  <c r="AI352" i="1"/>
  <c r="AI32" i="1"/>
  <c r="AI57" i="1"/>
  <c r="AI364" i="1"/>
  <c r="AI514" i="1"/>
  <c r="AI341" i="1"/>
  <c r="AI546" i="1"/>
  <c r="AI98" i="1"/>
  <c r="AI21" i="1"/>
  <c r="AI121" i="1"/>
  <c r="AI85" i="1"/>
  <c r="AI403" i="1"/>
  <c r="AI452" i="1"/>
  <c r="AI23" i="1"/>
  <c r="AI260" i="1"/>
  <c r="AI168" i="1"/>
  <c r="AI418" i="1"/>
  <c r="AI179" i="1"/>
  <c r="AI84" i="1"/>
  <c r="AI324" i="1"/>
  <c r="AI617" i="1"/>
  <c r="AI216" i="1"/>
  <c r="AI383" i="1"/>
  <c r="AI325" i="1"/>
  <c r="AI306" i="1"/>
  <c r="AI618" i="1"/>
  <c r="AI89" i="1"/>
  <c r="AI532" i="1"/>
  <c r="AI553" i="1"/>
  <c r="AI152" i="1"/>
  <c r="AI319" i="1"/>
  <c r="AI261" i="1"/>
  <c r="AI203" i="1"/>
  <c r="AI470" i="1"/>
  <c r="AI353" i="1"/>
  <c r="AI321" i="1"/>
  <c r="AI94" i="1"/>
  <c r="AI86" i="1"/>
  <c r="AI619" i="1"/>
  <c r="AI336" i="1"/>
  <c r="AI503" i="1"/>
  <c r="AI445" i="1"/>
  <c r="AI498" i="1"/>
  <c r="AI610" i="1"/>
  <c r="AI482" i="1"/>
  <c r="AI156" i="1"/>
  <c r="AI386" i="1"/>
  <c r="AI582" i="1"/>
  <c r="AI240" i="1"/>
  <c r="AI584" i="1"/>
  <c r="AI72" i="1"/>
  <c r="AI231" i="1"/>
  <c r="AI181" i="1"/>
  <c r="AI81" i="1"/>
  <c r="AI342" i="1"/>
  <c r="AI580" i="1"/>
  <c r="AI60" i="1"/>
  <c r="AI513" i="1"/>
  <c r="AI338" i="1"/>
  <c r="AI603" i="1"/>
  <c r="AI320" i="1"/>
  <c r="AI487" i="1"/>
  <c r="AI429" i="1"/>
  <c r="AI473" i="1"/>
  <c r="AI506" i="1"/>
  <c r="AI430" i="1"/>
  <c r="AI131" i="1"/>
  <c r="AI361" i="1"/>
  <c r="AI466" i="1"/>
  <c r="AI541" i="1"/>
  <c r="AI440" i="1"/>
  <c r="AI607" i="1"/>
  <c r="AI549" i="1"/>
  <c r="AI37" i="1"/>
  <c r="AI302" i="1"/>
  <c r="AI113" i="1"/>
  <c r="AI323" i="1"/>
  <c r="AI578" i="1"/>
  <c r="AI71" i="1"/>
  <c r="AI599" i="1"/>
  <c r="AI191" i="1"/>
  <c r="AI291" i="1"/>
  <c r="AI206" i="1"/>
  <c r="AI230" i="1"/>
  <c r="AI171" i="1"/>
  <c r="AI34" i="1"/>
  <c r="AI183" i="1"/>
  <c r="AI278" i="1"/>
  <c r="AI130" i="1"/>
  <c r="AI515" i="1"/>
  <c r="AI530" i="1"/>
  <c r="AI412" i="1"/>
  <c r="AI29" i="1"/>
  <c r="AI20" i="1"/>
  <c r="AI480" i="1"/>
  <c r="AI217" i="1"/>
  <c r="AI106" i="1"/>
  <c r="AI606" i="1"/>
  <c r="AI50" i="1"/>
  <c r="AI331" i="1"/>
  <c r="AI335" i="1"/>
  <c r="AI406" i="1"/>
  <c r="AI41" i="1"/>
  <c r="AI616" i="1"/>
  <c r="AI461" i="1"/>
  <c r="AI14" i="1"/>
  <c r="AI600" i="1"/>
  <c r="AI88" i="1"/>
  <c r="AI247" i="1"/>
  <c r="AI197" i="1"/>
  <c r="AI102" i="1"/>
  <c r="AI369" i="1"/>
  <c r="AI505" i="1"/>
  <c r="AI103" i="1"/>
  <c r="AI626" i="1"/>
  <c r="AI65" i="1"/>
  <c r="AI555" i="1"/>
  <c r="AI272" i="1"/>
  <c r="AI439" i="1"/>
  <c r="AI381" i="1"/>
  <c r="AI395" i="1"/>
  <c r="AI275" i="1"/>
  <c r="AI265" i="1"/>
  <c r="AI63" i="1"/>
  <c r="AI283" i="1"/>
  <c r="AI22" i="1"/>
  <c r="AI112" i="1"/>
  <c r="AI520" i="1"/>
  <c r="AI287" i="1"/>
  <c r="AI111" i="1"/>
  <c r="AI117" i="1"/>
  <c r="AI566" i="1"/>
  <c r="AI241" i="1"/>
  <c r="AI451" i="1"/>
  <c r="AI211" i="1"/>
  <c r="AI307" i="1"/>
  <c r="AI624" i="1"/>
  <c r="AI539" i="1"/>
  <c r="AI256" i="1"/>
  <c r="AI423" i="1"/>
  <c r="AI365" i="1"/>
  <c r="AI370" i="1"/>
  <c r="AI172" i="1"/>
  <c r="AI212" i="1"/>
  <c r="AI42" i="1"/>
  <c r="AI258" i="1"/>
  <c r="AI249" i="1"/>
  <c r="AI221" i="1"/>
  <c r="AI376" i="1"/>
  <c r="AI543" i="1"/>
  <c r="AI485" i="1"/>
  <c r="AI594" i="1"/>
  <c r="AI99" i="1"/>
  <c r="AI26" i="1"/>
  <c r="AI220" i="1"/>
  <c r="AI450" i="1"/>
  <c r="AI236" i="1"/>
  <c r="AI207" i="1"/>
  <c r="AI405" i="1"/>
  <c r="AI15" i="1"/>
  <c r="AI410" i="1"/>
  <c r="AI286" i="1"/>
  <c r="AI527" i="1"/>
  <c r="AI596" i="1"/>
  <c r="AI397" i="1"/>
  <c r="AI614" i="1"/>
  <c r="AI162" i="1"/>
  <c r="AI488" i="1"/>
  <c r="AI228" i="1"/>
  <c r="AI182" i="1"/>
  <c r="AI378" i="1"/>
  <c r="AI28" i="1"/>
  <c r="AI224" i="1"/>
  <c r="AI443" i="1"/>
  <c r="AI346" i="1"/>
  <c r="AI193" i="1"/>
  <c r="AI360" i="1"/>
  <c r="AI226" i="1"/>
  <c r="AI533" i="1"/>
  <c r="AI177" i="1"/>
  <c r="AI313" i="1"/>
  <c r="AI263" i="1"/>
  <c r="AI305" i="1"/>
  <c r="AI344" i="1"/>
  <c r="AI567" i="1"/>
  <c r="AI58" i="1"/>
  <c r="AI368" i="1"/>
  <c r="AI245" i="1"/>
  <c r="AI268" i="1"/>
  <c r="AI384" i="1"/>
  <c r="AI123" i="1"/>
  <c r="AI289" i="1"/>
  <c r="AI613" i="1"/>
  <c r="AI426" i="1"/>
  <c r="AI463" i="1"/>
  <c r="AI308" i="1"/>
  <c r="AI425" i="1"/>
  <c r="AI583" i="1"/>
  <c r="AI401" i="1"/>
  <c r="AI591" i="1"/>
  <c r="AI453" i="1"/>
  <c r="AI135" i="1"/>
  <c r="AI465" i="1"/>
  <c r="AI547" i="1"/>
  <c r="AI382" i="1"/>
  <c r="AI270" i="1"/>
  <c r="AI199" i="1"/>
  <c r="AI227" i="1"/>
  <c r="AI523" i="1"/>
  <c r="AI229" i="1"/>
  <c r="AI218" i="1"/>
  <c r="AI38" i="1"/>
  <c r="AI19" i="1"/>
  <c r="AI516" i="1"/>
  <c r="AI104" i="1"/>
  <c r="AI204" i="1"/>
  <c r="AI139" i="1"/>
  <c r="AI332" i="1"/>
  <c r="AI390" i="1"/>
  <c r="AI519" i="1"/>
  <c r="AI510" i="1"/>
  <c r="AI509" i="1"/>
  <c r="AI259" i="1"/>
  <c r="AI537" i="1"/>
  <c r="AI178" i="1"/>
  <c r="AI73" i="1"/>
  <c r="AI551" i="1"/>
  <c r="AI36" i="1"/>
  <c r="AI343" i="1"/>
  <c r="AI101" i="1"/>
  <c r="AI108" i="1"/>
  <c r="AI562" i="1"/>
  <c r="AI620" i="1"/>
  <c r="AI402" i="1"/>
  <c r="AI380" i="1"/>
  <c r="AI185" i="1"/>
  <c r="AI417" i="1"/>
  <c r="AI120" i="1"/>
  <c r="AI194" i="1"/>
  <c r="AI125" i="1"/>
  <c r="AI262" i="1"/>
  <c r="AI264" i="1"/>
  <c r="AI225" i="1"/>
  <c r="AI363" i="1"/>
  <c r="AI621" i="1"/>
  <c r="AI438" i="1"/>
  <c r="AI521" i="1"/>
  <c r="AI153" i="1"/>
  <c r="AI51" i="1"/>
  <c r="AI574" i="1"/>
  <c r="AI288" i="1"/>
  <c r="AI597" i="1"/>
  <c r="AI564" i="1"/>
  <c r="AI420" i="1"/>
  <c r="AI95" i="1"/>
  <c r="AI588" i="1"/>
  <c r="AI303" i="1"/>
  <c r="AI196" i="1"/>
  <c r="AI604" i="1"/>
  <c r="AI489" i="1"/>
  <c r="AI136" i="1"/>
  <c r="AI444" i="1"/>
  <c r="AI54" i="1"/>
  <c r="AI493" i="1"/>
  <c r="AI234" i="1"/>
  <c r="AI504" i="1"/>
  <c r="AI494" i="1"/>
  <c r="AI257" i="1"/>
  <c r="AI436" i="1"/>
  <c r="AI455" i="1"/>
  <c r="AI141" i="1"/>
  <c r="AI625" i="1"/>
  <c r="AI556" i="1"/>
  <c r="AI322" i="1"/>
  <c r="AI93" i="1"/>
  <c r="AI431" i="1"/>
  <c r="AI238" i="1"/>
  <c r="AI535" i="1"/>
  <c r="AI109" i="1"/>
  <c r="AI147" i="1"/>
  <c r="AI419" i="1"/>
  <c r="AI377" i="1"/>
  <c r="AI161" i="1"/>
  <c r="AI27" i="1"/>
  <c r="AI202" i="1"/>
  <c r="AI333" i="1"/>
  <c r="AI534" i="1"/>
  <c r="AI394" i="1"/>
  <c r="AI174" i="1"/>
  <c r="AI400" i="1"/>
  <c r="AI250" i="1"/>
  <c r="AI157" i="1"/>
  <c r="AI622" i="1"/>
  <c r="AI462" i="1"/>
  <c r="AI175" i="1"/>
  <c r="AI214" i="1"/>
  <c r="AI587" i="1"/>
  <c r="AG13" i="1"/>
  <c r="AI13" i="1" s="1"/>
  <c r="AI508" i="1"/>
  <c r="AI454" i="1"/>
  <c r="AI446" i="1"/>
  <c r="AI255" i="1"/>
  <c r="AI210" i="1"/>
  <c r="AI16" i="1"/>
  <c r="AI252" i="1"/>
  <c r="AI577" i="1"/>
  <c r="AI373" i="1"/>
  <c r="AI52" i="1"/>
  <c r="AI512" i="1"/>
  <c r="AI524" i="1"/>
  <c r="AI282" i="1"/>
  <c r="AI279" i="1"/>
  <c r="AI122" i="1"/>
  <c r="AI296" i="1"/>
  <c r="AI100" i="1"/>
  <c r="AI396" i="1"/>
  <c r="AI116" i="1"/>
  <c r="AI366" i="1"/>
  <c r="AI424" i="1"/>
  <c r="AI129" i="1"/>
  <c r="AD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F4DC928-44CB-4D3A-9C8C-362769B7D5F3}" keepAlive="1" name="Query - age_code" description="Connection to the 'age_code' query in the workbook." type="5" refreshedVersion="0" background="1">
    <dbPr connection="Provider=Microsoft.Mashup.OleDb.1;Data Source=$Workbook$;Location=age_code;Extended Properties=&quot;&quot;" command="SELECT * FROM [age_code]"/>
  </connection>
  <connection id="2" xr16:uid="{1A395295-3AA5-4FF4-BC1D-EFD1FA1E83C1}" keepAlive="1" name="Query - Data Date" description="Connection to the 'Data Date' query in the workbook." type="5" refreshedVersion="8" saveData="1">
    <dbPr connection="Provider=Microsoft.Mashup.OleDb.1;Data Source=$Workbook$;Location=&quot;Data Date&quot;;Extended Properties=&quot;&quot;" command="SELECT * FROM [Data Date]"/>
  </connection>
  <connection id="3" xr16:uid="{145F7407-A5DA-4DA6-B681-0F9397626F3A}" keepAlive="1" name="Query - DC" description="Connection to the 'DC' query in the workbook." type="5" refreshedVersion="0" background="1">
    <dbPr connection="Provider=Microsoft.Mashup.OleDb.1;Data Source=$Workbook$;Location=DC;Extended Properties=&quot;&quot;" command="SELECT * FROM [DC]"/>
  </connection>
  <connection id="4" xr16:uid="{E5AFD8B5-D6D0-4F17-97F0-BEE5F02519BC}" keepAlive="1" name="Query - file_path" description="Connection to the 'file_path' query in the workbook." type="5" refreshedVersion="0" background="1">
    <dbPr connection="Provider=Microsoft.Mashup.OleDb.1;Data Source=$Workbook$;Location=file_path;Extended Properties=&quot;&quot;" command="SELECT * FROM [file_path]"/>
  </connection>
  <connection id="5" xr16:uid="{41F03C20-9EBA-4399-8FA5-E1AD5349778E}" keepAlive="1" name="Query - rack_breakdown" description="Connection to the 'rack_breakdown' query in the workbook." type="5" refreshedVersion="8" saveData="1">
    <dbPr connection="Provider=Microsoft.Mashup.OleDb.1;Data Source=$Workbook$;Location=rack_breakdown;Extended Properties=&quot;&quot;" command="SELECT * FROM [rack_breakdown]"/>
  </connection>
  <connection id="6" xr16:uid="{622EF2F6-7419-4472-9D91-D773B74381B3}" keepAlive="1" name="Query - rack_breakdown (2)" description="Connection to the 'rack_breakdown (2)' query in the workbook." type="5" refreshedVersion="0" background="1">
    <dbPr connection="Provider=Microsoft.Mashup.OleDb.1;Data Source=$Workbook$;Location=&quot;rack_breakdown (2)&quot;;Extended Properties=&quot;&quot;" command="SELECT * FROM [rack_breakdown (2)]"/>
  </connection>
  <connection id="7" xr16:uid="{432696CA-C22E-4934-B331-A1AE0E4FBE6E}" keepAlive="1" name="Query - rack_breakdown (Source)" description="Connection to the 'rack_breakdown (Source)' query in the workbook." type="5" refreshedVersion="0" background="1">
    <dbPr connection="Provider=Microsoft.Mashup.OleDb.1;Data Source=$Workbook$;Location=&quot;rack_breakdown (Source)&quot;;Extended Properties=&quot;&quot;" command="SELECT * FROM [rack_breakdown (Source)]"/>
  </connection>
  <connection id="8" xr16:uid="{61E10DB1-9984-4208-9357-705D64B1A4E2}" keepAlive="1" name="Query - site_assumptions" description="Connection to the 'site_assumptions' query in the workbook." type="5" refreshedVersion="8" saveData="1">
    <dbPr connection="Provider=Microsoft.Mashup.OleDb.1;Data Source=$Workbook$;Location=site_assumptions;Extended Properties=&quot;&quot;" command="SELECT * FROM [site_assumptio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<sst xmlns="http://schemas.openxmlformats.org/spreadsheetml/2006/main" count="31378" uniqueCount="2154">
  <si>
    <t>File</t>
  </si>
  <si>
    <t>File Path</t>
  </si>
  <si>
    <t>Current File Path</t>
  </si>
  <si>
    <t>Capacity Summary Report</t>
  </si>
  <si>
    <t>Data Center</t>
  </si>
  <si>
    <t>Server Room</t>
  </si>
  <si>
    <t>Age Code</t>
  </si>
  <si>
    <t>Details</t>
  </si>
  <si>
    <t>AMS03</t>
  </si>
  <si>
    <t>SL 5.0 - (208/30/Single ATS - 10G Dual)</t>
  </si>
  <si>
    <t>SL 7.0 - (400/30/3Phase - 10G Dual)</t>
  </si>
  <si>
    <t>DAL05</t>
  </si>
  <si>
    <t>SL 2.0 - (208/30/Single - 10G Single)</t>
  </si>
  <si>
    <t>DAL08</t>
  </si>
  <si>
    <t>CHE01</t>
  </si>
  <si>
    <t>SL 8.0 - (400/30/3Phase - 10G Dual) Provider Cap</t>
  </si>
  <si>
    <t>DAL09</t>
  </si>
  <si>
    <t>SL 3.0 - (208/30/Single - 10G Dual)</t>
  </si>
  <si>
    <t>SL 6.0 - (208/30/3Phase - 10G Dual)</t>
  </si>
  <si>
    <t>DAL10</t>
  </si>
  <si>
    <t>Proxy Data (New DC)</t>
  </si>
  <si>
    <t>DAL12</t>
  </si>
  <si>
    <t>SL9.0 - (208/60/3Phase - 10G Dual)</t>
  </si>
  <si>
    <t>DAL13</t>
  </si>
  <si>
    <t>DAL14</t>
  </si>
  <si>
    <t>FRA02</t>
  </si>
  <si>
    <t>FRA04</t>
  </si>
  <si>
    <t>FRA05</t>
  </si>
  <si>
    <t>LON02</t>
  </si>
  <si>
    <t>LON04</t>
  </si>
  <si>
    <t>LON05</t>
  </si>
  <si>
    <t>LON06</t>
  </si>
  <si>
    <t>MAD02</t>
  </si>
  <si>
    <t>MAD04</t>
  </si>
  <si>
    <t>MAD05</t>
  </si>
  <si>
    <t>MIL01</t>
  </si>
  <si>
    <t>SL 4.0 - (208/30/Single Quad PSU - 10G Dual</t>
  </si>
  <si>
    <t>MON01</t>
  </si>
  <si>
    <t>OSA21</t>
  </si>
  <si>
    <t>OSA22</t>
  </si>
  <si>
    <t>OSA23</t>
  </si>
  <si>
    <t>PAR01</t>
  </si>
  <si>
    <t>PAR04</t>
  </si>
  <si>
    <t>PAR05</t>
  </si>
  <si>
    <t>PAR06</t>
  </si>
  <si>
    <t>SAO01</t>
  </si>
  <si>
    <t>SAO04</t>
  </si>
  <si>
    <t>SAO05</t>
  </si>
  <si>
    <t>SJC01</t>
  </si>
  <si>
    <t>SJC03</t>
  </si>
  <si>
    <t>SJC04</t>
  </si>
  <si>
    <t>SNG01</t>
  </si>
  <si>
    <t>SYD01</t>
  </si>
  <si>
    <t>SYD04</t>
  </si>
  <si>
    <t>SYD05</t>
  </si>
  <si>
    <t>TOK02</t>
  </si>
  <si>
    <t>TOK04</t>
  </si>
  <si>
    <t>TOK05</t>
  </si>
  <si>
    <t>TOR01</t>
  </si>
  <si>
    <t>TOR04</t>
  </si>
  <si>
    <t>TOR05</t>
  </si>
  <si>
    <t>WDC01</t>
  </si>
  <si>
    <t>WDC03</t>
  </si>
  <si>
    <t>WDC04</t>
  </si>
  <si>
    <t>WDC06</t>
  </si>
  <si>
    <t>WDC07</t>
  </si>
  <si>
    <t>Volts</t>
  </si>
  <si>
    <t>Amps</t>
  </si>
  <si>
    <t>Type</t>
  </si>
  <si>
    <t>Rack Path</t>
  </si>
  <si>
    <t>Rack</t>
  </si>
  <si>
    <t>Pod</t>
  </si>
  <si>
    <t>Speed</t>
  </si>
  <si>
    <t>Path</t>
  </si>
  <si>
    <t>Group</t>
  </si>
  <si>
    <t>Sub-Type</t>
  </si>
  <si>
    <t>Status</t>
  </si>
  <si>
    <t>Max Slots</t>
  </si>
  <si>
    <t>Rack ID</t>
  </si>
  <si>
    <t>kW/Rack</t>
  </si>
  <si>
    <t>Utility Identifier</t>
  </si>
  <si>
    <t>Lease Identifier</t>
  </si>
  <si>
    <t>Zone-Power</t>
  </si>
  <si>
    <t>Row Number</t>
  </si>
  <si>
    <t>Notes</t>
  </si>
  <si>
    <t>Active Servers</t>
  </si>
  <si>
    <t>Active Hardware</t>
  </si>
  <si>
    <t>Current Inventory</t>
  </si>
  <si>
    <t>Current Spare Pool</t>
  </si>
  <si>
    <t>Adjusted Inventory</t>
  </si>
  <si>
    <t>Current Other</t>
  </si>
  <si>
    <t>Total Servers</t>
  </si>
  <si>
    <t>Total Hardware</t>
  </si>
  <si>
    <t>Adj Max Slots</t>
  </si>
  <si>
    <t>Active Slots</t>
  </si>
  <si>
    <t>Inventory Slots</t>
  </si>
  <si>
    <t>Other Slots</t>
  </si>
  <si>
    <t>Used Slots</t>
  </si>
  <si>
    <t>Spare Pool Slots</t>
  </si>
  <si>
    <t>Usable Slots</t>
  </si>
  <si>
    <t>Unused Slots</t>
  </si>
  <si>
    <t>Unused + Inventory</t>
  </si>
  <si>
    <t>Unused + Inv + Other</t>
  </si>
  <si>
    <t>Unusable Slots</t>
  </si>
  <si>
    <t>Avg kW per Slot:</t>
  </si>
  <si>
    <t>Reserved Power</t>
  </si>
  <si>
    <t>Spare Pool Power</t>
  </si>
  <si>
    <t>Type - Status</t>
  </si>
  <si>
    <t>Empty Flag</t>
  </si>
  <si>
    <t>POD Code</t>
  </si>
  <si>
    <t>G</t>
  </si>
  <si>
    <t>H</t>
  </si>
  <si>
    <t>J</t>
  </si>
  <si>
    <t>K</t>
  </si>
  <si>
    <t>Total</t>
  </si>
  <si>
    <t>kW per Active Slot</t>
  </si>
  <si>
    <t>Est. Total Rack kW</t>
  </si>
  <si>
    <t>Power Strip Errors</t>
  </si>
  <si>
    <t>Est kW Remaining</t>
  </si>
  <si>
    <t>Est. Slots Remaining</t>
  </si>
  <si>
    <t>Start/End Rack ID</t>
  </si>
  <si>
    <t>Empty Rack Count</t>
  </si>
  <si>
    <t>Row</t>
  </si>
  <si>
    <t>10G</t>
  </si>
  <si>
    <t>Dual Path</t>
  </si>
  <si>
    <t>Sellable</t>
  </si>
  <si>
    <t>Bare Metal</t>
  </si>
  <si>
    <t>Live</t>
  </si>
  <si>
    <t>L1</t>
  </si>
  <si>
    <t>Unknown</t>
  </si>
  <si>
    <t>Bare Metal - Live</t>
  </si>
  <si>
    <t>N</t>
  </si>
  <si>
    <t>S</t>
  </si>
  <si>
    <t>-</t>
  </si>
  <si>
    <t>NO IP</t>
  </si>
  <si>
    <t/>
  </si>
  <si>
    <t>Unsellable</t>
  </si>
  <si>
    <t>Network</t>
  </si>
  <si>
    <t>Aggregate</t>
  </si>
  <si>
    <t>Network - Live</t>
  </si>
  <si>
    <t>Compute</t>
  </si>
  <si>
    <t>Hybrid</t>
  </si>
  <si>
    <t>Compute - Live</t>
  </si>
  <si>
    <t>ERROR</t>
  </si>
  <si>
    <t>E</t>
  </si>
  <si>
    <t>COD</t>
  </si>
  <si>
    <t>Ded. Firewall</t>
  </si>
  <si>
    <t>NO PS READING</t>
  </si>
  <si>
    <t>Storage</t>
  </si>
  <si>
    <t>COS</t>
  </si>
  <si>
    <t>Storage - Live</t>
  </si>
  <si>
    <t>Power Limit</t>
  </si>
  <si>
    <t>Fiber</t>
  </si>
  <si>
    <t>Router</t>
  </si>
  <si>
    <t>Unallocated</t>
  </si>
  <si>
    <t>Y</t>
  </si>
  <si>
    <t>Misc.</t>
  </si>
  <si>
    <t>File/Block</t>
  </si>
  <si>
    <t>Fabric</t>
  </si>
  <si>
    <t>Server</t>
  </si>
  <si>
    <t>Fabric - Live</t>
  </si>
  <si>
    <t>DTS</t>
  </si>
  <si>
    <t xml:space="preserve">vlam - vlam - 05-06-19 - isilon
</t>
  </si>
  <si>
    <t>Firewall</t>
  </si>
  <si>
    <t>Load Balancer</t>
  </si>
  <si>
    <t>Network Spares</t>
  </si>
  <si>
    <t>Planned</t>
  </si>
  <si>
    <t>Unallocated - Planned</t>
  </si>
  <si>
    <t>L3</t>
  </si>
  <si>
    <t>Storage - Planned</t>
  </si>
  <si>
    <t>Decom</t>
  </si>
  <si>
    <t>vlam - NetApp</t>
  </si>
  <si>
    <t>Unallocated - Power Limit</t>
  </si>
  <si>
    <t>PowerVS</t>
  </si>
  <si>
    <t>PowerVS - Planned</t>
  </si>
  <si>
    <t>Network - Planned</t>
  </si>
  <si>
    <t>Swift</t>
  </si>
  <si>
    <t>Network - Decom</t>
  </si>
  <si>
    <t>Fabric - Decom</t>
  </si>
  <si>
    <t>Bare Metal - Planned</t>
  </si>
  <si>
    <t>VDC</t>
  </si>
  <si>
    <t>Unusable</t>
  </si>
  <si>
    <t>L6</t>
  </si>
  <si>
    <t>Gen2</t>
  </si>
  <si>
    <t>Gen2 - Planned</t>
  </si>
  <si>
    <t>Lab</t>
  </si>
  <si>
    <t>L7</t>
  </si>
  <si>
    <t>Management</t>
  </si>
  <si>
    <t>Gen2 - Live</t>
  </si>
  <si>
    <t>astelmach - 8/2/23 - This power limit rack has been updated from Gen2/Compute to Unallocated/Unallocated.</t>
  </si>
  <si>
    <t>GPU</t>
  </si>
  <si>
    <t>Acadia</t>
  </si>
  <si>
    <t>Build Out</t>
  </si>
  <si>
    <t>dal10.sr01.rk01</t>
  </si>
  <si>
    <t>DAL10-101</t>
  </si>
  <si>
    <t>dal10.sr01.rk02</t>
  </si>
  <si>
    <t>dal10.sr01.rk03</t>
  </si>
  <si>
    <t>dal10.sr01.rk04</t>
  </si>
  <si>
    <t>dal10.sr01.rk05</t>
  </si>
  <si>
    <t>dal10.sr01.rk06</t>
  </si>
  <si>
    <t>dal10.sr01.rk07</t>
  </si>
  <si>
    <t>dal10.sr01.rk08</t>
  </si>
  <si>
    <t>dal10.sr01.rk09</t>
  </si>
  <si>
    <t>dal10.sr01.rk10</t>
  </si>
  <si>
    <t>dal10.sr01.rk11</t>
  </si>
  <si>
    <t>dal10.sr01.rk12</t>
  </si>
  <si>
    <t>dal10.sr01.rk13</t>
  </si>
  <si>
    <t>dal10.sr01.rk14</t>
  </si>
  <si>
    <t>dal10.sr01.rk15</t>
  </si>
  <si>
    <t>dal10.sr01.rk16</t>
  </si>
  <si>
    <t>dal10.sr01.rk17</t>
  </si>
  <si>
    <t>dal10.sr01.rk18</t>
  </si>
  <si>
    <t>dal10.sr01.rk19</t>
  </si>
  <si>
    <t>dal10.sr01.rk20</t>
  </si>
  <si>
    <t>dal10.sr01.rk21</t>
  </si>
  <si>
    <t>dal10.sr01.rk22</t>
  </si>
  <si>
    <t>dal10.sr01.rk23</t>
  </si>
  <si>
    <t>dal10.sr01.rk24</t>
  </si>
  <si>
    <t>dal10.sr01.rk25</t>
  </si>
  <si>
    <t>dal10.sr01.rk26</t>
  </si>
  <si>
    <t>dal10.sr01.rk27</t>
  </si>
  <si>
    <t>dal10.sr01.rk28</t>
  </si>
  <si>
    <t>dal10.sr01.rk29</t>
  </si>
  <si>
    <t>dal10.sr01.rk30</t>
  </si>
  <si>
    <t>dal10.sr01.rk31</t>
  </si>
  <si>
    <t>dal10.sr01.rk32</t>
  </si>
  <si>
    <t>dal10.sr01.rk33</t>
  </si>
  <si>
    <t>dal10.sr01.rk34</t>
  </si>
  <si>
    <t>dmcmullen - Updating Capacity Status to Live, since there are active servers on this rack.</t>
  </si>
  <si>
    <t>DAL10-10G1</t>
  </si>
  <si>
    <t>dal10.sr01.rk35</t>
  </si>
  <si>
    <t>dal10.sr01.rk36</t>
  </si>
  <si>
    <t>dal10.sr01.rk37</t>
  </si>
  <si>
    <t>ysilva - vlam - vlam - 1/12/22 - This has been assigned to Gen2 per CAPREQ-663.</t>
  </si>
  <si>
    <t>dal10.sr01.rk38</t>
  </si>
  <si>
    <t>dal10.sr01.rk39</t>
  </si>
  <si>
    <t>dal10.sr01.rk40</t>
  </si>
  <si>
    <t>dal10.sr01.rk41</t>
  </si>
  <si>
    <t>dal10.sr01.rk42</t>
  </si>
  <si>
    <t>dal10.sr01.rk43</t>
  </si>
  <si>
    <t>dal10.sr01.rk44</t>
  </si>
  <si>
    <t>dal10.sr01.rk45</t>
  </si>
  <si>
    <t>dal10.sr01.rk46</t>
  </si>
  <si>
    <t>dal10.sr01.rk47</t>
  </si>
  <si>
    <t>dal10.sr01.rk48</t>
  </si>
  <si>
    <t>dal10.sr01.rk49</t>
  </si>
  <si>
    <t>dal10.sr01.rk50</t>
  </si>
  <si>
    <t>dal10.sr01.rk51</t>
  </si>
  <si>
    <t>dal10.sr01.rk52</t>
  </si>
  <si>
    <t>dal10.sr01.rk53</t>
  </si>
  <si>
    <t>dal10.sr01.rk54</t>
  </si>
  <si>
    <t>dal10.sr01.rk55</t>
  </si>
  <si>
    <t>dal10.sr01.rk56</t>
  </si>
  <si>
    <t>dal10.sr01.rk57</t>
  </si>
  <si>
    <t>dal10.sr01.rk58</t>
  </si>
  <si>
    <t>dal10.sr01.rk59</t>
  </si>
  <si>
    <t>dal10.sr01.rk60</t>
  </si>
  <si>
    <t>dal10.sr01.rk61</t>
  </si>
  <si>
    <t>dal10.sr01.rk62</t>
  </si>
  <si>
    <t>dal10.sr01.rk63</t>
  </si>
  <si>
    <t>acoleman - acoleman - No Longer VDC 7/26/23</t>
  </si>
  <si>
    <t>dal10.sr01.rk64</t>
  </si>
  <si>
    <t>dal10.sr01.rk65</t>
  </si>
  <si>
    <t>dal10.sr01.rk66</t>
  </si>
  <si>
    <t>dal10.sr01.rk67</t>
  </si>
  <si>
    <t>dal10.sr01.rk68</t>
  </si>
  <si>
    <t>dal10.sr01.rk69</t>
  </si>
  <si>
    <t>dal10.sr01.rk70</t>
  </si>
  <si>
    <t>dal10.sr01.rk71</t>
  </si>
  <si>
    <t>dal10.sr01.rk72</t>
  </si>
  <si>
    <t>dal10.sr01.rk73</t>
  </si>
  <si>
    <t>dal10.sr01.rk74</t>
  </si>
  <si>
    <t>vlam - 7/26/2023 - DAL12 QZ2 Dev Rack 1</t>
  </si>
  <si>
    <t>dal10.sr01.rk75</t>
  </si>
  <si>
    <t>vlam - 7/26/2023 - DAL12 QZ2 Dev Rack 2</t>
  </si>
  <si>
    <t>dal10.sr01.rk76</t>
  </si>
  <si>
    <t>vlam - 7/26/2023 - DAL12 QZ2 Dev Rack 3</t>
  </si>
  <si>
    <t>dal10.sr01.rk77</t>
  </si>
  <si>
    <t>vlam - 7/26/2023 - DAL10 QZ1 Stage Rack 1</t>
  </si>
  <si>
    <t>dal10.sr01.rk78</t>
  </si>
  <si>
    <t>ysilva - 1/12/22 - Allocated to NG for MAR/APR TD per DCL-3077</t>
  </si>
  <si>
    <t>dal10.sr01.rk79</t>
  </si>
  <si>
    <t>dal10.sr01.rk80</t>
  </si>
  <si>
    <t>dal10.sr01.rk81</t>
  </si>
  <si>
    <t>dal10.sr01.rk82</t>
  </si>
  <si>
    <t>dal10.sr01.rk83</t>
  </si>
  <si>
    <t>dal10.sr01.rk84</t>
  </si>
  <si>
    <t>dal10.sr01.rk85</t>
  </si>
  <si>
    <t>dal10.sr01.rk86</t>
  </si>
  <si>
    <t>dal10.sr01.rk87</t>
  </si>
  <si>
    <t>dal10.sr01.rk88</t>
  </si>
  <si>
    <t>dal10.sr01.rk89</t>
  </si>
  <si>
    <t>dal10.sr01.rk90</t>
  </si>
  <si>
    <t>dal10.sr01.rk91</t>
  </si>
  <si>
    <t>dal10.sr01.rk92</t>
  </si>
  <si>
    <t>dal10.sr01.rk93</t>
  </si>
  <si>
    <t>dal10.sr01.rk94</t>
  </si>
  <si>
    <t>dal10.sr01.rk95</t>
  </si>
  <si>
    <t>dal10.sr01.rk96</t>
  </si>
  <si>
    <t>dal10.sr01.rk97</t>
  </si>
  <si>
    <t>dal10.sr01.rk98</t>
  </si>
  <si>
    <t>dal10.sr01.rk99</t>
  </si>
  <si>
    <t>dal10.sr01.rk100</t>
  </si>
  <si>
    <t>dal10.sr01.rk101</t>
  </si>
  <si>
    <t>dal10.sr01.rk102</t>
  </si>
  <si>
    <t>dal10.sr01.rk103</t>
  </si>
  <si>
    <t>dal10.sr01.rk104</t>
  </si>
  <si>
    <t>dal10.sr01.rk105</t>
  </si>
  <si>
    <t>dal10.sr01.rk106</t>
  </si>
  <si>
    <t>dal10.sr01.rk107</t>
  </si>
  <si>
    <t>dal10.sr01.rk108</t>
  </si>
  <si>
    <t>dal10.sr01.rk109</t>
  </si>
  <si>
    <t>dal10.sr01.rk110</t>
  </si>
  <si>
    <t>dal10.sr01.rk111</t>
  </si>
  <si>
    <t>dal10.sr01.rk112</t>
  </si>
  <si>
    <t>dal10.sr01.rk113</t>
  </si>
  <si>
    <t>dal10.sr01.rk114</t>
  </si>
  <si>
    <t>dal10.sr01.rk115</t>
  </si>
  <si>
    <t>dal10.sr01.rk116</t>
  </si>
  <si>
    <t>dal10.sr01.rk117</t>
  </si>
  <si>
    <t>dal10.sr01.rk118</t>
  </si>
  <si>
    <t>dal10.sr01.rk119</t>
  </si>
  <si>
    <t>dal10.sr01.rk120</t>
  </si>
  <si>
    <t>dal10.sr01.rk121</t>
  </si>
  <si>
    <t>dal10.sr01.rk122</t>
  </si>
  <si>
    <t>vlam - 7/27/2023 - May have leftover Swift switches and servers that need to be decommissioned.</t>
  </si>
  <si>
    <t>dal10.sr01.rk123</t>
  </si>
  <si>
    <t>dal10.sr01.rk124</t>
  </si>
  <si>
    <t>dal10.sr01.rk125</t>
  </si>
  <si>
    <t>dal10.sr01.rk126</t>
  </si>
  <si>
    <t>vlam - 7/27/2023 - Setting to Unallocated</t>
  </si>
  <si>
    <t>dal10.sr01.rk127</t>
  </si>
  <si>
    <t>vlam - 7/27/2023 - Set to decom, IMS Decom Ticket: 155553503</t>
  </si>
  <si>
    <t>dal10.sr01.rk128</t>
  </si>
  <si>
    <t>dal10.sr01.rk129</t>
  </si>
  <si>
    <t>dal10.sr01.rk130</t>
  </si>
  <si>
    <t>dal10.sr01.rk131</t>
  </si>
  <si>
    <t>dal10.sr01.rk132</t>
  </si>
  <si>
    <t>dal10.sr01.rk133</t>
  </si>
  <si>
    <t>dal10.sr01.rk134</t>
  </si>
  <si>
    <t>dal10.sr01.rk136</t>
  </si>
  <si>
    <t>dal10.sr01.rk137</t>
  </si>
  <si>
    <t>dal10.sr01.rk138</t>
  </si>
  <si>
    <t>dal10.sr01.rk139</t>
  </si>
  <si>
    <t>dal10.sr01.rk140</t>
  </si>
  <si>
    <t>dal10.sr01.rk141</t>
  </si>
  <si>
    <t>Network - Unusable</t>
  </si>
  <si>
    <t>dal10.sr01.rk142</t>
  </si>
  <si>
    <t>dal10.sr01.rk143</t>
  </si>
  <si>
    <t>dal10.sr01.rk144</t>
  </si>
  <si>
    <t>dal10.sr01.rk145</t>
  </si>
  <si>
    <t>dal10.sr01.rk146</t>
  </si>
  <si>
    <t>dal10.sr01.rk147</t>
  </si>
  <si>
    <t>dal10.sr01.rk148</t>
  </si>
  <si>
    <t>dal10.sr01.rk149</t>
  </si>
  <si>
    <t>dal10.sr01.rk150</t>
  </si>
  <si>
    <t>dal10.sr01.rk151</t>
  </si>
  <si>
    <t>dal10.sr01.rk152</t>
  </si>
  <si>
    <t>dal10.sr01.rk153</t>
  </si>
  <si>
    <t>dal10.sr01.rk154</t>
  </si>
  <si>
    <t>dal10.sr01.rk155</t>
  </si>
  <si>
    <t>dal10.sr01.rk156</t>
  </si>
  <si>
    <t>dal10.sr01.rk157</t>
  </si>
  <si>
    <t>dal10.sr01.rk158</t>
  </si>
  <si>
    <t>dal10.sr01.rk159</t>
  </si>
  <si>
    <t>dal10.sr01.rk160</t>
  </si>
  <si>
    <t>dal10.sr01.rk161</t>
  </si>
  <si>
    <t>dal10.sr01.rk162</t>
  </si>
  <si>
    <t>dal10.sr01.rk163</t>
  </si>
  <si>
    <t>dal10.sr01.rk164</t>
  </si>
  <si>
    <t>dal10.sr01.rk165</t>
  </si>
  <si>
    <t>dal10.sr01.rk166</t>
  </si>
  <si>
    <t>dal10.sr01.rk167</t>
  </si>
  <si>
    <t>dal10.sr01.rk168</t>
  </si>
  <si>
    <t>dal10.sr01.rk169</t>
  </si>
  <si>
    <t>dal10.sr01.rk170</t>
  </si>
  <si>
    <t>dal10.sr01.rk171</t>
  </si>
  <si>
    <t>dal10.sr01.rk172</t>
  </si>
  <si>
    <t>dal10.sr01.rk173</t>
  </si>
  <si>
    <t>dal10.sr01.rk174</t>
  </si>
  <si>
    <t>dal10.sr01.rk175</t>
  </si>
  <si>
    <t>dal10.sr01.rk176</t>
  </si>
  <si>
    <t>dal10.sr01.rk177</t>
  </si>
  <si>
    <t>dal10.sr01.rk178</t>
  </si>
  <si>
    <t>dal10.sr01.rk179</t>
  </si>
  <si>
    <t>dal10.sr01.rk180</t>
  </si>
  <si>
    <t>dal10.sr01.rk181</t>
  </si>
  <si>
    <t>dal10.sr01.rk182</t>
  </si>
  <si>
    <t>dal10.sr01.rk183</t>
  </si>
  <si>
    <t>vlam - 7/27/2023 - Set to decom, IMS Decom Ticket: 155554817</t>
  </si>
  <si>
    <t>dal10.sr01.rk184</t>
  </si>
  <si>
    <t>dal10.sr01.rk185</t>
  </si>
  <si>
    <t>dal10.sr01.rk186</t>
  </si>
  <si>
    <t>dal10.sr01.rk187</t>
  </si>
  <si>
    <t>dal10.sr01.rk188</t>
  </si>
  <si>
    <t>dal10.sr01.rk189</t>
  </si>
  <si>
    <t>dal10.sr01.rk190</t>
  </si>
  <si>
    <t>dal10.sr01.rk191</t>
  </si>
  <si>
    <t>dal10.sr01.rk192</t>
  </si>
  <si>
    <t>dal10.sr01.rk193</t>
  </si>
  <si>
    <t>dal10.sr01.rk194</t>
  </si>
  <si>
    <t>dal10.sr01.rk195</t>
  </si>
  <si>
    <t>dal10.sr01.rk196</t>
  </si>
  <si>
    <t>dal10.sr01.rk197</t>
  </si>
  <si>
    <t>dal10.sr01.rk198</t>
  </si>
  <si>
    <t>dal10.sr01.rk199</t>
  </si>
  <si>
    <t>dal10.sr01.rk200</t>
  </si>
  <si>
    <t>dal10.sr01.rk201</t>
  </si>
  <si>
    <t>dal10.sr01.rk202</t>
  </si>
  <si>
    <t>dal10.sr01.rk203</t>
  </si>
  <si>
    <t>dal10.sr01.rk204</t>
  </si>
  <si>
    <t>dal10.sr01.rk205</t>
  </si>
  <si>
    <t>dal10.sr01.rk206</t>
  </si>
  <si>
    <t>dal10.sr01.rk207</t>
  </si>
  <si>
    <t>dal10.sr01.rk208</t>
  </si>
  <si>
    <t>dal10.sr01.rk209</t>
  </si>
  <si>
    <t>dal10.sr01.rk210</t>
  </si>
  <si>
    <t>dal10.sr01.rk211</t>
  </si>
  <si>
    <t>dal10.sr01.rk212</t>
  </si>
  <si>
    <t>dal10.sr01.rk213</t>
  </si>
  <si>
    <t>dal10.sr01.rk214</t>
  </si>
  <si>
    <t>dal10.sr01.rk215</t>
  </si>
  <si>
    <t>dal10.sr01.rk216</t>
  </si>
  <si>
    <t>dal10.sr01.rk217</t>
  </si>
  <si>
    <t>dal10.sr01.rk218</t>
  </si>
  <si>
    <t>dal10.sr01.rk219</t>
  </si>
  <si>
    <t>dal10.sr01.rk220</t>
  </si>
  <si>
    <t>dal10.sr01.rk221</t>
  </si>
  <si>
    <t>dal10.sr01.rk222</t>
  </si>
  <si>
    <t>dal10.sr01.rk223</t>
  </si>
  <si>
    <t>dal10.sr01.rk224</t>
  </si>
  <si>
    <t>dal10.sr01.rk225</t>
  </si>
  <si>
    <t>dal10.sr01.rk226</t>
  </si>
  <si>
    <t>dal10.sr01.rk227</t>
  </si>
  <si>
    <t>dal10.sr01.rk228</t>
  </si>
  <si>
    <t>dal10.sr01.rk229</t>
  </si>
  <si>
    <t>dal10.sr01.rk230</t>
  </si>
  <si>
    <t>dal10.sr01.rk231</t>
  </si>
  <si>
    <t>dal10.sr01.rk232</t>
  </si>
  <si>
    <t>vlam - 5/16/2022 - Allocated to NG for MAR/APR TD and Citi Wave 3 per DCL-3077</t>
  </si>
  <si>
    <t>dal10.sr01.rk233</t>
  </si>
  <si>
    <t>dal10.sr01.rk234</t>
  </si>
  <si>
    <t>dal10.sr01.rk235</t>
  </si>
  <si>
    <t>vlam - 5/16/2022 - Allocated to NG for MAR/APR TD and Citi Wave 5 per DCL-3077</t>
  </si>
  <si>
    <t>dal10.sr01.rk236</t>
  </si>
  <si>
    <t>dal10.sr01.rk237</t>
  </si>
  <si>
    <t>dal10.sr01.rk238</t>
  </si>
  <si>
    <t>dal10.sr01.rk239</t>
  </si>
  <si>
    <t>dal10.sr01.rk240</t>
  </si>
  <si>
    <t>dal10.sr01.rk241</t>
  </si>
  <si>
    <t>dal10.sr01.rk242</t>
  </si>
  <si>
    <t>dal10.sr01.rk243</t>
  </si>
  <si>
    <t>dal10.sr01.rk244</t>
  </si>
  <si>
    <t>dal10.sr01.rk245</t>
  </si>
  <si>
    <t>dal10.sr01.rk246</t>
  </si>
  <si>
    <t>dal10.sr01.rk247</t>
  </si>
  <si>
    <t>dal10.sr01.rk248</t>
  </si>
  <si>
    <t>dal10.sr01.rk249</t>
  </si>
  <si>
    <t>dal10.sr01.rk250</t>
  </si>
  <si>
    <t>dal10.sr01.rk251</t>
  </si>
  <si>
    <t>dal10.sr01.rk252</t>
  </si>
  <si>
    <t>dal10.sr01.rk253</t>
  </si>
  <si>
    <t>dal10.sr01.rk254</t>
  </si>
  <si>
    <t>dal10.sr01.rk255</t>
  </si>
  <si>
    <t>dal10.sr01.rk256</t>
  </si>
  <si>
    <t>dal10.sr01.rk257</t>
  </si>
  <si>
    <t>dal10.sr01.rk258</t>
  </si>
  <si>
    <t>dal10.sr01.rk259</t>
  </si>
  <si>
    <t>dal10.sr01.rk260</t>
  </si>
  <si>
    <t>dal10.sr01.rk261</t>
  </si>
  <si>
    <t>dal10.sr01.rk262</t>
  </si>
  <si>
    <t>dal10.sr01.rk263</t>
  </si>
  <si>
    <t>dal10.sr01.rk264</t>
  </si>
  <si>
    <t>dal10.sr01.rk265</t>
  </si>
  <si>
    <t>dal10.sr01.rk266</t>
  </si>
  <si>
    <t>dal10.sr01.rk267</t>
  </si>
  <si>
    <t>vlam - 1/31/2022 - Allocated to NG for QZ1 Staging per DCL-3140</t>
  </si>
  <si>
    <t>dal10.sr01.rk268</t>
  </si>
  <si>
    <t>dal10.sr01.rk269</t>
  </si>
  <si>
    <t>dal10.sr01.rk270</t>
  </si>
  <si>
    <t>dal10.sr01.rk271</t>
  </si>
  <si>
    <t>dal10.sr01.rk272</t>
  </si>
  <si>
    <t>dal10.sr01.rk273</t>
  </si>
  <si>
    <t>dal10.sr01.rk274</t>
  </si>
  <si>
    <t>dal10.sr01.rk275</t>
  </si>
  <si>
    <t>dal10.sr01.rk276</t>
  </si>
  <si>
    <t>vlam - 7/26/2023 - DAL12 QZ2 Dev Rack 6</t>
  </si>
  <si>
    <t>dal10.sr01.rk277</t>
  </si>
  <si>
    <t>vlam - 7/26/2023 - DAL12 QZ2 Dev Rack 7</t>
  </si>
  <si>
    <t>dal10.sr01.rk278</t>
  </si>
  <si>
    <t>vlam - 7/26/2023 - DAL10 QZ1 Stage Rack 2</t>
  </si>
  <si>
    <t>dal10.sr01.rk279</t>
  </si>
  <si>
    <t>vlam - 7/26/2023 - DAL10 QZ1 Stage Rack 3</t>
  </si>
  <si>
    <t>dal10.sr01.rk280</t>
  </si>
  <si>
    <t>dal10.sr01.rk281</t>
  </si>
  <si>
    <t>dal10.sr01.rk282</t>
  </si>
  <si>
    <t>dal10.sr01.rk283</t>
  </si>
  <si>
    <t>dal10.sr01.rk284</t>
  </si>
  <si>
    <t>dal10.sr01.rk285</t>
  </si>
  <si>
    <t>dal10.sr01.rk286</t>
  </si>
  <si>
    <t>dal10.sr01.rk287</t>
  </si>
  <si>
    <t>dal10.sr01.rk288</t>
  </si>
  <si>
    <t>dal10.sr01.rk289</t>
  </si>
  <si>
    <t>dal10.sr01.rk290</t>
  </si>
  <si>
    <t>dal10.sr01.rk291</t>
  </si>
  <si>
    <t>dal10.sr01.rk292</t>
  </si>
  <si>
    <t>dal10.sr01.rk293</t>
  </si>
  <si>
    <t>dal10.sr01.rk294</t>
  </si>
  <si>
    <t>dal10.sr01.rk295</t>
  </si>
  <si>
    <t>dal10.sr01.rk296</t>
  </si>
  <si>
    <t>dal10.sr01.rk297</t>
  </si>
  <si>
    <t>dal10.sr01.rk298</t>
  </si>
  <si>
    <t>dal10.sr01.rk299</t>
  </si>
  <si>
    <t>dal10.sr01.rk300</t>
  </si>
  <si>
    <t>dal10.sr01.rk301</t>
  </si>
  <si>
    <t>dal10.sr01.rk302</t>
  </si>
  <si>
    <t>dal10.sr01.rk303</t>
  </si>
  <si>
    <t>dal10.sr01.rk304</t>
  </si>
  <si>
    <t>dal10.sr01.rk305</t>
  </si>
  <si>
    <t>dal10.sr01.rk306</t>
  </si>
  <si>
    <t>dal10.sr01.rk307</t>
  </si>
  <si>
    <t>dal10.sr01.rk308</t>
  </si>
  <si>
    <t>dal10.sr01.rk309</t>
  </si>
  <si>
    <t>DAL10-102</t>
  </si>
  <si>
    <t>dal10.sr01.rk310</t>
  </si>
  <si>
    <t>dal10.sr01.rk311</t>
  </si>
  <si>
    <t>dal10.sr01.rk312</t>
  </si>
  <si>
    <t>dal10.sr01.rk313</t>
  </si>
  <si>
    <t>dal10.sr01.rk314</t>
  </si>
  <si>
    <t>dal10.sr01.rk315</t>
  </si>
  <si>
    <t>dal10.sr01.rk316</t>
  </si>
  <si>
    <t>dal10.sr01.rk317</t>
  </si>
  <si>
    <t>dal10.sr01.rk318</t>
  </si>
  <si>
    <t>dal10.sr01.rk319</t>
  </si>
  <si>
    <t>dal10.sr01.rk320</t>
  </si>
  <si>
    <t>dal10.sr01.rk321</t>
  </si>
  <si>
    <t>dal10.sr01.rk322</t>
  </si>
  <si>
    <t>dal10.sr01.rk323</t>
  </si>
  <si>
    <t>dal10.sr01.rk324</t>
  </si>
  <si>
    <t>dal10.sr01.rk325</t>
  </si>
  <si>
    <t>dal10.sr01.rk326</t>
  </si>
  <si>
    <t>dal10.sr01.rk327</t>
  </si>
  <si>
    <t>dal10.sr01.rk328</t>
  </si>
  <si>
    <t>dal10.sr01.rk329</t>
  </si>
  <si>
    <t>dal10.sr01.rk330</t>
  </si>
  <si>
    <t>dal10.sr01.rk331</t>
  </si>
  <si>
    <t>vlam - vlam - 2/11/2022 - This has been allocated to NG SAP Rise per DCL-3090</t>
  </si>
  <si>
    <t>dal10.sr01.rk332</t>
  </si>
  <si>
    <t xml:space="preserve">ccoronado - Updating SL tag per Landon Sullivan. Ticket: 154854885
</t>
  </si>
  <si>
    <t>dal10.sr01.rk333</t>
  </si>
  <si>
    <t xml:space="preserve">ccoronado - Updating SL tag per Julie Le. Ticket: 155895303
</t>
  </si>
  <si>
    <t>dal10.sr01.rk334</t>
  </si>
  <si>
    <t>dal10.sr01.rk335</t>
  </si>
  <si>
    <t>dal10.sr01.rk336</t>
  </si>
  <si>
    <t>dal10.sr01.rk337</t>
  </si>
  <si>
    <t>dal10.sr01.rk338</t>
  </si>
  <si>
    <t>dal10.sr01.rk339</t>
  </si>
  <si>
    <t>dal10.sr01.rk340</t>
  </si>
  <si>
    <t>dal10.sr01.rk341</t>
  </si>
  <si>
    <t>dal10.sr01.rk342</t>
  </si>
  <si>
    <t>dal10.sr01.rk343</t>
  </si>
  <si>
    <t>dal10.sr01.rk344</t>
  </si>
  <si>
    <t>dal10.sr01.rk345</t>
  </si>
  <si>
    <t>dal10.sr01.rk346</t>
  </si>
  <si>
    <t>dal10.sr01.rk347</t>
  </si>
  <si>
    <t>dal10.sr01.rk348</t>
  </si>
  <si>
    <t>dal10.sr01.rk349</t>
  </si>
  <si>
    <t>dal10.sr01.rk350</t>
  </si>
  <si>
    <t>dal10.sr01.rk351</t>
  </si>
  <si>
    <t>dal10.sr01.rk352</t>
  </si>
  <si>
    <t>dal10.sr01.rk353</t>
  </si>
  <si>
    <t>dal10.sr01.rk354</t>
  </si>
  <si>
    <t>dal10.sr01.rk355</t>
  </si>
  <si>
    <t>dal10.sr01.rk356</t>
  </si>
  <si>
    <t>dal10.sr01.rk357</t>
  </si>
  <si>
    <t>dal10.sr01.rk358</t>
  </si>
  <si>
    <t>dal10.sr01.rk359</t>
  </si>
  <si>
    <t>dal10.sr01.rk360</t>
  </si>
  <si>
    <t>dal10.sr01.rk361</t>
  </si>
  <si>
    <t>dal10.sr01.rk362</t>
  </si>
  <si>
    <t>dal10.sr01.rk363</t>
  </si>
  <si>
    <t>dal10.sr01.rk364</t>
  </si>
  <si>
    <t>dal10.sr01.rk365</t>
  </si>
  <si>
    <t>dal10.sr01.rk366</t>
  </si>
  <si>
    <t>dal10.sr01.rk367</t>
  </si>
  <si>
    <t>dal10.sr01.rk368</t>
  </si>
  <si>
    <t>dal10.sr01.rk369</t>
  </si>
  <si>
    <t>dal10.sr01.rk370</t>
  </si>
  <si>
    <t>dal10.sr01.rk371</t>
  </si>
  <si>
    <t>dal10.sr01.rk372</t>
  </si>
  <si>
    <t>dal10.sr01.rk373</t>
  </si>
  <si>
    <t>dal10.sr01.rk374</t>
  </si>
  <si>
    <t>dal10.sr01.rk375</t>
  </si>
  <si>
    <t>dal10.sr01.rk376</t>
  </si>
  <si>
    <t>dal10.sr01.rk377</t>
  </si>
  <si>
    <t>dal10.sr01.rk378</t>
  </si>
  <si>
    <t>dal10.sr01.rk379</t>
  </si>
  <si>
    <t>dal10.sr01.rk380</t>
  </si>
  <si>
    <t>dal10.sr01.rk381</t>
  </si>
  <si>
    <t>dal10.sr01.rk382</t>
  </si>
  <si>
    <t>dal10.sr01.rk383</t>
  </si>
  <si>
    <t>dal10.sr01.rk384</t>
  </si>
  <si>
    <t>dal10.sr01.rk385</t>
  </si>
  <si>
    <t>dal10.sr01.rk386</t>
  </si>
  <si>
    <t>dal10.sr01.rk387</t>
  </si>
  <si>
    <t>dal10.sr01.rk388</t>
  </si>
  <si>
    <t>dal10.sr01.rk389</t>
  </si>
  <si>
    <t>dal10.sr01.rk390</t>
  </si>
  <si>
    <t>dal10.sr01.rk391</t>
  </si>
  <si>
    <t>dal10.sr01.rk392</t>
  </si>
  <si>
    <t>dal10.sr01.rk393</t>
  </si>
  <si>
    <t>dal10.sr01.rk394</t>
  </si>
  <si>
    <t>dal10.sr01.rk395</t>
  </si>
  <si>
    <t>dal10.sr01.rk396</t>
  </si>
  <si>
    <t>dal10.sr01.rk397</t>
  </si>
  <si>
    <t>dal10.sr01.rk398</t>
  </si>
  <si>
    <t>dal10.sr01.rk399</t>
  </si>
  <si>
    <t>dal10.sr01.rk400</t>
  </si>
  <si>
    <t>dal10.sr01.rk401</t>
  </si>
  <si>
    <t>dal10.sr01.rk402</t>
  </si>
  <si>
    <t>dal10.sr01.rk403</t>
  </si>
  <si>
    <t>dal10.sr01.rk404</t>
  </si>
  <si>
    <t>dal10.sr01.rk405</t>
  </si>
  <si>
    <t>dal10.sr01.rk406</t>
  </si>
  <si>
    <t>dal10.sr01.rk407</t>
  </si>
  <si>
    <t>dal10.sr01.rk408</t>
  </si>
  <si>
    <t>dal10.sr01.rk409</t>
  </si>
  <si>
    <t>dal10.sr01.rk410</t>
  </si>
  <si>
    <t>dal10.sr01.rk411</t>
  </si>
  <si>
    <t>dal10.sr01.rk412</t>
  </si>
  <si>
    <t>dal10.sr01.rk413</t>
  </si>
  <si>
    <t>dal10.sr01.rk414</t>
  </si>
  <si>
    <t>dal10.sr01.rk415</t>
  </si>
  <si>
    <t>dal10.sr01.rk416</t>
  </si>
  <si>
    <t>dal10.sr01.rk417</t>
  </si>
  <si>
    <t>dal10.sr01.rk418</t>
  </si>
  <si>
    <t>dal10.sr01.rk419</t>
  </si>
  <si>
    <t xml:space="preserve">ysilva - vlam - 9/27/2022 - Allocated to NG for May-June TD. Can be use for SPR Beta per DCL-3148
</t>
  </si>
  <si>
    <t>dal10.sr01.rk420</t>
  </si>
  <si>
    <t>ysilva - vlam - 2/11/2022 - Allocated to NG for May-June TD per DCL-3148</t>
  </si>
  <si>
    <t>dal10.sr01.rk421</t>
  </si>
  <si>
    <t>dal10.sr01.rk422</t>
  </si>
  <si>
    <t>vlam - 2/11/2022 - Allocated to NG for May-June TD per DCL-3148</t>
  </si>
  <si>
    <t>dal10.sr01.rk423</t>
  </si>
  <si>
    <t>dal10.sr01.rk424</t>
  </si>
  <si>
    <t>dal10.sr01.rk425</t>
  </si>
  <si>
    <t>dal10.sr01.rk426</t>
  </si>
  <si>
    <t>dal10.sr01.rk427</t>
  </si>
  <si>
    <t>dal10.sr01.rk428</t>
  </si>
  <si>
    <t>dal10.sr01.rk429</t>
  </si>
  <si>
    <t>dal10.sr01.rk430</t>
  </si>
  <si>
    <t>dal10.sr01.rk431</t>
  </si>
  <si>
    <t>dal10.sr01.rk433</t>
  </si>
  <si>
    <t>dal10.sr01.rk434</t>
  </si>
  <si>
    <t>dal10.sr01.rk435</t>
  </si>
  <si>
    <t>dal10.sr01.rk436</t>
  </si>
  <si>
    <t>dal10.sr01.rk437</t>
  </si>
  <si>
    <t>dal10.sr01.rk438</t>
  </si>
  <si>
    <t>dal10.sr01.rk439</t>
  </si>
  <si>
    <t>dal10.sr01.rk440</t>
  </si>
  <si>
    <t>dal10.sr01.rk441</t>
  </si>
  <si>
    <t>dal10.sr01.rk442</t>
  </si>
  <si>
    <t>dal10.sr01.rk443</t>
  </si>
  <si>
    <t>dal10.sr01.rk444</t>
  </si>
  <si>
    <t>dal10.sr01.rk445</t>
  </si>
  <si>
    <t>dal10.sr01.rk446</t>
  </si>
  <si>
    <t>dal10.sr01.rk447</t>
  </si>
  <si>
    <t>dal10.sr01.rk448</t>
  </si>
  <si>
    <t>dal10.sr01.rk449</t>
  </si>
  <si>
    <t>dal10.sr01.rk450</t>
  </si>
  <si>
    <t>dal10.sr01.rk451</t>
  </si>
  <si>
    <t>dal10.sr01.rk452</t>
  </si>
  <si>
    <t>vlam - 2/15/2022 - This has been allocated for NG AGG and MAGG per DCL-3077</t>
  </si>
  <si>
    <t>dal10.sr01.rk453</t>
  </si>
  <si>
    <t>dal10.sr01.rk454</t>
  </si>
  <si>
    <t>ysilva - 2/15/2022 - Allocated to NG for QZ1 Staging per DCL-3169</t>
  </si>
  <si>
    <t>dal10.sr01.rk455</t>
  </si>
  <si>
    <t>ysilva - vlam - 2/15/2022 - Allocated to NG for QZ1 Staging per DCL-3169</t>
  </si>
  <si>
    <t>dal10.sr01.rk456</t>
  </si>
  <si>
    <t>dal10.sr01.rk457</t>
  </si>
  <si>
    <t>dal10.sr01.rk458</t>
  </si>
  <si>
    <t>dal10.sr01.rk459</t>
  </si>
  <si>
    <t>dal10.sr01.rk460</t>
  </si>
  <si>
    <t>dal10.sr01.rk461</t>
  </si>
  <si>
    <t>dal10.sr01.rk462</t>
  </si>
  <si>
    <t>dal10.sr01.rk463</t>
  </si>
  <si>
    <t>dal10.sr01.rk464</t>
  </si>
  <si>
    <t>dal10.sr01.rk465</t>
  </si>
  <si>
    <t>dal10.sr01.rk466</t>
  </si>
  <si>
    <t>dal10.sr01.rk467</t>
  </si>
  <si>
    <t>dal10.sr01.rk468</t>
  </si>
  <si>
    <t>dal10.sr01.rk469</t>
  </si>
  <si>
    <t>dal10.sr01.rk470</t>
  </si>
  <si>
    <t>dal10.sr01.rk471</t>
  </si>
  <si>
    <t>dal10.sr01.rk472</t>
  </si>
  <si>
    <t>dal10.sr01.rk473</t>
  </si>
  <si>
    <t>dal10.sr01.rk474</t>
  </si>
  <si>
    <t>dal10.sr01.rk475</t>
  </si>
  <si>
    <t>dal10.sr01.rk476</t>
  </si>
  <si>
    <t>dal10.sr01.rk477</t>
  </si>
  <si>
    <t>dal10.sr01.rk478</t>
  </si>
  <si>
    <t>dal10.sr01.rk479</t>
  </si>
  <si>
    <t>dal10.sr01.rk480</t>
  </si>
  <si>
    <t>dal10.sr01.rk481</t>
  </si>
  <si>
    <t>dal10.sr01.rk482</t>
  </si>
  <si>
    <t>dal10.sr01.rk483</t>
  </si>
  <si>
    <t>dal10.sr01.rk484</t>
  </si>
  <si>
    <t>dal10.sr01.rk485</t>
  </si>
  <si>
    <t>acoleman - urgent request for JPMC - CAPREQ-550</t>
  </si>
  <si>
    <t>dal10.sr01.rk486</t>
  </si>
  <si>
    <t>dal10.sr01.rk487</t>
  </si>
  <si>
    <t>dal10.sr01.rk488</t>
  </si>
  <si>
    <t>dal10.sr01.rk489</t>
  </si>
  <si>
    <t>dal10.sr01.rk490</t>
  </si>
  <si>
    <t>dal10.sr01.rk491</t>
  </si>
  <si>
    <t>dal10.sr01.rk492</t>
  </si>
  <si>
    <t>dal10.sr01.rk493</t>
  </si>
  <si>
    <t>dal10.sr01.rk494</t>
  </si>
  <si>
    <t>dal10.sr01.rk495</t>
  </si>
  <si>
    <t>dal10.sr01.rk496</t>
  </si>
  <si>
    <t>dal10.sr01.rk497</t>
  </si>
  <si>
    <t>dal10.sr01.rk498</t>
  </si>
  <si>
    <t>dal10.sr01.rk499</t>
  </si>
  <si>
    <t>dal10.sr01.rk500</t>
  </si>
  <si>
    <t>dal10.sr01.rk501</t>
  </si>
  <si>
    <t>dal10.sr01.rk502</t>
  </si>
  <si>
    <t>dal10.sr01.rk503</t>
  </si>
  <si>
    <t>dal10.sr01.rk504</t>
  </si>
  <si>
    <t>dal10.sr01.rk505</t>
  </si>
  <si>
    <t>dal10.sr01.rk506</t>
  </si>
  <si>
    <t>dal10.sr01.rk507</t>
  </si>
  <si>
    <t>dal10.sr01.rk508</t>
  </si>
  <si>
    <t>dal10.sr01.rk509</t>
  </si>
  <si>
    <t>dal10.sr01.rk510</t>
  </si>
  <si>
    <t>dal10.sr01.rk511</t>
  </si>
  <si>
    <t>dal10.sr01.rk512</t>
  </si>
  <si>
    <t>dal10.sr01.rk513</t>
  </si>
  <si>
    <t>dal10.sr01.rk514</t>
  </si>
  <si>
    <t>dal10.sr01.rk515</t>
  </si>
  <si>
    <t>dal10.sr01.rk516</t>
  </si>
  <si>
    <t>dal10.sr01.rk517</t>
  </si>
  <si>
    <t>dal10.sr01.rk518</t>
  </si>
  <si>
    <t>dal10.sr01.rk519</t>
  </si>
  <si>
    <t>dal10.sr01.rk520</t>
  </si>
  <si>
    <t>dal10.sr01.rk521</t>
  </si>
  <si>
    <t>dal10.sr01.rk522</t>
  </si>
  <si>
    <t>dal10.sr01.rk523</t>
  </si>
  <si>
    <t>dal10.sr01.rk524</t>
  </si>
  <si>
    <t>dal10.sr01.rk525</t>
  </si>
  <si>
    <t>dal10.sr01.rk526</t>
  </si>
  <si>
    <t>dal10.sr01.rk527</t>
  </si>
  <si>
    <t>dal10.sr01.rk528</t>
  </si>
  <si>
    <t>dal10.sr01.rk529</t>
  </si>
  <si>
    <t>vlam - vlam - 09/29/21 - This has been allocated for File/Block per CAPREQ-617.</t>
  </si>
  <si>
    <t>dal10.sr01.rk530</t>
  </si>
  <si>
    <t>dal10.sr01.rk531</t>
  </si>
  <si>
    <t>dal10.sr01.rk532</t>
  </si>
  <si>
    <t>dal10.sr01.rk533</t>
  </si>
  <si>
    <t>dal10.sr01.rk534</t>
  </si>
  <si>
    <t>dal10.sr01.rk535</t>
  </si>
  <si>
    <t>dal10.sr01.rk536</t>
  </si>
  <si>
    <t>dal10.sr01.rk537</t>
  </si>
  <si>
    <t>dal10.sr01.rk538</t>
  </si>
  <si>
    <t>dal10.sr01.rk539</t>
  </si>
  <si>
    <t>dal10.sr01.rk540</t>
  </si>
  <si>
    <t>dal10.sr01.rk541</t>
  </si>
  <si>
    <t>dal10.sr01.rk542</t>
  </si>
  <si>
    <t>dal10.sr01.rk543</t>
  </si>
  <si>
    <t>dal10.sr01.rk544</t>
  </si>
  <si>
    <t>dal10.sr01.rk545</t>
  </si>
  <si>
    <t>dal10.sr01.rk546</t>
  </si>
  <si>
    <t>dal10.sr01.rk547</t>
  </si>
  <si>
    <t>dal10.sr01.rk548</t>
  </si>
  <si>
    <t>dal10.sr01.rk549</t>
  </si>
  <si>
    <t>dal10.sr01.rk550</t>
  </si>
  <si>
    <t>dal10.sr01.rk551</t>
  </si>
  <si>
    <t>vlam - vlam - 9/18/20 - Allocated for COS. CAPREQ-529</t>
  </si>
  <si>
    <t>dal10.sr01.rk552</t>
  </si>
  <si>
    <t>dal10.sr01.rk553</t>
  </si>
  <si>
    <t>dal10.sr01.rk554</t>
  </si>
  <si>
    <t>dal10.sr01.rk555</t>
  </si>
  <si>
    <t>dal10.sr01.rk556</t>
  </si>
  <si>
    <t>dal10.sr01.rk557</t>
  </si>
  <si>
    <t>dal10.sr01.rk558</t>
  </si>
  <si>
    <t>dal10.sr01.rk559</t>
  </si>
  <si>
    <t>dal10.sr01.rk560</t>
  </si>
  <si>
    <t>dal10.sr01.rk561</t>
  </si>
  <si>
    <t>dal10.sr01.rk551 - dal10.sr01.rk561</t>
  </si>
  <si>
    <t>dal10.sr01.rk562</t>
  </si>
  <si>
    <t>dal10.sr01.rk563</t>
  </si>
  <si>
    <t>dal10.sr01.rk564</t>
  </si>
  <si>
    <t>dal10.sr01.rk565</t>
  </si>
  <si>
    <t>dal10.sr01.rk566</t>
  </si>
  <si>
    <t>dal10.sr01.rk567</t>
  </si>
  <si>
    <t>dal10.sr01.rk568</t>
  </si>
  <si>
    <t>dal10.sr01.rk569</t>
  </si>
  <si>
    <t>dal10.sr01.rk570</t>
  </si>
  <si>
    <t>dal10.sr01.rk571</t>
  </si>
  <si>
    <t>dal10.sr01.rk572</t>
  </si>
  <si>
    <t>dal10.sr01.rk573</t>
  </si>
  <si>
    <t>dal10.sr01.rk574</t>
  </si>
  <si>
    <t>dal10.sr01.rk575</t>
  </si>
  <si>
    <t>ysilva - 2/11/2022 - Allocated to NG for May-June TD per DCL-3148</t>
  </si>
  <si>
    <t>dal10.sr01.rk576</t>
  </si>
  <si>
    <t>vlam - 2/23/2023 - Allocated to NG for QZ1 Staging per DCL-3169</t>
  </si>
  <si>
    <t>dal10.sr01.rk577</t>
  </si>
  <si>
    <t>dal10.sr01.rk578</t>
  </si>
  <si>
    <t>dal10.sr01.rk579</t>
  </si>
  <si>
    <t>dal10.sr01.rk580</t>
  </si>
  <si>
    <t>dal10.sr01.rk581</t>
  </si>
  <si>
    <t>dal10.sr01.rk582</t>
  </si>
  <si>
    <t>dal10.sr01.rk583</t>
  </si>
  <si>
    <t>dal10.sr01.rk584</t>
  </si>
  <si>
    <t xml:space="preserve">acoleman - urgent request for JPMC - CAPREQ-534
</t>
  </si>
  <si>
    <t>dal10.sr01.rk585</t>
  </si>
  <si>
    <t>dal10.sr01.rk586</t>
  </si>
  <si>
    <t>dal10.sr01.rk587</t>
  </si>
  <si>
    <t>dal10.sr01.rk588</t>
  </si>
  <si>
    <t>dal10.sr01.rk589</t>
  </si>
  <si>
    <t>dal10.sr01.rk590</t>
  </si>
  <si>
    <t>dal10.sr01.rk591</t>
  </si>
  <si>
    <t>dal10.sr01.rk592</t>
  </si>
  <si>
    <t>dal10.sr01.rk593</t>
  </si>
  <si>
    <t>dal10.sr01.rk594</t>
  </si>
  <si>
    <t>dal10.sr01.rk595</t>
  </si>
  <si>
    <t>dal10.sr01.rk596</t>
  </si>
  <si>
    <t>dal10.sr01.rk597</t>
  </si>
  <si>
    <t>dal10.sr01.rk598</t>
  </si>
  <si>
    <t>dal10.sr01.rk599</t>
  </si>
  <si>
    <t>dal10.sr01.rk600</t>
  </si>
  <si>
    <t>dal10.sr01.rk601</t>
  </si>
  <si>
    <t>dal10.sr01.rk602</t>
  </si>
  <si>
    <t>dal10.sr01.rk603</t>
  </si>
  <si>
    <t>dal10.sr01.rk604</t>
  </si>
  <si>
    <t>dal10.sr01.rk605</t>
  </si>
  <si>
    <t>dal10.sr01.rk606</t>
  </si>
  <si>
    <t>dal10.sr01.rk607</t>
  </si>
  <si>
    <t>dal10.sr01.rk608</t>
  </si>
  <si>
    <t>dal10.sr01.rk609</t>
  </si>
  <si>
    <t>dal10.sr01.rk610</t>
  </si>
  <si>
    <t>dal10.sr01.rk611</t>
  </si>
  <si>
    <t>dal10.sr01.rk612</t>
  </si>
  <si>
    <t>dal10.sr01.rk613</t>
  </si>
  <si>
    <t>dal10.sr01.rk614</t>
  </si>
  <si>
    <t>dal10.sr01.rk615</t>
  </si>
  <si>
    <t>dal10.sr01.rk616</t>
  </si>
  <si>
    <t>dal10.sr01.rk999</t>
  </si>
  <si>
    <t>dal10.sr02.rk01</t>
  </si>
  <si>
    <t>dal10.sr02.rk02</t>
  </si>
  <si>
    <t>dal10.sr02.rk03</t>
  </si>
  <si>
    <t>dal10.sr02.rk04</t>
  </si>
  <si>
    <t>dal10.sr02.rk05</t>
  </si>
  <si>
    <t>dal10.sr02.rk06</t>
  </si>
  <si>
    <t>dal10.sr02.rk07</t>
  </si>
  <si>
    <t>dal10.sr02.rk08</t>
  </si>
  <si>
    <t>dal10.sr02.rk09</t>
  </si>
  <si>
    <t>dal10.sr02.rk10</t>
  </si>
  <si>
    <t>dal10.sr02.rk11</t>
  </si>
  <si>
    <t>dal10.sr02.rk12</t>
  </si>
  <si>
    <t>dal10.sr02.rk13</t>
  </si>
  <si>
    <t>dal10.sr02.rk14</t>
  </si>
  <si>
    <t>dal10.sr02.rk15</t>
  </si>
  <si>
    <t>dal10.sr02.rk16</t>
  </si>
  <si>
    <t>dal10.sr02.rk17</t>
  </si>
  <si>
    <t>dal10.sr02.rk18</t>
  </si>
  <si>
    <t>dal10.sr02.rk19</t>
  </si>
  <si>
    <t>dal10.sr02.rk20</t>
  </si>
  <si>
    <t>dal10.sr02.rk21</t>
  </si>
  <si>
    <t>dal10.sr02.rk22</t>
  </si>
  <si>
    <t>dal10.sr02.rk23</t>
  </si>
  <si>
    <t>dal10.sr02.rk24</t>
  </si>
  <si>
    <t>dal10.sr02.rk25</t>
  </si>
  <si>
    <t>dal10.sr02.rk26</t>
  </si>
  <si>
    <t>dal10.sr02.rk27</t>
  </si>
  <si>
    <t>dal10.sr02.rk28</t>
  </si>
  <si>
    <t>dal10.sr02.rk29</t>
  </si>
  <si>
    <t>dal10.sr02.rk30</t>
  </si>
  <si>
    <t>dal10.sr02.rk31</t>
  </si>
  <si>
    <t>dal10.sr02.rk32</t>
  </si>
  <si>
    <t>vlam - 1/18/2023 - Allocated VDC rack to Moonlight Production (1069101) per ticket 151619030</t>
  </si>
  <si>
    <t>dal10.sr02.rk33</t>
  </si>
  <si>
    <t>dal10.sr02.rk34</t>
  </si>
  <si>
    <t>vlam - 09/30/21 - This has been allocated for NG Storage per CAPREQ-624.</t>
  </si>
  <si>
    <t>dal10.sr02.rk35</t>
  </si>
  <si>
    <t>vlam - vlam - 09/30/21 - This has been allocated for NG Storage per CAPREQ-624.</t>
  </si>
  <si>
    <t>dal10.sr02.rk36</t>
  </si>
  <si>
    <t>ysilva - This has been allocated for NG Storage per CAPREQ-624.</t>
  </si>
  <si>
    <t>dal10.sr02.rk37</t>
  </si>
  <si>
    <t>dal10.sr02.rk38</t>
  </si>
  <si>
    <t>dal10.sr02.rk39</t>
  </si>
  <si>
    <t>dal10.sr02.rk40</t>
  </si>
  <si>
    <t>dal10.sr02.rk41</t>
  </si>
  <si>
    <t>dal10.sr02.rk42</t>
  </si>
  <si>
    <t>dal10.sr02.rk43</t>
  </si>
  <si>
    <t>dal10.sr02.rk44</t>
  </si>
  <si>
    <t xml:space="preserve">ccoronado - Updating SL tag per Julie Le. Ticket: 145902764
</t>
  </si>
  <si>
    <t>dal10.sr02.rk45</t>
  </si>
  <si>
    <t>dal10.sr02.rk46</t>
  </si>
  <si>
    <t>dal10.sr02.rk47</t>
  </si>
  <si>
    <t>dal10.sr02.rk48</t>
  </si>
  <si>
    <t>dal10.sr02.rk49</t>
  </si>
  <si>
    <t>dal10.sr02.rk50</t>
  </si>
  <si>
    <t>dal10.sr02.rk51</t>
  </si>
  <si>
    <t>dal10.sr02.rk52</t>
  </si>
  <si>
    <t>dal10.sr02.rk53</t>
  </si>
  <si>
    <t>dal10.sr02.rk54</t>
  </si>
  <si>
    <t>dal10.sr02.rk55</t>
  </si>
  <si>
    <t>dal10.sr02.rk56</t>
  </si>
  <si>
    <t>dal10.sr02.rk57</t>
  </si>
  <si>
    <t>dal10.sr02.rk58</t>
  </si>
  <si>
    <t>dal10.sr02.rk59</t>
  </si>
  <si>
    <t>dal10.sr02.rk60</t>
  </si>
  <si>
    <t>dal10.sr02.rk61</t>
  </si>
  <si>
    <t>dal10.sr02.rk62</t>
  </si>
  <si>
    <t>dal10.sr02.rk63</t>
  </si>
  <si>
    <t>dal10.sr02.rk64</t>
  </si>
  <si>
    <t>dal10.sr02.rk65</t>
  </si>
  <si>
    <t>dal10.sr02.rk66</t>
  </si>
  <si>
    <t>dal10.sr02.rk67</t>
  </si>
  <si>
    <t>acoleman - acoleman - 1.19.21 - allocated for PowerVS per CAPREQ-570</t>
  </si>
  <si>
    <t>PowerVS - Build Out</t>
  </si>
  <si>
    <t>dal10.sr02.rk68</t>
  </si>
  <si>
    <t>dal10.sr02.rk69</t>
  </si>
  <si>
    <t>dal10.sr02.rk70</t>
  </si>
  <si>
    <t>dal10.sr02.rk71</t>
  </si>
  <si>
    <t>dal10.sr02.rk72</t>
  </si>
  <si>
    <t>dal10.sr02.rk73</t>
  </si>
  <si>
    <t>dal10.sr02.rk74</t>
  </si>
  <si>
    <t>dal10.sr02.rk75</t>
  </si>
  <si>
    <t>dal10.sr02.rk76</t>
  </si>
  <si>
    <t>dal10.sr02.rk77</t>
  </si>
  <si>
    <t>dal10.sr02.rk78</t>
  </si>
  <si>
    <t>dal10.sr02.rk79</t>
  </si>
  <si>
    <t>dal10.sr02.rk80</t>
  </si>
  <si>
    <t>dal10.sr02.rk81</t>
  </si>
  <si>
    <t>dal10.sr02.rk82</t>
  </si>
  <si>
    <t>dal10.sr02.rk83</t>
  </si>
  <si>
    <t>dal10.sr02.rk84</t>
  </si>
  <si>
    <t>dal10.sr02.rk85</t>
  </si>
  <si>
    <t>dal10.sr02.rk86</t>
  </si>
  <si>
    <t>dal10.sr02.rk87</t>
  </si>
  <si>
    <t>dal10.sr02.rk88</t>
  </si>
  <si>
    <t>dal10.sr02.rk89</t>
  </si>
  <si>
    <t>dal10.sr02.rk90</t>
  </si>
  <si>
    <t>dal10.sr02.rk91</t>
  </si>
  <si>
    <t>dal10.sr02.rk92</t>
  </si>
  <si>
    <t>dal10.sr02.rk93</t>
  </si>
  <si>
    <t>dal10.sr02.rk94</t>
  </si>
  <si>
    <t>dal10.sr02.rk95</t>
  </si>
  <si>
    <t>dal10.sr02.rk96</t>
  </si>
  <si>
    <t>dal10.sr02.rk97</t>
  </si>
  <si>
    <t>dal10.sr02.rk98</t>
  </si>
  <si>
    <t>dal10.sr02.rk99</t>
  </si>
  <si>
    <t>dal10.sr02.rk100</t>
  </si>
  <si>
    <t>vlam - 7/26/2023 - Update to unallocated. Confirmed with Bryan Henslee that this is no longer needed for COS.</t>
  </si>
  <si>
    <t>dal10.sr02.rk101</t>
  </si>
  <si>
    <t>dal10.sr02.rk102</t>
  </si>
  <si>
    <t>dal10.sr02.rk103</t>
  </si>
  <si>
    <t>dal10.sr02.rk104</t>
  </si>
  <si>
    <t>dal10.sr02.rk105</t>
  </si>
  <si>
    <t>dal10.sr02.rk106</t>
  </si>
  <si>
    <t>dal10.sr02.rk107</t>
  </si>
  <si>
    <t>dal10.sr02.rk108</t>
  </si>
  <si>
    <t>dal10.sr02.rk109</t>
  </si>
  <si>
    <t>dal10.sr02.rk110</t>
  </si>
  <si>
    <t>dal10.sr02.rk111</t>
  </si>
  <si>
    <t>Unallocated - Unusable</t>
  </si>
  <si>
    <t>dal10.sr02.rk112</t>
  </si>
  <si>
    <t>dal10.sr02.rk113</t>
  </si>
  <si>
    <t>dal10.sr02.rk114</t>
  </si>
  <si>
    <t>dal10.sr02.rk115</t>
  </si>
  <si>
    <t>dal10.sr02.rk116</t>
  </si>
  <si>
    <t>dal10.sr02.rk117</t>
  </si>
  <si>
    <t>dal10.sr02.rk118</t>
  </si>
  <si>
    <t>dal10.sr02.rk119</t>
  </si>
  <si>
    <t>dal10.sr02.rk120</t>
  </si>
  <si>
    <t>dal10.sr02.rk121</t>
  </si>
  <si>
    <t>dal10.sr02.rk122</t>
  </si>
  <si>
    <t>dal10.sr02.rk123</t>
  </si>
  <si>
    <t>dal10.sr02.rk124</t>
  </si>
  <si>
    <t>dal10.sr02.rk125</t>
  </si>
  <si>
    <t>dal10.sr02.rk126</t>
  </si>
  <si>
    <t>dal10.sr02.rk127</t>
  </si>
  <si>
    <t>dal10.sr02.rk128</t>
  </si>
  <si>
    <t>dal10.sr02.rk129</t>
  </si>
  <si>
    <t>dal10.sr02.rk130</t>
  </si>
  <si>
    <t>dal10.sr02.rk131</t>
  </si>
  <si>
    <t>dal10.sr02.rk132</t>
  </si>
  <si>
    <t>dal10.sr02.rk133</t>
  </si>
  <si>
    <t>dal10.sr02.rk134</t>
  </si>
  <si>
    <t>dal10.sr02.rk135</t>
  </si>
  <si>
    <t>vlam - 9/29/2022 - Allocated for NG AGG and MAGG per DCL-3078</t>
  </si>
  <si>
    <t>dal10.sr02.rk136</t>
  </si>
  <si>
    <t>dal10.sr02.rk137</t>
  </si>
  <si>
    <t>vlam - 12/15/2021 - Allocated to NG for February Replnishment</t>
  </si>
  <si>
    <t>dal10.sr02.rk138</t>
  </si>
  <si>
    <t>dal10.sr02.rk139</t>
  </si>
  <si>
    <t>dal10.sr02.rk140</t>
  </si>
  <si>
    <t>dal10.sr02.rk141</t>
  </si>
  <si>
    <t>dal10.sr02.rk142</t>
  </si>
  <si>
    <t>dal10.sr02.rk143</t>
  </si>
  <si>
    <t>dal10.sr02.rk144</t>
  </si>
  <si>
    <t>dal10.sr02.rk145</t>
  </si>
  <si>
    <t>dal10.sr02.rk146</t>
  </si>
  <si>
    <t>vlam - 12/15/21 - Allocated to NG2 for February Replenishment per CAPREQ-647</t>
  </si>
  <si>
    <t>dal10.sr02.rk147</t>
  </si>
  <si>
    <t>dal10.sr02.rk148</t>
  </si>
  <si>
    <t xml:space="preserve">ysilva - vlam - 12/15/21 - Allocated to NG2 for February Replenishment per CAPREQ-647
</t>
  </si>
  <si>
    <t>dal10.sr02.rk149</t>
  </si>
  <si>
    <t>dal10.sr02.rk150</t>
  </si>
  <si>
    <t>dal10.sr02.rk151</t>
  </si>
  <si>
    <t>dal10.sr02.rk152</t>
  </si>
  <si>
    <t>dal10.sr02.rk153</t>
  </si>
  <si>
    <t>dal10.sr02.rk154</t>
  </si>
  <si>
    <t>dal10.sr02.rk155</t>
  </si>
  <si>
    <t>dal10.sr02.rk156</t>
  </si>
  <si>
    <t>dal10.sr02.rk157</t>
  </si>
  <si>
    <t>vlam - Racks are used for Wrigley.</t>
  </si>
  <si>
    <t>dal10.sr02.rk158</t>
  </si>
  <si>
    <t>dal10.sr02.rk159</t>
  </si>
  <si>
    <t>dal10.sr02.rk160</t>
  </si>
  <si>
    <t>dal10.sr02.rk161</t>
  </si>
  <si>
    <t>dal10.sr02.rk162</t>
  </si>
  <si>
    <t>dal10.sr02.rk163</t>
  </si>
  <si>
    <t>dal10.sr02.rk164</t>
  </si>
  <si>
    <t>dal10.sr02.rk165</t>
  </si>
  <si>
    <t>dal10.sr02.rk166</t>
  </si>
  <si>
    <t>dal10.sr02.rk167</t>
  </si>
  <si>
    <t>dal10.sr02.rk168</t>
  </si>
  <si>
    <t>dal10.sr02.rk169</t>
  </si>
  <si>
    <t>dal10.sr02.rk170</t>
  </si>
  <si>
    <t>dal10.sr02.rk171</t>
  </si>
  <si>
    <t>dal10.sr02.rk172</t>
  </si>
  <si>
    <t>dal10.sr02.rk173</t>
  </si>
  <si>
    <t>dal10.sr02.rk174</t>
  </si>
  <si>
    <t>dal10.sr02.rk175</t>
  </si>
  <si>
    <t>dal10.sr02.rk176</t>
  </si>
  <si>
    <t>dal10.sr02.rk177</t>
  </si>
  <si>
    <t>dal10.sr02.rk178</t>
  </si>
  <si>
    <t>dal10.sr02.rk179</t>
  </si>
  <si>
    <t>acoleman - VPC File/Block</t>
  </si>
  <si>
    <t>dal10.sr02.rk180</t>
  </si>
  <si>
    <t>dal10.sr02.rk181</t>
  </si>
  <si>
    <t>vlam - 7/27/2023 - Set to decom, IMS Decom Ticket: 155552509</t>
  </si>
  <si>
    <t>Compute - Decom</t>
  </si>
  <si>
    <t>dal10.sr02.rk182</t>
  </si>
  <si>
    <t>dal10.sr02.rk183</t>
  </si>
  <si>
    <t>dal10.sr02.rk184</t>
  </si>
  <si>
    <t>dal10.sr02.rk185</t>
  </si>
  <si>
    <t>dal10.sr02.rk186</t>
  </si>
  <si>
    <t>dal10.sr02.rk187</t>
  </si>
  <si>
    <t>dal10.sr02.rk188</t>
  </si>
  <si>
    <t>dal10.sr02.rk189</t>
  </si>
  <si>
    <t>dal10.sr02.rk190</t>
  </si>
  <si>
    <t>sozcelik - sozcelik - 21-11-19 - Unallocated - CAPREQ-596</t>
  </si>
  <si>
    <t>dal10.sr02.rk191</t>
  </si>
  <si>
    <t>dal10.sr02.rk192</t>
  </si>
  <si>
    <t>dal10.sr02.rk193</t>
  </si>
  <si>
    <t>dal10.sr02.rk194</t>
  </si>
  <si>
    <t>dal10.sr02.rk195</t>
  </si>
  <si>
    <t>dal10.sr02.rk196</t>
  </si>
  <si>
    <t>dal10.sr02.rk197</t>
  </si>
  <si>
    <t>dal10.sr02.rk198</t>
  </si>
  <si>
    <t>dal10.sr02.rk199</t>
  </si>
  <si>
    <t>dal10.sr02.rk200</t>
  </si>
  <si>
    <t>dal10.sr02.rk190 - dal10.sr02.rk200</t>
  </si>
  <si>
    <t>dal10.sr02.rk201</t>
  </si>
  <si>
    <t xml:space="preserve">ysilva - ccoronado - Setting to retired offsite as this was converted over to Nextgen50U per Eric Lopez. Ticket: 155079181
</t>
  </si>
  <si>
    <t>dal10.sr02.rk202</t>
  </si>
  <si>
    <t>dal10.sr02.rk203</t>
  </si>
  <si>
    <t>vlam - 12/15/21 - Allocated to NG2 for QZ2 per DCL-3203</t>
  </si>
  <si>
    <t>dal10.sr02.rk204</t>
  </si>
  <si>
    <t>dal10.sr02.rk205</t>
  </si>
  <si>
    <t>dal10.sr02.rk206</t>
  </si>
  <si>
    <t>dal10.sr02.rk207</t>
  </si>
  <si>
    <t>dal10.sr02.rk208</t>
  </si>
  <si>
    <t>dal10.sr02.rk209</t>
  </si>
  <si>
    <t>dal10.sr02.rk210</t>
  </si>
  <si>
    <t>dal10.sr02.rk211</t>
  </si>
  <si>
    <t>dal10.sr02.rk212</t>
  </si>
  <si>
    <t>ysilva - vlam - 12/15/21 - Allocated to NG2 for BOA per CAPREQ-648</t>
  </si>
  <si>
    <t>dal10.sr02.rk213</t>
  </si>
  <si>
    <t>vlam - 12/15/21 - Allocated to NG2 for BOA per CAPREQ-648</t>
  </si>
  <si>
    <t>dal10.sr02.rk214</t>
  </si>
  <si>
    <t>dal10.sr02.rk215</t>
  </si>
  <si>
    <t>dal10.sr02.rk216</t>
  </si>
  <si>
    <t>dal10.sr02.rk217</t>
  </si>
  <si>
    <t>dal10.sr02.rk218</t>
  </si>
  <si>
    <t>dal10.sr02.rk219</t>
  </si>
  <si>
    <t>dal10.sr02.rk220</t>
  </si>
  <si>
    <t>dal10.sr02.rk221</t>
  </si>
  <si>
    <t>dal10.sr02.rk222</t>
  </si>
  <si>
    <t>dal10.sr02.rk223</t>
  </si>
  <si>
    <t>dal10.sr02.rk224</t>
  </si>
  <si>
    <t>dal10.sr02.rk225</t>
  </si>
  <si>
    <t>dal10.sr02.rk226</t>
  </si>
  <si>
    <t>dal10.sr02.rk227</t>
  </si>
  <si>
    <t>dal10.sr02.rk228</t>
  </si>
  <si>
    <t>dal10.sr02.rk229</t>
  </si>
  <si>
    <t>dal10.sr02.rk230</t>
  </si>
  <si>
    <t>dal10.sr02.rk231</t>
  </si>
  <si>
    <t>dal10.sr02.rk232</t>
  </si>
  <si>
    <t>dal10.sr02.rk233</t>
  </si>
  <si>
    <t>dal10.sr02.rk234</t>
  </si>
  <si>
    <t>vlam - 12/15/21 - Allocated to NG2 for BOA per CAPREQ-649</t>
  </si>
  <si>
    <t>dal10.sr02.rk235</t>
  </si>
  <si>
    <t>dal10.sr02.rk236</t>
  </si>
  <si>
    <t>dal10.sr02.rk237</t>
  </si>
  <si>
    <t>dal10.sr02.rk238</t>
  </si>
  <si>
    <t>dal10.sr02.rk239</t>
  </si>
  <si>
    <t>dal10.sr02.rk240</t>
  </si>
  <si>
    <t>dal10.sr02.rk241</t>
  </si>
  <si>
    <t>dal10.sr02.rk242</t>
  </si>
  <si>
    <t>dal10.sr02.rk243</t>
  </si>
  <si>
    <t>dal10.sr02.rk244</t>
  </si>
  <si>
    <t>dal10.sr02.rk245</t>
  </si>
  <si>
    <t>dal10.sr02.rk246</t>
  </si>
  <si>
    <t>dal10.sr02.rk247</t>
  </si>
  <si>
    <t>dal10.sr02.rk248</t>
  </si>
  <si>
    <t>dal10.sr02.rk249</t>
  </si>
  <si>
    <t>dal10.sr02.rk250</t>
  </si>
  <si>
    <t>dal10.sr02.rk251</t>
  </si>
  <si>
    <t>dal10.sr02.rk252</t>
  </si>
  <si>
    <t>dal10.sr02.rk253</t>
  </si>
  <si>
    <t>dal10.sr02.rk254</t>
  </si>
  <si>
    <t>dal10.sr02.rk255</t>
  </si>
  <si>
    <t>dal10.sr02.rk256</t>
  </si>
  <si>
    <t>dal10.sr02.rk257</t>
  </si>
  <si>
    <t>dal10.sr02.rk258</t>
  </si>
  <si>
    <t>vlam - 12/15/21 - Allocated to NG2 for January TD per CAPREQ-650</t>
  </si>
  <si>
    <t>dal10.sr02.rk259</t>
  </si>
  <si>
    <t>dal10.sr02.rk260</t>
  </si>
  <si>
    <t>dal10.sr02.rk261</t>
  </si>
  <si>
    <t>dal10.sr02.rk262</t>
  </si>
  <si>
    <t>dal10.sr02.rk263</t>
  </si>
  <si>
    <t>dal10.sr02.rk264</t>
  </si>
  <si>
    <t>dal10.sr02.rk265</t>
  </si>
  <si>
    <t>dal10.sr02.rk266</t>
  </si>
  <si>
    <t>dal10.sr02.rk267</t>
  </si>
  <si>
    <t>dal10.sr02.rk268</t>
  </si>
  <si>
    <t>dal10.sr02.rk269</t>
  </si>
  <si>
    <t>dal10.sr02.rk270</t>
  </si>
  <si>
    <t>dal10.sr02.rk271</t>
  </si>
  <si>
    <t>dal10.sr02.rk272</t>
  </si>
  <si>
    <t>dal10.sr02.rk273</t>
  </si>
  <si>
    <t>dal10.sr02.rk274</t>
  </si>
  <si>
    <t>dal10.sr02.rk275</t>
  </si>
  <si>
    <t>dal10.sr02.rk276</t>
  </si>
  <si>
    <t>dal10.sr02.rk277</t>
  </si>
  <si>
    <t>dal10.sr02.rk278</t>
  </si>
  <si>
    <t>dal10.sr02.rk279</t>
  </si>
  <si>
    <t>dal10.sr02.rk280</t>
  </si>
  <si>
    <t xml:space="preserve">vlam - vlam - 5/6/20 - Assign to NetApp.
</t>
  </si>
  <si>
    <t>dal10.sr02.rk281</t>
  </si>
  <si>
    <t>dal10.sr02.rk282</t>
  </si>
  <si>
    <t>dal10.sr02.rk283</t>
  </si>
  <si>
    <t>dal10.sr02.rk284</t>
  </si>
  <si>
    <t>dal10.sr02.rk285</t>
  </si>
  <si>
    <t>dal10.sr02.rk286</t>
  </si>
  <si>
    <t>dal10.sr02.rk287</t>
  </si>
  <si>
    <t>dal10.sr02.rk288</t>
  </si>
  <si>
    <t>dal10.sr02.rk289</t>
  </si>
  <si>
    <t>dal10.sr02.rk290</t>
  </si>
  <si>
    <t>dal10.sr02.rk291</t>
  </si>
  <si>
    <t>dal10.sr02.rk292</t>
  </si>
  <si>
    <t>dal10.sr02.rk293</t>
  </si>
  <si>
    <t>dal10.sr02.rk294</t>
  </si>
  <si>
    <t>dal10.sr02.rk295</t>
  </si>
  <si>
    <t>dal10.sr02.rk296</t>
  </si>
  <si>
    <t>dal10.sr02.rk297</t>
  </si>
  <si>
    <t>dal10.sr02.rk298</t>
  </si>
  <si>
    <t>dal10.sr02.rk299</t>
  </si>
  <si>
    <t>dal10.sr02.rk300</t>
  </si>
  <si>
    <t>dal10.sr02.rk301</t>
  </si>
  <si>
    <t>dal10.sr02.rk302</t>
  </si>
  <si>
    <t>dal10.sr02.rk303</t>
  </si>
  <si>
    <t>dal10.sr02.rk304</t>
  </si>
  <si>
    <t>dal10.sr02.rk305</t>
  </si>
  <si>
    <t>dal10.sr02.rk306</t>
  </si>
  <si>
    <t>dal10.sr02.rk307</t>
  </si>
  <si>
    <t>dal10.sr02.rk308</t>
  </si>
  <si>
    <t>dal10.sr02.rk309</t>
  </si>
  <si>
    <t>dal10.sr02.rk310</t>
  </si>
  <si>
    <t>dal10.sr02.rk311</t>
  </si>
  <si>
    <t>DAL10-103</t>
  </si>
  <si>
    <t>dal10.sr02.rk312</t>
  </si>
  <si>
    <t>dal10.sr02.rk313</t>
  </si>
  <si>
    <t>dal10.sr02.rk314</t>
  </si>
  <si>
    <t>dal10.sr02.rk315</t>
  </si>
  <si>
    <t>dal10.sr02.rk316</t>
  </si>
  <si>
    <t>dal10.sr02.rk317</t>
  </si>
  <si>
    <t>dal10.sr02.rk318</t>
  </si>
  <si>
    <t>dal10.sr02.rk319</t>
  </si>
  <si>
    <t>dal10.sr02.rk320</t>
  </si>
  <si>
    <t>dal10.sr02.rk321</t>
  </si>
  <si>
    <t>dal10.sr02.rk322</t>
  </si>
  <si>
    <t>dal10.sr02.rk323</t>
  </si>
  <si>
    <t>dal10.sr02.rk324</t>
  </si>
  <si>
    <t>dal10.sr02.rk325</t>
  </si>
  <si>
    <t>dal10.sr02.rk326</t>
  </si>
  <si>
    <t>dal10.sr02.rk327</t>
  </si>
  <si>
    <t>dal10.sr02.rk328</t>
  </si>
  <si>
    <t>dal10.sr02.rk329</t>
  </si>
  <si>
    <t>dal10.sr02.rk330</t>
  </si>
  <si>
    <t>dal10.sr02.rk331</t>
  </si>
  <si>
    <t>dal10.sr02.rk332</t>
  </si>
  <si>
    <t>dal10.sr02.rk333</t>
  </si>
  <si>
    <t>dal10.sr02.rk334</t>
  </si>
  <si>
    <t>dal10.sr02.rk335</t>
  </si>
  <si>
    <t>dal10.sr02.rk336</t>
  </si>
  <si>
    <t>dal10.sr02.rk337</t>
  </si>
  <si>
    <t>dal10.sr02.rk338</t>
  </si>
  <si>
    <t>dal10.sr02.rk339</t>
  </si>
  <si>
    <t>dal10.sr02.rk340</t>
  </si>
  <si>
    <t>dal10.sr02.rk341</t>
  </si>
  <si>
    <t>vlam - VDC Rack reclaimed.
https://internal.softlayer.com/Ticket/ticketEdit/85497561</t>
  </si>
  <si>
    <t>dal10.sr02.rk342</t>
  </si>
  <si>
    <t>vlam - VDC Rack reclaimed. https://internal.softlayer.com/Ticket/ticketEdit/85495547</t>
  </si>
  <si>
    <t>dal10.sr02.rk343</t>
  </si>
  <si>
    <t>vlam - VDC rack reclaimed. https://internal.softlayer.com/Ticket/ticketEdit/85499633</t>
  </si>
  <si>
    <t>dal10.sr02.rk344</t>
  </si>
  <si>
    <t>vlam - 11/4/21 - From acoleman, per CAPREQ-637 for Acadia Storage</t>
  </si>
  <si>
    <t>dal10.sr02.rk345</t>
  </si>
  <si>
    <t xml:space="preserve">ysilva - acoleman - acoleman - 11/4/21 - per CAPREQ-637 for Acadia Storage
</t>
  </si>
  <si>
    <t>dal10.sr02.rk346</t>
  </si>
  <si>
    <t>dal10.sr02.rk347</t>
  </si>
  <si>
    <t>dal10.sr02.rk348</t>
  </si>
  <si>
    <t>acoleman - acoleman - 11/4/21 - per CAPREQ-637 for Acadia Storage</t>
  </si>
  <si>
    <t>dal10.sr02.rk349</t>
  </si>
  <si>
    <t>dal10.sr02.rk350</t>
  </si>
  <si>
    <t>dal10.sr02.rk351</t>
  </si>
  <si>
    <t>dal10.sr02.rk352</t>
  </si>
  <si>
    <t>dal10.sr02.rk353</t>
  </si>
  <si>
    <t>dal10.sr02.rk354</t>
  </si>
  <si>
    <t>dal10.sr02.rk355</t>
  </si>
  <si>
    <t>dal10.sr02.rk356</t>
  </si>
  <si>
    <t>dal10.sr02.rk357</t>
  </si>
  <si>
    <t>dal10.sr02.rk358</t>
  </si>
  <si>
    <t>dal10.sr02.rk359</t>
  </si>
  <si>
    <t>dal10.sr02.rk360</t>
  </si>
  <si>
    <t>dal10.sr02.rk361</t>
  </si>
  <si>
    <t>dal10.sr02.rk362</t>
  </si>
  <si>
    <t>dal10.sr02.rk363</t>
  </si>
  <si>
    <t>dal10.sr02.rk364</t>
  </si>
  <si>
    <t>dal10.sr02.rk365</t>
  </si>
  <si>
    <t>dal10.sr02.rk366</t>
  </si>
  <si>
    <t>dal10.sr02.rk367</t>
  </si>
  <si>
    <t>dal10.sr02.rk368</t>
  </si>
  <si>
    <t>dal10.sr02.rk369</t>
  </si>
  <si>
    <t>dal10.sr02.rk370</t>
  </si>
  <si>
    <t>dal10.sr02.rk371</t>
  </si>
  <si>
    <t>dal10.sr02.rk372</t>
  </si>
  <si>
    <t>dal10.sr02.rk373</t>
  </si>
  <si>
    <t>dal10.sr02.rk374</t>
  </si>
  <si>
    <t>dal10.sr02.rk375</t>
  </si>
  <si>
    <t>dal10.sr02.rk376</t>
  </si>
  <si>
    <t>dal10.sr02.rk377</t>
  </si>
  <si>
    <t>dal10.sr02.rk378</t>
  </si>
  <si>
    <t>dal10.sr02.rk379</t>
  </si>
  <si>
    <t>dal10.sr02.rk380</t>
  </si>
  <si>
    <t>dal10.sr02.rk381</t>
  </si>
  <si>
    <t>dal10.sr02.rk382</t>
  </si>
  <si>
    <t>dal10.sr02.rk383</t>
  </si>
  <si>
    <t>dal10.sr02.rk384</t>
  </si>
  <si>
    <t>dal10.sr02.rk385</t>
  </si>
  <si>
    <t>dal10.sr02.rk386</t>
  </si>
  <si>
    <t>dal10.sr02.rk387</t>
  </si>
  <si>
    <t>dal10.sr02.rk388</t>
  </si>
  <si>
    <t>dal10.sr02.rk389</t>
  </si>
  <si>
    <t>dal10.sr02.rk390</t>
  </si>
  <si>
    <t>dal10.sr02.rk391</t>
  </si>
  <si>
    <t>dal10.sr02.rk392</t>
  </si>
  <si>
    <t>dal10.sr02.rk393</t>
  </si>
  <si>
    <t>dal10.sr02.rk394</t>
  </si>
  <si>
    <t>dal10.sr02.rk395</t>
  </si>
  <si>
    <t>dal10.sr02.rk396</t>
  </si>
  <si>
    <t>dal10.sr02.rk397</t>
  </si>
  <si>
    <t>dal10.sr02.rk398</t>
  </si>
  <si>
    <t>dal10.sr02.rk399</t>
  </si>
  <si>
    <t>dal10.sr02.rk400</t>
  </si>
  <si>
    <t>dal10.sr02.rk401</t>
  </si>
  <si>
    <t>dal10.sr02.rk402</t>
  </si>
  <si>
    <t>dal10.sr02.rk403</t>
  </si>
  <si>
    <t>dal10.sr02.rk404</t>
  </si>
  <si>
    <t>dal10.sr02.rk405</t>
  </si>
  <si>
    <t>dal10.sr02.rk406</t>
  </si>
  <si>
    <t>dal10.sr02.rk407</t>
  </si>
  <si>
    <t>dal10.sr02.rk408</t>
  </si>
  <si>
    <t>dal10.sr02.rk409</t>
  </si>
  <si>
    <t>dal10.sr02.rk410</t>
  </si>
  <si>
    <t>dal10.sr02.rk411</t>
  </si>
  <si>
    <t>dal10.sr02.rk412</t>
  </si>
  <si>
    <t>dal10.sr02.rk413</t>
  </si>
  <si>
    <t>dal10.sr02.rk414</t>
  </si>
  <si>
    <t>dal10.sr02.rk415</t>
  </si>
  <si>
    <t>dal10.sr02.rk416</t>
  </si>
  <si>
    <t>dal10.sr02.rk417</t>
  </si>
  <si>
    <t>dal10.sr02.rk418</t>
  </si>
  <si>
    <t>dal10.sr02.rk419</t>
  </si>
  <si>
    <t>dal10.sr02.rk420</t>
  </si>
  <si>
    <t>dal10.sr02.rk421</t>
  </si>
  <si>
    <t>dal10.sr02.rk422</t>
  </si>
  <si>
    <t>dal10.sr02.rk423</t>
  </si>
  <si>
    <t>dal10.sr02.rk424</t>
  </si>
  <si>
    <t>dal10.sr02.rk425</t>
  </si>
  <si>
    <t>dal10.sr02.rk426</t>
  </si>
  <si>
    <t>dal10.sr02.rk427</t>
  </si>
  <si>
    <t>dal10.sr02.rk428</t>
  </si>
  <si>
    <t>dal10.sr02.rk429</t>
  </si>
  <si>
    <t>dal10.sr02.rk430</t>
  </si>
  <si>
    <t>dal10.sr02.rk431</t>
  </si>
  <si>
    <t>dal10.sr02.rk432</t>
  </si>
  <si>
    <t>vlam - 7/27/2023 - Internal POD3 row.</t>
  </si>
  <si>
    <t>dal10.sr02.rk433</t>
  </si>
  <si>
    <t>dal10.sr02.rk434</t>
  </si>
  <si>
    <t>dal10.sr02.rk435</t>
  </si>
  <si>
    <t>dal10.sr02.rk436</t>
  </si>
  <si>
    <t>dal10.sr02.rk437</t>
  </si>
  <si>
    <t>dal10.sr02.rk438</t>
  </si>
  <si>
    <t>dal10.sr02.rk439</t>
  </si>
  <si>
    <t>dal10.sr02.rk440</t>
  </si>
  <si>
    <t>dal10.sr02.rk441</t>
  </si>
  <si>
    <t>dal10.sr02.rk442</t>
  </si>
  <si>
    <t>dal10.sr02.rk443</t>
  </si>
  <si>
    <t>dal10.sr02.rk444</t>
  </si>
  <si>
    <t>vlam - 7/27/2023 - Set to decom, IMS Decom Ticket: 155554159</t>
  </si>
  <si>
    <t>Storage - Decom</t>
  </si>
  <si>
    <t>dal10.sr02.rk445</t>
  </si>
  <si>
    <t>dal10.sr02.rk446</t>
  </si>
  <si>
    <t>dal10.sr02.rk447</t>
  </si>
  <si>
    <t>dal10.sr02.rk448</t>
  </si>
  <si>
    <t>dal10.sr02.rk449</t>
  </si>
  <si>
    <t>dal10.sr02.rk450</t>
  </si>
  <si>
    <t>dal10.sr02.rk451</t>
  </si>
  <si>
    <t>dal10.sr02.rk452</t>
  </si>
  <si>
    <t>dal10.sr02.rk453</t>
  </si>
  <si>
    <t>dal10.sr02.rk454</t>
  </si>
  <si>
    <t>dal10.sr02.rk455</t>
  </si>
  <si>
    <t>vlam - 12/15/21 - Allocated to NG2 for January TD per CAPREQ-651</t>
  </si>
  <si>
    <t>dal10.sr02.rk456</t>
  </si>
  <si>
    <t>ysilva - vlam - 12/15/21 - Allocated to NG2 for January TD per CAPREQ-651</t>
  </si>
  <si>
    <t>dal10.sr02.rk457</t>
  </si>
  <si>
    <t>dal10.sr02.rk458</t>
  </si>
  <si>
    <t>dal10.sr02.rk459</t>
  </si>
  <si>
    <t>dal10.sr02.rk460</t>
  </si>
  <si>
    <t>dal10.sr02.rk461</t>
  </si>
  <si>
    <t>dal10.sr02.rk462</t>
  </si>
  <si>
    <t>dal10.sr02.rk463</t>
  </si>
  <si>
    <t>dal10.sr02.rk464</t>
  </si>
  <si>
    <t>dal10.sr02.rk465</t>
  </si>
  <si>
    <t>dal10.sr02.rk466</t>
  </si>
  <si>
    <t>dal10.sr02.rk467</t>
  </si>
  <si>
    <t>acoleman - acoleman - 2.26.21 - allocated for STaaS per CAPREQ-579</t>
  </si>
  <si>
    <t>dal10.sr02.rk468</t>
  </si>
  <si>
    <t>dal10.sr02.rk469</t>
  </si>
  <si>
    <t>dal10.sr02.rk470</t>
  </si>
  <si>
    <t>dal10.sr02.rk471</t>
  </si>
  <si>
    <t>dal10.sr02.rk472</t>
  </si>
  <si>
    <t>dal10.sr02.rk473</t>
  </si>
  <si>
    <t>dal10.sr02.rk474</t>
  </si>
  <si>
    <t>dal10.sr02.rk475</t>
  </si>
  <si>
    <t>dal10.sr02.rk476</t>
  </si>
  <si>
    <t>dal10.sr02.rk477</t>
  </si>
  <si>
    <t>dal10.sr02.rk478</t>
  </si>
  <si>
    <t>dal10.sr02.rk479</t>
  </si>
  <si>
    <t>dal10.sr02.rk480</t>
  </si>
  <si>
    <t>dal10.sr02.rk481</t>
  </si>
  <si>
    <t>dal10.sr02.rk482</t>
  </si>
  <si>
    <t>mreed - Restricted Access Account - Hardware Locked</t>
  </si>
  <si>
    <t>dal10.sr02.rk483</t>
  </si>
  <si>
    <t>dal10.sr02.rk484</t>
  </si>
  <si>
    <t>dal10.sr02.rk485</t>
  </si>
  <si>
    <t>dal10.sr02.rk486</t>
  </si>
  <si>
    <t>dal10.sr02.rk487</t>
  </si>
  <si>
    <t>dal10.sr02.rk488</t>
  </si>
  <si>
    <t>dal10.sr02.rk489</t>
  </si>
  <si>
    <t>vlam - 12/15/21 - Allocated to NG for Acadia QZ1 per DCL-3301</t>
  </si>
  <si>
    <t>dal10.sr02.rk490</t>
  </si>
  <si>
    <t>vlam - 7/28/2022 - Reallocated from QZ2 to Acadia QZ1 per DCL-3301</t>
  </si>
  <si>
    <t>dal10.sr02.rk491</t>
  </si>
  <si>
    <t>dal10.sr02.rk492</t>
  </si>
  <si>
    <t>dal10.sr02.rk493</t>
  </si>
  <si>
    <t>dal10.sr02.rk494</t>
  </si>
  <si>
    <t>dal10.sr02.rk495</t>
  </si>
  <si>
    <t>dal10.sr02.rk496</t>
  </si>
  <si>
    <t>dal10.sr02.rk497</t>
  </si>
  <si>
    <t>dal10.sr02.rk498</t>
  </si>
  <si>
    <t>dal10.sr02.rk499</t>
  </si>
  <si>
    <t>dal10.sr02.rk500</t>
  </si>
  <si>
    <t>25G</t>
  </si>
  <si>
    <t>astelmach - 7/25/23 - Updated 'kw/rack' attribute to 9 for this 25GB rack.</t>
  </si>
  <si>
    <t>dal10.sr02.rk501</t>
  </si>
  <si>
    <t>dal10.sr02.rk502</t>
  </si>
  <si>
    <t>dal10.sr02.rk503</t>
  </si>
  <si>
    <t>dal10.sr02.rk504</t>
  </si>
  <si>
    <t>dal10.sr02.rk505</t>
  </si>
  <si>
    <t>vlam - vlam - 9/30/20 - This is the Bare Metal 25G row.</t>
  </si>
  <si>
    <t>dal10.sr02.rk506</t>
  </si>
  <si>
    <t>dal10.sr02.rk507</t>
  </si>
  <si>
    <t>dal10.sr02.rk508</t>
  </si>
  <si>
    <t>dal10.sr02.rk509</t>
  </si>
  <si>
    <t>dal10.sr02.rk510</t>
  </si>
  <si>
    <t>dal10.sr02.rk511</t>
  </si>
  <si>
    <t>dal10.sr02.rk512</t>
  </si>
  <si>
    <t>dal10.sr02.rk513</t>
  </si>
  <si>
    <t>dal10.sr02.rk514</t>
  </si>
  <si>
    <t>dal10.sr02.rk515</t>
  </si>
  <si>
    <t>dal10.sr02.rk516</t>
  </si>
  <si>
    <t>dal10.sr02.rk517</t>
  </si>
  <si>
    <t>dal10.sr02.rk518</t>
  </si>
  <si>
    <t>dal10.sr02.rk519</t>
  </si>
  <si>
    <t>dal10.sr02.rk520</t>
  </si>
  <si>
    <t>dal10.sr02.rk521</t>
  </si>
  <si>
    <t>dal10.sr02.rk522</t>
  </si>
  <si>
    <t>dal10.sr02.rk523</t>
  </si>
  <si>
    <t>dal10.sr02.rk524</t>
  </si>
  <si>
    <t>dal10.sr02.rk525</t>
  </si>
  <si>
    <t>dal10.sr02.rk526</t>
  </si>
  <si>
    <t>dal10.sr02.rk527</t>
  </si>
  <si>
    <t>dal10.sr02.rk528</t>
  </si>
  <si>
    <t>dal10.sr02.rk529</t>
  </si>
  <si>
    <t>dal10.sr02.rk530</t>
  </si>
  <si>
    <t>dal10.sr02.rk531</t>
  </si>
  <si>
    <t>dal10.sr02.rk532</t>
  </si>
  <si>
    <t>dal10.sr02.rk533</t>
  </si>
  <si>
    <t>dal10.sr02.rk534</t>
  </si>
  <si>
    <t>dal10.sr02.rk535</t>
  </si>
  <si>
    <t>dal10.sr02.rk536</t>
  </si>
  <si>
    <t>dal10.sr02.rk537</t>
  </si>
  <si>
    <t>dal10.sr02.rk538</t>
  </si>
  <si>
    <t>dal10.sr02.rk539</t>
  </si>
  <si>
    <t>dal10.sr02.rk540</t>
  </si>
  <si>
    <t>dal10.sr02.rk541</t>
  </si>
  <si>
    <t>dal10.sr02.rk542</t>
  </si>
  <si>
    <t>dal10.sr02.rk543</t>
  </si>
  <si>
    <t>dal10.sr02.rk544</t>
  </si>
  <si>
    <t>dal10.sr02.rk545</t>
  </si>
  <si>
    <t>dal10.sr02.rk546</t>
  </si>
  <si>
    <t>dal10.sr02.rk547</t>
  </si>
  <si>
    <t>dal10.sr02.rk548</t>
  </si>
  <si>
    <t>dal10.sr02.rk549</t>
  </si>
  <si>
    <t>dal10.sr02.rk550</t>
  </si>
  <si>
    <t>dal10.sr02.rk551</t>
  </si>
  <si>
    <t>dal10.sr02.rk552</t>
  </si>
  <si>
    <t>dal10.sr02.rk553</t>
  </si>
  <si>
    <t>dal10.sr02.rk554</t>
  </si>
  <si>
    <t>dal10.sr02.rk555</t>
  </si>
  <si>
    <t>dal10.sr02.rk556</t>
  </si>
  <si>
    <t>dal10.sr02.rk557</t>
  </si>
  <si>
    <t>dal10.sr02.rk558</t>
  </si>
  <si>
    <t>dal10.sr02.rk559</t>
  </si>
  <si>
    <t>dal10.sr02.rk560</t>
  </si>
  <si>
    <t>dal10.sr02.rk561</t>
  </si>
  <si>
    <t>dal10.sr02.rk562</t>
  </si>
  <si>
    <t>dal10.sr02.rk563</t>
  </si>
  <si>
    <t>dal10.sr02.rk564</t>
  </si>
  <si>
    <t>dal10.sr02.rk565</t>
  </si>
  <si>
    <t>dal10.sr02.rk566</t>
  </si>
  <si>
    <t>dal10.sr02.rk567</t>
  </si>
  <si>
    <t>dal10.sr02.rk568</t>
  </si>
  <si>
    <t>dal10.sr02.rk569</t>
  </si>
  <si>
    <t>dal10.sr02.rk570</t>
  </si>
  <si>
    <t>dal10.sr02.rk571</t>
  </si>
  <si>
    <t>dal10.sr02.rk572</t>
  </si>
  <si>
    <t>dal10.sr02.rk573</t>
  </si>
  <si>
    <t>dal10.sr02.rk574</t>
  </si>
  <si>
    <t>dal10.sr02.rk575</t>
  </si>
  <si>
    <t>dal10.sr02.rk576</t>
  </si>
  <si>
    <t>dal10.sr02.rk577</t>
  </si>
  <si>
    <t>dal10.sr02.rk578</t>
  </si>
  <si>
    <t>dal10.sr02.rk579</t>
  </si>
  <si>
    <t>dal10.sr02.rk580</t>
  </si>
  <si>
    <t>dal10.sr02.rk581</t>
  </si>
  <si>
    <t>dal10.sr02.rk582</t>
  </si>
  <si>
    <t>dal10.sr02.rk583</t>
  </si>
  <si>
    <t>dal10.sr02.rk584</t>
  </si>
  <si>
    <t>dal10.sr02.rk585</t>
  </si>
  <si>
    <t>dal10.sr02.rk586</t>
  </si>
  <si>
    <t>dal10.sr02.rk587</t>
  </si>
  <si>
    <t>dal10.sr02.rk588</t>
  </si>
  <si>
    <t>dal10.sr02.rk589</t>
  </si>
  <si>
    <t>dal10.sr02.rk590</t>
  </si>
  <si>
    <t xml:space="preserve">ysilva - 2/15/2022 - Allocated to NG for QZ2 per DCL-3170
</t>
  </si>
  <si>
    <t>dal10.sr02.rk591</t>
  </si>
  <si>
    <t>vlam - 2/15/2022 - Allocated to NG for QZ2 per DCL-3170</t>
  </si>
  <si>
    <t>dal10.sr02.rk592</t>
  </si>
  <si>
    <t>dal10.sr02.rk593</t>
  </si>
  <si>
    <t>dal10.sr02.rk594</t>
  </si>
  <si>
    <t>dal10.sr02.rk595</t>
  </si>
  <si>
    <t>dal10.sr02.rk596</t>
  </si>
  <si>
    <t>dal10.sr02.rk597</t>
  </si>
  <si>
    <t>dal10.sr02.rk598</t>
  </si>
  <si>
    <t>dal10.sr02.rk599</t>
  </si>
  <si>
    <t>dal10.sr02.rk600</t>
  </si>
  <si>
    <t>dal10.sr02.rk601</t>
  </si>
  <si>
    <t>dal10.sr02.rk602</t>
  </si>
  <si>
    <t>dal10.sr02.rk603</t>
  </si>
  <si>
    <t>dal10.sr02.rk604</t>
  </si>
  <si>
    <t>dal10.sr02.rk605</t>
  </si>
  <si>
    <t>dal10.sr02.rk606</t>
  </si>
  <si>
    <t>dal10.sr02.rk607</t>
  </si>
  <si>
    <t>dal10.sr02.rk608</t>
  </si>
  <si>
    <t>dal10.sr02.rk609</t>
  </si>
  <si>
    <t>dal10.sr02.rk610</t>
  </si>
  <si>
    <t>dal10.sr02.rk611</t>
  </si>
  <si>
    <t>dal10.sr02.rk612</t>
  </si>
  <si>
    <t>dal10.sr02.rk613</t>
  </si>
  <si>
    <t>dal10.sr02.rk614</t>
  </si>
  <si>
    <t>dal10.sr02.rk615</t>
  </si>
  <si>
    <t>dal10.sr02.rk616</t>
  </si>
  <si>
    <t>dal10.sr02.rk617</t>
  </si>
  <si>
    <t>dal10.sr02.rk618</t>
  </si>
  <si>
    <t>dal10.sr02.rk619</t>
  </si>
  <si>
    <t>dal10.sr02.rk620</t>
  </si>
  <si>
    <t>dal10.sr03.rk01</t>
  </si>
  <si>
    <t>L4</t>
  </si>
  <si>
    <t>dal10.sr03.rk02</t>
  </si>
  <si>
    <t>dal10.sr03.rk03</t>
  </si>
  <si>
    <t>dal10.sr03.rk04</t>
  </si>
  <si>
    <t>dal10.sr03.rk05</t>
  </si>
  <si>
    <t>dal10.sr03.rk06</t>
  </si>
  <si>
    <t>dal10.sr03.rk07</t>
  </si>
  <si>
    <t>dal10.sr03.rk08</t>
  </si>
  <si>
    <t>dal10.sr03.rk09</t>
  </si>
  <si>
    <t>dal10.sr03.rk10</t>
  </si>
  <si>
    <t>dal10.sr03.rk11</t>
  </si>
  <si>
    <t>dal10.sr03.rk12</t>
  </si>
  <si>
    <t>dal10.sr03.rk13</t>
  </si>
  <si>
    <t>dal10.sr03.rk14</t>
  </si>
  <si>
    <t>dal10.sr03.rk15</t>
  </si>
  <si>
    <t>dal10.sr03.rk16</t>
  </si>
  <si>
    <t>dal10.sr03.rk17</t>
  </si>
  <si>
    <t>ccoronado - Adding SL tag per Eric Lopez. Ticket: 141291244</t>
  </si>
  <si>
    <t>dal10.sr03.rk18</t>
  </si>
  <si>
    <t>dal10.sr03.rk19</t>
  </si>
  <si>
    <t>dal10.sr03.rk20</t>
  </si>
  <si>
    <t>dal10.sr03.rk21</t>
  </si>
  <si>
    <t>dal10.sr03.rk22</t>
  </si>
  <si>
    <t>vlam - 12/15/2021 - Allocated to NG for CITI per DCL-3089</t>
  </si>
  <si>
    <t>dal10.sr03.rk23</t>
  </si>
  <si>
    <t>dal10.sr03.rk24</t>
  </si>
  <si>
    <t>dal10.sr03.rk25</t>
  </si>
  <si>
    <t>dal10.sr03.rk26</t>
  </si>
  <si>
    <t>dal10.sr03.rk27</t>
  </si>
  <si>
    <t>dal10.sr03.rk28</t>
  </si>
  <si>
    <t>dal10.sr03.rk29</t>
  </si>
  <si>
    <t>dal10.sr03.rk30</t>
  </si>
  <si>
    <t>dal10.sr03.rk31</t>
  </si>
  <si>
    <t>dal10.sr03.rk32</t>
  </si>
  <si>
    <t>dal10.sr03.rk33</t>
  </si>
  <si>
    <t>dal10.sr03.rk34</t>
  </si>
  <si>
    <t>vlam - vlam - 5/6/20 - Assign for NetApp</t>
  </si>
  <si>
    <t>dal10.sr03.rk35</t>
  </si>
  <si>
    <t>NG Fed</t>
  </si>
  <si>
    <t>Z Mainframe</t>
  </si>
  <si>
    <t>vlam - 3/22/22 - NG Storage Rack</t>
  </si>
  <si>
    <t>NG Fed - Live</t>
  </si>
  <si>
    <t>dal10.sr03.rk36</t>
  </si>
  <si>
    <t>dal10.sr03.rk37</t>
  </si>
  <si>
    <t>dal10.sr03.rk38</t>
  </si>
  <si>
    <t>dal10.sr03.rk39</t>
  </si>
  <si>
    <t>dal10.sr03.rk40</t>
  </si>
  <si>
    <t>dal10.sr03.rk41</t>
  </si>
  <si>
    <t>vlam - vlam - 11/3/2021 - NG File Racks</t>
  </si>
  <si>
    <t>dal10.sr03.rk42</t>
  </si>
  <si>
    <t>dal10.sr03.rk43</t>
  </si>
  <si>
    <t>dal10.sr03.rk44</t>
  </si>
  <si>
    <t>dal10.sr03.rk45</t>
  </si>
  <si>
    <t xml:space="preserve">vlam - Assigned as GEN2 Row per the discussion with Felipe Telles &amp; GEN2 Team: "Power Zone Review - GEN2 New Row Assigments"
</t>
  </si>
  <si>
    <t>dal10.sr03.rk46</t>
  </si>
  <si>
    <t>dal10.sr03.rk47</t>
  </si>
  <si>
    <t>dal10.sr03.rk48</t>
  </si>
  <si>
    <t>dal10.sr03.rk49</t>
  </si>
  <si>
    <t>dal10.sr03.rk50</t>
  </si>
  <si>
    <t>dal10.sr03.rk51</t>
  </si>
  <si>
    <t>dal10.sr03.rk52</t>
  </si>
  <si>
    <t>dal10.sr03.rk53</t>
  </si>
  <si>
    <t>dal10.sr03.rk54</t>
  </si>
  <si>
    <t>dal10.sr03.rk55</t>
  </si>
  <si>
    <t>dal10.sr03.rk56</t>
  </si>
  <si>
    <t>dal10.sr03.rk57</t>
  </si>
  <si>
    <t>dal10.sr03.rk58</t>
  </si>
  <si>
    <t>dal10.sr03.rk59</t>
  </si>
  <si>
    <t>dal10.sr03.rk60</t>
  </si>
  <si>
    <t>dal10.sr03.rk61</t>
  </si>
  <si>
    <t>dal10.sr03.rk62</t>
  </si>
  <si>
    <t>dal10.sr03.rk63</t>
  </si>
  <si>
    <t>dal10.sr03.rk64</t>
  </si>
  <si>
    <t>dal10.sr03.rk65</t>
  </si>
  <si>
    <t>dal10.sr03.rk66</t>
  </si>
  <si>
    <t>dal10.sr03.rk67</t>
  </si>
  <si>
    <t>dal10.sr03.rk68</t>
  </si>
  <si>
    <t>dal10.sr03.rk69</t>
  </si>
  <si>
    <t>dal10.sr03.rk70</t>
  </si>
  <si>
    <t>dal10.sr03.rk71</t>
  </si>
  <si>
    <t>dal10.sr03.rk72</t>
  </si>
  <si>
    <t>dal10.sr03.rk73</t>
  </si>
  <si>
    <t>dal10.sr03.rk74</t>
  </si>
  <si>
    <t>dal10.sr03.rk75</t>
  </si>
  <si>
    <t>dal10.sr03.rk76</t>
  </si>
  <si>
    <t>dal10.sr03.rk77</t>
  </si>
  <si>
    <t>dal10.sr03.rk78</t>
  </si>
  <si>
    <t>nterrell - SL Serial has been updated as per ticket: https://internal.softlayer.com/Ticket/ticketEdit/143651984</t>
  </si>
  <si>
    <t>dal10.sr03.rk79</t>
  </si>
  <si>
    <t>dal10.sr03.rk80</t>
  </si>
  <si>
    <t>dal10.sr03.rk81</t>
  </si>
  <si>
    <t>dal10.sr03.rk82</t>
  </si>
  <si>
    <t>dal10.sr03.rk89</t>
  </si>
  <si>
    <t xml:space="preserve">ccoronado - Adding SL tag per Jonathan Gomez. Ticket:143823708
</t>
  </si>
  <si>
    <t>dal10.sr03.rk90</t>
  </si>
  <si>
    <t>dal10.sr03.rk91</t>
  </si>
  <si>
    <t>dal10.sr03.rk92</t>
  </si>
  <si>
    <t>dal10.sr03.rk93</t>
  </si>
  <si>
    <t>vlam - vlam - 10/12/21 - QZ3 MG1 Management</t>
  </si>
  <si>
    <t>dal10.sr03.rk94</t>
  </si>
  <si>
    <t>vlam - vlam - 10/12/21 - QZ3 AGG</t>
  </si>
  <si>
    <t>dal10.sr03.rk95</t>
  </si>
  <si>
    <t>vlam - Racks are in POD 4.</t>
  </si>
  <si>
    <t>dal10.sr03.rk96</t>
  </si>
  <si>
    <t>dal10.sr03.rk97</t>
  </si>
  <si>
    <t>dal10.sr03.rk98</t>
  </si>
  <si>
    <t>dal10.sr03.rk99</t>
  </si>
  <si>
    <t>dal10.sr03.rk100</t>
  </si>
  <si>
    <t>dal10.sr03.rk101</t>
  </si>
  <si>
    <t>dal10.sr03.rk102</t>
  </si>
  <si>
    <t>ysilva - vlam - 12/15/2021 - Allocated to NG for CITI per DCL-3089</t>
  </si>
  <si>
    <t>dal10.sr03.rk103</t>
  </si>
  <si>
    <t>dal10.sr03.rk104</t>
  </si>
  <si>
    <t>vlam - 12/15/2021 - Allocated to NG for QZ2 per DCL-3171</t>
  </si>
  <si>
    <t>dal10.sr03.rk105</t>
  </si>
  <si>
    <t>dal10.sr03.rk106</t>
  </si>
  <si>
    <t>dal10.sr03.rk107</t>
  </si>
  <si>
    <t>dal10.sr03.rk108</t>
  </si>
  <si>
    <t>dal10.sr03.rk109</t>
  </si>
  <si>
    <t>dal10.sr03.rk110</t>
  </si>
  <si>
    <t>dal10.sr03.rk111</t>
  </si>
  <si>
    <t>dal10.sr03.rk112</t>
  </si>
  <si>
    <t>dal10.sr03.rk113</t>
  </si>
  <si>
    <t>vlam - 11/2/2022 - Allocated to NG for AGG and MAGG</t>
  </si>
  <si>
    <t>dal10.sr03.rk114</t>
  </si>
  <si>
    <t>dal10.sr03.rk115</t>
  </si>
  <si>
    <t>dal10.sr03.rk116</t>
  </si>
  <si>
    <t>dal10.sr03.rk117</t>
  </si>
  <si>
    <t>dal10.sr03.rk118</t>
  </si>
  <si>
    <t>dal10.sr03.rk119</t>
  </si>
  <si>
    <t>dal10.sr03.rk120</t>
  </si>
  <si>
    <t>dal10.sr03.rk121</t>
  </si>
  <si>
    <t>dal10.sr03.rk122</t>
  </si>
  <si>
    <t>dal10.sr03.rk123</t>
  </si>
  <si>
    <t>dal10.sr03.rk124</t>
  </si>
  <si>
    <t>dal10.sr03.rk125</t>
  </si>
  <si>
    <t>dal10.sr03.rk126</t>
  </si>
  <si>
    <t>dal10.sr03.rk127</t>
  </si>
  <si>
    <t>dal10.sr03.rk128</t>
  </si>
  <si>
    <t>dal10.sr03.rk129</t>
  </si>
  <si>
    <t>dal10.sr03.rk130</t>
  </si>
  <si>
    <t>dal10.sr03.rk131</t>
  </si>
  <si>
    <t>dal10.sr03.rk132</t>
  </si>
  <si>
    <t>dal10.sr03.rk133</t>
  </si>
  <si>
    <t>dal10.sr03.rk123 - dal10.sr03.rk133</t>
  </si>
  <si>
    <t>dal10.sr03.rk134</t>
  </si>
  <si>
    <t>Gen1</t>
  </si>
  <si>
    <t>Gen1 - Live</t>
  </si>
  <si>
    <t>dal10.sr03.rk135</t>
  </si>
  <si>
    <t>dal10.sr03.rk136</t>
  </si>
  <si>
    <t>dal10.sr03.rk137</t>
  </si>
  <si>
    <t>dal10.sr03.rk138</t>
  </si>
  <si>
    <t>dal10.sr03.rk139</t>
  </si>
  <si>
    <t>dal10.sr03.rk140</t>
  </si>
  <si>
    <t>dal10.sr03.rk141</t>
  </si>
  <si>
    <t>dal10.sr03.rk142</t>
  </si>
  <si>
    <t>dal10.sr03.rk143</t>
  </si>
  <si>
    <t>dal10.sr03.rk144</t>
  </si>
  <si>
    <t>dal10.sr03.rk145</t>
  </si>
  <si>
    <t>dal10.sr03.rk146</t>
  </si>
  <si>
    <t>dal10.sr03.rk147</t>
  </si>
  <si>
    <t>dal10.sr03.rk148</t>
  </si>
  <si>
    <t>dal10.sr03.rk149</t>
  </si>
  <si>
    <t>dal10.sr03.rk150</t>
  </si>
  <si>
    <t>dal10.sr03.rk151</t>
  </si>
  <si>
    <t>dal10.sr03.rk152</t>
  </si>
  <si>
    <t>dal10.sr03.rk153</t>
  </si>
  <si>
    <t>dal10.sr03.rk154</t>
  </si>
  <si>
    <t>dal10.sr03.rk155</t>
  </si>
  <si>
    <t>dal10.sr03.rk145 - dal10.sr03.rk155</t>
  </si>
  <si>
    <t>dal10.sr03.rk156</t>
  </si>
  <si>
    <t>dal10.sr03.rk157</t>
  </si>
  <si>
    <t>dal10.sr03.rk158</t>
  </si>
  <si>
    <t>dal10.sr03.rk159</t>
  </si>
  <si>
    <t>dal10.sr03.rk160</t>
  </si>
  <si>
    <t>dal10.sr03.rk161</t>
  </si>
  <si>
    <t>dal10.sr03.rk162</t>
  </si>
  <si>
    <t>dal10.sr03.rk163</t>
  </si>
  <si>
    <t>dal10.sr03.rk164</t>
  </si>
  <si>
    <t>dal10.sr03.rk165</t>
  </si>
  <si>
    <t>dal10.sr03.rk166</t>
  </si>
  <si>
    <t>dal10.sr03.rk167</t>
  </si>
  <si>
    <t>dal10.sr03.rk168</t>
  </si>
  <si>
    <t>dal10.sr03.rk169</t>
  </si>
  <si>
    <t>dal10.sr03.rk170</t>
  </si>
  <si>
    <t>dal10.sr03.rk171</t>
  </si>
  <si>
    <t>dal10.sr03.rk172</t>
  </si>
  <si>
    <t>dal10.sr03.rk173</t>
  </si>
  <si>
    <t>dal10.sr03.rk174</t>
  </si>
  <si>
    <t>dal10.sr03.rk175</t>
  </si>
  <si>
    <t>dal10.sr03.rk176</t>
  </si>
  <si>
    <t>dal10.sr03.rk177</t>
  </si>
  <si>
    <t>dal10.sr03.rk167 - dal10.sr03.rk177</t>
  </si>
  <si>
    <t>dal10.sr03.rk178</t>
  </si>
  <si>
    <t>dal10.sr03.rk179</t>
  </si>
  <si>
    <t>dal10.sr03.rk180</t>
  </si>
  <si>
    <t>dal10.sr03.rk181</t>
  </si>
  <si>
    <t>dal10.sr03.rk186</t>
  </si>
  <si>
    <t>Gen1 - Decom</t>
  </si>
  <si>
    <t>dal10.sr03.rk187</t>
  </si>
  <si>
    <t>dal10.sr03.rk188</t>
  </si>
  <si>
    <t>dal10.sr03.rk189</t>
  </si>
  <si>
    <t>dal10.sr03.rk190</t>
  </si>
  <si>
    <t>dal10.sr03.rk191</t>
  </si>
  <si>
    <t>dal10.sr03.rk192</t>
  </si>
  <si>
    <t>dal10.sr03.rk193</t>
  </si>
  <si>
    <t>dal10.sr03.rk194</t>
  </si>
  <si>
    <t>Zseries</t>
  </si>
  <si>
    <t>dal10.sr03.rk195</t>
  </si>
  <si>
    <t>dal10.sr03.rk196</t>
  </si>
  <si>
    <t>dal10.sr03.rk197</t>
  </si>
  <si>
    <t>dal10.sr03.rk198</t>
  </si>
  <si>
    <t>dal10.sr03.rk199</t>
  </si>
  <si>
    <t>dal10.sr03.rk201</t>
  </si>
  <si>
    <t>vlam - 9/28/2023 - Created to track Gen1 decom.</t>
  </si>
  <si>
    <t>dal10.sr03.rk202</t>
  </si>
  <si>
    <t>dal10.sr03.rk206</t>
  </si>
  <si>
    <t>dal10.sr03.rk207</t>
  </si>
  <si>
    <t>dal10.sr03.rk208</t>
  </si>
  <si>
    <t>dal10.sr03.rk209</t>
  </si>
  <si>
    <t>dal10.sr03.rk210</t>
  </si>
  <si>
    <t>dal10.sr03.rk211</t>
  </si>
  <si>
    <t>dal10.sr03.rk212</t>
  </si>
  <si>
    <t>dal10.sr03.rk213</t>
  </si>
  <si>
    <t>dal10.sr03.rk214</t>
  </si>
  <si>
    <t>dal10.sr03.rk215</t>
  </si>
  <si>
    <t>dal10.sr03.rk216</t>
  </si>
  <si>
    <t>dal10.sr03.rk217</t>
  </si>
  <si>
    <t>dal10.sr03.rk218</t>
  </si>
  <si>
    <t>dal10.sr03.rk219</t>
  </si>
  <si>
    <t>dal10.sr03.rk220</t>
  </si>
  <si>
    <t>dal10.sr03.rk221</t>
  </si>
  <si>
    <t>dal10.sr03.rk882</t>
  </si>
  <si>
    <t>jule - Adding to the previous note for reference. Original ticket: https://internal.softlayer.com/Ticket/ticketPreview/156543997 | Rack modification ticket as mention in the first internal note: https://internal.softlayer.com/Ticket/ticketPreview/156675119</t>
  </si>
  <si>
    <t>dal10.sr03.rk883</t>
  </si>
  <si>
    <t>dal10.sr03.rk884</t>
  </si>
  <si>
    <t>dal10.sr03.rk885</t>
  </si>
  <si>
    <t>dal10.sr03.rk886</t>
  </si>
  <si>
    <t>dal10.sr03.rk887</t>
  </si>
  <si>
    <t>dal10.sr03.rk888</t>
  </si>
  <si>
    <t>dal10.sr03.rk900</t>
  </si>
  <si>
    <t>jule - Adding to the previous note. Original decomm ticket request: https://internal.softlayer.com/Ticket/ticketPreview/154772775 | Rack modification request: https://internal.softlayer.com/Ticket/ticketPreview/156084393</t>
  </si>
  <si>
    <t>dal10.sr03.rk901</t>
  </si>
  <si>
    <t>dal10.sr03.rk902</t>
  </si>
  <si>
    <t>dal10.sr03.rk903</t>
  </si>
  <si>
    <t>dal10.sr03.rk904</t>
  </si>
  <si>
    <t>dal10.sr03.rk905</t>
  </si>
  <si>
    <t>jule - Adding to the previous note. Original decomm ticket request: https://internal.softlayer.com/Ticket/ticketPreview/154917037 | Rack modification request: https://internal.softlayer.com/Ticket/ticketPreview/156084393</t>
  </si>
  <si>
    <t>dal10.sr04.rk01</t>
  </si>
  <si>
    <t>L5</t>
  </si>
  <si>
    <t>Z1-500</t>
  </si>
  <si>
    <t>DAL10-104</t>
  </si>
  <si>
    <t>dal10.sr04.rk02</t>
  </si>
  <si>
    <t>dal10.sr04.rk03</t>
  </si>
  <si>
    <t>dal10.sr04.rk04</t>
  </si>
  <si>
    <t>dal10.sr04.rk05</t>
  </si>
  <si>
    <t>dal10.sr04.rk06</t>
  </si>
  <si>
    <t>dal10.sr04.rk07</t>
  </si>
  <si>
    <t>dal10.sr04.rk08</t>
  </si>
  <si>
    <t>dal10.sr04.rk09</t>
  </si>
  <si>
    <t>dal10.sr04.rk10</t>
  </si>
  <si>
    <t>dal10.sr04.rk11</t>
  </si>
  <si>
    <t>dal10.sr04.rk12</t>
  </si>
  <si>
    <t>dal10.sr04.rk13</t>
  </si>
  <si>
    <t>dal10.sr04.rk14</t>
  </si>
  <si>
    <t>dal10.sr04.rk15</t>
  </si>
  <si>
    <t>dal10.sr04.rk16</t>
  </si>
  <si>
    <t>dal10.sr04.rk17</t>
  </si>
  <si>
    <t>dal10.sr04.rk18</t>
  </si>
  <si>
    <t>dal10.sr04.rk19</t>
  </si>
  <si>
    <t>dal10.sr04.rk20</t>
  </si>
  <si>
    <t>dal10.sr04.rk21</t>
  </si>
  <si>
    <t>dal10.sr04.rk22</t>
  </si>
  <si>
    <t>dal10.sr04.rk23</t>
  </si>
  <si>
    <t>dal10.sr04.rk24</t>
  </si>
  <si>
    <t>dal10.sr04.rk25</t>
  </si>
  <si>
    <t>dal10.sr04.rk26</t>
  </si>
  <si>
    <t>dal10.sr04.rk27</t>
  </si>
  <si>
    <t>dal10.sr04.rk28</t>
  </si>
  <si>
    <t>dal10.sr04.rk29</t>
  </si>
  <si>
    <t>dal10.sr04.rk30</t>
  </si>
  <si>
    <t>dal10.sr04.rk31</t>
  </si>
  <si>
    <t>dal10.sr04.rk32</t>
  </si>
  <si>
    <t>dal10.sr04.rk33</t>
  </si>
  <si>
    <t>dal10.sr04.rk34</t>
  </si>
  <si>
    <t>dal10.sr04.rk35</t>
  </si>
  <si>
    <t>dal10.sr04.rk36</t>
  </si>
  <si>
    <t>dal10.sr04.rk37</t>
  </si>
  <si>
    <t>dal10.sr04.rk38</t>
  </si>
  <si>
    <t>dal10.sr04.rk39</t>
  </si>
  <si>
    <t>dal10.sr04.rk40</t>
  </si>
  <si>
    <t>dal10.sr04.rk41</t>
  </si>
  <si>
    <t>dal10.sr04.rk42</t>
  </si>
  <si>
    <t>dal10.sr04.rk43</t>
  </si>
  <si>
    <t>dal10.sr04.rk44</t>
  </si>
  <si>
    <t>dal10.sr04.rk45</t>
  </si>
  <si>
    <t>dal10.sr04.rk46</t>
  </si>
  <si>
    <t>dal10.sr04.rk47</t>
  </si>
  <si>
    <t>dal10.sr04.rk48</t>
  </si>
  <si>
    <t>dal10.sr04.rk49</t>
  </si>
  <si>
    <t>dal10.sr04.rk50</t>
  </si>
  <si>
    <t>dal10.sr04.rk51</t>
  </si>
  <si>
    <t>dal10.sr04.rk52</t>
  </si>
  <si>
    <t>dal10.sr04.rk53</t>
  </si>
  <si>
    <t>dal10.sr04.rk54</t>
  </si>
  <si>
    <t>dal10.sr04.rk55</t>
  </si>
  <si>
    <t>dal10.sr04.rk56</t>
  </si>
  <si>
    <t>Z2-500</t>
  </si>
  <si>
    <t>dal10.sr04.rk57</t>
  </si>
  <si>
    <t>dal10.sr04.rk58</t>
  </si>
  <si>
    <t>dal10.sr04.rk59</t>
  </si>
  <si>
    <t>dal10.sr04.rk60</t>
  </si>
  <si>
    <t>dal10.sr04.rk61</t>
  </si>
  <si>
    <t>dal10.sr04.rk62</t>
  </si>
  <si>
    <t>dal10.sr04.rk63</t>
  </si>
  <si>
    <t>dal10.sr04.rk64</t>
  </si>
  <si>
    <t>dal10.sr04.rk65</t>
  </si>
  <si>
    <t>dal10.sr04.rk66</t>
  </si>
  <si>
    <t>dal10.sr04.rk67</t>
  </si>
  <si>
    <t>dal10.sr04.rk68</t>
  </si>
  <si>
    <t>dal10.sr04.rk69</t>
  </si>
  <si>
    <t>dal10.sr04.rk70</t>
  </si>
  <si>
    <t>dal10.sr04.rk71</t>
  </si>
  <si>
    <t>dal10.sr04.rk72</t>
  </si>
  <si>
    <t>dal10.sr04.rk73</t>
  </si>
  <si>
    <t>dal10.sr04.rk74</t>
  </si>
  <si>
    <t>dal10.sr04.rk75</t>
  </si>
  <si>
    <t>dal10.sr04.rk76</t>
  </si>
  <si>
    <t>dal10.sr04.rk77</t>
  </si>
  <si>
    <t>dal10.sr04.rk78</t>
  </si>
  <si>
    <t>dal10.sr04.rk79</t>
  </si>
  <si>
    <t>dal10.sr04.rk80</t>
  </si>
  <si>
    <t>dal10.sr04.rk81</t>
  </si>
  <si>
    <t>dal10.sr04.rk82</t>
  </si>
  <si>
    <t>dal10.sr04.rk83</t>
  </si>
  <si>
    <t>dal10.sr04.rk84</t>
  </si>
  <si>
    <t>dal10.sr04.rk85</t>
  </si>
  <si>
    <t>dal10.sr04.rk86</t>
  </si>
  <si>
    <t>dal10.sr04.rk87</t>
  </si>
  <si>
    <t>dal10.sr04.rk88</t>
  </si>
  <si>
    <t>dal10.sr04.rk90</t>
  </si>
  <si>
    <t>dal10.sr04.rk91</t>
  </si>
  <si>
    <t>dal10.sr04.rk92</t>
  </si>
  <si>
    <t>dal10.sr04.rk93</t>
  </si>
  <si>
    <t>dal10.sr04.rk94</t>
  </si>
  <si>
    <t>vlam - 6/10/22 - This has been allocated for the 25G offering per CAPREQ-750.</t>
  </si>
  <si>
    <t>dal10.sr04.rk95</t>
  </si>
  <si>
    <t>dal10.sr04.rk96</t>
  </si>
  <si>
    <t>dal10.sr04.rk97</t>
  </si>
  <si>
    <t>dal10.sr04.rk98</t>
  </si>
  <si>
    <t>dal10.sr04.rk99</t>
  </si>
  <si>
    <t>dal10.sr04.rk100</t>
  </si>
  <si>
    <t>dal10.sr04.rk101</t>
  </si>
  <si>
    <t>dal10.sr04.rk102</t>
  </si>
  <si>
    <t>dal10.sr04.rk103</t>
  </si>
  <si>
    <t>dal10.sr04.rk104</t>
  </si>
  <si>
    <t>dal10.sr04.rk105</t>
  </si>
  <si>
    <t>dal10.sr04.rk106</t>
  </si>
  <si>
    <t>dal10.sr04.rk107</t>
  </si>
  <si>
    <t>dal10.sr04.rk108</t>
  </si>
  <si>
    <t>dal10.sr04.rk109</t>
  </si>
  <si>
    <t>dal10.sr04.rk110</t>
  </si>
  <si>
    <t>dal10.sr04.rk111</t>
  </si>
  <si>
    <t>dal10.sr04.rk113</t>
  </si>
  <si>
    <t>Z3-500</t>
  </si>
  <si>
    <t>dal10.sr04.rk114</t>
  </si>
  <si>
    <t>dal10.sr04.rk115</t>
  </si>
  <si>
    <t>dal10.sr04.rk116</t>
  </si>
  <si>
    <t>dal10.sr04.rk117</t>
  </si>
  <si>
    <t>dal10.sr04.rk118</t>
  </si>
  <si>
    <t>dal10.sr04.rk119</t>
  </si>
  <si>
    <t>dal10.sr04.rk120</t>
  </si>
  <si>
    <t>dal10.sr04.rk121</t>
  </si>
  <si>
    <t>dal10.sr04.rk122</t>
  </si>
  <si>
    <t>dal10.sr04.rk123</t>
  </si>
  <si>
    <t>dal10.sr04.rk124</t>
  </si>
  <si>
    <t>dal10.sr04.rk125</t>
  </si>
  <si>
    <t>dal10.sr04.rk126</t>
  </si>
  <si>
    <t>dal10.sr04.rk127</t>
  </si>
  <si>
    <t>dal10.sr04.rk128</t>
  </si>
  <si>
    <t>dal10.sr04.rk129</t>
  </si>
  <si>
    <t>dal10.sr04.rk130</t>
  </si>
  <si>
    <t>dal10.sr04.rk131</t>
  </si>
  <si>
    <t>dal10.sr04.rk132</t>
  </si>
  <si>
    <t>dal10.sr04.rk133</t>
  </si>
  <si>
    <t>dal10.sr04.rk134</t>
  </si>
  <si>
    <t>dal10.sr05.rk01</t>
  </si>
  <si>
    <t>Z1-283</t>
  </si>
  <si>
    <t>dal10.sr05.rk02</t>
  </si>
  <si>
    <t>dal10.sr05.rk03</t>
  </si>
  <si>
    <t>dal10.sr05.rk04</t>
  </si>
  <si>
    <t>dal10.sr05.rk05</t>
  </si>
  <si>
    <t>dal10.sr05.rk06</t>
  </si>
  <si>
    <t>dal10.sr05.rk07</t>
  </si>
  <si>
    <t>dal10.sr05.rk08</t>
  </si>
  <si>
    <t>dal10.sr05.rk09</t>
  </si>
  <si>
    <t>dal10.sr05.rk10</t>
  </si>
  <si>
    <t>dal10.sr05.rk11</t>
  </si>
  <si>
    <t>dal10.sr05.rk12</t>
  </si>
  <si>
    <t>dal10.sr05.rk13</t>
  </si>
  <si>
    <t>Z2-283</t>
  </si>
  <si>
    <t>dal10.sr05.rk14</t>
  </si>
  <si>
    <t>dal10.sr05.rk15</t>
  </si>
  <si>
    <t>dal10.sr05.rk16</t>
  </si>
  <si>
    <t>NG Fed - Power Limit</t>
  </si>
  <si>
    <t>dal10.sr05.rk17</t>
  </si>
  <si>
    <t>NG Fed - Planned</t>
  </si>
  <si>
    <t>dal10.sr05.rk18</t>
  </si>
  <si>
    <t>dal10.sr05.rk19</t>
  </si>
  <si>
    <t>dal10.sr05.rk20</t>
  </si>
  <si>
    <t>dal10.sr05.rk21</t>
  </si>
  <si>
    <t>dal10.sr05.rk22</t>
  </si>
  <si>
    <t>dal10.sr05.rk23</t>
  </si>
  <si>
    <t>dal10.sr05.rk24</t>
  </si>
  <si>
    <t>dal10.sr05.rk25</t>
  </si>
  <si>
    <t>Z3-283</t>
  </si>
  <si>
    <t>dal10.sr05.rk26</t>
  </si>
  <si>
    <t>dal10.sr05.rk27</t>
  </si>
  <si>
    <t>dal10.sr05.rk28</t>
  </si>
  <si>
    <t>dal10.sr05.rk29</t>
  </si>
  <si>
    <t>dal10.sr05.rk30</t>
  </si>
  <si>
    <t>dal10.sr05.rk31</t>
  </si>
  <si>
    <t>dal10.sr05.rk32</t>
  </si>
  <si>
    <t>dal10.sr05.rk33</t>
  </si>
  <si>
    <t>dal10.sr05.rk34</t>
  </si>
  <si>
    <t>dal10.sr05.rk35</t>
  </si>
  <si>
    <t>dal10.sr05.rk36</t>
  </si>
  <si>
    <t>dal10.sr05.rk37</t>
  </si>
  <si>
    <t>dal10.sr05.rk38</t>
  </si>
  <si>
    <t>dal10.sr05.rk39</t>
  </si>
  <si>
    <t>dal10.sr05.rk40</t>
  </si>
  <si>
    <t>dal10.sr05.rk41</t>
  </si>
  <si>
    <t>dal10.sr05.rk42</t>
  </si>
  <si>
    <t>dal10.sr05.rk43</t>
  </si>
  <si>
    <t>dal10.sr05.rk44</t>
  </si>
  <si>
    <t>dal10.sr05.rk45</t>
  </si>
  <si>
    <t>dal10.sr05.rk46</t>
  </si>
  <si>
    <t>dal10.sr05.rk47</t>
  </si>
  <si>
    <t>dal10.sr05.rk48</t>
  </si>
  <si>
    <t>dal10.sr05.rk49</t>
  </si>
  <si>
    <t>dal10.sr05.rk50</t>
  </si>
  <si>
    <t>dal10.sr05.rk51</t>
  </si>
  <si>
    <t>dal10.sr05.rk52</t>
  </si>
  <si>
    <t>dal10.sr05.rk53</t>
  </si>
  <si>
    <t>dal10.sr05.rk54</t>
  </si>
  <si>
    <t>dal10.sr05.rk55</t>
  </si>
  <si>
    <t>dal10.sr05.rk56</t>
  </si>
  <si>
    <t>dal10.sr05.rk57</t>
  </si>
  <si>
    <t>dal10.sr05.rk58</t>
  </si>
  <si>
    <t>dal10.sr05.rk59</t>
  </si>
  <si>
    <t>dal10.sr05.rk60</t>
  </si>
  <si>
    <t>dal10.sr05.rk61</t>
  </si>
  <si>
    <t>dal10.sr05.rk62</t>
  </si>
  <si>
    <t>dal10.sr05.rk63</t>
  </si>
  <si>
    <t>dal10.sr05.rk64</t>
  </si>
  <si>
    <t>dal10.sr05.rk65</t>
  </si>
  <si>
    <t>dal10.sr05.rk66</t>
  </si>
  <si>
    <t>dal10.sr05.rk67</t>
  </si>
  <si>
    <t>dal10.sr05.rk68</t>
  </si>
  <si>
    <t>dal10.sr05.rk69</t>
  </si>
  <si>
    <t>dal10.sr05.rk70</t>
  </si>
  <si>
    <t>dal10.sr05.rk71</t>
  </si>
  <si>
    <t>dal10.sr05.rk72</t>
  </si>
  <si>
    <t>dal10.sr06.rk01</t>
  </si>
  <si>
    <t>ysilva - ysilva - 8/25/2023 - Allocated to Gen2-Compute per DCL-3340</t>
  </si>
  <si>
    <t>dal10.sr06.rk02</t>
  </si>
  <si>
    <t>ysilva - ysilva - 8/25/2023 - Allocated to NG Fed-Network per DCL-3340</t>
  </si>
  <si>
    <t>dal10.sr06.rk03</t>
  </si>
  <si>
    <t>dal10.sr06.rk04</t>
  </si>
  <si>
    <t>dal10.sr06.rk05</t>
  </si>
  <si>
    <t>dal10.sr06.rk06</t>
  </si>
  <si>
    <t>dal10.sr06.rk07</t>
  </si>
  <si>
    <t>dal10.sr06.rk08</t>
  </si>
  <si>
    <t>dal10.sr06.rk09</t>
  </si>
  <si>
    <t>dal10.sr06.rk10</t>
  </si>
  <si>
    <t>ysilva - ysilva - 8/25/2023 - Allocated to NG Fed-Z Mainframe per DCL-3340</t>
  </si>
  <si>
    <t>dal10.sr06.rk11</t>
  </si>
  <si>
    <t>dal10.sr06.rk12</t>
  </si>
  <si>
    <t>dal10.sr06.rk13</t>
  </si>
  <si>
    <t>ysilva - ysilva - 8/25/2023 - Allocated to NG Fed-Management per DCL-3340</t>
  </si>
  <si>
    <t>dal10.sr06.rk14</t>
  </si>
  <si>
    <t>dal10.sr06.rk15</t>
  </si>
  <si>
    <t>dal10.sr06.rk16</t>
  </si>
  <si>
    <t>dal10.sr06.rk17</t>
  </si>
  <si>
    <t>ysilva - ysilva - 8/25/2023 - Allocated to NG Fed-Compute per DCL-3340</t>
  </si>
  <si>
    <t>dal10.sr06.rk18</t>
  </si>
  <si>
    <t>dal10.sr06.rk19</t>
  </si>
  <si>
    <t>dal10.sr06.rk20</t>
  </si>
  <si>
    <t>dal10.sr06.rk21</t>
  </si>
  <si>
    <t>ysilva - ysilva - 8/25/2023 - Allocated to NG Fed-COS per DCL-3340</t>
  </si>
  <si>
    <t>dal10.sr06.rk22</t>
  </si>
  <si>
    <t>dal10.sr06.rk23</t>
  </si>
  <si>
    <t>dal10.sr06.rk24</t>
  </si>
  <si>
    <t>dal10.sr06.rk25</t>
  </si>
  <si>
    <t>ysilva - ysilva - 8/25/2023 - Allocated to Network-Fiber per DCL-3340</t>
  </si>
  <si>
    <t>dal10.sr06.rk26</t>
  </si>
  <si>
    <t>dal10.sr06.rk27</t>
  </si>
  <si>
    <t>dal10.sr06.rk28</t>
  </si>
  <si>
    <t>dal10.sr06.rk29</t>
  </si>
  <si>
    <t>dal10.sr06.rk30</t>
  </si>
  <si>
    <t>dal10.sr06.rk31</t>
  </si>
  <si>
    <t>dal10.sr06.rk32</t>
  </si>
  <si>
    <t>dal10.sr06.rk33</t>
  </si>
  <si>
    <t>dal10.sr06.rk34</t>
  </si>
  <si>
    <t>dal10.sr06.rk35</t>
  </si>
  <si>
    <t>dal10.sr06.rk36</t>
  </si>
  <si>
    <t>dal10.sr06.rk37</t>
  </si>
  <si>
    <t>dal10.sr06.rk38</t>
  </si>
  <si>
    <t>dal10.sr06.rk39</t>
  </si>
  <si>
    <t>dal10.sr06.rk40</t>
  </si>
  <si>
    <t>dal10.sr06.rk41</t>
  </si>
  <si>
    <t>dal10.sr06.rk42</t>
  </si>
  <si>
    <t>dal10.sr06.rk43</t>
  </si>
  <si>
    <t>dal10.sr06.rk44</t>
  </si>
  <si>
    <t>dal10.sr06.rk45</t>
  </si>
  <si>
    <t>dal10.sr06.rk46</t>
  </si>
  <si>
    <t>dal10.sr06.rk47</t>
  </si>
  <si>
    <t>dal10.sr06.rk48</t>
  </si>
  <si>
    <t>dal10.sr06.rk49</t>
  </si>
  <si>
    <t>vlam - 8/7/2023 - Allocated to NG for FedRAMP Integration - File/Block per DCL-3340</t>
  </si>
  <si>
    <t>dal10.sr06.rk50</t>
  </si>
  <si>
    <t>dal10.sr06.rk51</t>
  </si>
  <si>
    <t>vlam - 8/7/2023 - Allocated to NG for FedRAMP Staging - File/Block per DCL-3340</t>
  </si>
  <si>
    <t>dal10.sr06.rk52</t>
  </si>
  <si>
    <t>dal10.sr06.rk53</t>
  </si>
  <si>
    <t>dal10.sr06.rk54</t>
  </si>
  <si>
    <t>dal10.sr06.rk55</t>
  </si>
  <si>
    <t>dal10.sr06.rk56</t>
  </si>
  <si>
    <t>dal10.sr06.rk57</t>
  </si>
  <si>
    <t>dal10.sr06.rk58</t>
  </si>
  <si>
    <t>dal10.sr06.rk59</t>
  </si>
  <si>
    <t>dal10.sr06.rk60</t>
  </si>
  <si>
    <t>DC</t>
  </si>
  <si>
    <t>SR</t>
  </si>
  <si>
    <t>Key</t>
  </si>
  <si>
    <t>Layout</t>
  </si>
  <si>
    <t>Phase</t>
  </si>
  <si>
    <t>Single-Single</t>
  </si>
  <si>
    <t>Single</t>
  </si>
  <si>
    <t>PS1 L1</t>
  </si>
  <si>
    <t>Redundant-Single</t>
  </si>
  <si>
    <t>Redundant</t>
  </si>
  <si>
    <t>PS2 L1</t>
  </si>
  <si>
    <t>PS1 L2</t>
  </si>
  <si>
    <t>PS1 L3</t>
  </si>
  <si>
    <t>PS2 L2</t>
  </si>
  <si>
    <t>PS2 L3</t>
  </si>
  <si>
    <t>Dual Redundancy-Single</t>
  </si>
  <si>
    <t>Dual Redundancy</t>
  </si>
  <si>
    <t>PS3 L1</t>
  </si>
  <si>
    <t>PS4 L1</t>
  </si>
  <si>
    <t>PS3 L2</t>
  </si>
  <si>
    <t>PS3 L3</t>
  </si>
  <si>
    <t>PS4 L2</t>
  </si>
  <si>
    <t>PS4 L3</t>
  </si>
  <si>
    <t>Redundant-3Phase</t>
  </si>
  <si>
    <t>3Phase</t>
  </si>
  <si>
    <t>Single ATS</t>
  </si>
  <si>
    <t>Single Quad PSU</t>
  </si>
  <si>
    <t>3Phase Quad</t>
  </si>
  <si>
    <t>Dual Redundancy-3Phase</t>
  </si>
  <si>
    <t>Power Strip 1</t>
  </si>
  <si>
    <t>Power Strip 2</t>
  </si>
  <si>
    <t>Power Strip 3</t>
  </si>
  <si>
    <t>Power Strip 4</t>
  </si>
  <si>
    <t>Average</t>
  </si>
  <si>
    <t>Total kW</t>
  </si>
  <si>
    <t>Calculation</t>
  </si>
  <si>
    <t>kV A</t>
  </si>
  <si>
    <t>kW</t>
  </si>
  <si>
    <t>Single Phase</t>
  </si>
  <si>
    <t>3Phase L-L</t>
  </si>
  <si>
    <t>3Phase L-N</t>
  </si>
  <si>
    <r>
      <t>P</t>
    </r>
    <r>
      <rPr>
        <vertAlign val="subscript"/>
        <sz val="11"/>
        <color rgb="FF222222"/>
        <rFont val="Calibri"/>
        <family val="2"/>
        <scheme val="minor"/>
      </rPr>
      <t>(kV A)</t>
    </r>
    <r>
      <rPr>
        <sz val="11"/>
        <color rgb="FF222222"/>
        <rFont val="Calibri"/>
        <family val="2"/>
        <scheme val="minor"/>
      </rPr>
      <t> = </t>
    </r>
    <r>
      <rPr>
        <i/>
        <sz val="11"/>
        <color rgb="FF222222"/>
        <rFont val="Calibri"/>
        <family val="2"/>
        <scheme val="minor"/>
      </rPr>
      <t>I</t>
    </r>
    <r>
      <rPr>
        <vertAlign val="subscript"/>
        <sz val="11"/>
        <color rgb="FF222222"/>
        <rFont val="Calibri"/>
        <family val="2"/>
        <scheme val="minor"/>
      </rPr>
      <t>(A)</t>
    </r>
    <r>
      <rPr>
        <i/>
        <sz val="11"/>
        <color rgb="FF222222"/>
        <rFont val="Calibri"/>
        <family val="2"/>
        <scheme val="minor"/>
      </rPr>
      <t> </t>
    </r>
    <r>
      <rPr>
        <sz val="11"/>
        <color rgb="FF222222"/>
        <rFont val="Calibri"/>
        <family val="2"/>
        <scheme val="minor"/>
      </rPr>
      <t>×</t>
    </r>
    <r>
      <rPr>
        <i/>
        <sz val="11"/>
        <color rgb="FF222222"/>
        <rFont val="Calibri"/>
        <family val="2"/>
        <scheme val="minor"/>
      </rPr>
      <t> V</t>
    </r>
    <r>
      <rPr>
        <vertAlign val="subscript"/>
        <sz val="11"/>
        <color rgb="FF222222"/>
        <rFont val="Calibri"/>
        <family val="2"/>
        <scheme val="minor"/>
      </rPr>
      <t>(V)</t>
    </r>
    <r>
      <rPr>
        <sz val="11"/>
        <color rgb="FF222222"/>
        <rFont val="Calibri"/>
        <family val="2"/>
        <scheme val="minor"/>
      </rPr>
      <t> / 1000</t>
    </r>
  </si>
  <si>
    <r>
      <t>P</t>
    </r>
    <r>
      <rPr>
        <vertAlign val="subscript"/>
        <sz val="11"/>
        <color rgb="FF222222"/>
        <rFont val="Calibri"/>
        <family val="2"/>
        <scheme val="minor"/>
      </rPr>
      <t>(kW)</t>
    </r>
    <r>
      <rPr>
        <sz val="11"/>
        <color rgb="FF222222"/>
        <rFont val="Calibri"/>
        <family val="2"/>
        <scheme val="minor"/>
      </rPr>
      <t> = kV A x pf</t>
    </r>
  </si>
  <si>
    <r>
      <t>P</t>
    </r>
    <r>
      <rPr>
        <vertAlign val="subscript"/>
        <sz val="11"/>
        <color rgb="FF222222"/>
        <rFont val="Calibri"/>
        <family val="2"/>
        <scheme val="minor"/>
      </rPr>
      <t>(kW)</t>
    </r>
    <r>
      <rPr>
        <sz val="11"/>
        <color rgb="FF222222"/>
        <rFont val="Calibri"/>
        <family val="2"/>
        <scheme val="minor"/>
      </rPr>
      <t> = </t>
    </r>
    <r>
      <rPr>
        <i/>
        <sz val="11"/>
        <color rgb="FF222222"/>
        <rFont val="Calibri"/>
        <family val="2"/>
        <scheme val="minor"/>
      </rPr>
      <t>PF </t>
    </r>
    <r>
      <rPr>
        <sz val="11"/>
        <color rgb="FF222222"/>
        <rFont val="Calibri"/>
        <family val="2"/>
        <scheme val="minor"/>
      </rPr>
      <t>×</t>
    </r>
    <r>
      <rPr>
        <i/>
        <sz val="11"/>
        <color rgb="FF222222"/>
        <rFont val="Calibri"/>
        <family val="2"/>
        <scheme val="minor"/>
      </rPr>
      <t> I</t>
    </r>
    <r>
      <rPr>
        <vertAlign val="subscript"/>
        <sz val="11"/>
        <color rgb="FF222222"/>
        <rFont val="Calibri"/>
        <family val="2"/>
        <scheme val="minor"/>
      </rPr>
      <t>(A)</t>
    </r>
    <r>
      <rPr>
        <i/>
        <sz val="11"/>
        <color rgb="FF222222"/>
        <rFont val="Calibri"/>
        <family val="2"/>
        <scheme val="minor"/>
      </rPr>
      <t> </t>
    </r>
    <r>
      <rPr>
        <sz val="11"/>
        <color rgb="FF222222"/>
        <rFont val="Calibri"/>
        <family val="2"/>
        <scheme val="minor"/>
      </rPr>
      <t>×</t>
    </r>
    <r>
      <rPr>
        <i/>
        <sz val="11"/>
        <color rgb="FF222222"/>
        <rFont val="Calibri"/>
        <family val="2"/>
        <scheme val="minor"/>
      </rPr>
      <t> V</t>
    </r>
    <r>
      <rPr>
        <vertAlign val="subscript"/>
        <sz val="11"/>
        <color rgb="FF222222"/>
        <rFont val="Calibri"/>
        <family val="2"/>
        <scheme val="minor"/>
      </rPr>
      <t>(V)</t>
    </r>
    <r>
      <rPr>
        <sz val="11"/>
        <color rgb="FF222222"/>
        <rFont val="Calibri"/>
        <family val="2"/>
        <scheme val="minor"/>
      </rPr>
      <t> / 1000</t>
    </r>
  </si>
  <si>
    <r>
      <t>P</t>
    </r>
    <r>
      <rPr>
        <vertAlign val="subscript"/>
        <sz val="11"/>
        <color rgb="FF222222"/>
        <rFont val="Calibri"/>
        <family val="2"/>
        <scheme val="minor"/>
      </rPr>
      <t>(kW)</t>
    </r>
    <r>
      <rPr>
        <sz val="11"/>
        <color rgb="FF222222"/>
        <rFont val="Calibri"/>
        <family val="2"/>
        <scheme val="minor"/>
      </rPr>
      <t> = </t>
    </r>
    <r>
      <rPr>
        <i/>
        <sz val="11"/>
        <color rgb="FF222222"/>
        <rFont val="Calibri"/>
        <family val="2"/>
        <scheme val="minor"/>
      </rPr>
      <t>√</t>
    </r>
    <r>
      <rPr>
        <sz val="11"/>
        <color rgb="FF222222"/>
        <rFont val="Calibri"/>
        <family val="2"/>
        <scheme val="minor"/>
      </rPr>
      <t>3 × </t>
    </r>
    <r>
      <rPr>
        <i/>
        <sz val="11"/>
        <color rgb="FF222222"/>
        <rFont val="Calibri"/>
        <family val="2"/>
        <scheme val="minor"/>
      </rPr>
      <t>PF </t>
    </r>
    <r>
      <rPr>
        <sz val="11"/>
        <color rgb="FF222222"/>
        <rFont val="Calibri"/>
        <family val="2"/>
        <scheme val="minor"/>
      </rPr>
      <t>×</t>
    </r>
    <r>
      <rPr>
        <i/>
        <sz val="11"/>
        <color rgb="FF222222"/>
        <rFont val="Calibri"/>
        <family val="2"/>
        <scheme val="minor"/>
      </rPr>
      <t> I</t>
    </r>
    <r>
      <rPr>
        <vertAlign val="subscript"/>
        <sz val="11"/>
        <color rgb="FF222222"/>
        <rFont val="Calibri"/>
        <family val="2"/>
        <scheme val="minor"/>
      </rPr>
      <t>(A)</t>
    </r>
    <r>
      <rPr>
        <i/>
        <sz val="11"/>
        <color rgb="FF222222"/>
        <rFont val="Calibri"/>
        <family val="2"/>
        <scheme val="minor"/>
      </rPr>
      <t> </t>
    </r>
    <r>
      <rPr>
        <sz val="11"/>
        <color rgb="FF222222"/>
        <rFont val="Calibri"/>
        <family val="2"/>
        <scheme val="minor"/>
      </rPr>
      <t>×</t>
    </r>
    <r>
      <rPr>
        <i/>
        <sz val="11"/>
        <color rgb="FF222222"/>
        <rFont val="Calibri"/>
        <family val="2"/>
        <scheme val="minor"/>
      </rPr>
      <t> V</t>
    </r>
    <r>
      <rPr>
        <vertAlign val="subscript"/>
        <sz val="11"/>
        <color rgb="FF222222"/>
        <rFont val="Calibri"/>
        <family val="2"/>
        <scheme val="minor"/>
      </rPr>
      <t>L-L (V)</t>
    </r>
    <r>
      <rPr>
        <sz val="11"/>
        <color rgb="FF222222"/>
        <rFont val="Calibri"/>
        <family val="2"/>
        <scheme val="minor"/>
      </rPr>
      <t> / 1000</t>
    </r>
  </si>
  <si>
    <r>
      <t>P</t>
    </r>
    <r>
      <rPr>
        <vertAlign val="subscript"/>
        <sz val="11"/>
        <color rgb="FF222222"/>
        <rFont val="Calibri"/>
        <family val="2"/>
        <scheme val="minor"/>
      </rPr>
      <t>(kW)</t>
    </r>
    <r>
      <rPr>
        <sz val="11"/>
        <color rgb="FF222222"/>
        <rFont val="Calibri"/>
        <family val="2"/>
        <scheme val="minor"/>
      </rPr>
      <t> = 3 × </t>
    </r>
    <r>
      <rPr>
        <i/>
        <sz val="11"/>
        <color rgb="FF222222"/>
        <rFont val="Calibri"/>
        <family val="2"/>
        <scheme val="minor"/>
      </rPr>
      <t>PF </t>
    </r>
    <r>
      <rPr>
        <sz val="11"/>
        <color rgb="FF222222"/>
        <rFont val="Calibri"/>
        <family val="2"/>
        <scheme val="minor"/>
      </rPr>
      <t>×</t>
    </r>
    <r>
      <rPr>
        <i/>
        <sz val="11"/>
        <color rgb="FF222222"/>
        <rFont val="Calibri"/>
        <family val="2"/>
        <scheme val="minor"/>
      </rPr>
      <t> I</t>
    </r>
    <r>
      <rPr>
        <vertAlign val="subscript"/>
        <sz val="11"/>
        <color rgb="FF222222"/>
        <rFont val="Calibri"/>
        <family val="2"/>
        <scheme val="minor"/>
      </rPr>
      <t>(A)</t>
    </r>
    <r>
      <rPr>
        <i/>
        <sz val="11"/>
        <color rgb="FF222222"/>
        <rFont val="Calibri"/>
        <family val="2"/>
        <scheme val="minor"/>
      </rPr>
      <t> </t>
    </r>
    <r>
      <rPr>
        <sz val="11"/>
        <color rgb="FF222222"/>
        <rFont val="Calibri"/>
        <family val="2"/>
        <scheme val="minor"/>
      </rPr>
      <t>×</t>
    </r>
    <r>
      <rPr>
        <i/>
        <sz val="11"/>
        <color rgb="FF222222"/>
        <rFont val="Calibri"/>
        <family val="2"/>
        <scheme val="minor"/>
      </rPr>
      <t> V</t>
    </r>
    <r>
      <rPr>
        <vertAlign val="subscript"/>
        <sz val="11"/>
        <color rgb="FF222222"/>
        <rFont val="Calibri"/>
        <family val="2"/>
        <scheme val="minor"/>
      </rPr>
      <t>L-N (V)</t>
    </r>
    <r>
      <rPr>
        <sz val="11"/>
        <color rgb="FF222222"/>
        <rFont val="Calibri"/>
        <family val="2"/>
        <scheme val="minor"/>
      </rPr>
      <t> / 1000</t>
    </r>
  </si>
  <si>
    <t>Power strip line values in Amps</t>
  </si>
  <si>
    <t>Configuration</t>
  </si>
  <si>
    <t>L-L</t>
  </si>
  <si>
    <t>L-N</t>
  </si>
  <si>
    <t>208/120</t>
  </si>
  <si>
    <t>3-Phase</t>
  </si>
  <si>
    <t>400/230</t>
  </si>
  <si>
    <t>PF</t>
  </si>
  <si>
    <t>V</t>
  </si>
  <si>
    <t>A</t>
  </si>
  <si>
    <t>Notes:</t>
  </si>
  <si>
    <t>Should we add a button or use shortcut keys to refresh the rack breakdown data?</t>
  </si>
  <si>
    <t>What should we do Vincent????</t>
  </si>
  <si>
    <t>What is this page even for??</t>
  </si>
  <si>
    <t>Should we add a selection box for DC?</t>
  </si>
  <si>
    <t>1</t>
  </si>
  <si>
    <t>G1</t>
  </si>
  <si>
    <t>2</t>
  </si>
  <si>
    <t>3</t>
  </si>
  <si>
    <t>4</t>
  </si>
  <si>
    <t>Make a note that data is coming from master capacity report.</t>
  </si>
  <si>
    <t>Should rack breakdown data come from rack breakdown master report?</t>
  </si>
  <si>
    <t>Need to add data date</t>
  </si>
  <si>
    <t>Rack Breakdown - MASTER</t>
  </si>
  <si>
    <t>Data Date</t>
  </si>
  <si>
    <t>Rack Details</t>
  </si>
  <si>
    <t>Do we want to keep site assumptions visible?</t>
  </si>
  <si>
    <t>Utilization</t>
  </si>
  <si>
    <t>NOPE</t>
  </si>
  <si>
    <t>YES</t>
  </si>
  <si>
    <t>WORK</t>
  </si>
  <si>
    <t>IDK</t>
  </si>
  <si>
    <t>vlam - 10/19/2023 - Allocated to NG for L4/L40 per DCL-3511</t>
  </si>
  <si>
    <t>Data as of 10/23/2023</t>
  </si>
  <si>
    <t>Rack Attributes from Rack Breakdown - MASTER</t>
  </si>
  <si>
    <t>IMS</t>
  </si>
  <si>
    <t>Reading</t>
  </si>
  <si>
    <t>Add button to toggle worksheet lock?</t>
  </si>
  <si>
    <t>Don't require decimal points in the input?</t>
  </si>
  <si>
    <t>Use data validation to ensure 2 digit numbers are used?</t>
  </si>
  <si>
    <t>MAYBE</t>
  </si>
  <si>
    <t>DONE</t>
  </si>
  <si>
    <t>Only show non-customer racks.</t>
  </si>
  <si>
    <t>Server Rooms</t>
  </si>
  <si>
    <t>Sheets</t>
  </si>
  <si>
    <t>Non-SR Sheets</t>
  </si>
  <si>
    <t>information</t>
  </si>
  <si>
    <t>Sheet1</t>
  </si>
  <si>
    <t>sr01</t>
  </si>
  <si>
    <t>rack_breakdown</t>
  </si>
  <si>
    <t>site_assumptions</t>
  </si>
  <si>
    <t>ancillary</t>
  </si>
  <si>
    <t>file_path</t>
  </si>
  <si>
    <t>Sheet Split Count</t>
  </si>
  <si>
    <t>Sheet Sort</t>
  </si>
  <si>
    <t>SR Value</t>
  </si>
  <si>
    <t>Not doing this anymore. Will have all racks with IMS readings as well.</t>
  </si>
  <si>
    <t>KW</t>
  </si>
  <si>
    <t>=VSTACK('sr01'!B13:AJ1000,'sr02'!B13:AJ1000,'sr03'!B13:AJ1000,'sr04'!B13:AJ1000,'sr05'!B13:AJ1000,'sr06'!B13:AJ1000,'sr07'!B13:AJ1000,'sr08'!B13:AJ1000,'sr09'!B13:AJ1000)</t>
  </si>
  <si>
    <t>Avg. Amps</t>
  </si>
  <si>
    <t>IMS Reading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</si>
</sst>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#,##0.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i/>
      <sz val="11"/>
      <color rgb="FF222222"/>
      <name val="Calibri"/>
      <family val="2"/>
      <scheme val="minor"/>
    </font>
    <font>
      <vertAlign val="subscript"/>
      <sz val="11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i/>
      <sz val="11"/>
      <color indexed="8"/>
      <name val="Calibri"/>
      <family val="2"/>
      <scheme val="minor"/>
    </font>
    <font>
      <sz val="10"/>
      <color rgb="FF000000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6">
    <xf numFmtId="0" fontId="0" fillId="0" borderId="0" xfId="0"/>
    <xf numFmtId="0" fontId="0" fillId="0" borderId="1" xfId="0" applyBorder="1"/>
    <xf numFmtId="0" fontId="0" fillId="2" borderId="0" xfId="0" applyFill="1"/>
    <xf numFmtId="0" fontId="0" fillId="2" borderId="0" xfId="0" applyFill="1" applyAlignment="1">
      <alignment vertical="top" wrapText="1"/>
    </xf>
    <xf numFmtId="0" fontId="7" fillId="4" borderId="2" xfId="0" applyFont="1" applyFill="1" applyBorder="1" applyAlignment="1">
      <alignment vertical="center"/>
    </xf>
    <xf numFmtId="0" fontId="0" fillId="4" borderId="3" xfId="0" applyFill="1" applyBorder="1"/>
    <xf numFmtId="0" fontId="7" fillId="4" borderId="3" xfId="0" applyFont="1" applyFill="1" applyBorder="1" applyAlignment="1">
      <alignment vertical="center"/>
    </xf>
    <xf numFmtId="0" fontId="0" fillId="4" borderId="4" xfId="0" applyFill="1" applyBorder="1"/>
    <xf numFmtId="0" fontId="3" fillId="0" borderId="5" xfId="0" applyFont="1" applyBorder="1"/>
    <xf numFmtId="0" fontId="8" fillId="0" borderId="5" xfId="0" applyFont="1" applyBorder="1"/>
    <xf numFmtId="0" fontId="0" fillId="0" borderId="6" xfId="0" applyBorder="1"/>
    <xf numFmtId="0" fontId="0" fillId="0" borderId="5" xfId="0" applyBorder="1"/>
    <xf numFmtId="0" fontId="3" fillId="0" borderId="7" xfId="0" applyFont="1" applyBorder="1"/>
    <xf numFmtId="0" fontId="0" fillId="0" borderId="8" xfId="0" applyBorder="1"/>
    <xf numFmtId="0" fontId="8" fillId="0" borderId="7" xfId="0" applyFont="1" applyBorder="1"/>
    <xf numFmtId="0" fontId="0" fillId="0" borderId="9" xfId="0" applyBorder="1"/>
    <xf numFmtId="2" fontId="0" fillId="0" borderId="0" xfId="0" applyNumberFormat="1"/>
    <xf numFmtId="0" fontId="12" fillId="5" borderId="12" xfId="0" applyFont="1" applyFill="1" applyBorder="1" applyAlignment="1">
      <alignment horizontal="center"/>
    </xf>
    <xf numFmtId="0" fontId="0" fillId="5" borderId="11" xfId="0" applyFill="1" applyBorder="1"/>
    <xf numFmtId="0" fontId="12" fillId="3" borderId="7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0" fontId="5" fillId="0" borderId="2" xfId="0" applyFont="1" applyBorder="1"/>
    <xf numFmtId="0" fontId="5" fillId="0" borderId="4" xfId="0" applyFont="1" applyBorder="1"/>
    <xf numFmtId="0" fontId="5" fillId="0" borderId="3" xfId="0" applyFont="1" applyBorder="1"/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0" fillId="6" borderId="12" xfId="0" applyFill="1" applyBorder="1"/>
    <xf numFmtId="0" fontId="0" fillId="6" borderId="10" xfId="0" applyFill="1" applyBorder="1"/>
    <xf numFmtId="0" fontId="0" fillId="6" borderId="11" xfId="0" applyFill="1" applyBorder="1"/>
    <xf numFmtId="0" fontId="0" fillId="6" borderId="5" xfId="0" applyFill="1" applyBorder="1"/>
    <xf numFmtId="0" fontId="0" fillId="6" borderId="0" xfId="0" applyFill="1"/>
    <xf numFmtId="0" fontId="0" fillId="6" borderId="6" xfId="0" applyFill="1" applyBorder="1"/>
    <xf numFmtId="164" fontId="0" fillId="6" borderId="12" xfId="0" applyNumberFormat="1" applyFill="1" applyBorder="1"/>
    <xf numFmtId="164" fontId="0" fillId="6" borderId="5" xfId="0" applyNumberFormat="1" applyFill="1" applyBorder="1"/>
    <xf numFmtId="0" fontId="6" fillId="5" borderId="12" xfId="0" applyFont="1" applyFill="1" applyBorder="1"/>
    <xf numFmtId="0" fontId="6" fillId="5" borderId="11" xfId="0" applyFont="1" applyFill="1" applyBorder="1"/>
    <xf numFmtId="0" fontId="4" fillId="5" borderId="7" xfId="0" applyFont="1" applyFill="1" applyBorder="1" applyAlignment="1">
      <alignment vertical="top"/>
    </xf>
    <xf numFmtId="0" fontId="4" fillId="5" borderId="9" xfId="0" applyFont="1" applyFill="1" applyBorder="1"/>
    <xf numFmtId="0" fontId="4" fillId="5" borderId="13" xfId="0" applyFont="1" applyFill="1" applyBorder="1"/>
    <xf numFmtId="0" fontId="4" fillId="5" borderId="14" xfId="0" applyFont="1" applyFill="1" applyBorder="1"/>
    <xf numFmtId="0" fontId="4" fillId="5" borderId="15" xfId="0" applyFont="1" applyFill="1" applyBorder="1"/>
    <xf numFmtId="0" fontId="0" fillId="6" borderId="13" xfId="0" applyFill="1" applyBorder="1" applyAlignment="1">
      <alignment horizontal="left"/>
    </xf>
    <xf numFmtId="0" fontId="0" fillId="6" borderId="14" xfId="0" applyFill="1" applyBorder="1" applyAlignment="1">
      <alignment horizontal="left"/>
    </xf>
    <xf numFmtId="0" fontId="0" fillId="6" borderId="15" xfId="0" applyFill="1" applyBorder="1"/>
    <xf numFmtId="164" fontId="0" fillId="6" borderId="11" xfId="0" applyNumberFormat="1" applyFill="1" applyBorder="1"/>
    <xf numFmtId="164" fontId="0" fillId="6" borderId="6" xfId="0" applyNumberFormat="1" applyFill="1" applyBorder="1"/>
    <xf numFmtId="0" fontId="0" fillId="5" borderId="13" xfId="0" applyFill="1" applyBorder="1"/>
    <xf numFmtId="0" fontId="12" fillId="3" borderId="15" xfId="0" applyFont="1" applyFill="1" applyBorder="1" applyAlignment="1">
      <alignment horizontal="center"/>
    </xf>
    <xf numFmtId="9" fontId="0" fillId="6" borderId="11" xfId="0" applyNumberFormat="1" applyFill="1" applyBorder="1"/>
    <xf numFmtId="9" fontId="0" fillId="6" borderId="6" xfId="0" applyNumberFormat="1" applyFill="1" applyBorder="1"/>
    <xf numFmtId="0" fontId="0" fillId="0" borderId="16" xfId="0" applyBorder="1"/>
    <xf numFmtId="0" fontId="5" fillId="0" borderId="16" xfId="0" applyFont="1" applyBorder="1"/>
    <xf numFmtId="0" fontId="13" fillId="0" borderId="0" xfId="0" applyFont="1"/>
    <xf numFmtId="0" fontId="4" fillId="5" borderId="12" xfId="0" applyFont="1" applyFill="1" applyBorder="1"/>
    <xf numFmtId="0" fontId="4" fillId="5" borderId="5" xfId="0" applyFont="1" applyFill="1" applyBorder="1"/>
    <xf numFmtId="0" fontId="4" fillId="5" borderId="7" xfId="0" applyFont="1" applyFill="1" applyBorder="1"/>
    <xf numFmtId="0" fontId="0" fillId="2" borderId="16" xfId="0" applyFill="1" applyBorder="1"/>
    <xf numFmtId="0" fontId="14" fillId="0" borderId="16" xfId="0" applyFont="1" applyBorder="1"/>
    <xf numFmtId="0" fontId="15" fillId="0" borderId="0" xfId="0" applyFont="1"/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11" fillId="0" borderId="12" xfId="0" applyFont="1" applyBorder="1" applyProtection="1">
      <protection locked="0"/>
    </xf>
    <xf numFmtId="0" fontId="11" fillId="0" borderId="10" xfId="0" applyFont="1" applyBorder="1" applyProtection="1">
      <protection locked="0"/>
    </xf>
    <xf numFmtId="0" fontId="11" fillId="0" borderId="11" xfId="0" applyFont="1" applyBorder="1" applyProtection="1">
      <protection locked="0"/>
    </xf>
    <xf numFmtId="0" fontId="12" fillId="3" borderId="12" xfId="0" applyFont="1" applyFill="1" applyBorder="1" applyAlignment="1" applyProtection="1">
      <alignment horizontal="center"/>
      <protection locked="0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11" xfId="0" applyFont="1" applyFill="1" applyBorder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165" fontId="0" fillId="6" borderId="11" xfId="0" applyNumberFormat="1" applyFill="1" applyBorder="1"/>
    <xf numFmtId="165" fontId="0" fillId="6" borderId="6" xfId="0" applyNumberFormat="1" applyFill="1" applyBorder="1"/>
    <xf numFmtId="0" fontId="4" fillId="5" borderId="13" xfId="0" applyFont="1" applyFill="1" applyBorder="1" applyAlignment="1">
      <alignment horizontal="center"/>
    </xf>
    <xf numFmtId="0" fontId="16" fillId="0" borderId="0" xfId="0" applyFont="1" applyAlignment="1">
      <alignment vertical="center"/>
    </xf>
    <xf numFmtId="164" fontId="0" fillId="0" borderId="1" xfId="0" applyNumberFormat="1" applyBorder="1"/>
    <xf numFmtId="0" fontId="0" fillId="0" borderId="0" xfId="0" quotePrefix="1"/>
  </cellXfs>
  <cellStyles count="2">
    <cellStyle name="Normal" xfId="0" builtinId="0"/>
    <cellStyle name="Normal 3" xfId="1" xr:uid="{F3711E27-FEA3-41C5-9123-8EB46756521C}"/>
  </cellStyles>
  <dxfs count="2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border diagonalUp="0" diagonalDown="0">
        <left style="thick">
          <color rgb="FFFFFF00"/>
        </left>
        <right/>
        <top/>
        <bottom/>
        <vertical/>
        <horizontal/>
      </border>
    </dxf>
    <dxf>
      <numFmt numFmtId="0" formatCode="General"/>
    </dxf>
    <dxf>
      <numFmt numFmtId="164" formatCode="0.000"/>
      <border diagonalUp="0" diagonalDown="0">
        <left style="thick">
          <color rgb="FFFFFF00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1" tint="0.499984740745262"/>
      </font>
      <fill>
        <patternFill>
          <bgColor theme="1" tint="0.499984740745262"/>
        </patternFill>
      </fill>
      <border>
        <right/>
        <bottom/>
      </border>
    </dxf>
    <dxf>
      <font>
        <color theme="1" tint="0.34998626667073579"/>
      </font>
      <fill>
        <patternFill>
          <bgColor theme="1" tint="0.34998626667073579"/>
        </patternFill>
      </fill>
    </dxf>
    <dxf>
      <font>
        <color theme="1" tint="0.34998626667073579"/>
      </font>
      <fill>
        <patternFill>
          <bgColor theme="1" tint="0.34998626667073579"/>
        </patternFill>
      </fill>
    </dxf>
    <dxf>
      <font>
        <color theme="1" tint="0.499984740745262"/>
      </font>
      <fill>
        <patternFill>
          <bgColor theme="1" tint="0.499984740745262"/>
        </patternFill>
      </fill>
      <border>
        <right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17</xdr:row>
      <xdr:rowOff>0</xdr:rowOff>
    </xdr:from>
    <xdr:to>
      <xdr:col>10</xdr:col>
      <xdr:colOff>362984</xdr:colOff>
      <xdr:row>27</xdr:row>
      <xdr:rowOff>143161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66D7FE2-1BA0-49FA-A47A-CC4C2367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824" y="1905000"/>
          <a:ext cx="7411484" cy="2048161"/>
        </a:xfrm>
        <a:prstGeom prst="rect">
          <a:avLst/>
        </a:prstGeom>
      </xdr:spPr>
    </xdr:pic>
    <xdr:clientData/>
  </xdr:twoCellAnchor>
  <xdr:twoCellAnchor>
    <xdr:from>
      <xdr:col>3</xdr:col>
      <xdr:colOff>44822</xdr:colOff>
      <xdr:row>35</xdr:row>
      <xdr:rowOff>190499</xdr:rowOff>
    </xdr:from>
    <xdr:to>
      <xdr:col>10</xdr:col>
      <xdr:colOff>0</xdr:colOff>
      <xdr:row>38</xdr:row>
      <xdr:rowOff>56028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E26D271-CC24-1EA3-0E7E-61EC211D1ABE}"/>
            </a:ext>
          </a:extLst>
        </xdr:cNvPr>
        <xdr:cNvSpPr txBox="1"/>
      </xdr:nvSpPr>
      <xdr:spPr>
        <a:xfrm>
          <a:off x="2902322" y="5535705"/>
          <a:ext cx="4191002" cy="448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&lt;&lt; If the</a:t>
          </a:r>
          <a:r>
            <a:rPr lang="en-US" sz="1100" baseline="0"/>
            <a:t> "</a:t>
          </a:r>
          <a:r>
            <a:rPr lang="en-US" sz="1100" b="1" baseline="0"/>
            <a:t>Details</a:t>
          </a:r>
          <a:r>
            <a:rPr lang="en-US" sz="1100" baseline="0"/>
            <a:t>" information is incorrect it must be updated in the </a:t>
          </a:r>
          <a:r>
            <a:rPr lang="en-US" sz="1100" b="1" baseline="0"/>
            <a:t>Capacity Summary Report.</a:t>
          </a:r>
        </a:p>
        <a:p>
          <a:endParaRPr lang="en-US" sz="1100"/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5</xdr:col>
      <xdr:colOff>291355</xdr:colOff>
      <xdr:row>17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3A6EC10-4E8C-41BE-AA08-A88C2CC33E69}"/>
            </a:ext>
          </a:extLst>
        </xdr:cNvPr>
        <xdr:cNvSpPr txBox="1"/>
      </xdr:nvSpPr>
      <xdr:spPr>
        <a:xfrm>
          <a:off x="44824" y="762000"/>
          <a:ext cx="4314266" cy="1143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Refreshing Report Data</a:t>
          </a:r>
        </a:p>
        <a:p>
          <a:r>
            <a:rPr lang="en-US" sz="1100"/>
            <a:t>To update the data in this report, please use the "</a:t>
          </a:r>
          <a:r>
            <a:rPr lang="en-US" sz="1100" b="1"/>
            <a:t>Refresh All</a:t>
          </a:r>
          <a:r>
            <a:rPr lang="en-US" sz="1100"/>
            <a:t>" button in the </a:t>
          </a:r>
          <a:r>
            <a:rPr lang="en-US" sz="1100" b="1"/>
            <a:t>Data</a:t>
          </a:r>
          <a:r>
            <a:rPr lang="en-US" sz="1100"/>
            <a:t> ribbon. Example below.</a:t>
          </a:r>
          <a:endParaRPr lang="en-US" sz="1100" b="1" baseline="0"/>
        </a:p>
        <a:p>
          <a:r>
            <a:rPr lang="en-US" sz="1100"/>
            <a:t>Alternatively,</a:t>
          </a:r>
          <a:r>
            <a:rPr lang="en-US" sz="1100" baseline="0"/>
            <a:t> the following shortvut keys can be pressed as well.</a:t>
          </a:r>
        </a:p>
        <a:p>
          <a:r>
            <a:rPr lang="en-US" sz="1100" baseline="0"/>
            <a:t>	</a:t>
          </a:r>
          <a:r>
            <a:rPr lang="en-US" sz="1100" b="1" baseline="0"/>
            <a:t>(Ctrl+Alt+F5)</a:t>
          </a:r>
          <a:endParaRPr lang="en-US" sz="1100" b="1"/>
        </a:p>
      </xdr:txBody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26</xdr:col>
      <xdr:colOff>16905</xdr:colOff>
      <xdr:row>59</xdr:row>
      <xdr:rowOff>57477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51B160D-CAB9-E610-9194-9DDE0FDD6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824" y="7642412"/>
          <a:ext cx="16747287" cy="234347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41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E84DEEF9-BD56-4840-A4F2-34E7CBD8AE3A}"/>
            </a:ext>
          </a:extLst>
        </xdr:cNvPr>
        <xdr:cNvSpPr txBox="1"/>
      </xdr:nvSpPr>
      <xdr:spPr>
        <a:xfrm>
          <a:off x="44824" y="6499412"/>
          <a:ext cx="5838264" cy="1143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Rack Calculator</a:t>
          </a:r>
          <a:endParaRPr lang="en-US" sz="1600">
            <a:effectLst/>
          </a:endParaRPr>
        </a:p>
        <a:p>
          <a:r>
            <a:rPr lang="en-US" sz="1100"/>
            <a:t>On each sheet, there are columns that are</a:t>
          </a:r>
          <a:r>
            <a:rPr lang="en-US" sz="1100" baseline="0"/>
            <a:t> filled with Gray or White below the headings.</a:t>
          </a:r>
        </a:p>
        <a:p>
          <a:r>
            <a:rPr lang="en-US" sz="1100" b="1" baseline="0"/>
            <a:t>	White</a:t>
          </a:r>
          <a:r>
            <a:rPr lang="en-US" sz="1100" b="0" baseline="0"/>
            <a:t> indicates that data should be updated in these columns.</a:t>
          </a:r>
        </a:p>
        <a:p>
          <a:r>
            <a:rPr lang="en-US" sz="1100" b="1" baseline="0"/>
            <a:t>	Gray</a:t>
          </a:r>
          <a:r>
            <a:rPr lang="en-US" sz="1100" b="0" baseline="0"/>
            <a:t> indicates that the columns are formulated and should not be changed.</a:t>
          </a:r>
        </a:p>
        <a:p>
          <a:r>
            <a:rPr lang="en-US" sz="1100" b="0" baseline="0"/>
            <a:t>The Power Strip section will gray out columns based on the selection chosen for the Power Type.</a:t>
          </a:r>
        </a:p>
        <a:p>
          <a:endParaRPr lang="en-US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9BC46D08-219F-4ADF-8D6F-2848C27BAB15}"/>
            </a:ext>
          </a:extLst>
        </xdr:cNvPr>
        <xdr:cNvSpPr txBox="1"/>
      </xdr:nvSpPr>
      <xdr:spPr>
        <a:xfrm>
          <a:off x="44824" y="762000"/>
          <a:ext cx="5838264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 baseline="0"/>
            <a:t>Filename Format</a:t>
          </a:r>
        </a:p>
        <a:p>
          <a:r>
            <a:rPr lang="en-US" sz="1100"/>
            <a:t>The filename for the report should be saved in the following format.</a:t>
          </a:r>
        </a:p>
        <a:p>
          <a:r>
            <a:rPr lang="en-US" sz="1100" b="1"/>
            <a:t>	</a:t>
          </a:r>
          <a:r>
            <a:rPr lang="en-US" sz="1100" b="0"/>
            <a:t>Format:  </a:t>
          </a:r>
          <a:r>
            <a:rPr lang="en-US" sz="1100" b="1"/>
            <a:t>[Site] - Rack Power Calculator - [YYYYMMDD]</a:t>
          </a:r>
        </a:p>
        <a:p>
          <a:r>
            <a:rPr lang="en-US" sz="1100"/>
            <a:t>	</a:t>
          </a:r>
          <a:r>
            <a:rPr lang="en-US" sz="1100" i="1"/>
            <a:t>Example:</a:t>
          </a:r>
          <a:r>
            <a:rPr lang="en-US" sz="1100" i="1" baseline="0"/>
            <a:t>  DAL10 - Rack Power Calculator - 20231024</a:t>
          </a:r>
          <a:endParaRPr lang="en-US" sz="1100" i="1"/>
        </a:p>
      </xdr:txBody>
    </xdr:sp>
    <xdr:clientData/>
  </xdr:twoCellAnchor>
  <xdr:twoCellAnchor>
    <xdr:from>
      <xdr:col>1</xdr:col>
      <xdr:colOff>0</xdr:colOff>
      <xdr:row>30</xdr:row>
      <xdr:rowOff>0</xdr:rowOff>
    </xdr:from>
    <xdr:to>
      <xdr:col>5</xdr:col>
      <xdr:colOff>291355</xdr:colOff>
      <xdr:row>33</xdr:row>
      <xdr:rowOff>190500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7CA9DF4B-4D34-46BC-B2A5-285F64745CCC}"/>
            </a:ext>
          </a:extLst>
        </xdr:cNvPr>
        <xdr:cNvSpPr txBox="1"/>
      </xdr:nvSpPr>
      <xdr:spPr>
        <a:xfrm>
          <a:off x="44824" y="4762500"/>
          <a:ext cx="4314266" cy="762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Details Box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information in this box on each sheet should not be changed or modified. </a:t>
          </a:r>
          <a:endParaRPr lang="en-US">
            <a:effectLst/>
          </a:endParaRPr>
        </a:p>
      </xdr:txBody>
    </xdr:sp>
    <xdr:clientData/>
  </xdr:twoCellAnchor>
  <xdr:twoCellAnchor>
    <xdr:from>
      <xdr:col>1</xdr:col>
      <xdr:colOff>0</xdr:colOff>
      <xdr:row>61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F2219B71-AB46-428A-962B-62969572FF08}"/>
            </a:ext>
          </a:extLst>
        </xdr:cNvPr>
        <xdr:cNvSpPr txBox="1"/>
      </xdr:nvSpPr>
      <xdr:spPr>
        <a:xfrm>
          <a:off x="44824" y="11642912"/>
          <a:ext cx="5838264" cy="1333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Rack Breakdown and Site Assumptions</a:t>
          </a:r>
          <a:r>
            <a:rPr lang="en-US" sz="16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sheets</a:t>
          </a:r>
          <a:endParaRPr lang="en-US" sz="1600">
            <a:effectLst/>
          </a:endParaRPr>
        </a:p>
        <a:p>
          <a:r>
            <a:rPr lang="en-US" sz="1100"/>
            <a:t>These two sheets which have been colored yellow are data sheets and are</a:t>
          </a:r>
          <a:r>
            <a:rPr lang="en-US" sz="1100" baseline="0"/>
            <a:t> for informational purposes only. Data is automatically populated within these sheets. If there is any data that is incorrect, changes must be made through the appropriate channels:</a:t>
          </a:r>
        </a:p>
        <a:p>
          <a:r>
            <a:rPr lang="en-US" sz="1100" b="0" baseline="0"/>
            <a:t>	</a:t>
          </a:r>
          <a:r>
            <a:rPr lang="en-US" sz="1100" b="1" baseline="0"/>
            <a:t>Rack Breakdown: </a:t>
          </a:r>
          <a:r>
            <a:rPr lang="en-US" sz="1100" b="0" baseline="0"/>
            <a:t>Attribute updates should be made through the HWO in IMS.</a:t>
          </a:r>
        </a:p>
        <a:p>
          <a:r>
            <a:rPr lang="en-US" sz="1100" b="0" baseline="0"/>
            <a:t>	</a:t>
          </a:r>
          <a:r>
            <a:rPr lang="en-US" sz="1100" b="1" baseline="0"/>
            <a:t>Sites Assumptions: </a:t>
          </a:r>
          <a:r>
            <a:rPr lang="en-US" sz="1100" b="0" baseline="0"/>
            <a:t>Changes should be made in the Capacity SUmmary Report.</a:t>
          </a:r>
        </a:p>
        <a:p>
          <a:endParaRPr lang="en-US" sz="1100"/>
        </a:p>
      </xdr:txBody>
    </xdr:sp>
    <xdr:clientData/>
  </xdr:twoCellAnchor>
  <xdr:twoCellAnchor>
    <xdr:from>
      <xdr:col>3</xdr:col>
      <xdr:colOff>44822</xdr:colOff>
      <xdr:row>34</xdr:row>
      <xdr:rowOff>1</xdr:rowOff>
    </xdr:from>
    <xdr:to>
      <xdr:col>10</xdr:col>
      <xdr:colOff>0</xdr:colOff>
      <xdr:row>36</xdr:row>
      <xdr:rowOff>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14291CFE-B84B-4836-85FB-5901F6F048B3}"/>
            </a:ext>
          </a:extLst>
        </xdr:cNvPr>
        <xdr:cNvSpPr txBox="1"/>
      </xdr:nvSpPr>
      <xdr:spPr>
        <a:xfrm>
          <a:off x="2902322" y="6488207"/>
          <a:ext cx="4191002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&lt;&lt; Changing the DC and SR here will change the data for the file.</a:t>
          </a:r>
          <a:endParaRPr lang="en-US" sz="1100" b="1" baseline="0"/>
        </a:p>
        <a:p>
          <a:endParaRPr lang="en-US" sz="1100"/>
        </a:p>
      </xdr:txBody>
    </xdr:sp>
    <xdr:clientData/>
  </xdr:twoCellAnchor>
  <xdr:twoCellAnchor editAs="oneCell">
    <xdr:from>
      <xdr:col>1</xdr:col>
      <xdr:colOff>67235</xdr:colOff>
      <xdr:row>38</xdr:row>
      <xdr:rowOff>0</xdr:rowOff>
    </xdr:from>
    <xdr:to>
      <xdr:col>2</xdr:col>
      <xdr:colOff>1062318</xdr:colOff>
      <xdr:row>39</xdr:row>
      <xdr:rowOff>175260</xdr:rowOff>
    </xdr:to>
    <xdr:sp macro="[0]!create_sit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BE14F5F3-E5DB-43D1-972C-474A04D11399}"/>
            </a:ext>
          </a:extLst>
        </xdr:cNvPr>
        <xdr:cNvSpPr/>
      </xdr:nvSpPr>
      <xdr:spPr>
        <a:xfrm>
          <a:off x="112059" y="7261412"/>
          <a:ext cx="1600200" cy="36576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</a:t>
          </a:r>
          <a:r>
            <a:rPr lang="en-US" sz="1100" baseline="0"/>
            <a:t> SR Sheets</a:t>
          </a:r>
          <a:endParaRPr lang="en-US" sz="1100"/>
        </a:p>
      </xdr:txBody>
    </xdr:sp>
    <xdr:clientData/>
  </xdr:twoCellAnchor>
  <xdr:twoCellAnchor>
    <xdr:from>
      <xdr:col>2</xdr:col>
      <xdr:colOff>1062318</xdr:colOff>
      <xdr:row>38</xdr:row>
      <xdr:rowOff>78440</xdr:rowOff>
    </xdr:from>
    <xdr:to>
      <xdr:col>5</xdr:col>
      <xdr:colOff>291355</xdr:colOff>
      <xdr:row>39</xdr:row>
      <xdr:rowOff>175260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7D8B4147-1F97-4383-A6AA-604B33E60464}"/>
            </a:ext>
          </a:extLst>
        </xdr:cNvPr>
        <xdr:cNvSpPr txBox="1"/>
      </xdr:nvSpPr>
      <xdr:spPr>
        <a:xfrm>
          <a:off x="1712259" y="7339852"/>
          <a:ext cx="2646831" cy="2873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&lt;&lt; Only needed if creating a new DC file.</a:t>
          </a:r>
          <a:endParaRPr lang="en-US" sz="1100" b="1" baseline="0"/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112059</xdr:colOff>
      <xdr:row>9</xdr:row>
      <xdr:rowOff>56029</xdr:rowOff>
    </xdr:from>
    <xdr:to>
      <xdr:col>26</xdr:col>
      <xdr:colOff>358588</xdr:colOff>
      <xdr:row>30</xdr:row>
      <xdr:rowOff>56029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92D755E-18C8-E083-B621-639BDC00E234}"/>
            </a:ext>
          </a:extLst>
        </xdr:cNvPr>
        <xdr:cNvSpPr txBox="1"/>
      </xdr:nvSpPr>
      <xdr:spPr>
        <a:xfrm>
          <a:off x="1927412" y="1972235"/>
          <a:ext cx="14164235" cy="400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000"/>
            <a:t>For</a:t>
          </a:r>
          <a:r>
            <a:rPr lang="en-US" sz="6000" baseline="0"/>
            <a:t> now, this sheet has to be populated manually. Un-comment the formula in cell A2 and adjust the formula for the number of server rooms needed.</a:t>
          </a:r>
          <a:endParaRPr lang="en-US" sz="6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112057</xdr:colOff>
      <xdr:row>7</xdr:row>
      <xdr:rowOff>138506</xdr:rowOff>
    </xdr:from>
    <xdr:to>
      <xdr:col>2</xdr:col>
      <xdr:colOff>658905</xdr:colOff>
      <xdr:row>9</xdr:row>
      <xdr:rowOff>123266</xdr:rowOff>
    </xdr:to>
    <xdr:sp macro="[0]!protect_unprotec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883375F-D821-4CE3-9FFD-47E2114F8CC8}"/>
            </a:ext>
          </a:extLst>
        </xdr:cNvPr>
        <xdr:cNvSpPr/>
      </xdr:nvSpPr>
      <xdr:spPr>
        <a:xfrm>
          <a:off x="156881" y="1494418"/>
          <a:ext cx="1600200" cy="36576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Lock/Unlock Sheet</a:t>
          </a:r>
        </a:p>
      </xdr:txBody>
    </xdr:sp>
    <xdr:clientData/>
  </xdr:twoCellAnchor>
  <xdr:twoCellAnchor editAs="oneCell">
    <xdr:from>
      <xdr:col>17</xdr:col>
      <xdr:colOff>448235</xdr:colOff>
      <xdr:row>7</xdr:row>
      <xdr:rowOff>168088</xdr:rowOff>
    </xdr:from>
    <xdr:to>
      <xdr:col>26</xdr:col>
      <xdr:colOff>448236</xdr:colOff>
      <xdr:row>9</xdr:row>
      <xdr:rowOff>168089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224A8F-63E4-12D0-6B6E-FC4D4C60EBA0}"/>
            </a:ext>
          </a:extLst>
        </xdr:cNvPr>
        <xdr:cNvSpPr txBox="1"/>
      </xdr:nvSpPr>
      <xdr:spPr>
        <a:xfrm>
          <a:off x="5434853" y="1524000"/>
          <a:ext cx="7563971" cy="3810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/>
            <a:t>Decimal points are not needed when writing out the value (e.g. 7.6 = 76, 11.2 = 112)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</xdr:row>
      <xdr:rowOff>179294</xdr:rowOff>
    </xdr:from>
    <xdr:to>
      <xdr:col>27</xdr:col>
      <xdr:colOff>0</xdr:colOff>
      <xdr:row>6</xdr:row>
      <xdr:rowOff>179294</xdr:rowOff>
    </xdr:to>
    <xdr:sp macro="" textlink="">
      <xdr:nvSpPr>
        <xdr:cNvPr id="2" name="TextBox - Lock">
          <a:extLst>
            <a:ext uri="{FF2B5EF4-FFF2-40B4-BE49-F238E27FC236}">
              <a16:creationId xmlns:a16="http://schemas.microsoft.com/office/drawing/2014/main" id="{7EB47BE7-5F00-F722-6131-F03BB1AAFA07}"/>
            </a:ext>
          </a:extLst>
        </xdr:cNvPr>
        <xdr:cNvSpPr txBox="1"/>
      </xdr:nvSpPr>
      <xdr:spPr>
        <a:xfrm>
          <a:off x="12068735" y="369794"/>
          <a:ext cx="6051177" cy="952500"/>
        </a:xfrm>
        <a:prstGeom prst="rect">
          <a:avLst/>
        </a:prstGeom>
        <a:solidFill>
          <a:schemeClr val="lt1"/>
        </a:solidFill>
        <a:ln w="28575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6000">
              <a:solidFill>
                <a:schemeClr val="bg1">
                  <a:lumMod val="50000"/>
                </a:schemeClr>
              </a:solidFill>
            </a:rPr>
            <a:t>SHEET IS LOCKED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5" xr16:uid="{28D072CB-1741-43C9-8EA9-C925482675CA}" autoFormatId="16" applyNumberFormats="0" applyBorderFormats="0" applyFontFormats="0" applyPatternFormats="0" applyAlignmentFormats="0" applyWidthHeightFormats="0">
  <queryTableRefresh nextId="59" unboundColumnsRight="1">
    <queryTableFields count="58">
      <queryTableField id="1" name="Rack Path" tableColumnId="1"/>
      <queryTableField id="2" name="Data Center" tableColumnId="2"/>
      <queryTableField id="3" name="Server Room" tableColumnId="3"/>
      <queryTableField id="4" name="Rack" tableColumnId="4"/>
      <queryTableField id="5" name="Pod" tableColumnId="5"/>
      <queryTableField id="6" name="Speed" tableColumnId="6"/>
      <queryTableField id="7" name="Path" tableColumnId="7"/>
      <queryTableField id="8" name="Group" tableColumnId="8"/>
      <queryTableField id="9" name="Type" tableColumnId="9"/>
      <queryTableField id="10" name="Sub-Type" tableColumnId="10"/>
      <queryTableField id="11" name="Status" tableColumnId="11"/>
      <queryTableField id="12" name="Max Slots" tableColumnId="12"/>
      <queryTableField id="13" name="Rack ID" tableColumnId="13"/>
      <queryTableField id="14" name="kW/Rack" tableColumnId="14"/>
      <queryTableField id="15" name="Utility Identifier" tableColumnId="15"/>
      <queryTableField id="16" name="Lease Identifier" tableColumnId="16"/>
      <queryTableField id="17" name="Zone-Power" tableColumnId="17"/>
      <queryTableField id="18" name="Row Number" tableColumnId="18"/>
      <queryTableField id="19" name="Notes" tableColumnId="19"/>
      <queryTableField id="20" name="Active Servers" tableColumnId="20"/>
      <queryTableField id="21" name="Active Hardware" tableColumnId="21"/>
      <queryTableField id="22" name="Current Inventory" tableColumnId="22"/>
      <queryTableField id="23" name="Current Spare Pool" tableColumnId="23"/>
      <queryTableField id="24" name="Adjusted Inventory" tableColumnId="24"/>
      <queryTableField id="25" name="Current Other" tableColumnId="25"/>
      <queryTableField id="26" name="Total Servers" tableColumnId="26"/>
      <queryTableField id="27" name="Total Hardware" tableColumnId="27"/>
      <queryTableField id="28" name="Adj Max Slots" tableColumnId="28"/>
      <queryTableField id="29" name="Active Slots" tableColumnId="29"/>
      <queryTableField id="30" name="Inventory Slots" tableColumnId="30"/>
      <queryTableField id="31" name="Other Slots" tableColumnId="31"/>
      <queryTableField id="32" name="Used Slots" tableColumnId="32"/>
      <queryTableField id="33" name="Spare Pool Slots" tableColumnId="33"/>
      <queryTableField id="34" name="Usable Slots" tableColumnId="34"/>
      <queryTableField id="35" name="Unused Slots" tableColumnId="35"/>
      <queryTableField id="36" name="Unused + Inventory" tableColumnId="36"/>
      <queryTableField id="37" name="Unused + Inv + Other" tableColumnId="37"/>
      <queryTableField id="38" name="Unusable Slots" tableColumnId="38"/>
      <queryTableField id="39" name="Avg kW per Slot:" tableColumnId="39"/>
      <queryTableField id="40" name="Reserved Power" tableColumnId="40"/>
      <queryTableField id="41" name="Spare Pool Power" tableColumnId="41"/>
      <queryTableField id="42" name="Type - Status" tableColumnId="42"/>
      <queryTableField id="43" name="Empty Flag" tableColumnId="43"/>
      <queryTableField id="44" name="POD Code" tableColumnId="44"/>
      <queryTableField id="45" name="G" tableColumnId="45"/>
      <queryTableField id="46" name="H" tableColumnId="46"/>
      <queryTableField id="47" name="J" tableColumnId="47"/>
      <queryTableField id="48" name="K" tableColumnId="48"/>
      <queryTableField id="49" name="Total" tableColumnId="49"/>
      <queryTableField id="50" name="kW per Active Slot" tableColumnId="50"/>
      <queryTableField id="51" name="Est. Total Rack kW" tableColumnId="51"/>
      <queryTableField id="52" name="Power Strip Errors" tableColumnId="52"/>
      <queryTableField id="53" name="Est kW Remaining" tableColumnId="53"/>
      <queryTableField id="54" name="Est. Slots Remaining" tableColumnId="54"/>
      <queryTableField id="55" name="Start/End Rack ID" tableColumnId="55"/>
      <queryTableField id="56" name="Empty Rack Count" tableColumnId="56"/>
      <queryTableField id="57" name="Row" tableColumnId="57"/>
      <queryTableField id="58" dataBound="0" tableColumnId="5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8" xr16:uid="{25E06B89-3E5F-4DA7-926A-D3ADE20AAE1D}" autoFormatId="16" applyNumberFormats="0" applyBorderFormats="0" applyFontFormats="0" applyPatternFormats="0" applyAlignmentFormats="0" applyWidthHeightFormats="0">
  <queryTableRefresh nextId="8" unboundColumnsRight="3">
    <queryTableFields count="7">
      <queryTableField id="1" name="Data Center" tableColumnId="1"/>
      <queryTableField id="2" name="Server Room" tableColumnId="2"/>
      <queryTableField id="3" name="Age Code" tableColumnId="3"/>
      <queryTableField id="4" name="Details" tableColumnId="4"/>
      <queryTableField id="5" dataBound="0" tableColumnId="5"/>
      <queryTableField id="6" dataBound="0" tableColumnId="6"/>
      <queryTableField id="7" dataBound="0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226A5DD-B840-4D78-8EA4-DE2538C24878}" autoFormatId="16" applyNumberFormats="0" applyBorderFormats="0" applyFontFormats="0" applyPatternFormats="0" applyAlignmentFormats="0" applyWidthHeightFormats="0">
  <queryTableRefresh nextId="2">
    <queryTableFields count="1">
      <queryTableField id="1" name="Data Date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64150A-4465-47E3-A1DF-33CED9C8CD5A}" name="rack_breakdown" displayName="rack_breakdown" ref="A1:BF1720" tableType="queryTable" totalsRowShown="0">
  <autoFilter ref="A1:BF1720" xr:uid="{6A64150A-4465-47E3-A1DF-33CED9C8CD5A}"/>
  <tableColumns count="58">
    <tableColumn id="1" xr3:uid="{BF42FD57-6932-4B24-AF2E-38981A3CB949}" uniqueName="1" name="Rack Path" queryTableFieldId="1" dataDxfId="22"/>
    <tableColumn id="2" xr3:uid="{8A5B2A0E-E612-4C83-8378-F3902CC9F984}" uniqueName="2" name="Data Center" queryTableFieldId="2" dataDxfId="21"/>
    <tableColumn id="3" xr3:uid="{FB0BF111-06A5-42F7-A7BA-655E4EC92368}" uniqueName="3" name="Server Room" queryTableFieldId="3"/>
    <tableColumn id="4" xr3:uid="{BD49DE1D-8C29-43E9-B14F-644D49CE87E5}" uniqueName="4" name="Rack" queryTableFieldId="4"/>
    <tableColumn id="5" xr3:uid="{3326A019-CD37-4C17-8030-9C047F5036A2}" uniqueName="5" name="Pod" queryTableFieldId="5" dataDxfId="20"/>
    <tableColumn id="6" xr3:uid="{BDA6F405-6793-4379-8854-ABE43AF45482}" uniqueName="6" name="Speed" queryTableFieldId="6" dataDxfId="19"/>
    <tableColumn id="7" xr3:uid="{E458581A-3F8C-4BF5-A9D1-85FA4B806719}" uniqueName="7" name="Path" queryTableFieldId="7" dataDxfId="18"/>
    <tableColumn id="8" xr3:uid="{433F2E23-EBC5-41CB-845A-B77F94CF9826}" uniqueName="8" name="Group" queryTableFieldId="8" dataDxfId="17"/>
    <tableColumn id="9" xr3:uid="{D6D52B78-8271-4B81-BA27-4E8F8D20DCC1}" uniqueName="9" name="Type" queryTableFieldId="9" dataDxfId="16"/>
    <tableColumn id="10" xr3:uid="{18769841-8819-4F90-AFB1-F6C6A1824A97}" uniqueName="10" name="Sub-Type" queryTableFieldId="10" dataDxfId="15"/>
    <tableColumn id="11" xr3:uid="{FC6A0B81-F378-433F-A461-AC0588699F14}" uniqueName="11" name="Status" queryTableFieldId="11" dataDxfId="14"/>
    <tableColumn id="12" xr3:uid="{73103842-04C2-4CEC-B170-9DF59B56DB9B}" uniqueName="12" name="Max Slots" queryTableFieldId="12"/>
    <tableColumn id="13" xr3:uid="{22825B1F-ECB9-473B-8CD5-B3FEE9ACFB86}" uniqueName="13" name="Rack ID" queryTableFieldId="13"/>
    <tableColumn id="14" xr3:uid="{12ECEFFB-5365-4FBA-BCC7-37DBD92C17C3}" uniqueName="14" name="kW/Rack" queryTableFieldId="14"/>
    <tableColumn id="15" xr3:uid="{5002936C-C930-4228-B5AD-96E27516DC2D}" uniqueName="15" name="Utility Identifier" queryTableFieldId="15"/>
    <tableColumn id="16" xr3:uid="{F881EFB8-C496-460C-9D8C-B33A3AA4F67E}" uniqueName="16" name="Lease Identifier" queryTableFieldId="16" dataDxfId="13"/>
    <tableColumn id="17" xr3:uid="{FED4CC7B-B42D-4272-A965-1C80E6A3F4B8}" uniqueName="17" name="Zone-Power" queryTableFieldId="17" dataDxfId="12"/>
    <tableColumn id="18" xr3:uid="{809A64D4-7C13-4582-96A7-C0EB89D9664B}" uniqueName="18" name="Row Number" queryTableFieldId="18"/>
    <tableColumn id="19" xr3:uid="{C1722C6D-F047-4CEC-BFCE-D61122B182E4}" uniqueName="19" name="Notes" queryTableFieldId="19" dataDxfId="11"/>
    <tableColumn id="20" xr3:uid="{F53964D3-74A1-46A4-87E8-14FEA7541326}" uniqueName="20" name="Active Servers" queryTableFieldId="20"/>
    <tableColumn id="21" xr3:uid="{8EE7D9FA-84EE-4A37-AA54-E3CBA3C05D7D}" uniqueName="21" name="Active Hardware" queryTableFieldId="21"/>
    <tableColumn id="22" xr3:uid="{347D488E-CB37-4412-A0FD-9AED71861FE1}" uniqueName="22" name="Current Inventory" queryTableFieldId="22"/>
    <tableColumn id="23" xr3:uid="{2AE5B758-744A-40FE-BD88-02244F30456B}" uniqueName="23" name="Current Spare Pool" queryTableFieldId="23"/>
    <tableColumn id="24" xr3:uid="{A8761F1A-0E57-418B-8CB3-893E1D4FCFAD}" uniqueName="24" name="Adjusted Inventory" queryTableFieldId="24"/>
    <tableColumn id="25" xr3:uid="{385C4E4A-CA90-45E7-8381-10D45F3DE8E7}" uniqueName="25" name="Current Other" queryTableFieldId="25"/>
    <tableColumn id="26" xr3:uid="{8EF27B6F-3EBA-45C4-B9D8-81214CF2037B}" uniqueName="26" name="Total Servers" queryTableFieldId="26"/>
    <tableColumn id="27" xr3:uid="{2F866C84-FE9D-466F-AB1A-AE8092F1F640}" uniqueName="27" name="Total Hardware" queryTableFieldId="27"/>
    <tableColumn id="28" xr3:uid="{32E4ED4F-DAE2-4396-B7A7-C10AD64F0A6B}" uniqueName="28" name="Adj Max Slots" queryTableFieldId="28"/>
    <tableColumn id="29" xr3:uid="{2D25FF2A-1D6B-4031-9987-F1F0A03F9FF4}" uniqueName="29" name="Active Slots" queryTableFieldId="29"/>
    <tableColumn id="30" xr3:uid="{85F307C6-BD20-4E54-821D-5A1FA7024967}" uniqueName="30" name="Inventory Slots" queryTableFieldId="30"/>
    <tableColumn id="31" xr3:uid="{E83B9A02-73C5-4FEB-8184-F1D72ECC9F39}" uniqueName="31" name="Other Slots" queryTableFieldId="31"/>
    <tableColumn id="32" xr3:uid="{90830C01-53D7-4A6E-AC61-DD73AB0598E3}" uniqueName="32" name="Used Slots" queryTableFieldId="32"/>
    <tableColumn id="33" xr3:uid="{A3CD4BF9-ADF4-4084-B83B-3E17378755A8}" uniqueName="33" name="Spare Pool Slots" queryTableFieldId="33"/>
    <tableColumn id="34" xr3:uid="{47FDDD28-89BD-40FF-9BE7-3532AC73D066}" uniqueName="34" name="Usable Slots" queryTableFieldId="34"/>
    <tableColumn id="35" xr3:uid="{1B8A3791-294B-40FF-8D20-E5237F8636DD}" uniqueName="35" name="Unused Slots" queryTableFieldId="35"/>
    <tableColumn id="36" xr3:uid="{6C241CD7-B1C5-45A7-A24A-ADE562FAC029}" uniqueName="36" name="Unused + Inventory" queryTableFieldId="36"/>
    <tableColumn id="37" xr3:uid="{94A19CFB-B544-49BF-A2DB-9E3F8DD17960}" uniqueName="37" name="Unused + Inv + Other" queryTableFieldId="37"/>
    <tableColumn id="38" xr3:uid="{85224198-07E7-472B-A66E-B80C46073820}" uniqueName="38" name="Unusable Slots" queryTableFieldId="38"/>
    <tableColumn id="39" xr3:uid="{7D6EC3EC-5DF6-4C86-B9C5-C82DBD320A12}" uniqueName="39" name="Avg kW per Slot:" queryTableFieldId="39"/>
    <tableColumn id="40" xr3:uid="{AAC880B5-9F12-4D03-89A8-EAE324F24513}" uniqueName="40" name="Reserved Power" queryTableFieldId="40"/>
    <tableColumn id="41" xr3:uid="{8A833D6C-86C7-4A15-862C-8E8F91A76EDA}" uniqueName="41" name="Spare Pool Power" queryTableFieldId="41"/>
    <tableColumn id="42" xr3:uid="{33BE8988-4E5B-4D84-B44A-37773424E56C}" uniqueName="42" name="Type - Status" queryTableFieldId="42" dataDxfId="10"/>
    <tableColumn id="43" xr3:uid="{97FF08CE-E830-4087-BA68-1FC7F079DE9D}" uniqueName="43" name="Empty Flag" queryTableFieldId="43" dataDxfId="9"/>
    <tableColumn id="44" xr3:uid="{DA190659-B979-4128-ACAE-C0B9AF0DA576}" uniqueName="44" name="POD Code" queryTableFieldId="44" dataDxfId="8"/>
    <tableColumn id="45" xr3:uid="{EF75BD6E-3A08-4661-9792-82E3CDFD998E}" uniqueName="45" name="G" queryTableFieldId="45"/>
    <tableColumn id="46" xr3:uid="{3AA95A16-534C-4013-85CA-87EDE072D05B}" uniqueName="46" name="H" queryTableFieldId="46"/>
    <tableColumn id="47" xr3:uid="{539E3859-31D2-4DE4-9F1C-3DEF875B476C}" uniqueName="47" name="J" queryTableFieldId="47"/>
    <tableColumn id="48" xr3:uid="{947370C2-AA5F-4C66-9A11-FDBF64CF526C}" uniqueName="48" name="K" queryTableFieldId="48"/>
    <tableColumn id="49" xr3:uid="{2DA40B74-B584-4E9F-B1F8-C259B8B8A0D6}" uniqueName="49" name="Total" queryTableFieldId="49"/>
    <tableColumn id="50" xr3:uid="{F94153EF-3AF2-40F2-B4A8-B270BA43F95A}" uniqueName="50" name="kW per Active Slot" queryTableFieldId="50"/>
    <tableColumn id="51" xr3:uid="{BE938748-1401-4398-AE3D-D6E229E908B9}" uniqueName="51" name="Est. Total Rack kW" queryTableFieldId="51"/>
    <tableColumn id="52" xr3:uid="{A5BED47E-0C82-4689-B501-6AD048F7455A}" uniqueName="52" name="Power Strip Errors" queryTableFieldId="52"/>
    <tableColumn id="53" xr3:uid="{26160EC8-DFD1-4CD2-8ED2-5FDA458F2753}" uniqueName="53" name="Est kW Remaining" queryTableFieldId="53"/>
    <tableColumn id="54" xr3:uid="{EE539F56-737E-4C16-994A-C6C819BAD7D7}" uniqueName="54" name="Est. Slots Remaining" queryTableFieldId="54"/>
    <tableColumn id="55" xr3:uid="{C79BF318-D235-4AEA-A4DF-4E2A24767DC3}" uniqueName="55" name="Start/End Rack ID" queryTableFieldId="55" dataDxfId="7"/>
    <tableColumn id="56" xr3:uid="{1D9E7ADC-47E3-4526-9A42-B4646021DE4C}" uniqueName="56" name="Empty Rack Count" queryTableFieldId="56"/>
    <tableColumn id="57" xr3:uid="{BAA4A925-0966-4678-B095-C70268B283D1}" uniqueName="57" name="Row" queryTableFieldId="57" dataDxfId="6"/>
    <tableColumn id="58" xr3:uid="{7119BE2C-75C4-4348-A400-4BC8CC48FBF5}" uniqueName="58" name="KW" queryTableFieldId="58" dataDxfId="5">
      <calculatedColumnFormula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calculatedColumnFormula>
    </tableColumn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9B5DEB-B93E-4CEB-A9DB-7285ADB35DEB}" name="site_assumptions" displayName="site_assumptions" ref="A1:G131" tableType="queryTable" totalsRowShown="0">
  <autoFilter ref="A1:G131" xr:uid="{B59B5DEB-B93E-4CEB-A9DB-7285ADB35DEB}"/>
  <tableColumns count="7">
    <tableColumn id="1" xr3:uid="{850EA536-4315-4EEA-A10E-B7617D4D2821}" uniqueName="1" name="Data Center" queryTableFieldId="1" dataDxfId="4"/>
    <tableColumn id="2" xr3:uid="{7FDDB1DD-C5F2-4736-8AA9-35DDCF5FF74E}" uniqueName="2" name="Server Room" queryTableFieldId="2"/>
    <tableColumn id="3" xr3:uid="{134A34AA-86F0-4076-92AD-05F60FED0B12}" uniqueName="3" name="Age Code" queryTableFieldId="3"/>
    <tableColumn id="4" xr3:uid="{FB53E8C1-B0FD-4711-AFA3-38834B08385B}" uniqueName="4" name="Details" queryTableFieldId="4"/>
    <tableColumn id="5" xr3:uid="{2CAB70BF-357D-4C72-AEB9-CCF4E34BEDCF}" uniqueName="5" name="Volts" queryTableFieldId="5" dataDxfId="3">
      <calculatedColumnFormula>IF($C2=0,"",VALUE(MID(site_assumptions[[#This Row],[Details]],SEARCH("(",site_assumptions[[#This Row],[Details]])+1,SEARCH("/",site_assumptions[[#This Row],[Details]])-SEARCH("(",site_assumptions[[#This Row],[Details]])-1)))</calculatedColumnFormula>
    </tableColumn>
    <tableColumn id="6" xr3:uid="{1DE62615-D82D-4FD3-9611-96F3E301739A}" uniqueName="6" name="Amps" queryTableFieldId="6" dataDxfId="2">
      <calculatedColumnFormula>IF($C2=0,"",VALUE(MID(site_assumptions[[#This Row],[Details]],SEARCH("/",site_assumptions[[#This Row],[Details]])+1,SEARCH("#",SUBSTITUTE(site_assumptions[[#This Row],[Details]],"/","#",2))-SEARCH("/",site_assumptions[[#This Row],[Details]])-1)))</calculatedColumnFormula>
    </tableColumn>
    <tableColumn id="7" xr3:uid="{6399DA1E-D611-4765-8B57-1D1076D47F19}" uniqueName="7" name="Type" queryTableFieldId="7" dataDxfId="1">
      <calculatedColumnFormula>IF($C2=0,"",TRIM(MID(site_assumptions[[#This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F2CAF4E-567A-428E-BDE5-4AE1BFB968A2}" name="tbl_dc" displayName="tbl_dc" ref="B11:B12" totalsRowShown="0">
  <autoFilter ref="B11:B12" xr:uid="{4F2CAF4E-567A-428E-BDE5-4AE1BFB968A2}"/>
  <tableColumns count="1">
    <tableColumn id="1" xr3:uid="{B04D590D-0288-4BD1-B320-E987A78B5E29}" name="DC">
      <calculatedColumnFormula>information!C35</calculatedColumnFormula>
    </tableColumn>
  </tableColumns>
  <tableStyleInfo name="TableStyleLight9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B874D6-D7CD-4D40-9AD3-F292C9251B7D}" name="Data_Date" displayName="Data_Date" ref="B14:B15" tableType="queryTable" totalsRowShown="0">
  <autoFilter ref="B14:B15" xr:uid="{B8B874D6-D7CD-4D40-9AD3-F292C9251B7D}"/>
  <tableColumns count="1">
    <tableColumn id="1" xr3:uid="{2BF10992-B341-4101-B276-069A6A3568DF}" uniqueName="1" name="Data Date" queryTableFieldId="1" dataDxfId="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C4C297-A3B9-42E0-8825-6254D0044327}" name="file_path" displayName="file_path" ref="A1:B4" totalsRowShown="0">
  <autoFilter ref="A1:B4" xr:uid="{23C4C297-A3B9-42E0-8825-6254D0044327}"/>
  <tableColumns count="2">
    <tableColumn id="1" xr3:uid="{5F0C6075-14CD-4E83-B2D6-80EA5F93E9C1}" name="File"/>
    <tableColumn id="2" xr3:uid="{F5DC54D3-38DA-4F80-A6EA-211B94495003}" name="File Path">
      <calculatedColumnFormula>LEFT(B1,FIND("#",SUBSTITUTE(B1,"\","#",5))-0)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155586"/>
      </a:accent1>
      <a:accent2>
        <a:srgbClr val="007069"/>
      </a:accent2>
      <a:accent3>
        <a:srgbClr val="008B52"/>
      </a:accent3>
      <a:accent4>
        <a:srgbClr val="D33C48"/>
      </a:accent4>
      <a:accent5>
        <a:srgbClr val="F36C34"/>
      </a:accent5>
      <a:accent6>
        <a:srgbClr val="FFFF4F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68C8D-728D-4192-AA95-F0153AD26A4F}">
  <sheetPr codeName="Sheet1">
    <tabColor rgb="FF0070C0"/>
  </sheetPr>
  <dimension ref="B1:Z37"/>
  <sheetViews>
    <sheetView showGridLines="0" tabSelected="1" zoomScale="85" zoomScaleNormal="85" workbookViewId="0"/>
  </sheetViews>
  <sheetFormatPr defaultRowHeight="15" x14ac:dyDescent="0.25"/>
  <cols>
    <col min="1" max="1" width="0.7109375" customWidth="1"/>
    <col min="3" max="3" width="33.140625" bestFit="1" customWidth="1"/>
  </cols>
  <sheetData>
    <row r="1" spans="2:26" x14ac:dyDescent="0.25">
      <c r="B1" s="51" t="str">
        <f>C35&amp;" - Rack Power Calculator"</f>
        <v>DAL10 - Rack Power Calculator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</row>
    <row r="2" spans="2:26" x14ac:dyDescent="0.25">
      <c r="B2" s="52" t="s">
        <v>2127</v>
      </c>
    </row>
    <row r="3" spans="2:26" x14ac:dyDescent="0.25">
      <c r="B3" s="52" t="str" cm="1">
        <f t="array" ref="B3">Data_Date[Data Date]</f>
        <v>Data as of 10/23/2023</v>
      </c>
    </row>
    <row r="34" spans="2:3" ht="15.75" thickBot="1" x14ac:dyDescent="0.3"/>
    <row r="35" spans="2:3" x14ac:dyDescent="0.25">
      <c r="B35" s="53" t="s">
        <v>2047</v>
      </c>
      <c r="C35" s="41" t="s">
        <v>19</v>
      </c>
    </row>
    <row r="36" spans="2:3" x14ac:dyDescent="0.25">
      <c r="B36" s="54" t="s">
        <v>2048</v>
      </c>
      <c r="C36" s="42">
        <v>1</v>
      </c>
    </row>
    <row r="37" spans="2:3" ht="15.75" thickBot="1" x14ac:dyDescent="0.3">
      <c r="B37" s="55" t="s">
        <v>7</v>
      </c>
      <c r="C37" s="43" t="s">
        <v>10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1383C-7B5D-4824-A039-E7BD617F6216}">
  <sheetPr>
    <tabColor rgb="FFFF0000"/>
  </sheetPr>
  <dimension ref="A1:AI2"/>
  <sheetViews>
    <sheetView zoomScale="85" zoomScaleNormal="85" workbookViewId="0"/>
  </sheetViews>
  <sheetFormatPr defaultRowHeight="15" x14ac:dyDescent="0.25"/>
  <sheetData>
    <row r="1" spans="1:35" ht="30.75" thickBot="1" x14ac:dyDescent="0.3">
      <c r="A1" s="36" t="s">
        <v>69</v>
      </c>
      <c r="B1" s="37" t="s">
        <v>68</v>
      </c>
      <c r="C1" s="3" t="s">
        <v>2054</v>
      </c>
      <c r="D1" s="3" t="s">
        <v>2058</v>
      </c>
      <c r="E1" s="3" t="s">
        <v>2059</v>
      </c>
      <c r="F1" s="3" t="s">
        <v>2057</v>
      </c>
      <c r="G1" s="3" t="s">
        <v>2060</v>
      </c>
      <c r="H1" s="3" t="s">
        <v>2061</v>
      </c>
      <c r="I1" s="3" t="s">
        <v>2064</v>
      </c>
      <c r="J1" s="3" t="s">
        <v>2066</v>
      </c>
      <c r="K1" s="3" t="s">
        <v>2067</v>
      </c>
      <c r="L1" s="3" t="s">
        <v>2065</v>
      </c>
      <c r="M1" s="3" t="s">
        <v>2068</v>
      </c>
      <c r="N1" s="3" t="s">
        <v>2069</v>
      </c>
      <c r="O1" s="65" t="s">
        <v>2054</v>
      </c>
      <c r="P1" s="66" t="s">
        <v>2058</v>
      </c>
      <c r="Q1" s="67" t="s">
        <v>2059</v>
      </c>
      <c r="R1" s="65" t="s">
        <v>2057</v>
      </c>
      <c r="S1" s="66" t="s">
        <v>2060</v>
      </c>
      <c r="T1" s="67" t="s">
        <v>2061</v>
      </c>
      <c r="U1" s="65" t="s">
        <v>2064</v>
      </c>
      <c r="V1" s="66" t="s">
        <v>2066</v>
      </c>
      <c r="W1" s="67" t="s">
        <v>2067</v>
      </c>
      <c r="X1" s="65" t="s">
        <v>2065</v>
      </c>
      <c r="Y1" s="66" t="s">
        <v>2068</v>
      </c>
      <c r="Z1" s="67" t="s">
        <v>2069</v>
      </c>
      <c r="AA1" s="19" t="s">
        <v>2152</v>
      </c>
      <c r="AB1" s="20" t="s">
        <v>2081</v>
      </c>
      <c r="AC1" s="24" t="s">
        <v>68</v>
      </c>
      <c r="AD1" s="25" t="s">
        <v>75</v>
      </c>
      <c r="AE1" s="22" t="s">
        <v>76</v>
      </c>
      <c r="AF1" s="22" t="s">
        <v>79</v>
      </c>
      <c r="AG1" s="23" t="s">
        <v>82</v>
      </c>
      <c r="AH1" s="47" t="s">
        <v>2120</v>
      </c>
      <c r="AI1" s="47" t="s">
        <v>2153</v>
      </c>
    </row>
    <row r="2" spans="1:35" x14ac:dyDescent="0.25">
      <c r="A2" s="75" t="s">
        <v>2151</v>
      </c>
    </row>
  </sheetData>
  <conditionalFormatting sqref="P1:Q1 S1:T1 V1:W1 Y1:Z1">
    <cfRule type="expression" dxfId="26" priority="1" stopIfTrue="1">
      <formula>$C$13="Single"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5E028-97FF-41EE-BF7A-0EC208B67813}">
  <sheetPr codeName="Sheet2">
    <tabColor rgb="FFFF0000"/>
  </sheetPr>
  <dimension ref="B2:U22"/>
  <sheetViews>
    <sheetView zoomScale="85" zoomScaleNormal="85" workbookViewId="0"/>
  </sheetViews>
  <sheetFormatPr defaultRowHeight="15" x14ac:dyDescent="0.25"/>
  <sheetData>
    <row r="2" spans="2:21" x14ac:dyDescent="0.25">
      <c r="K2" t="s">
        <v>2103</v>
      </c>
    </row>
    <row r="3" spans="2:21" x14ac:dyDescent="0.25">
      <c r="K3" t="s">
        <v>2113</v>
      </c>
      <c r="T3" t="s">
        <v>2121</v>
      </c>
    </row>
    <row r="4" spans="2:21" ht="15.75" thickBot="1" x14ac:dyDescent="0.3">
      <c r="K4" t="s">
        <v>2114</v>
      </c>
      <c r="T4" t="s">
        <v>2122</v>
      </c>
      <c r="U4" t="s">
        <v>2134</v>
      </c>
    </row>
    <row r="5" spans="2:21" ht="15.75" thickBot="1" x14ac:dyDescent="0.3">
      <c r="B5" s="4" t="s">
        <v>68</v>
      </c>
      <c r="C5" s="5"/>
      <c r="D5" s="6" t="s">
        <v>2082</v>
      </c>
      <c r="E5" s="7"/>
      <c r="F5" s="7"/>
      <c r="G5" s="5"/>
      <c r="K5" t="s">
        <v>2115</v>
      </c>
      <c r="T5" t="s">
        <v>2122</v>
      </c>
      <c r="U5" t="s">
        <v>2134</v>
      </c>
    </row>
    <row r="6" spans="2:21" ht="18" x14ac:dyDescent="0.35">
      <c r="B6" s="8" t="s">
        <v>2083</v>
      </c>
      <c r="D6" s="9" t="s">
        <v>2088</v>
      </c>
      <c r="G6" s="10"/>
      <c r="K6" t="s">
        <v>2107</v>
      </c>
      <c r="T6" t="s">
        <v>2121</v>
      </c>
    </row>
    <row r="7" spans="2:21" ht="18" x14ac:dyDescent="0.35">
      <c r="B7" s="11" t="s">
        <v>2084</v>
      </c>
      <c r="D7" s="9" t="s">
        <v>2089</v>
      </c>
      <c r="G7" s="10"/>
      <c r="K7" t="s">
        <v>2104</v>
      </c>
      <c r="T7" t="s">
        <v>2121</v>
      </c>
    </row>
    <row r="8" spans="2:21" ht="18" x14ac:dyDescent="0.35">
      <c r="B8" s="8" t="s">
        <v>2085</v>
      </c>
      <c r="D8" s="9" t="s">
        <v>2090</v>
      </c>
      <c r="G8" s="10"/>
      <c r="K8" t="s">
        <v>2119</v>
      </c>
      <c r="T8" t="s">
        <v>2122</v>
      </c>
      <c r="U8" t="s">
        <v>2134</v>
      </c>
    </row>
    <row r="9" spans="2:21" ht="18" x14ac:dyDescent="0.35">
      <c r="B9" s="8" t="s">
        <v>2086</v>
      </c>
      <c r="D9" s="9" t="s">
        <v>2091</v>
      </c>
      <c r="G9" s="10"/>
      <c r="K9" t="s">
        <v>2105</v>
      </c>
      <c r="T9" t="s">
        <v>2123</v>
      </c>
    </row>
    <row r="10" spans="2:21" ht="18.75" thickBot="1" x14ac:dyDescent="0.4">
      <c r="B10" s="12" t="s">
        <v>2087</v>
      </c>
      <c r="C10" s="13"/>
      <c r="D10" s="14" t="s">
        <v>2092</v>
      </c>
      <c r="E10" s="13"/>
      <c r="F10" s="13"/>
      <c r="G10" s="15"/>
      <c r="K10" t="s">
        <v>2106</v>
      </c>
      <c r="T10" t="s">
        <v>2124</v>
      </c>
    </row>
    <row r="11" spans="2:21" x14ac:dyDescent="0.25">
      <c r="K11" t="s">
        <v>2130</v>
      </c>
      <c r="T11" t="s">
        <v>2122</v>
      </c>
      <c r="U11" t="s">
        <v>2134</v>
      </c>
    </row>
    <row r="12" spans="2:21" x14ac:dyDescent="0.25">
      <c r="K12" t="s">
        <v>2131</v>
      </c>
      <c r="T12" t="s">
        <v>2122</v>
      </c>
      <c r="U12" t="s">
        <v>2134</v>
      </c>
    </row>
    <row r="13" spans="2:21" x14ac:dyDescent="0.25">
      <c r="B13" t="s">
        <v>2094</v>
      </c>
      <c r="D13" t="s">
        <v>2095</v>
      </c>
      <c r="E13" t="s">
        <v>2096</v>
      </c>
      <c r="F13" t="s">
        <v>67</v>
      </c>
      <c r="L13" t="s">
        <v>2132</v>
      </c>
      <c r="T13" t="s">
        <v>2133</v>
      </c>
      <c r="U13" t="s">
        <v>2134</v>
      </c>
    </row>
    <row r="14" spans="2:21" x14ac:dyDescent="0.25">
      <c r="B14" t="s">
        <v>2053</v>
      </c>
      <c r="C14" t="s">
        <v>2097</v>
      </c>
      <c r="D14">
        <v>208</v>
      </c>
      <c r="E14">
        <v>120</v>
      </c>
      <c r="F14">
        <v>30</v>
      </c>
      <c r="K14" t="s">
        <v>2135</v>
      </c>
      <c r="T14" t="s">
        <v>2133</v>
      </c>
      <c r="U14" t="s">
        <v>2149</v>
      </c>
    </row>
    <row r="15" spans="2:21" x14ac:dyDescent="0.25">
      <c r="B15" t="s">
        <v>2098</v>
      </c>
      <c r="C15" t="s">
        <v>2099</v>
      </c>
      <c r="D15">
        <v>400</v>
      </c>
      <c r="E15">
        <v>230</v>
      </c>
      <c r="F15">
        <v>30</v>
      </c>
    </row>
    <row r="18" spans="2:7" x14ac:dyDescent="0.25">
      <c r="B18" t="s">
        <v>2082</v>
      </c>
      <c r="D18" t="s">
        <v>2100</v>
      </c>
      <c r="E18" t="s">
        <v>2101</v>
      </c>
      <c r="F18" t="s">
        <v>2102</v>
      </c>
      <c r="G18" t="s">
        <v>2084</v>
      </c>
    </row>
    <row r="19" spans="2:7" x14ac:dyDescent="0.25">
      <c r="B19" t="s">
        <v>2053</v>
      </c>
      <c r="C19" t="s">
        <v>2095</v>
      </c>
      <c r="D19">
        <v>0.95</v>
      </c>
      <c r="E19">
        <v>208</v>
      </c>
      <c r="F19">
        <v>30</v>
      </c>
      <c r="G19" s="16">
        <f>D19 * F19 * E19 / 1000</f>
        <v>5.9279999999999999</v>
      </c>
    </row>
    <row r="20" spans="2:7" x14ac:dyDescent="0.25">
      <c r="B20" t="s">
        <v>2053</v>
      </c>
      <c r="C20" t="s">
        <v>2096</v>
      </c>
      <c r="D20">
        <v>0.95</v>
      </c>
      <c r="E20">
        <v>120</v>
      </c>
      <c r="F20">
        <v>30</v>
      </c>
      <c r="G20" s="16">
        <f>D20 * F20 * E20 / 1000</f>
        <v>3.42</v>
      </c>
    </row>
    <row r="21" spans="2:7" x14ac:dyDescent="0.25">
      <c r="B21" t="s">
        <v>2098</v>
      </c>
      <c r="C21" t="s">
        <v>2095</v>
      </c>
      <c r="D21">
        <v>0.95</v>
      </c>
      <c r="E21">
        <v>400</v>
      </c>
      <c r="F21">
        <v>30</v>
      </c>
      <c r="G21" s="16">
        <f>1.732 * D21 * F21 * E21 / 1000</f>
        <v>19.744799999999998</v>
      </c>
    </row>
    <row r="22" spans="2:7" x14ac:dyDescent="0.25">
      <c r="B22" t="s">
        <v>2098</v>
      </c>
      <c r="C22" t="s">
        <v>2096</v>
      </c>
      <c r="D22">
        <v>0.95</v>
      </c>
      <c r="E22">
        <v>230</v>
      </c>
      <c r="F22">
        <v>30</v>
      </c>
      <c r="G22" s="16">
        <f>3 * D22 * F22 * E22 / 1000</f>
        <v>19.664999999999996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320F5-ED8B-4825-860D-1B6A2E2D84C6}">
  <sheetPr codeName="Sheet3"/>
  <dimension ref="B1:AL1000"/>
  <sheetViews>
    <sheetView zoomScale="85" zoomScaleNormal="85" workbookViewId="0"/>
  </sheetViews>
  <sheetFormatPr defaultRowHeight="15" x14ac:dyDescent="0.25"/>
  <cols>
    <col min="1" max="1" width="0.7109375" customWidth="1"/>
    <col min="2" max="2" width="15.7109375" bestFit="1" customWidth="1"/>
    <col min="3" max="3" width="33.140625" bestFit="1" customWidth="1"/>
    <col min="4" max="4" width="11.5703125" style="2" hidden="1" customWidth="1"/>
    <col min="5" max="5" width="0" style="2" hidden="1" customWidth="1"/>
    <col min="6" max="7" width="9.42578125" style="2" hidden="1" customWidth="1"/>
    <col min="8" max="8" width="10.5703125" style="2" hidden="1" customWidth="1"/>
    <col min="9" max="11" width="13.42578125" style="2" hidden="1" customWidth="1"/>
    <col min="12" max="12" width="12" style="2" hidden="1" customWidth="1"/>
    <col min="13" max="13" width="12.5703125" style="2" hidden="1" customWidth="1"/>
    <col min="14" max="14" width="9.42578125" style="2" hidden="1" customWidth="1"/>
    <col min="15" max="15" width="12.5703125" style="2" hidden="1" customWidth="1"/>
    <col min="16" max="27" width="12.5703125" style="60" customWidth="1"/>
    <col min="28" max="28" width="10.42578125" customWidth="1"/>
    <col min="29" max="30" width="12.5703125" customWidth="1"/>
    <col min="31" max="31" width="15.5703125" bestFit="1" customWidth="1"/>
    <col min="32" max="32" width="11.7109375" bestFit="1" customWidth="1"/>
    <col min="34" max="34" width="11.85546875" bestFit="1" customWidth="1"/>
    <col min="35" max="35" width="10.28515625" bestFit="1" customWidth="1"/>
  </cols>
  <sheetData>
    <row r="1" spans="2:38" x14ac:dyDescent="0.25">
      <c r="B1" s="57" t="str" cm="1">
        <f t="array" ref="B1:B3">information!B1:B3</f>
        <v>DAL10 - Rack Power Calculator</v>
      </c>
      <c r="C1" s="50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</row>
    <row r="2" spans="2:38" x14ac:dyDescent="0.25">
      <c r="B2" s="58" t="str">
        <v>Rack Attributes from Rack Breakdown - MASTER</v>
      </c>
    </row>
    <row r="3" spans="2:38" x14ac:dyDescent="0.25">
      <c r="B3" s="52" t="str">
        <v>Data as of 10/23/2023</v>
      </c>
      <c r="Q3" s="73"/>
    </row>
    <row r="4" spans="2:38" ht="15.75" thickBot="1" x14ac:dyDescent="0.3"/>
    <row r="5" spans="2:38" x14ac:dyDescent="0.25">
      <c r="B5" s="38" t="s">
        <v>2047</v>
      </c>
      <c r="C5" s="41" t="str">
        <f>information!C35</f>
        <v>DAL10</v>
      </c>
    </row>
    <row r="6" spans="2:38" x14ac:dyDescent="0.25">
      <c r="B6" s="39" t="s">
        <v>2048</v>
      </c>
      <c r="C6" s="42">
        <v>1</v>
      </c>
    </row>
    <row r="7" spans="2:38" ht="15.75" thickBot="1" x14ac:dyDescent="0.3">
      <c r="B7" s="40" t="s">
        <v>7</v>
      </c>
      <c r="C7" s="43" t="str" cm="1">
        <f t="array" ref="C7">_xlfn.XLOOKUP(C5&amp;C6,site_assumptions[Data Center]&amp;site_assumptions[Server Room],site_assumptions[Details])</f>
        <v>SL 7.0 - (400/30/3Phase - 10G Dual)</v>
      </c>
    </row>
    <row r="10" spans="2:38" ht="15.75" thickBot="1" x14ac:dyDescent="0.3">
      <c r="P10" s="61" t="s">
        <v>2093</v>
      </c>
    </row>
    <row r="11" spans="2:38" ht="15.75" thickBot="1" x14ac:dyDescent="0.3">
      <c r="B11" s="34"/>
      <c r="C11" s="35"/>
      <c r="P11" s="62" t="s">
        <v>2076</v>
      </c>
      <c r="Q11" s="63"/>
      <c r="R11" s="64"/>
      <c r="S11" s="63" t="s">
        <v>2077</v>
      </c>
      <c r="T11" s="63"/>
      <c r="U11" s="64"/>
      <c r="V11" s="63" t="s">
        <v>2078</v>
      </c>
      <c r="W11" s="63"/>
      <c r="X11" s="64"/>
      <c r="Y11" s="63" t="s">
        <v>2079</v>
      </c>
      <c r="Z11" s="63"/>
      <c r="AA11" s="64"/>
      <c r="AB11" s="17" t="s">
        <v>2080</v>
      </c>
      <c r="AC11" s="18"/>
      <c r="AD11" s="21" t="s">
        <v>2118</v>
      </c>
      <c r="AE11" s="22"/>
      <c r="AF11" s="22"/>
      <c r="AG11" s="22"/>
      <c r="AH11" s="23"/>
      <c r="AI11" s="46"/>
      <c r="AJ11" s="72" t="s">
        <v>2128</v>
      </c>
    </row>
    <row r="12" spans="2:38" ht="15.75" thickBot="1" x14ac:dyDescent="0.3">
      <c r="B12" s="36" t="s">
        <v>69</v>
      </c>
      <c r="C12" s="37" t="s">
        <v>68</v>
      </c>
      <c r="D12" s="3" t="s">
        <v>2054</v>
      </c>
      <c r="E12" s="3" t="s">
        <v>2058</v>
      </c>
      <c r="F12" s="3" t="s">
        <v>2059</v>
      </c>
      <c r="G12" s="3" t="s">
        <v>2057</v>
      </c>
      <c r="H12" s="3" t="s">
        <v>2060</v>
      </c>
      <c r="I12" s="3" t="s">
        <v>2061</v>
      </c>
      <c r="J12" s="3" t="s">
        <v>2064</v>
      </c>
      <c r="K12" s="3" t="s">
        <v>2066</v>
      </c>
      <c r="L12" s="3" t="s">
        <v>2067</v>
      </c>
      <c r="M12" s="3" t="s">
        <v>2065</v>
      </c>
      <c r="N12" s="3" t="s">
        <v>2068</v>
      </c>
      <c r="O12" s="3" t="s">
        <v>2069</v>
      </c>
      <c r="P12" s="65" t="s">
        <v>2054</v>
      </c>
      <c r="Q12" s="66" t="s">
        <v>2058</v>
      </c>
      <c r="R12" s="67" t="s">
        <v>2059</v>
      </c>
      <c r="S12" s="65" t="s">
        <v>2057</v>
      </c>
      <c r="T12" s="66" t="s">
        <v>2060</v>
      </c>
      <c r="U12" s="67" t="s">
        <v>2061</v>
      </c>
      <c r="V12" s="65" t="s">
        <v>2064</v>
      </c>
      <c r="W12" s="66" t="s">
        <v>2066</v>
      </c>
      <c r="X12" s="67" t="s">
        <v>2067</v>
      </c>
      <c r="Y12" s="65" t="s">
        <v>2065</v>
      </c>
      <c r="Z12" s="66" t="s">
        <v>2068</v>
      </c>
      <c r="AA12" s="67" t="s">
        <v>2069</v>
      </c>
      <c r="AB12" s="19" t="s">
        <v>67</v>
      </c>
      <c r="AC12" s="20" t="s">
        <v>2081</v>
      </c>
      <c r="AD12" s="24" t="s">
        <v>68</v>
      </c>
      <c r="AE12" s="25" t="s">
        <v>75</v>
      </c>
      <c r="AF12" s="22" t="s">
        <v>76</v>
      </c>
      <c r="AG12" s="22" t="s">
        <v>79</v>
      </c>
      <c r="AH12" s="23" t="s">
        <v>82</v>
      </c>
      <c r="AI12" s="47" t="s">
        <v>2120</v>
      </c>
      <c r="AJ12" s="47" t="s">
        <v>2129</v>
      </c>
    </row>
    <row r="13" spans="2:38" x14ac:dyDescent="0.25">
      <c r="B13" s="29" t="str" cm="1">
        <f t="array" aca="1" ref="B13:B627" ca="1">_xlfn._xlws.FILTER(INDIRECT("rack_breakdown["&amp;B$12&amp;"]"),(rack_breakdown[Data Center]=$C$5)*(rack_breakdown[Server Room]=$C$6))</f>
        <v>dal10.sr01.rk01</v>
      </c>
      <c r="C13" s="10" t="s">
        <v>2075</v>
      </c>
      <c r="D13" s="2" t="b" cm="1">
        <f t="array" ref="D13:O13">_xlfn._xlws.FILTER(IF(ancillary!$E$4:$P$8="",FALSE,ancillary!$E$4:$P$8),ancillary!$B$4:$B$8=$C13)</f>
        <v>1</v>
      </c>
      <c r="E13" s="2" t="b">
        <v>1</v>
      </c>
      <c r="F13" s="2" t="b">
        <v>1</v>
      </c>
      <c r="G13" s="2" t="b">
        <v>1</v>
      </c>
      <c r="H13" s="2" t="b">
        <v>1</v>
      </c>
      <c r="I13" s="2" t="b">
        <v>1</v>
      </c>
      <c r="J13" s="2" t="b">
        <v>1</v>
      </c>
      <c r="K13" s="2" t="b">
        <v>1</v>
      </c>
      <c r="L13" s="2" t="b">
        <v>1</v>
      </c>
      <c r="M13" s="2" t="b">
        <v>1</v>
      </c>
      <c r="N13" s="2" t="b">
        <v>1</v>
      </c>
      <c r="O13" s="2" t="b">
        <v>1</v>
      </c>
      <c r="P13" s="68">
        <v>96</v>
      </c>
      <c r="Q13" s="60">
        <v>18</v>
      </c>
      <c r="R13" s="69">
        <v>33</v>
      </c>
      <c r="S13" s="68">
        <v>96</v>
      </c>
      <c r="T13" s="60">
        <v>29</v>
      </c>
      <c r="U13" s="69">
        <v>33</v>
      </c>
      <c r="V13" s="68">
        <v>100</v>
      </c>
      <c r="W13" s="60">
        <v>23</v>
      </c>
      <c r="X13" s="69">
        <v>84</v>
      </c>
      <c r="Y13" s="68">
        <v>70</v>
      </c>
      <c r="Z13" s="60">
        <v>31</v>
      </c>
      <c r="AA13" s="69">
        <v>22</v>
      </c>
      <c r="AB13" s="32">
        <f>IFERROR(AVERAGEIFS(P13:AA13,_xlfn.ANCHORARRAY(D13),TRUE),0)/10</f>
        <v>5.2916666666666661</v>
      </c>
      <c r="AC13" s="44">
        <f>_xlfn.LET(_xlpm.ps_1,P13:R13, _xlpm.ps_2,S13:U13, _xlpm.ps_3,V13:X13, _xlpm.ps_4,Y13:AA13,
_xlpm.phase, MID(C13,SEARCH("-",C13)+1,256),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(_xlfn.XLOOKUP($C$7,site_assumptions[Details],site_assumptions[Volts])*SUMIFS(P13:AA13,_xlfn.ANCHORARRAY(D13),TRUE)/10*0.95)/1000,
IFERROR(IF(_xlpm.phase="3Phase", _xlpm.p3_calc, _xlpm.sp_calc),0))</f>
        <v>13.931053333333331</v>
      </c>
      <c r="AD13" s="26" t="str" cm="1">
        <f t="array" aca="1" ref="AD13:AD627" ca="1">_xlfn.XLOOKUP(_xlfn.ANCHORARRAY($B13),rack_breakdown[Rack Path],INDIRECT("rack_breakdown["&amp;AD$12&amp;"]"))</f>
        <v>Compute</v>
      </c>
      <c r="AE13" s="27" t="str" cm="1">
        <f t="array" aca="1" ref="AE13:AE627" ca="1">_xlfn.XLOOKUP(_xlfn.ANCHORARRAY($B13),rack_breakdown[Rack Path],INDIRECT("rack_breakdown["&amp;AE$12&amp;"]"))</f>
        <v>Hybrid</v>
      </c>
      <c r="AF13" s="27" t="str" cm="1">
        <f t="array" aca="1" ref="AF13:AF627" ca="1">_xlfn.XLOOKUP(_xlfn.ANCHORARRAY($B13),rack_breakdown[Rack Path],INDIRECT("rack_breakdown["&amp;AF$12&amp;"]"))</f>
        <v>Live</v>
      </c>
      <c r="AG13" s="27" cm="1">
        <f t="array" aca="1" ref="AG13:AG627" ca="1">_xlfn.XLOOKUP(_xlfn.ANCHORARRAY($B13),rack_breakdown[Rack Path],INDIRECT("rack_breakdown["&amp;AG$12&amp;"]"))</f>
        <v>10</v>
      </c>
      <c r="AH13" s="28" t="str" cm="1">
        <f t="array" aca="1" ref="AH13:AH627" ca="1">_xlfn.XLOOKUP(_xlfn.ANCHORARRAY($B13),rack_breakdown[Rack Path],INDIRECT("rack_breakdown["&amp;AH$12&amp;"]"))</f>
        <v>Unknown</v>
      </c>
      <c r="AI13" s="48">
        <f ca="1">IFERROR(AC13/AG13,0)</f>
        <v>1.3931053333333332</v>
      </c>
      <c r="AJ13" s="70" cm="1">
        <f t="array" aca="1" ref="AJ13:AJ627" ca="1">_xlfn.XLOOKUP(_xlfn.ANCHORARRAY($B13),rack_breakdown[Rack Path],rack_breakdown[Total])</f>
        <v>8.4019999999999992</v>
      </c>
    </row>
    <row r="14" spans="2:38" x14ac:dyDescent="0.25">
      <c r="B14" s="29" t="str">
        <f ca="1"/>
        <v>dal10.sr01.rk02</v>
      </c>
      <c r="C14" s="10" t="s">
        <v>2070</v>
      </c>
      <c r="D14" s="2" t="b" cm="1">
        <f t="array" ref="D14:O14">_xlfn._xlws.FILTER(IF(ancillary!$E$4:$P$8="",FALSE,ancillary!$E$4:$P$8),ancillary!$B$4:$B$8=$C14)</f>
        <v>1</v>
      </c>
      <c r="E14" s="2" t="b">
        <v>1</v>
      </c>
      <c r="F14" s="2" t="b">
        <v>1</v>
      </c>
      <c r="G14" s="2" t="b">
        <v>1</v>
      </c>
      <c r="H14" s="2" t="b">
        <v>1</v>
      </c>
      <c r="I14" s="2" t="b">
        <v>1</v>
      </c>
      <c r="J14" s="2" t="b">
        <v>0</v>
      </c>
      <c r="K14" s="2" t="b">
        <v>0</v>
      </c>
      <c r="L14" s="2" t="b">
        <v>0</v>
      </c>
      <c r="M14" s="2" t="b">
        <v>0</v>
      </c>
      <c r="N14" s="2" t="b">
        <v>0</v>
      </c>
      <c r="O14" s="2" t="b">
        <v>0</v>
      </c>
      <c r="P14" s="68">
        <v>96</v>
      </c>
      <c r="Q14" s="60">
        <v>23</v>
      </c>
      <c r="R14" s="69">
        <v>32</v>
      </c>
      <c r="S14" s="68">
        <v>96</v>
      </c>
      <c r="T14" s="60">
        <v>22</v>
      </c>
      <c r="U14" s="69">
        <v>28</v>
      </c>
      <c r="V14" s="68"/>
      <c r="X14" s="69"/>
      <c r="Y14" s="68"/>
      <c r="AA14" s="69"/>
      <c r="AB14" s="33">
        <f t="shared" ref="AB14:AB77" si="0">IFERROR(AVERAGEIFS(P14:AA14,_xlfn.ANCHORARRAY(D14),TRUE),0)/10</f>
        <v>4.95</v>
      </c>
      <c r="AC14" s="45">
        <f>_xlfn.LET(_xlpm.ps_1,P14:R14, _xlpm.ps_2,S14:U14, _xlpm.ps_3,V14:X14, _xlpm.ps_4,Y14:AA14,
_xlpm.phase, MID(C14,SEARCH("-",C14)+1,256),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(_xlfn.XLOOKUP($C$7,site_assumptions[Details],site_assumptions[Volts])*SUMIFS(P14:AA14,_xlfn.ANCHORARRAY(D14),TRUE)/10*0.95)/1000,
IFERROR(IF(_xlpm.phase="3Phase", _xlpm.p3_calc, _xlpm.sp_calc),0))</f>
        <v>6.515784</v>
      </c>
      <c r="AD14" s="29" t="str">
        <f ca="1"/>
        <v>Compute</v>
      </c>
      <c r="AE14" s="30" t="str">
        <f ca="1"/>
        <v>Hybrid</v>
      </c>
      <c r="AF14" s="30" t="str">
        <f ca="1"/>
        <v>Live</v>
      </c>
      <c r="AG14" s="30">
        <f ca="1"/>
        <v>10</v>
      </c>
      <c r="AH14" s="31" t="str">
        <f ca="1"/>
        <v>Unknown</v>
      </c>
      <c r="AI14" s="49">
        <f t="shared" ref="AI14:AI77" ca="1" si="1">IFERROR(AC14/AG14,0)</f>
        <v>0.6515784</v>
      </c>
      <c r="AJ14" s="71">
        <f ca="1"/>
        <v>9.2620000000000005</v>
      </c>
    </row>
    <row r="15" spans="2:38" x14ac:dyDescent="0.25">
      <c r="B15" s="29" t="str">
        <f ca="1"/>
        <v>dal10.sr01.rk03</v>
      </c>
      <c r="C15" s="10" t="s">
        <v>2055</v>
      </c>
      <c r="D15" s="2" t="b" cm="1">
        <f t="array" ref="D15:O15">_xlfn._xlws.FILTER(IF(ancillary!$E$4:$P$8="",FALSE,ancillary!$E$4:$P$8),ancillary!$B$4:$B$8=$C15)</f>
        <v>1</v>
      </c>
      <c r="E15" s="2" t="b">
        <v>0</v>
      </c>
      <c r="F15" s="2" t="b">
        <v>0</v>
      </c>
      <c r="G15" s="2" t="b">
        <v>1</v>
      </c>
      <c r="H15" s="2" t="b">
        <v>0</v>
      </c>
      <c r="I15" s="2" t="b">
        <v>0</v>
      </c>
      <c r="J15" s="2" t="b">
        <v>0</v>
      </c>
      <c r="K15" s="2" t="b">
        <v>0</v>
      </c>
      <c r="L15" s="2" t="b">
        <v>0</v>
      </c>
      <c r="M15" s="2" t="b">
        <v>0</v>
      </c>
      <c r="N15" s="2" t="b">
        <v>0</v>
      </c>
      <c r="O15" s="2" t="b">
        <v>0</v>
      </c>
      <c r="P15" s="68">
        <v>82</v>
      </c>
      <c r="Q15" s="60">
        <v>3.1</v>
      </c>
      <c r="R15" s="69">
        <v>3.1</v>
      </c>
      <c r="S15" s="68">
        <v>81</v>
      </c>
      <c r="T15" s="60">
        <v>3.7</v>
      </c>
      <c r="U15" s="69">
        <v>2.8</v>
      </c>
      <c r="V15" s="68"/>
      <c r="X15" s="69"/>
      <c r="Y15" s="68"/>
      <c r="AA15" s="69"/>
      <c r="AB15" s="33">
        <f t="shared" si="0"/>
        <v>8.15</v>
      </c>
      <c r="AC15" s="45">
        <f>_xlfn.LET(_xlpm.ps_1,P15:R15, _xlpm.ps_2,S15:U15, _xlpm.ps_3,V15:X15, _xlpm.ps_4,Y15:AA15,
_xlpm.phase, MID(C15,SEARCH("-",C15)+1,256),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(_xlfn.XLOOKUP($C$7,site_assumptions[Details],site_assumptions[Volts])*SUMIFS(P15:AA15,_xlfn.ANCHORARRAY(D15),TRUE)/10*0.95)/1000,
IFERROR(IF(_xlpm.phase="3Phase", _xlpm.p3_calc, _xlpm.sp_calc),0))</f>
        <v>6.194</v>
      </c>
      <c r="AD15" s="29" t="str">
        <f ca="1"/>
        <v>Compute</v>
      </c>
      <c r="AE15" s="30" t="str">
        <f ca="1"/>
        <v>Hybrid</v>
      </c>
      <c r="AF15" s="30" t="str">
        <f ca="1"/>
        <v>Live</v>
      </c>
      <c r="AG15" s="30">
        <f ca="1"/>
        <v>10</v>
      </c>
      <c r="AH15" s="31" t="str">
        <f ca="1"/>
        <v>Unknown</v>
      </c>
      <c r="AI15" s="49">
        <f t="shared" ca="1" si="1"/>
        <v>0.61939999999999995</v>
      </c>
      <c r="AJ15" s="71">
        <f ca="1"/>
        <v>7.8040000000000003</v>
      </c>
    </row>
    <row r="16" spans="2:38" x14ac:dyDescent="0.25">
      <c r="B16" s="29" t="str">
        <f ca="1"/>
        <v>dal10.sr01.rk04</v>
      </c>
      <c r="C16" s="10" t="s">
        <v>2062</v>
      </c>
      <c r="D16" s="2" t="b" cm="1">
        <f t="array" ref="D16:O16">_xlfn._xlws.FILTER(IF(ancillary!$E$4:$P$8="",FALSE,ancillary!$E$4:$P$8),ancillary!$B$4:$B$8=$C16)</f>
        <v>1</v>
      </c>
      <c r="E16" s="2" t="b">
        <v>0</v>
      </c>
      <c r="F16" s="2" t="b">
        <v>0</v>
      </c>
      <c r="G16" s="2" t="b">
        <v>1</v>
      </c>
      <c r="H16" s="2" t="b">
        <v>0</v>
      </c>
      <c r="I16" s="2" t="b">
        <v>0</v>
      </c>
      <c r="J16" s="2" t="b">
        <v>1</v>
      </c>
      <c r="K16" s="2" t="b">
        <v>0</v>
      </c>
      <c r="L16" s="2" t="b">
        <v>0</v>
      </c>
      <c r="M16" s="2" t="b">
        <v>1</v>
      </c>
      <c r="N16" s="2" t="b">
        <v>0</v>
      </c>
      <c r="O16" s="2" t="b">
        <v>0</v>
      </c>
      <c r="P16" s="68">
        <v>81</v>
      </c>
      <c r="R16" s="69"/>
      <c r="S16" s="68">
        <v>84</v>
      </c>
      <c r="U16" s="69"/>
      <c r="V16" s="68">
        <v>23</v>
      </c>
      <c r="X16" s="69"/>
      <c r="Y16" s="68">
        <v>42</v>
      </c>
      <c r="AA16" s="69"/>
      <c r="AB16" s="33">
        <f t="shared" si="0"/>
        <v>5.75</v>
      </c>
      <c r="AC16" s="45">
        <f>_xlfn.LET(_xlpm.ps_1,P16:R16, _xlpm.ps_2,S16:U16, _xlpm.ps_3,V16:X16, _xlpm.ps_4,Y16:AA16,
_xlpm.phase, MID(C16,SEARCH("-",C16)+1,256),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(_xlfn.XLOOKUP($C$7,site_assumptions[Details],site_assumptions[Volts])*SUMIFS(P16:AA16,_xlfn.ANCHORARRAY(D16),TRUE)/10*0.95)/1000,
IFERROR(IF(_xlpm.phase="3Phase", _xlpm.p3_calc, _xlpm.sp_calc),0))</f>
        <v>8.74</v>
      </c>
      <c r="AD16" s="29" t="str">
        <f ca="1"/>
        <v>Compute</v>
      </c>
      <c r="AE16" s="30" t="str">
        <f ca="1"/>
        <v>Hybrid</v>
      </c>
      <c r="AF16" s="30" t="str">
        <f ca="1"/>
        <v>Live</v>
      </c>
      <c r="AG16" s="30">
        <f ca="1"/>
        <v>10</v>
      </c>
      <c r="AH16" s="31" t="str">
        <f ca="1"/>
        <v>Unknown</v>
      </c>
      <c r="AI16" s="49">
        <f t="shared" ca="1" si="1"/>
        <v>0.874</v>
      </c>
      <c r="AJ16" s="71">
        <f ca="1"/>
        <v>8.2479999999999993</v>
      </c>
    </row>
    <row r="17" spans="2:36" x14ac:dyDescent="0.25">
      <c r="B17" s="29" t="str">
        <f ca="1"/>
        <v>dal10.sr01.rk05</v>
      </c>
      <c r="C17" s="10" t="s">
        <v>2075</v>
      </c>
      <c r="D17" s="2" t="b" cm="1">
        <f t="array" ref="D17:O17">_xlfn._xlws.FILTER(IF(ancillary!$E$4:$P$8="",FALSE,ancillary!$E$4:$P$8),ancillary!$B$4:$B$8=$C17)</f>
        <v>1</v>
      </c>
      <c r="E17" s="2" t="b">
        <v>1</v>
      </c>
      <c r="F17" s="2" t="b">
        <v>1</v>
      </c>
      <c r="G17" s="2" t="b">
        <v>1</v>
      </c>
      <c r="H17" s="2" t="b">
        <v>1</v>
      </c>
      <c r="I17" s="2" t="b">
        <v>1</v>
      </c>
      <c r="J17" s="2" t="b">
        <v>1</v>
      </c>
      <c r="K17" s="2" t="b">
        <v>1</v>
      </c>
      <c r="L17" s="2" t="b">
        <v>1</v>
      </c>
      <c r="M17" s="2" t="b">
        <v>1</v>
      </c>
      <c r="N17" s="2" t="b">
        <v>1</v>
      </c>
      <c r="O17" s="2" t="b">
        <v>1</v>
      </c>
      <c r="P17" s="68">
        <v>82</v>
      </c>
      <c r="Q17" s="60">
        <v>22</v>
      </c>
      <c r="R17" s="69">
        <v>51</v>
      </c>
      <c r="S17" s="68">
        <v>81</v>
      </c>
      <c r="T17" s="60">
        <v>23</v>
      </c>
      <c r="U17" s="69">
        <v>53</v>
      </c>
      <c r="V17" s="68"/>
      <c r="X17" s="69"/>
      <c r="Y17" s="68"/>
      <c r="AA17" s="69"/>
      <c r="AB17" s="33">
        <f t="shared" si="0"/>
        <v>5.2</v>
      </c>
      <c r="AC17" s="45">
        <f>_xlfn.LET(_xlpm.ps_1,P17:R17, _xlpm.ps_2,S17:U17, _xlpm.ps_3,V17:X17, _xlpm.ps_4,Y17:AA17,
_xlpm.phase, MID(C17,SEARCH("-",C17)+1,256),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(_xlfn.XLOOKUP($C$7,site_assumptions[Details],site_assumptions[Volts])*SUMIFS(P17:AA17,_xlfn.ANCHORARRAY(D17),TRUE)/10*0.95)/1000,
IFERROR(IF(_xlpm.phase="3Phase", _xlpm.p3_calc, _xlpm.sp_calc),0))</f>
        <v>6.8448639999999994</v>
      </c>
      <c r="AD17" s="29" t="str">
        <f ca="1"/>
        <v>Compute</v>
      </c>
      <c r="AE17" s="30" t="str">
        <f ca="1"/>
        <v>Hybrid</v>
      </c>
      <c r="AF17" s="30" t="str">
        <f ca="1"/>
        <v>Live</v>
      </c>
      <c r="AG17" s="30">
        <f ca="1"/>
        <v>10</v>
      </c>
      <c r="AH17" s="31" t="str">
        <f ca="1"/>
        <v>Unknown</v>
      </c>
      <c r="AI17" s="49">
        <f t="shared" ca="1" si="1"/>
        <v>0.68448639999999994</v>
      </c>
      <c r="AJ17" s="71">
        <f ca="1"/>
        <v>8.1549999999999994</v>
      </c>
    </row>
    <row r="18" spans="2:36" x14ac:dyDescent="0.25">
      <c r="B18" s="29" t="str">
        <f ca="1"/>
        <v>dal10.sr01.rk06</v>
      </c>
      <c r="C18" s="10" t="s">
        <v>2052</v>
      </c>
      <c r="D18" s="2" t="b" cm="1">
        <f t="array" ref="D18:O18">_xlfn._xlws.FILTER(IF(ancillary!$E$4:$P$8="",FALSE,ancillary!$E$4:$P$8),ancillary!$B$4:$B$8=$C18)</f>
        <v>1</v>
      </c>
      <c r="E18" s="2" t="b">
        <v>0</v>
      </c>
      <c r="F18" s="2" t="b">
        <v>0</v>
      </c>
      <c r="G18" s="2" t="b">
        <v>0</v>
      </c>
      <c r="H18" s="2" t="b">
        <v>0</v>
      </c>
      <c r="I18" s="2" t="b">
        <v>0</v>
      </c>
      <c r="J18" s="2" t="b">
        <v>0</v>
      </c>
      <c r="K18" s="2" t="b">
        <v>0</v>
      </c>
      <c r="L18" s="2" t="b">
        <v>0</v>
      </c>
      <c r="M18" s="2" t="b">
        <v>0</v>
      </c>
      <c r="N18" s="2" t="b">
        <v>0</v>
      </c>
      <c r="O18" s="2" t="b">
        <v>0</v>
      </c>
      <c r="P18" s="68">
        <v>222</v>
      </c>
      <c r="Q18" s="60">
        <v>252</v>
      </c>
      <c r="R18" s="69">
        <v>274</v>
      </c>
      <c r="S18" s="68"/>
      <c r="U18" s="69"/>
      <c r="V18" s="68"/>
      <c r="X18" s="69"/>
      <c r="Y18" s="68"/>
      <c r="AA18" s="69"/>
      <c r="AB18" s="33">
        <f t="shared" si="0"/>
        <v>22.2</v>
      </c>
      <c r="AC18" s="45">
        <f>_xlfn.LET(_xlpm.ps_1,P18:R18, _xlpm.ps_2,S18:U18, _xlpm.ps_3,V18:X18, _xlpm.ps_4,Y18:AA18,
_xlpm.phase, MID(C18,SEARCH("-",C18)+1,256),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(_xlfn.XLOOKUP($C$7,site_assumptions[Details],site_assumptions[Volts])*SUMIFS(P18:AA18,_xlfn.ANCHORARRAY(D18),TRUE)/10*0.95)/1000,
IFERROR(IF(_xlpm.phase="3Phase", _xlpm.p3_calc, _xlpm.sp_calc),0))</f>
        <v>8.4359999999999999</v>
      </c>
      <c r="AD18" s="29" t="str">
        <f ca="1"/>
        <v>Network</v>
      </c>
      <c r="AE18" s="30" t="str">
        <f ca="1"/>
        <v>Aggregate</v>
      </c>
      <c r="AF18" s="30" t="str">
        <f ca="1"/>
        <v>Live</v>
      </c>
      <c r="AG18" s="30">
        <f ca="1"/>
        <v>5</v>
      </c>
      <c r="AH18" s="31" t="str">
        <f ca="1"/>
        <v>Unknown</v>
      </c>
      <c r="AI18" s="49">
        <f t="shared" ca="1" si="1"/>
        <v>1.6872</v>
      </c>
      <c r="AJ18" s="71">
        <f ca="1"/>
        <v>0</v>
      </c>
    </row>
    <row r="19" spans="2:36" x14ac:dyDescent="0.25">
      <c r="B19" s="29" t="str">
        <f ca="1"/>
        <v>dal10.sr01.rk07</v>
      </c>
      <c r="C19" s="10" t="s">
        <v>2070</v>
      </c>
      <c r="D19" s="2" t="b" cm="1">
        <f t="array" ref="D19:O19">_xlfn._xlws.FILTER(IF(ancillary!$E$4:$P$8="",FALSE,ancillary!$E$4:$P$8),ancillary!$B$4:$B$8=$C19)</f>
        <v>1</v>
      </c>
      <c r="E19" s="2" t="b">
        <v>1</v>
      </c>
      <c r="F19" s="2" t="b">
        <v>1</v>
      </c>
      <c r="G19" s="2" t="b">
        <v>1</v>
      </c>
      <c r="H19" s="2" t="b">
        <v>1</v>
      </c>
      <c r="I19" s="2" t="b">
        <v>1</v>
      </c>
      <c r="J19" s="2" t="b">
        <v>0</v>
      </c>
      <c r="K19" s="2" t="b">
        <v>0</v>
      </c>
      <c r="L19" s="2" t="b">
        <v>0</v>
      </c>
      <c r="M19" s="2" t="b">
        <v>0</v>
      </c>
      <c r="N19" s="2" t="b">
        <v>0</v>
      </c>
      <c r="O19" s="2" t="b">
        <v>0</v>
      </c>
      <c r="P19" s="68"/>
      <c r="R19" s="69"/>
      <c r="S19" s="68"/>
      <c r="U19" s="69"/>
      <c r="V19" s="68"/>
      <c r="X19" s="69"/>
      <c r="Y19" s="68"/>
      <c r="AA19" s="69"/>
      <c r="AB19" s="33">
        <f t="shared" si="0"/>
        <v>0</v>
      </c>
      <c r="AC19" s="45">
        <f>_xlfn.LET(_xlpm.ps_1,P19:R19, _xlpm.ps_2,S19:U19, _xlpm.ps_3,V19:X19, _xlpm.ps_4,Y19:AA19,
_xlpm.phase, MID(C19,SEARCH("-",C19)+1,256),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(_xlfn.XLOOKUP($C$7,site_assumptions[Details],site_assumptions[Volts])*SUMIFS(P19:AA19,_xlfn.ANCHORARRAY(D19),TRUE)/10*0.95)/1000,
IFERROR(IF(_xlpm.phase="3Phase", _xlpm.p3_calc, _xlpm.sp_calc),0))</f>
        <v>0</v>
      </c>
      <c r="AD19" s="29" t="str">
        <f ca="1"/>
        <v>Compute</v>
      </c>
      <c r="AE19" s="30" t="str">
        <f ca="1"/>
        <v>Hybrid</v>
      </c>
      <c r="AF19" s="30" t="str">
        <f ca="1"/>
        <v>Live</v>
      </c>
      <c r="AG19" s="30">
        <f ca="1"/>
        <v>10</v>
      </c>
      <c r="AH19" s="31" t="str">
        <f ca="1"/>
        <v>Unknown</v>
      </c>
      <c r="AI19" s="49">
        <f t="shared" ca="1" si="1"/>
        <v>0</v>
      </c>
      <c r="AJ19" s="71">
        <f ca="1"/>
        <v>7.5629999999999997</v>
      </c>
    </row>
    <row r="20" spans="2:36" x14ac:dyDescent="0.25">
      <c r="B20" s="29" t="str">
        <f ca="1"/>
        <v>dal10.sr01.rk08</v>
      </c>
      <c r="C20" s="10" t="s">
        <v>2070</v>
      </c>
      <c r="D20" s="2" t="b" cm="1">
        <f t="array" ref="D20:O20">_xlfn._xlws.FILTER(IF(ancillary!$E$4:$P$8="",FALSE,ancillary!$E$4:$P$8),ancillary!$B$4:$B$8=$C20)</f>
        <v>1</v>
      </c>
      <c r="E20" s="2" t="b">
        <v>1</v>
      </c>
      <c r="F20" s="2" t="b">
        <v>1</v>
      </c>
      <c r="G20" s="2" t="b">
        <v>1</v>
      </c>
      <c r="H20" s="2" t="b">
        <v>1</v>
      </c>
      <c r="I20" s="2" t="b">
        <v>1</v>
      </c>
      <c r="J20" s="2" t="b">
        <v>0</v>
      </c>
      <c r="K20" s="2" t="b">
        <v>0</v>
      </c>
      <c r="L20" s="2" t="b">
        <v>0</v>
      </c>
      <c r="M20" s="2" t="b">
        <v>0</v>
      </c>
      <c r="N20" s="2" t="b">
        <v>0</v>
      </c>
      <c r="O20" s="2" t="b">
        <v>0</v>
      </c>
      <c r="P20" s="68"/>
      <c r="R20" s="69"/>
      <c r="S20" s="68"/>
      <c r="U20" s="69"/>
      <c r="V20" s="68"/>
      <c r="X20" s="69"/>
      <c r="Y20" s="68"/>
      <c r="AA20" s="69"/>
      <c r="AB20" s="33">
        <f t="shared" si="0"/>
        <v>0</v>
      </c>
      <c r="AC20" s="45">
        <f>_xlfn.LET(_xlpm.ps_1,P20:R20, _xlpm.ps_2,S20:U20, _xlpm.ps_3,V20:X20, _xlpm.ps_4,Y20:AA20,
_xlpm.phase, MID(C20,SEARCH("-",C20)+1,256),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(_xlfn.XLOOKUP($C$7,site_assumptions[Details],site_assumptions[Volts])*SUMIFS(P20:AA20,_xlfn.ANCHORARRAY(D20),TRUE)/10*0.95)/1000,
IFERROR(IF(_xlpm.phase="3Phase", _xlpm.p3_calc, _xlpm.sp_calc),0))</f>
        <v>0</v>
      </c>
      <c r="AD20" s="29" t="str">
        <f ca="1"/>
        <v>Compute</v>
      </c>
      <c r="AE20" s="30" t="str">
        <f ca="1"/>
        <v>Hybrid</v>
      </c>
      <c r="AF20" s="30" t="str">
        <f ca="1"/>
        <v>Live</v>
      </c>
      <c r="AG20" s="30">
        <f ca="1"/>
        <v>10</v>
      </c>
      <c r="AH20" s="31" t="str">
        <f ca="1"/>
        <v>Unknown</v>
      </c>
      <c r="AI20" s="49">
        <f t="shared" ca="1" si="1"/>
        <v>0</v>
      </c>
      <c r="AJ20" s="71">
        <f ca="1"/>
        <v>8.6829999999999998</v>
      </c>
    </row>
    <row r="21" spans="2:36" x14ac:dyDescent="0.25">
      <c r="B21" s="29" t="str">
        <f ca="1"/>
        <v>dal10.sr01.rk09</v>
      </c>
      <c r="C21" s="10" t="s">
        <v>2070</v>
      </c>
      <c r="D21" s="2" t="b" cm="1">
        <f t="array" ref="D21:O21">_xlfn._xlws.FILTER(IF(ancillary!$E$4:$P$8="",FALSE,ancillary!$E$4:$P$8),ancillary!$B$4:$B$8=$C21)</f>
        <v>1</v>
      </c>
      <c r="E21" s="2" t="b">
        <v>1</v>
      </c>
      <c r="F21" s="2" t="b">
        <v>1</v>
      </c>
      <c r="G21" s="2" t="b">
        <v>1</v>
      </c>
      <c r="H21" s="2" t="b">
        <v>1</v>
      </c>
      <c r="I21" s="2" t="b">
        <v>1</v>
      </c>
      <c r="J21" s="2" t="b">
        <v>0</v>
      </c>
      <c r="K21" s="2" t="b">
        <v>0</v>
      </c>
      <c r="L21" s="2" t="b">
        <v>0</v>
      </c>
      <c r="M21" s="2" t="b">
        <v>0</v>
      </c>
      <c r="N21" s="2" t="b">
        <v>0</v>
      </c>
      <c r="O21" s="2" t="b">
        <v>0</v>
      </c>
      <c r="P21" s="68"/>
      <c r="R21" s="69"/>
      <c r="S21" s="68"/>
      <c r="U21" s="69"/>
      <c r="V21" s="68"/>
      <c r="X21" s="69"/>
      <c r="Y21" s="68"/>
      <c r="AA21" s="69"/>
      <c r="AB21" s="33">
        <f t="shared" si="0"/>
        <v>0</v>
      </c>
      <c r="AC21" s="45">
        <f>_xlfn.LET(_xlpm.ps_1,P21:R21, _xlpm.ps_2,S21:U21, _xlpm.ps_3,V21:X21, _xlpm.ps_4,Y21:AA21,
_xlpm.phase, MID(C21,SEARCH("-",C21)+1,256),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(_xlfn.XLOOKUP($C$7,site_assumptions[Details],site_assumptions[Volts])*SUMIFS(P21:AA21,_xlfn.ANCHORARRAY(D21),TRUE)/10*0.95)/1000,
IFERROR(IF(_xlpm.phase="3Phase", _xlpm.p3_calc, _xlpm.sp_calc),0))</f>
        <v>0</v>
      </c>
      <c r="AD21" s="29" t="str">
        <f ca="1"/>
        <v>Compute</v>
      </c>
      <c r="AE21" s="30" t="str">
        <f ca="1"/>
        <v>Hybrid</v>
      </c>
      <c r="AF21" s="30" t="str">
        <f ca="1"/>
        <v>Live</v>
      </c>
      <c r="AG21" s="30">
        <f ca="1"/>
        <v>10</v>
      </c>
      <c r="AH21" s="31" t="str">
        <f ca="1"/>
        <v>Unknown</v>
      </c>
      <c r="AI21" s="49">
        <f t="shared" ca="1" si="1"/>
        <v>0</v>
      </c>
      <c r="AJ21" s="71">
        <f ca="1"/>
        <v>7.6589999999999998</v>
      </c>
    </row>
    <row r="22" spans="2:36" x14ac:dyDescent="0.25">
      <c r="B22" s="29" t="str">
        <f ca="1"/>
        <v>dal10.sr01.rk10</v>
      </c>
      <c r="C22" s="10" t="s">
        <v>2070</v>
      </c>
      <c r="D22" s="2" t="b" cm="1">
        <f t="array" ref="D22:O22">_xlfn._xlws.FILTER(IF(ancillary!$E$4:$P$8="",FALSE,ancillary!$E$4:$P$8),ancillary!$B$4:$B$8=$C22)</f>
        <v>1</v>
      </c>
      <c r="E22" s="2" t="b">
        <v>1</v>
      </c>
      <c r="F22" s="2" t="b">
        <v>1</v>
      </c>
      <c r="G22" s="2" t="b">
        <v>1</v>
      </c>
      <c r="H22" s="2" t="b">
        <v>1</v>
      </c>
      <c r="I22" s="2" t="b">
        <v>1</v>
      </c>
      <c r="J22" s="2" t="b">
        <v>0</v>
      </c>
      <c r="K22" s="2" t="b">
        <v>0</v>
      </c>
      <c r="L22" s="2" t="b">
        <v>0</v>
      </c>
      <c r="M22" s="2" t="b">
        <v>0</v>
      </c>
      <c r="N22" s="2" t="b">
        <v>0</v>
      </c>
      <c r="O22" s="2" t="b">
        <v>0</v>
      </c>
      <c r="P22" s="68"/>
      <c r="R22" s="69"/>
      <c r="S22" s="68"/>
      <c r="U22" s="69"/>
      <c r="V22" s="68"/>
      <c r="X22" s="69"/>
      <c r="Y22" s="68"/>
      <c r="AA22" s="69"/>
      <c r="AB22" s="33">
        <f t="shared" si="0"/>
        <v>0</v>
      </c>
      <c r="AC22" s="45">
        <f>_xlfn.LET(_xlpm.ps_1,P22:R22, _xlpm.ps_2,S22:U22, _xlpm.ps_3,V22:X22, _xlpm.ps_4,Y22:AA22,
_xlpm.phase, MID(C22,SEARCH("-",C22)+1,256),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(_xlfn.XLOOKUP($C$7,site_assumptions[Details],site_assumptions[Volts])*SUMIFS(P22:AA22,_xlfn.ANCHORARRAY(D22),TRUE)/10*0.95)/1000,
IFERROR(IF(_xlpm.phase="3Phase", _xlpm.p3_calc, _xlpm.sp_calc),0))</f>
        <v>0</v>
      </c>
      <c r="AD22" s="29" t="str">
        <f ca="1"/>
        <v>Compute</v>
      </c>
      <c r="AE22" s="30" t="str">
        <f ca="1"/>
        <v>Hybrid</v>
      </c>
      <c r="AF22" s="30" t="str">
        <f ca="1"/>
        <v>Live</v>
      </c>
      <c r="AG22" s="30">
        <f ca="1"/>
        <v>10</v>
      </c>
      <c r="AH22" s="31" t="str">
        <f ca="1"/>
        <v>Unknown</v>
      </c>
      <c r="AI22" s="49">
        <f t="shared" ca="1" si="1"/>
        <v>0</v>
      </c>
      <c r="AJ22" s="71">
        <f ca="1"/>
        <v>8.5210000000000008</v>
      </c>
    </row>
    <row r="23" spans="2:36" x14ac:dyDescent="0.25">
      <c r="B23" s="29" t="str">
        <f ca="1"/>
        <v>dal10.sr01.rk11</v>
      </c>
      <c r="C23" s="10" t="s">
        <v>2070</v>
      </c>
      <c r="D23" s="2" t="b" cm="1">
        <f t="array" ref="D23:O23">_xlfn._xlws.FILTER(IF(ancillary!$E$4:$P$8="",FALSE,ancillary!$E$4:$P$8),ancillary!$B$4:$B$8=$C23)</f>
        <v>1</v>
      </c>
      <c r="E23" s="2" t="b">
        <v>1</v>
      </c>
      <c r="F23" s="2" t="b">
        <v>1</v>
      </c>
      <c r="G23" s="2" t="b">
        <v>1</v>
      </c>
      <c r="H23" s="2" t="b">
        <v>1</v>
      </c>
      <c r="I23" s="2" t="b">
        <v>1</v>
      </c>
      <c r="J23" s="2" t="b">
        <v>0</v>
      </c>
      <c r="K23" s="2" t="b">
        <v>0</v>
      </c>
      <c r="L23" s="2" t="b">
        <v>0</v>
      </c>
      <c r="M23" s="2" t="b">
        <v>0</v>
      </c>
      <c r="N23" s="2" t="b">
        <v>0</v>
      </c>
      <c r="O23" s="2" t="b">
        <v>0</v>
      </c>
      <c r="P23" s="68"/>
      <c r="R23" s="69"/>
      <c r="S23" s="68"/>
      <c r="U23" s="69"/>
      <c r="V23" s="68"/>
      <c r="X23" s="69"/>
      <c r="Y23" s="68"/>
      <c r="AA23" s="69"/>
      <c r="AB23" s="33">
        <f t="shared" si="0"/>
        <v>0</v>
      </c>
      <c r="AC23" s="45">
        <f>_xlfn.LET(_xlpm.ps_1,P23:R23, _xlpm.ps_2,S23:U23, _xlpm.ps_3,V23:X23, _xlpm.ps_4,Y23:AA23,
_xlpm.phase, MID(C23,SEARCH("-",C23)+1,256),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(_xlfn.XLOOKUP($C$7,site_assumptions[Details],site_assumptions[Volts])*SUMIFS(P23:AA23,_xlfn.ANCHORARRAY(D23),TRUE)/10*0.95)/1000,
IFERROR(IF(_xlpm.phase="3Phase", _xlpm.p3_calc, _xlpm.sp_calc),0))</f>
        <v>0</v>
      </c>
      <c r="AD23" s="29" t="str">
        <f ca="1"/>
        <v>Compute</v>
      </c>
      <c r="AE23" s="30" t="str">
        <f ca="1"/>
        <v>Hybrid</v>
      </c>
      <c r="AF23" s="30" t="str">
        <f ca="1"/>
        <v>Live</v>
      </c>
      <c r="AG23" s="30">
        <f ca="1"/>
        <v>10</v>
      </c>
      <c r="AH23" s="31" t="str">
        <f ca="1"/>
        <v>Unknown</v>
      </c>
      <c r="AI23" s="49">
        <f t="shared" ca="1" si="1"/>
        <v>0</v>
      </c>
      <c r="AJ23" s="71">
        <f ca="1"/>
        <v>7.5430000000000001</v>
      </c>
    </row>
    <row r="24" spans="2:36" x14ac:dyDescent="0.25">
      <c r="B24" s="29" t="str">
        <f ca="1"/>
        <v>dal10.sr01.rk12</v>
      </c>
      <c r="C24" s="10" t="s">
        <v>2070</v>
      </c>
      <c r="D24" s="2" t="b" cm="1">
        <f t="array" ref="D24:O24">_xlfn._xlws.FILTER(IF(ancillary!$E$4:$P$8="",FALSE,ancillary!$E$4:$P$8),ancillary!$B$4:$B$8=$C24)</f>
        <v>1</v>
      </c>
      <c r="E24" s="2" t="b">
        <v>1</v>
      </c>
      <c r="F24" s="2" t="b">
        <v>1</v>
      </c>
      <c r="G24" s="2" t="b">
        <v>1</v>
      </c>
      <c r="H24" s="2" t="b">
        <v>1</v>
      </c>
      <c r="I24" s="2" t="b">
        <v>1</v>
      </c>
      <c r="J24" s="2" t="b">
        <v>0</v>
      </c>
      <c r="K24" s="2" t="b">
        <v>0</v>
      </c>
      <c r="L24" s="2" t="b">
        <v>0</v>
      </c>
      <c r="M24" s="2" t="b">
        <v>0</v>
      </c>
      <c r="N24" s="2" t="b">
        <v>0</v>
      </c>
      <c r="O24" s="2" t="b">
        <v>0</v>
      </c>
      <c r="P24" s="68"/>
      <c r="R24" s="69"/>
      <c r="S24" s="68"/>
      <c r="U24" s="69"/>
      <c r="V24" s="68"/>
      <c r="X24" s="69"/>
      <c r="Y24" s="68"/>
      <c r="AA24" s="69"/>
      <c r="AB24" s="33">
        <f t="shared" si="0"/>
        <v>0</v>
      </c>
      <c r="AC24" s="45">
        <f>_xlfn.LET(_xlpm.ps_1,P24:R24, _xlpm.ps_2,S24:U24, _xlpm.ps_3,V24:X24, _xlpm.ps_4,Y24:AA24,
_xlpm.phase, MID(C24,SEARCH("-",C24)+1,256),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(_xlfn.XLOOKUP($C$7,site_assumptions[Details],site_assumptions[Volts])*SUMIFS(P24:AA24,_xlfn.ANCHORARRAY(D24),TRUE)/10*0.95)/1000,
IFERROR(IF(_xlpm.phase="3Phase", _xlpm.p3_calc, _xlpm.sp_calc),0))</f>
        <v>0</v>
      </c>
      <c r="AD24" s="29" t="str">
        <f ca="1"/>
        <v>Bare Metal</v>
      </c>
      <c r="AE24" s="30" t="str">
        <f ca="1"/>
        <v>Bare Metal</v>
      </c>
      <c r="AF24" s="30" t="str">
        <f ca="1"/>
        <v>Live</v>
      </c>
      <c r="AG24" s="30">
        <f ca="1"/>
        <v>6</v>
      </c>
      <c r="AH24" s="31" t="str">
        <f ca="1"/>
        <v>Unknown</v>
      </c>
      <c r="AI24" s="49">
        <f t="shared" ca="1" si="1"/>
        <v>0</v>
      </c>
      <c r="AJ24" s="71">
        <f ca="1"/>
        <v>2.5499999999999998</v>
      </c>
    </row>
    <row r="25" spans="2:36" x14ac:dyDescent="0.25">
      <c r="B25" s="29" t="str">
        <f ca="1"/>
        <v>dal10.sr01.rk13</v>
      </c>
      <c r="C25" s="10" t="s">
        <v>2070</v>
      </c>
      <c r="D25" s="2" t="b" cm="1">
        <f t="array" ref="D25:O25">_xlfn._xlws.FILTER(IF(ancillary!$E$4:$P$8="",FALSE,ancillary!$E$4:$P$8),ancillary!$B$4:$B$8=$C25)</f>
        <v>1</v>
      </c>
      <c r="E25" s="2" t="b">
        <v>1</v>
      </c>
      <c r="F25" s="2" t="b">
        <v>1</v>
      </c>
      <c r="G25" s="2" t="b">
        <v>1</v>
      </c>
      <c r="H25" s="2" t="b">
        <v>1</v>
      </c>
      <c r="I25" s="2" t="b">
        <v>1</v>
      </c>
      <c r="J25" s="2" t="b">
        <v>0</v>
      </c>
      <c r="K25" s="2" t="b">
        <v>0</v>
      </c>
      <c r="L25" s="2" t="b">
        <v>0</v>
      </c>
      <c r="M25" s="2" t="b">
        <v>0</v>
      </c>
      <c r="N25" s="2" t="b">
        <v>0</v>
      </c>
      <c r="O25" s="2" t="b">
        <v>0</v>
      </c>
      <c r="P25" s="68"/>
      <c r="R25" s="69"/>
      <c r="S25" s="68"/>
      <c r="U25" s="69"/>
      <c r="V25" s="68"/>
      <c r="X25" s="69"/>
      <c r="Y25" s="68"/>
      <c r="AA25" s="69"/>
      <c r="AB25" s="33">
        <f t="shared" si="0"/>
        <v>0</v>
      </c>
      <c r="AC25" s="45">
        <f>_xlfn.LET(_xlpm.ps_1,P25:R25, _xlpm.ps_2,S25:U25, _xlpm.ps_3,V25:X25, _xlpm.ps_4,Y25:AA25,
_xlpm.phase, MID(C25,SEARCH("-",C25)+1,256),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(_xlfn.XLOOKUP($C$7,site_assumptions[Details],site_assumptions[Volts])*SUMIFS(P25:AA25,_xlfn.ANCHORARRAY(D25),TRUE)/10*0.95)/1000,
IFERROR(IF(_xlpm.phase="3Phase", _xlpm.p3_calc, _xlpm.sp_calc),0))</f>
        <v>0</v>
      </c>
      <c r="AD25" s="29" t="str">
        <f ca="1"/>
        <v>Bare Metal</v>
      </c>
      <c r="AE25" s="30" t="str">
        <f ca="1"/>
        <v>Bare Metal</v>
      </c>
      <c r="AF25" s="30" t="str">
        <f ca="1"/>
        <v>Live</v>
      </c>
      <c r="AG25" s="30">
        <f ca="1"/>
        <v>6</v>
      </c>
      <c r="AH25" s="31" t="str">
        <f ca="1"/>
        <v>Unknown</v>
      </c>
      <c r="AI25" s="49">
        <f t="shared" ca="1" si="1"/>
        <v>0</v>
      </c>
      <c r="AJ25" s="71">
        <f ca="1"/>
        <v>4.069</v>
      </c>
    </row>
    <row r="26" spans="2:36" x14ac:dyDescent="0.25">
      <c r="B26" s="29" t="str">
        <f ca="1"/>
        <v>dal10.sr01.rk14</v>
      </c>
      <c r="C26" s="10" t="s">
        <v>2070</v>
      </c>
      <c r="D26" s="2" t="b" cm="1">
        <f t="array" ref="D26:O26">_xlfn._xlws.FILTER(IF(ancillary!$E$4:$P$8="",FALSE,ancillary!$E$4:$P$8),ancillary!$B$4:$B$8=$C26)</f>
        <v>1</v>
      </c>
      <c r="E26" s="2" t="b">
        <v>1</v>
      </c>
      <c r="F26" s="2" t="b">
        <v>1</v>
      </c>
      <c r="G26" s="2" t="b">
        <v>1</v>
      </c>
      <c r="H26" s="2" t="b">
        <v>1</v>
      </c>
      <c r="I26" s="2" t="b">
        <v>1</v>
      </c>
      <c r="J26" s="2" t="b">
        <v>0</v>
      </c>
      <c r="K26" s="2" t="b">
        <v>0</v>
      </c>
      <c r="L26" s="2" t="b">
        <v>0</v>
      </c>
      <c r="M26" s="2" t="b">
        <v>0</v>
      </c>
      <c r="N26" s="2" t="b">
        <v>0</v>
      </c>
      <c r="O26" s="2" t="b">
        <v>0</v>
      </c>
      <c r="P26" s="68"/>
      <c r="R26" s="69"/>
      <c r="S26" s="68"/>
      <c r="U26" s="69"/>
      <c r="V26" s="68"/>
      <c r="X26" s="69"/>
      <c r="Y26" s="68"/>
      <c r="AA26" s="69"/>
      <c r="AB26" s="33">
        <f t="shared" si="0"/>
        <v>0</v>
      </c>
      <c r="AC26" s="45">
        <f>_xlfn.LET(_xlpm.ps_1,P26:R26, _xlpm.ps_2,S26:U26, _xlpm.ps_3,V26:X26, _xlpm.ps_4,Y26:AA26,
_xlpm.phase, MID(C26,SEARCH("-",C26)+1,256),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(_xlfn.XLOOKUP($C$7,site_assumptions[Details],site_assumptions[Volts])*SUMIFS(P26:AA26,_xlfn.ANCHORARRAY(D26),TRUE)/10*0.95)/1000,
IFERROR(IF(_xlpm.phase="3Phase", _xlpm.p3_calc, _xlpm.sp_calc),0))</f>
        <v>0</v>
      </c>
      <c r="AD26" s="29" t="str">
        <f ca="1"/>
        <v>Bare Metal</v>
      </c>
      <c r="AE26" s="30" t="str">
        <f ca="1"/>
        <v>Bare Metal</v>
      </c>
      <c r="AF26" s="30" t="str">
        <f ca="1"/>
        <v>Live</v>
      </c>
      <c r="AG26" s="30">
        <f ca="1"/>
        <v>6</v>
      </c>
      <c r="AH26" s="31" t="str">
        <f ca="1"/>
        <v>Unknown</v>
      </c>
      <c r="AI26" s="49">
        <f t="shared" ca="1" si="1"/>
        <v>0</v>
      </c>
      <c r="AJ26" s="71">
        <f ca="1"/>
        <v>3.6749999999999998</v>
      </c>
    </row>
    <row r="27" spans="2:36" x14ac:dyDescent="0.25">
      <c r="B27" s="29" t="str">
        <f ca="1"/>
        <v>dal10.sr01.rk15</v>
      </c>
      <c r="C27" s="10" t="s">
        <v>2070</v>
      </c>
      <c r="D27" s="2" t="b" cm="1">
        <f t="array" ref="D27:O27">_xlfn._xlws.FILTER(IF(ancillary!$E$4:$P$8="",FALSE,ancillary!$E$4:$P$8),ancillary!$B$4:$B$8=$C27)</f>
        <v>1</v>
      </c>
      <c r="E27" s="2" t="b">
        <v>1</v>
      </c>
      <c r="F27" s="2" t="b">
        <v>1</v>
      </c>
      <c r="G27" s="2" t="b">
        <v>1</v>
      </c>
      <c r="H27" s="2" t="b">
        <v>1</v>
      </c>
      <c r="I27" s="2" t="b">
        <v>1</v>
      </c>
      <c r="J27" s="2" t="b">
        <v>0</v>
      </c>
      <c r="K27" s="2" t="b">
        <v>0</v>
      </c>
      <c r="L27" s="2" t="b">
        <v>0</v>
      </c>
      <c r="M27" s="2" t="b">
        <v>0</v>
      </c>
      <c r="N27" s="2" t="b">
        <v>0</v>
      </c>
      <c r="O27" s="2" t="b">
        <v>0</v>
      </c>
      <c r="P27" s="68"/>
      <c r="R27" s="69"/>
      <c r="S27" s="68"/>
      <c r="U27" s="69"/>
      <c r="V27" s="68"/>
      <c r="X27" s="69"/>
      <c r="Y27" s="68"/>
      <c r="AA27" s="69"/>
      <c r="AB27" s="33">
        <f t="shared" si="0"/>
        <v>0</v>
      </c>
      <c r="AC27" s="45">
        <f>_xlfn.LET(_xlpm.ps_1,P27:R27, _xlpm.ps_2,S27:U27, _xlpm.ps_3,V27:X27, _xlpm.ps_4,Y27:AA27,
_xlpm.phase, MID(C27,SEARCH("-",C27)+1,256),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(_xlfn.XLOOKUP($C$7,site_assumptions[Details],site_assumptions[Volts])*SUMIFS(P27:AA27,_xlfn.ANCHORARRAY(D27),TRUE)/10*0.95)/1000,
IFERROR(IF(_xlpm.phase="3Phase", _xlpm.p3_calc, _xlpm.sp_calc),0))</f>
        <v>0</v>
      </c>
      <c r="AD27" s="29" t="str">
        <f ca="1"/>
        <v>Bare Metal</v>
      </c>
      <c r="AE27" s="30" t="str">
        <f ca="1"/>
        <v>Bare Metal</v>
      </c>
      <c r="AF27" s="30" t="str">
        <f ca="1"/>
        <v>Live</v>
      </c>
      <c r="AG27" s="30">
        <f ca="1"/>
        <v>6</v>
      </c>
      <c r="AH27" s="31" t="str">
        <f ca="1"/>
        <v>Unknown</v>
      </c>
      <c r="AI27" s="49">
        <f t="shared" ca="1" si="1"/>
        <v>0</v>
      </c>
      <c r="AJ27" s="71">
        <f ca="1"/>
        <v>3.4420000000000002</v>
      </c>
    </row>
    <row r="28" spans="2:36" x14ac:dyDescent="0.25">
      <c r="B28" s="29" t="str">
        <f ca="1"/>
        <v>dal10.sr01.rk16</v>
      </c>
      <c r="C28" s="10" t="s">
        <v>2070</v>
      </c>
      <c r="D28" s="2" t="b" cm="1">
        <f t="array" ref="D28:O28">_xlfn._xlws.FILTER(IF(ancillary!$E$4:$P$8="",FALSE,ancillary!$E$4:$P$8),ancillary!$B$4:$B$8=$C28)</f>
        <v>1</v>
      </c>
      <c r="E28" s="2" t="b">
        <v>1</v>
      </c>
      <c r="F28" s="2" t="b">
        <v>1</v>
      </c>
      <c r="G28" s="2" t="b">
        <v>1</v>
      </c>
      <c r="H28" s="2" t="b">
        <v>1</v>
      </c>
      <c r="I28" s="2" t="b">
        <v>1</v>
      </c>
      <c r="J28" s="2" t="b">
        <v>0</v>
      </c>
      <c r="K28" s="2" t="b">
        <v>0</v>
      </c>
      <c r="L28" s="2" t="b">
        <v>0</v>
      </c>
      <c r="M28" s="2" t="b">
        <v>0</v>
      </c>
      <c r="N28" s="2" t="b">
        <v>0</v>
      </c>
      <c r="O28" s="2" t="b">
        <v>0</v>
      </c>
      <c r="P28" s="68"/>
      <c r="R28" s="69"/>
      <c r="S28" s="68"/>
      <c r="U28" s="69"/>
      <c r="V28" s="68"/>
      <c r="X28" s="69"/>
      <c r="Y28" s="68"/>
      <c r="AA28" s="69"/>
      <c r="AB28" s="33">
        <f t="shared" si="0"/>
        <v>0</v>
      </c>
      <c r="AC28" s="45">
        <f>_xlfn.LET(_xlpm.ps_1,P28:R28, _xlpm.ps_2,S28:U28, _xlpm.ps_3,V28:X28, _xlpm.ps_4,Y28:AA28,
_xlpm.phase, MID(C28,SEARCH("-",C28)+1,256),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(_xlfn.XLOOKUP($C$7,site_assumptions[Details],site_assumptions[Volts])*SUMIFS(P28:AA28,_xlfn.ANCHORARRAY(D28),TRUE)/10*0.95)/1000,
IFERROR(IF(_xlpm.phase="3Phase", _xlpm.p3_calc, _xlpm.sp_calc),0))</f>
        <v>0</v>
      </c>
      <c r="AD28" s="29" t="str">
        <f ca="1"/>
        <v>Bare Metal</v>
      </c>
      <c r="AE28" s="30" t="str">
        <f ca="1"/>
        <v>Bare Metal</v>
      </c>
      <c r="AF28" s="30" t="str">
        <f ca="1"/>
        <v>Live</v>
      </c>
      <c r="AG28" s="30">
        <f ca="1"/>
        <v>6</v>
      </c>
      <c r="AH28" s="31" t="str">
        <f ca="1"/>
        <v>Unknown</v>
      </c>
      <c r="AI28" s="49">
        <f t="shared" ca="1" si="1"/>
        <v>0</v>
      </c>
      <c r="AJ28" s="71">
        <f ca="1"/>
        <v>3.8620000000000001</v>
      </c>
    </row>
    <row r="29" spans="2:36" x14ac:dyDescent="0.25">
      <c r="B29" s="29" t="str">
        <f ca="1"/>
        <v>dal10.sr01.rk17</v>
      </c>
      <c r="C29" s="10" t="s">
        <v>2070</v>
      </c>
      <c r="D29" s="2" t="b" cm="1">
        <f t="array" ref="D29:O29">_xlfn._xlws.FILTER(IF(ancillary!$E$4:$P$8="",FALSE,ancillary!$E$4:$P$8),ancillary!$B$4:$B$8=$C29)</f>
        <v>1</v>
      </c>
      <c r="E29" s="2" t="b">
        <v>1</v>
      </c>
      <c r="F29" s="2" t="b">
        <v>1</v>
      </c>
      <c r="G29" s="2" t="b">
        <v>1</v>
      </c>
      <c r="H29" s="2" t="b">
        <v>1</v>
      </c>
      <c r="I29" s="2" t="b">
        <v>1</v>
      </c>
      <c r="J29" s="2" t="b">
        <v>0</v>
      </c>
      <c r="K29" s="2" t="b">
        <v>0</v>
      </c>
      <c r="L29" s="2" t="b">
        <v>0</v>
      </c>
      <c r="M29" s="2" t="b">
        <v>0</v>
      </c>
      <c r="N29" s="2" t="b">
        <v>0</v>
      </c>
      <c r="O29" s="2" t="b">
        <v>0</v>
      </c>
      <c r="P29" s="68"/>
      <c r="R29" s="69"/>
      <c r="S29" s="68"/>
      <c r="U29" s="69"/>
      <c r="V29" s="68"/>
      <c r="X29" s="69"/>
      <c r="Y29" s="68"/>
      <c r="AA29" s="69"/>
      <c r="AB29" s="33">
        <f t="shared" si="0"/>
        <v>0</v>
      </c>
      <c r="AC29" s="45">
        <f>_xlfn.LET(_xlpm.ps_1,P29:R29, _xlpm.ps_2,S29:U29, _xlpm.ps_3,V29:X29, _xlpm.ps_4,Y29:AA29,
_xlpm.phase, MID(C29,SEARCH("-",C29)+1,256),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(_xlfn.XLOOKUP($C$7,site_assumptions[Details],site_assumptions[Volts])*SUMIFS(P29:AA29,_xlfn.ANCHORARRAY(D29),TRUE)/10*0.95)/1000,
IFERROR(IF(_xlpm.phase="3Phase", _xlpm.p3_calc, _xlpm.sp_calc),0))</f>
        <v>0</v>
      </c>
      <c r="AD29" s="29" t="str">
        <f ca="1"/>
        <v>Network</v>
      </c>
      <c r="AE29" s="30" t="str">
        <f ca="1"/>
        <v>Aggregate</v>
      </c>
      <c r="AF29" s="30" t="str">
        <f ca="1"/>
        <v>Live</v>
      </c>
      <c r="AG29" s="30">
        <f ca="1"/>
        <v>5</v>
      </c>
      <c r="AH29" s="31" t="str">
        <f ca="1"/>
        <v>Unknown</v>
      </c>
      <c r="AI29" s="49">
        <f t="shared" ca="1" si="1"/>
        <v>0</v>
      </c>
      <c r="AJ29" s="71">
        <f ca="1"/>
        <v>0</v>
      </c>
    </row>
    <row r="30" spans="2:36" x14ac:dyDescent="0.25">
      <c r="B30" s="29" t="str">
        <f ca="1"/>
        <v>dal10.sr01.rk18</v>
      </c>
      <c r="C30" s="10" t="s">
        <v>2070</v>
      </c>
      <c r="D30" s="2" t="b" cm="1">
        <f t="array" ref="D30:O30">_xlfn._xlws.FILTER(IF(ancillary!$E$4:$P$8="",FALSE,ancillary!$E$4:$P$8),ancillary!$B$4:$B$8=$C30)</f>
        <v>1</v>
      </c>
      <c r="E30" s="2" t="b">
        <v>1</v>
      </c>
      <c r="F30" s="2" t="b">
        <v>1</v>
      </c>
      <c r="G30" s="2" t="b">
        <v>1</v>
      </c>
      <c r="H30" s="2" t="b">
        <v>1</v>
      </c>
      <c r="I30" s="2" t="b">
        <v>1</v>
      </c>
      <c r="J30" s="2" t="b">
        <v>0</v>
      </c>
      <c r="K30" s="2" t="b">
        <v>0</v>
      </c>
      <c r="L30" s="2" t="b">
        <v>0</v>
      </c>
      <c r="M30" s="2" t="b">
        <v>0</v>
      </c>
      <c r="N30" s="2" t="b">
        <v>0</v>
      </c>
      <c r="O30" s="2" t="b">
        <v>0</v>
      </c>
      <c r="P30" s="68"/>
      <c r="R30" s="69"/>
      <c r="S30" s="68"/>
      <c r="U30" s="69"/>
      <c r="V30" s="68"/>
      <c r="X30" s="69"/>
      <c r="Y30" s="68"/>
      <c r="AA30" s="69"/>
      <c r="AB30" s="33">
        <f t="shared" si="0"/>
        <v>0</v>
      </c>
      <c r="AC30" s="45">
        <f>_xlfn.LET(_xlpm.ps_1,P30:R30, _xlpm.ps_2,S30:U30, _xlpm.ps_3,V30:X30, _xlpm.ps_4,Y30:AA30,
_xlpm.phase, MID(C30,SEARCH("-",C30)+1,256),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(_xlfn.XLOOKUP($C$7,site_assumptions[Details],site_assumptions[Volts])*SUMIFS(P30:AA30,_xlfn.ANCHORARRAY(D30),TRUE)/10*0.95)/1000,
IFERROR(IF(_xlpm.phase="3Phase", _xlpm.p3_calc, _xlpm.sp_calc),0))</f>
        <v>0</v>
      </c>
      <c r="AD30" s="29" t="str">
        <f ca="1"/>
        <v>Bare Metal</v>
      </c>
      <c r="AE30" s="30" t="str">
        <f ca="1"/>
        <v>Bare Metal</v>
      </c>
      <c r="AF30" s="30" t="str">
        <f ca="1"/>
        <v>Live</v>
      </c>
      <c r="AG30" s="30">
        <f ca="1"/>
        <v>6</v>
      </c>
      <c r="AH30" s="31" t="str">
        <f ca="1"/>
        <v>Unknown</v>
      </c>
      <c r="AI30" s="49">
        <f t="shared" ca="1" si="1"/>
        <v>0</v>
      </c>
      <c r="AJ30" s="71">
        <f ca="1"/>
        <v>2.964</v>
      </c>
    </row>
    <row r="31" spans="2:36" x14ac:dyDescent="0.25">
      <c r="B31" s="29" t="str">
        <f ca="1"/>
        <v>dal10.sr01.rk19</v>
      </c>
      <c r="C31" s="10" t="s">
        <v>2070</v>
      </c>
      <c r="D31" s="2" t="b" cm="1">
        <f t="array" ref="D31:O31">_xlfn._xlws.FILTER(IF(ancillary!$E$4:$P$8="",FALSE,ancillary!$E$4:$P$8),ancillary!$B$4:$B$8=$C31)</f>
        <v>1</v>
      </c>
      <c r="E31" s="2" t="b">
        <v>1</v>
      </c>
      <c r="F31" s="2" t="b">
        <v>1</v>
      </c>
      <c r="G31" s="2" t="b">
        <v>1</v>
      </c>
      <c r="H31" s="2" t="b">
        <v>1</v>
      </c>
      <c r="I31" s="2" t="b">
        <v>1</v>
      </c>
      <c r="J31" s="2" t="b">
        <v>0</v>
      </c>
      <c r="K31" s="2" t="b">
        <v>0</v>
      </c>
      <c r="L31" s="2" t="b">
        <v>0</v>
      </c>
      <c r="M31" s="2" t="b">
        <v>0</v>
      </c>
      <c r="N31" s="2" t="b">
        <v>0</v>
      </c>
      <c r="O31" s="2" t="b">
        <v>0</v>
      </c>
      <c r="P31" s="68"/>
      <c r="R31" s="69"/>
      <c r="S31" s="68"/>
      <c r="U31" s="69"/>
      <c r="V31" s="68"/>
      <c r="X31" s="69"/>
      <c r="Y31" s="68"/>
      <c r="AA31" s="69"/>
      <c r="AB31" s="33">
        <f t="shared" si="0"/>
        <v>0</v>
      </c>
      <c r="AC31" s="45">
        <f>_xlfn.LET(_xlpm.ps_1,P31:R31, _xlpm.ps_2,S31:U31, _xlpm.ps_3,V31:X31, _xlpm.ps_4,Y31:AA31,
_xlpm.phase, MID(C31,SEARCH("-",C31)+1,256),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(_xlfn.XLOOKUP($C$7,site_assumptions[Details],site_assumptions[Volts])*SUMIFS(P31:AA31,_xlfn.ANCHORARRAY(D31),TRUE)/10*0.95)/1000,
IFERROR(IF(_xlpm.phase="3Phase", _xlpm.p3_calc, _xlpm.sp_calc),0))</f>
        <v>0</v>
      </c>
      <c r="AD31" s="29" t="str">
        <f ca="1"/>
        <v>Bare Metal</v>
      </c>
      <c r="AE31" s="30" t="str">
        <f ca="1"/>
        <v>Bare Metal</v>
      </c>
      <c r="AF31" s="30" t="str">
        <f ca="1"/>
        <v>Live</v>
      </c>
      <c r="AG31" s="30">
        <f ca="1"/>
        <v>6</v>
      </c>
      <c r="AH31" s="31" t="str">
        <f ca="1"/>
        <v>Unknown</v>
      </c>
      <c r="AI31" s="49">
        <f t="shared" ca="1" si="1"/>
        <v>0</v>
      </c>
      <c r="AJ31" s="71">
        <f ca="1"/>
        <v>3.794</v>
      </c>
    </row>
    <row r="32" spans="2:36" x14ac:dyDescent="0.25">
      <c r="B32" s="29" t="str">
        <f ca="1"/>
        <v>dal10.sr01.rk20</v>
      </c>
      <c r="C32" s="10" t="s">
        <v>2070</v>
      </c>
      <c r="D32" s="2" t="b" cm="1">
        <f t="array" ref="D32:O32">_xlfn._xlws.FILTER(IF(ancillary!$E$4:$P$8="",FALSE,ancillary!$E$4:$P$8),ancillary!$B$4:$B$8=$C32)</f>
        <v>1</v>
      </c>
      <c r="E32" s="2" t="b">
        <v>1</v>
      </c>
      <c r="F32" s="2" t="b">
        <v>1</v>
      </c>
      <c r="G32" s="2" t="b">
        <v>1</v>
      </c>
      <c r="H32" s="2" t="b">
        <v>1</v>
      </c>
      <c r="I32" s="2" t="b">
        <v>1</v>
      </c>
      <c r="J32" s="2" t="b">
        <v>0</v>
      </c>
      <c r="K32" s="2" t="b">
        <v>0</v>
      </c>
      <c r="L32" s="2" t="b">
        <v>0</v>
      </c>
      <c r="M32" s="2" t="b">
        <v>0</v>
      </c>
      <c r="N32" s="2" t="b">
        <v>0</v>
      </c>
      <c r="O32" s="2" t="b">
        <v>0</v>
      </c>
      <c r="P32" s="68"/>
      <c r="R32" s="69"/>
      <c r="S32" s="68"/>
      <c r="U32" s="69"/>
      <c r="V32" s="68"/>
      <c r="X32" s="69"/>
      <c r="Y32" s="68"/>
      <c r="AA32" s="69"/>
      <c r="AB32" s="33">
        <f t="shared" si="0"/>
        <v>0</v>
      </c>
      <c r="AC32" s="45">
        <f>_xlfn.LET(_xlpm.ps_1,P32:R32, _xlpm.ps_2,S32:U32, _xlpm.ps_3,V32:X32, _xlpm.ps_4,Y32:AA32,
_xlpm.phase, MID(C32,SEARCH("-",C32)+1,256),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(_xlfn.XLOOKUP($C$7,site_assumptions[Details],site_assumptions[Volts])*SUMIFS(P32:AA32,_xlfn.ANCHORARRAY(D32),TRUE)/10*0.95)/1000,
IFERROR(IF(_xlpm.phase="3Phase", _xlpm.p3_calc, _xlpm.sp_calc),0))</f>
        <v>0</v>
      </c>
      <c r="AD32" s="29" t="str">
        <f ca="1"/>
        <v>Bare Metal</v>
      </c>
      <c r="AE32" s="30" t="str">
        <f ca="1"/>
        <v>Bare Metal</v>
      </c>
      <c r="AF32" s="30" t="str">
        <f ca="1"/>
        <v>Live</v>
      </c>
      <c r="AG32" s="30">
        <f ca="1"/>
        <v>6</v>
      </c>
      <c r="AH32" s="31" t="str">
        <f ca="1"/>
        <v>Unknown</v>
      </c>
      <c r="AI32" s="49">
        <f t="shared" ca="1" si="1"/>
        <v>0</v>
      </c>
      <c r="AJ32" s="71">
        <f ca="1"/>
        <v>3.5979999999999999</v>
      </c>
    </row>
    <row r="33" spans="2:36" x14ac:dyDescent="0.25">
      <c r="B33" s="29" t="str">
        <f ca="1"/>
        <v>dal10.sr01.rk21</v>
      </c>
      <c r="C33" s="10" t="s">
        <v>2070</v>
      </c>
      <c r="D33" s="2" t="b" cm="1">
        <f t="array" ref="D33:O33">_xlfn._xlws.FILTER(IF(ancillary!$E$4:$P$8="",FALSE,ancillary!$E$4:$P$8),ancillary!$B$4:$B$8=$C33)</f>
        <v>1</v>
      </c>
      <c r="E33" s="2" t="b">
        <v>1</v>
      </c>
      <c r="F33" s="2" t="b">
        <v>1</v>
      </c>
      <c r="G33" s="2" t="b">
        <v>1</v>
      </c>
      <c r="H33" s="2" t="b">
        <v>1</v>
      </c>
      <c r="I33" s="2" t="b">
        <v>1</v>
      </c>
      <c r="J33" s="2" t="b">
        <v>0</v>
      </c>
      <c r="K33" s="2" t="b">
        <v>0</v>
      </c>
      <c r="L33" s="2" t="b">
        <v>0</v>
      </c>
      <c r="M33" s="2" t="b">
        <v>0</v>
      </c>
      <c r="N33" s="2" t="b">
        <v>0</v>
      </c>
      <c r="O33" s="2" t="b">
        <v>0</v>
      </c>
      <c r="P33" s="68"/>
      <c r="R33" s="69"/>
      <c r="S33" s="68"/>
      <c r="U33" s="69"/>
      <c r="V33" s="68"/>
      <c r="X33" s="69"/>
      <c r="Y33" s="68"/>
      <c r="AA33" s="69"/>
      <c r="AB33" s="33">
        <f t="shared" si="0"/>
        <v>0</v>
      </c>
      <c r="AC33" s="45">
        <f>_xlfn.LET(_xlpm.ps_1,P33:R33, _xlpm.ps_2,S33:U33, _xlpm.ps_3,V33:X33, _xlpm.ps_4,Y33:AA33,
_xlpm.phase, MID(C33,SEARCH("-",C33)+1,256),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(_xlfn.XLOOKUP($C$7,site_assumptions[Details],site_assumptions[Volts])*SUMIFS(P33:AA33,_xlfn.ANCHORARRAY(D33),TRUE)/10*0.95)/1000,
IFERROR(IF(_xlpm.phase="3Phase", _xlpm.p3_calc, _xlpm.sp_calc),0))</f>
        <v>0</v>
      </c>
      <c r="AD33" s="29" t="str">
        <f ca="1"/>
        <v>Bare Metal</v>
      </c>
      <c r="AE33" s="30" t="str">
        <f ca="1"/>
        <v>Bare Metal</v>
      </c>
      <c r="AF33" s="30" t="str">
        <f ca="1"/>
        <v>Live</v>
      </c>
      <c r="AG33" s="30">
        <f ca="1"/>
        <v>6</v>
      </c>
      <c r="AH33" s="31" t="str">
        <f ca="1"/>
        <v>Unknown</v>
      </c>
      <c r="AI33" s="49">
        <f t="shared" ca="1" si="1"/>
        <v>0</v>
      </c>
      <c r="AJ33" s="71">
        <f ca="1"/>
        <v>3.4460000000000002</v>
      </c>
    </row>
    <row r="34" spans="2:36" x14ac:dyDescent="0.25">
      <c r="B34" s="29" t="str">
        <f ca="1"/>
        <v>dal10.sr01.rk22</v>
      </c>
      <c r="C34" s="10" t="s">
        <v>2070</v>
      </c>
      <c r="D34" s="2" t="b" cm="1">
        <f t="array" ref="D34:O34">_xlfn._xlws.FILTER(IF(ancillary!$E$4:$P$8="",FALSE,ancillary!$E$4:$P$8),ancillary!$B$4:$B$8=$C34)</f>
        <v>1</v>
      </c>
      <c r="E34" s="2" t="b">
        <v>1</v>
      </c>
      <c r="F34" s="2" t="b">
        <v>1</v>
      </c>
      <c r="G34" s="2" t="b">
        <v>1</v>
      </c>
      <c r="H34" s="2" t="b">
        <v>1</v>
      </c>
      <c r="I34" s="2" t="b">
        <v>1</v>
      </c>
      <c r="J34" s="2" t="b">
        <v>0</v>
      </c>
      <c r="K34" s="2" t="b">
        <v>0</v>
      </c>
      <c r="L34" s="2" t="b">
        <v>0</v>
      </c>
      <c r="M34" s="2" t="b">
        <v>0</v>
      </c>
      <c r="N34" s="2" t="b">
        <v>0</v>
      </c>
      <c r="O34" s="2" t="b">
        <v>0</v>
      </c>
      <c r="P34" s="68"/>
      <c r="R34" s="69"/>
      <c r="S34" s="68"/>
      <c r="U34" s="69"/>
      <c r="V34" s="68"/>
      <c r="X34" s="69"/>
      <c r="Y34" s="68"/>
      <c r="AA34" s="69"/>
      <c r="AB34" s="33">
        <f t="shared" si="0"/>
        <v>0</v>
      </c>
      <c r="AC34" s="45">
        <f>_xlfn.LET(_xlpm.ps_1,P34:R34, _xlpm.ps_2,S34:U34, _xlpm.ps_3,V34:X34, _xlpm.ps_4,Y34:AA34,
_xlpm.phase, MID(C34,SEARCH("-",C34)+1,256),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(_xlfn.XLOOKUP($C$7,site_assumptions[Details],site_assumptions[Volts])*SUMIFS(P34:AA34,_xlfn.ANCHORARRAY(D34),TRUE)/10*0.95)/1000,
IFERROR(IF(_xlpm.phase="3Phase", _xlpm.p3_calc, _xlpm.sp_calc),0))</f>
        <v>0</v>
      </c>
      <c r="AD34" s="29" t="str">
        <f ca="1"/>
        <v>Bare Metal</v>
      </c>
      <c r="AE34" s="30" t="str">
        <f ca="1"/>
        <v>COD</v>
      </c>
      <c r="AF34" s="30" t="str">
        <f ca="1"/>
        <v>Live</v>
      </c>
      <c r="AG34" s="30">
        <f ca="1"/>
        <v>6</v>
      </c>
      <c r="AH34" s="31" t="str">
        <f ca="1"/>
        <v>Unknown</v>
      </c>
      <c r="AI34" s="49">
        <f t="shared" ca="1" si="1"/>
        <v>0</v>
      </c>
      <c r="AJ34" s="71">
        <f ca="1"/>
        <v>1.33</v>
      </c>
    </row>
    <row r="35" spans="2:36" x14ac:dyDescent="0.25">
      <c r="B35" s="29" t="str">
        <f ca="1"/>
        <v>dal10.sr01.rk23</v>
      </c>
      <c r="C35" s="10" t="s">
        <v>2070</v>
      </c>
      <c r="D35" s="2" t="b" cm="1">
        <f t="array" ref="D35:O35">_xlfn._xlws.FILTER(IF(ancillary!$E$4:$P$8="",FALSE,ancillary!$E$4:$P$8),ancillary!$B$4:$B$8=$C35)</f>
        <v>1</v>
      </c>
      <c r="E35" s="2" t="b">
        <v>1</v>
      </c>
      <c r="F35" s="2" t="b">
        <v>1</v>
      </c>
      <c r="G35" s="2" t="b">
        <v>1</v>
      </c>
      <c r="H35" s="2" t="b">
        <v>1</v>
      </c>
      <c r="I35" s="2" t="b">
        <v>1</v>
      </c>
      <c r="J35" s="2" t="b">
        <v>0</v>
      </c>
      <c r="K35" s="2" t="b">
        <v>0</v>
      </c>
      <c r="L35" s="2" t="b">
        <v>0</v>
      </c>
      <c r="M35" s="2" t="b">
        <v>0</v>
      </c>
      <c r="N35" s="2" t="b">
        <v>0</v>
      </c>
      <c r="O35" s="2" t="b">
        <v>0</v>
      </c>
      <c r="P35" s="68"/>
      <c r="R35" s="69"/>
      <c r="S35" s="68"/>
      <c r="U35" s="69"/>
      <c r="V35" s="68"/>
      <c r="X35" s="69"/>
      <c r="Y35" s="68"/>
      <c r="AA35" s="69"/>
      <c r="AB35" s="33">
        <f t="shared" si="0"/>
        <v>0</v>
      </c>
      <c r="AC35" s="45">
        <f>_xlfn.LET(_xlpm.ps_1,P35:R35, _xlpm.ps_2,S35:U35, _xlpm.ps_3,V35:X35, _xlpm.ps_4,Y35:AA35,
_xlpm.phase, MID(C35,SEARCH("-",C35)+1,256),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(_xlfn.XLOOKUP($C$7,site_assumptions[Details],site_assumptions[Volts])*SUMIFS(P35:AA35,_xlfn.ANCHORARRAY(D35),TRUE)/10*0.95)/1000,
IFERROR(IF(_xlpm.phase="3Phase", _xlpm.p3_calc, _xlpm.sp_calc),0))</f>
        <v>0</v>
      </c>
      <c r="AD35" s="29" t="str">
        <f ca="1"/>
        <v>Bare Metal</v>
      </c>
      <c r="AE35" s="30" t="str">
        <f ca="1"/>
        <v>Bare Metal</v>
      </c>
      <c r="AF35" s="30" t="str">
        <f ca="1"/>
        <v>Live</v>
      </c>
      <c r="AG35" s="30">
        <f ca="1"/>
        <v>6</v>
      </c>
      <c r="AH35" s="31" t="str">
        <f ca="1"/>
        <v>Unknown</v>
      </c>
      <c r="AI35" s="49">
        <f t="shared" ca="1" si="1"/>
        <v>0</v>
      </c>
      <c r="AJ35" s="71">
        <f ca="1"/>
        <v>3.7810000000000001</v>
      </c>
    </row>
    <row r="36" spans="2:36" x14ac:dyDescent="0.25">
      <c r="B36" s="29" t="str">
        <f ca="1"/>
        <v>dal10.sr01.rk24</v>
      </c>
      <c r="C36" s="10" t="s">
        <v>2070</v>
      </c>
      <c r="D36" s="2" t="b" cm="1">
        <f t="array" ref="D36:O36">_xlfn._xlws.FILTER(IF(ancillary!$E$4:$P$8="",FALSE,ancillary!$E$4:$P$8),ancillary!$B$4:$B$8=$C36)</f>
        <v>1</v>
      </c>
      <c r="E36" s="2" t="b">
        <v>1</v>
      </c>
      <c r="F36" s="2" t="b">
        <v>1</v>
      </c>
      <c r="G36" s="2" t="b">
        <v>1</v>
      </c>
      <c r="H36" s="2" t="b">
        <v>1</v>
      </c>
      <c r="I36" s="2" t="b">
        <v>1</v>
      </c>
      <c r="J36" s="2" t="b">
        <v>0</v>
      </c>
      <c r="K36" s="2" t="b">
        <v>0</v>
      </c>
      <c r="L36" s="2" t="b">
        <v>0</v>
      </c>
      <c r="M36" s="2" t="b">
        <v>0</v>
      </c>
      <c r="N36" s="2" t="b">
        <v>0</v>
      </c>
      <c r="O36" s="2" t="b">
        <v>0</v>
      </c>
      <c r="P36" s="68"/>
      <c r="R36" s="69"/>
      <c r="S36" s="68"/>
      <c r="U36" s="69"/>
      <c r="V36" s="68"/>
      <c r="X36" s="69"/>
      <c r="Y36" s="68"/>
      <c r="AA36" s="69"/>
      <c r="AB36" s="33">
        <f t="shared" si="0"/>
        <v>0</v>
      </c>
      <c r="AC36" s="45">
        <f>_xlfn.LET(_xlpm.ps_1,P36:R36, _xlpm.ps_2,S36:U36, _xlpm.ps_3,V36:X36, _xlpm.ps_4,Y36:AA36,
_xlpm.phase, MID(C36,SEARCH("-",C36)+1,256),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(_xlfn.XLOOKUP($C$7,site_assumptions[Details],site_assumptions[Volts])*SUMIFS(P36:AA36,_xlfn.ANCHORARRAY(D36),TRUE)/10*0.95)/1000,
IFERROR(IF(_xlpm.phase="3Phase", _xlpm.p3_calc, _xlpm.sp_calc),0))</f>
        <v>0</v>
      </c>
      <c r="AD36" s="29" t="str">
        <f ca="1"/>
        <v>Bare Metal</v>
      </c>
      <c r="AE36" s="30" t="str">
        <f ca="1"/>
        <v>Bare Metal</v>
      </c>
      <c r="AF36" s="30" t="str">
        <f ca="1"/>
        <v>Live</v>
      </c>
      <c r="AG36" s="30">
        <f ca="1"/>
        <v>6</v>
      </c>
      <c r="AH36" s="31" t="str">
        <f ca="1"/>
        <v>Unknown</v>
      </c>
      <c r="AI36" s="49">
        <f t="shared" ca="1" si="1"/>
        <v>0</v>
      </c>
      <c r="AJ36" s="71">
        <f ca="1"/>
        <v>3.5859999999999999</v>
      </c>
    </row>
    <row r="37" spans="2:36" x14ac:dyDescent="0.25">
      <c r="B37" s="29" t="str">
        <f ca="1"/>
        <v>dal10.sr01.rk25</v>
      </c>
      <c r="C37" s="10" t="s">
        <v>2070</v>
      </c>
      <c r="D37" s="2" t="b" cm="1">
        <f t="array" ref="D37:O37">_xlfn._xlws.FILTER(IF(ancillary!$E$4:$P$8="",FALSE,ancillary!$E$4:$P$8),ancillary!$B$4:$B$8=$C37)</f>
        <v>1</v>
      </c>
      <c r="E37" s="2" t="b">
        <v>1</v>
      </c>
      <c r="F37" s="2" t="b">
        <v>1</v>
      </c>
      <c r="G37" s="2" t="b">
        <v>1</v>
      </c>
      <c r="H37" s="2" t="b">
        <v>1</v>
      </c>
      <c r="I37" s="2" t="b">
        <v>1</v>
      </c>
      <c r="J37" s="2" t="b">
        <v>0</v>
      </c>
      <c r="K37" s="2" t="b">
        <v>0</v>
      </c>
      <c r="L37" s="2" t="b">
        <v>0</v>
      </c>
      <c r="M37" s="2" t="b">
        <v>0</v>
      </c>
      <c r="N37" s="2" t="b">
        <v>0</v>
      </c>
      <c r="O37" s="2" t="b">
        <v>0</v>
      </c>
      <c r="P37" s="68"/>
      <c r="R37" s="69"/>
      <c r="S37" s="68"/>
      <c r="U37" s="69"/>
      <c r="V37" s="68"/>
      <c r="X37" s="69"/>
      <c r="Y37" s="68"/>
      <c r="AA37" s="69"/>
      <c r="AB37" s="33">
        <f t="shared" si="0"/>
        <v>0</v>
      </c>
      <c r="AC37" s="45">
        <f>_xlfn.LET(_xlpm.ps_1,P37:R37, _xlpm.ps_2,S37:U37, _xlpm.ps_3,V37:X37, _xlpm.ps_4,Y37:AA37,
_xlpm.phase, MID(C37,SEARCH("-",C37)+1,256),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(_xlfn.XLOOKUP($C$7,site_assumptions[Details],site_assumptions[Volts])*SUMIFS(P37:AA37,_xlfn.ANCHORARRAY(D37),TRUE)/10*0.95)/1000,
IFERROR(IF(_xlpm.phase="3Phase", _xlpm.p3_calc, _xlpm.sp_calc),0))</f>
        <v>0</v>
      </c>
      <c r="AD37" s="29" t="str">
        <f ca="1"/>
        <v>Bare Metal</v>
      </c>
      <c r="AE37" s="30" t="str">
        <f ca="1"/>
        <v>Bare Metal</v>
      </c>
      <c r="AF37" s="30" t="str">
        <f ca="1"/>
        <v>Live</v>
      </c>
      <c r="AG37" s="30">
        <f ca="1"/>
        <v>6</v>
      </c>
      <c r="AH37" s="31" t="str">
        <f ca="1"/>
        <v>Unknown</v>
      </c>
      <c r="AI37" s="49">
        <f t="shared" ca="1" si="1"/>
        <v>0</v>
      </c>
      <c r="AJ37" s="71">
        <f ca="1"/>
        <v>3.9649999999999999</v>
      </c>
    </row>
    <row r="38" spans="2:36" x14ac:dyDescent="0.25">
      <c r="B38" s="29" t="str">
        <f ca="1"/>
        <v>dal10.sr01.rk26</v>
      </c>
      <c r="C38" s="10" t="s">
        <v>2070</v>
      </c>
      <c r="D38" s="2" t="b" cm="1">
        <f t="array" ref="D38:O38">_xlfn._xlws.FILTER(IF(ancillary!$E$4:$P$8="",FALSE,ancillary!$E$4:$P$8),ancillary!$B$4:$B$8=$C38)</f>
        <v>1</v>
      </c>
      <c r="E38" s="2" t="b">
        <v>1</v>
      </c>
      <c r="F38" s="2" t="b">
        <v>1</v>
      </c>
      <c r="G38" s="2" t="b">
        <v>1</v>
      </c>
      <c r="H38" s="2" t="b">
        <v>1</v>
      </c>
      <c r="I38" s="2" t="b">
        <v>1</v>
      </c>
      <c r="J38" s="2" t="b">
        <v>0</v>
      </c>
      <c r="K38" s="2" t="b">
        <v>0</v>
      </c>
      <c r="L38" s="2" t="b">
        <v>0</v>
      </c>
      <c r="M38" s="2" t="b">
        <v>0</v>
      </c>
      <c r="N38" s="2" t="b">
        <v>0</v>
      </c>
      <c r="O38" s="2" t="b">
        <v>0</v>
      </c>
      <c r="P38" s="68"/>
      <c r="R38" s="69"/>
      <c r="S38" s="68"/>
      <c r="U38" s="69"/>
      <c r="V38" s="68"/>
      <c r="X38" s="69"/>
      <c r="Y38" s="68"/>
      <c r="AA38" s="69"/>
      <c r="AB38" s="33">
        <f t="shared" si="0"/>
        <v>0</v>
      </c>
      <c r="AC38" s="45">
        <f>_xlfn.LET(_xlpm.ps_1,P38:R38, _xlpm.ps_2,S38:U38, _xlpm.ps_3,V38:X38, _xlpm.ps_4,Y38:AA38,
_xlpm.phase, MID(C38,SEARCH("-",C38)+1,256),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(_xlfn.XLOOKUP($C$7,site_assumptions[Details],site_assumptions[Volts])*SUMIFS(P38:AA38,_xlfn.ANCHORARRAY(D38),TRUE)/10*0.95)/1000,
IFERROR(IF(_xlpm.phase="3Phase", _xlpm.p3_calc, _xlpm.sp_calc),0))</f>
        <v>0</v>
      </c>
      <c r="AD38" s="29" t="str">
        <f ca="1"/>
        <v>Bare Metal</v>
      </c>
      <c r="AE38" s="30" t="str">
        <f ca="1"/>
        <v>Bare Metal</v>
      </c>
      <c r="AF38" s="30" t="str">
        <f ca="1"/>
        <v>Live</v>
      </c>
      <c r="AG38" s="30">
        <f ca="1"/>
        <v>6</v>
      </c>
      <c r="AH38" s="31" t="str">
        <f ca="1"/>
        <v>Unknown</v>
      </c>
      <c r="AI38" s="49">
        <f t="shared" ca="1" si="1"/>
        <v>0</v>
      </c>
      <c r="AJ38" s="71">
        <f ca="1"/>
        <v>3.44</v>
      </c>
    </row>
    <row r="39" spans="2:36" x14ac:dyDescent="0.25">
      <c r="B39" s="29" t="str">
        <f ca="1"/>
        <v>dal10.sr01.rk27</v>
      </c>
      <c r="C39" s="10" t="s">
        <v>2070</v>
      </c>
      <c r="D39" s="2" t="b" cm="1">
        <f t="array" ref="D39:O39">_xlfn._xlws.FILTER(IF(ancillary!$E$4:$P$8="",FALSE,ancillary!$E$4:$P$8),ancillary!$B$4:$B$8=$C39)</f>
        <v>1</v>
      </c>
      <c r="E39" s="2" t="b">
        <v>1</v>
      </c>
      <c r="F39" s="2" t="b">
        <v>1</v>
      </c>
      <c r="G39" s="2" t="b">
        <v>1</v>
      </c>
      <c r="H39" s="2" t="b">
        <v>1</v>
      </c>
      <c r="I39" s="2" t="b">
        <v>1</v>
      </c>
      <c r="J39" s="2" t="b">
        <v>0</v>
      </c>
      <c r="K39" s="2" t="b">
        <v>0</v>
      </c>
      <c r="L39" s="2" t="b">
        <v>0</v>
      </c>
      <c r="M39" s="2" t="b">
        <v>0</v>
      </c>
      <c r="N39" s="2" t="b">
        <v>0</v>
      </c>
      <c r="O39" s="2" t="b">
        <v>0</v>
      </c>
      <c r="P39" s="68"/>
      <c r="R39" s="69"/>
      <c r="S39" s="68"/>
      <c r="U39" s="69"/>
      <c r="V39" s="68"/>
      <c r="X39" s="69"/>
      <c r="Y39" s="68"/>
      <c r="AA39" s="69"/>
      <c r="AB39" s="33">
        <f t="shared" si="0"/>
        <v>0</v>
      </c>
      <c r="AC39" s="45">
        <f>_xlfn.LET(_xlpm.ps_1,P39:R39, _xlpm.ps_2,S39:U39, _xlpm.ps_3,V39:X39, _xlpm.ps_4,Y39:AA39,
_xlpm.phase, MID(C39,SEARCH("-",C39)+1,256),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(_xlfn.XLOOKUP($C$7,site_assumptions[Details],site_assumptions[Volts])*SUMIFS(P39:AA39,_xlfn.ANCHORARRAY(D39),TRUE)/10*0.95)/1000,
IFERROR(IF(_xlpm.phase="3Phase", _xlpm.p3_calc, _xlpm.sp_calc),0))</f>
        <v>0</v>
      </c>
      <c r="AD39" s="29" t="str">
        <f ca="1"/>
        <v>Bare Metal</v>
      </c>
      <c r="AE39" s="30" t="str">
        <f ca="1"/>
        <v>Bare Metal</v>
      </c>
      <c r="AF39" s="30" t="str">
        <f ca="1"/>
        <v>Live</v>
      </c>
      <c r="AG39" s="30">
        <f ca="1"/>
        <v>6</v>
      </c>
      <c r="AH39" s="31" t="str">
        <f ca="1"/>
        <v>Unknown</v>
      </c>
      <c r="AI39" s="49">
        <f t="shared" ca="1" si="1"/>
        <v>0</v>
      </c>
      <c r="AJ39" s="71">
        <f ca="1"/>
        <v>5.9630000000000001</v>
      </c>
    </row>
    <row r="40" spans="2:36" x14ac:dyDescent="0.25">
      <c r="B40" s="29" t="str">
        <f ca="1"/>
        <v>dal10.sr01.rk28</v>
      </c>
      <c r="C40" s="10" t="s">
        <v>2070</v>
      </c>
      <c r="D40" s="2" t="b" cm="1">
        <f t="array" ref="D40:O40">_xlfn._xlws.FILTER(IF(ancillary!$E$4:$P$8="",FALSE,ancillary!$E$4:$P$8),ancillary!$B$4:$B$8=$C40)</f>
        <v>1</v>
      </c>
      <c r="E40" s="2" t="b">
        <v>1</v>
      </c>
      <c r="F40" s="2" t="b">
        <v>1</v>
      </c>
      <c r="G40" s="2" t="b">
        <v>1</v>
      </c>
      <c r="H40" s="2" t="b">
        <v>1</v>
      </c>
      <c r="I40" s="2" t="b">
        <v>1</v>
      </c>
      <c r="J40" s="2" t="b">
        <v>0</v>
      </c>
      <c r="K40" s="2" t="b">
        <v>0</v>
      </c>
      <c r="L40" s="2" t="b">
        <v>0</v>
      </c>
      <c r="M40" s="2" t="b">
        <v>0</v>
      </c>
      <c r="N40" s="2" t="b">
        <v>0</v>
      </c>
      <c r="O40" s="2" t="b">
        <v>0</v>
      </c>
      <c r="P40" s="68"/>
      <c r="R40" s="69"/>
      <c r="S40" s="68"/>
      <c r="U40" s="69"/>
      <c r="V40" s="68"/>
      <c r="X40" s="69"/>
      <c r="Y40" s="68"/>
      <c r="AA40" s="69"/>
      <c r="AB40" s="33">
        <f t="shared" si="0"/>
        <v>0</v>
      </c>
      <c r="AC40" s="45">
        <f>_xlfn.LET(_xlpm.ps_1,P40:R40, _xlpm.ps_2,S40:U40, _xlpm.ps_3,V40:X40, _xlpm.ps_4,Y40:AA40,
_xlpm.phase, MID(C40,SEARCH("-",C40)+1,256),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(_xlfn.XLOOKUP($C$7,site_assumptions[Details],site_assumptions[Volts])*SUMIFS(P40:AA40,_xlfn.ANCHORARRAY(D40),TRUE)/10*0.95)/1000,
IFERROR(IF(_xlpm.phase="3Phase", _xlpm.p3_calc, _xlpm.sp_calc),0))</f>
        <v>0</v>
      </c>
      <c r="AD40" s="29" t="str">
        <f ca="1"/>
        <v>Network</v>
      </c>
      <c r="AE40" s="30" t="str">
        <f ca="1"/>
        <v>Aggregate</v>
      </c>
      <c r="AF40" s="30" t="str">
        <f ca="1"/>
        <v>Live</v>
      </c>
      <c r="AG40" s="30">
        <f ca="1"/>
        <v>5</v>
      </c>
      <c r="AH40" s="31" t="str">
        <f ca="1"/>
        <v>Unknown</v>
      </c>
      <c r="AI40" s="49">
        <f t="shared" ca="1" si="1"/>
        <v>0</v>
      </c>
      <c r="AJ40" s="71">
        <f ca="1"/>
        <v>0</v>
      </c>
    </row>
    <row r="41" spans="2:36" x14ac:dyDescent="0.25">
      <c r="B41" s="29" t="str">
        <f ca="1"/>
        <v>dal10.sr01.rk29</v>
      </c>
      <c r="C41" s="10" t="s">
        <v>2070</v>
      </c>
      <c r="D41" s="2" t="b" cm="1">
        <f t="array" ref="D41:O41">_xlfn._xlws.FILTER(IF(ancillary!$E$4:$P$8="",FALSE,ancillary!$E$4:$P$8),ancillary!$B$4:$B$8=$C41)</f>
        <v>1</v>
      </c>
      <c r="E41" s="2" t="b">
        <v>1</v>
      </c>
      <c r="F41" s="2" t="b">
        <v>1</v>
      </c>
      <c r="G41" s="2" t="b">
        <v>1</v>
      </c>
      <c r="H41" s="2" t="b">
        <v>1</v>
      </c>
      <c r="I41" s="2" t="b">
        <v>1</v>
      </c>
      <c r="J41" s="2" t="b">
        <v>0</v>
      </c>
      <c r="K41" s="2" t="b">
        <v>0</v>
      </c>
      <c r="L41" s="2" t="b">
        <v>0</v>
      </c>
      <c r="M41" s="2" t="b">
        <v>0</v>
      </c>
      <c r="N41" s="2" t="b">
        <v>0</v>
      </c>
      <c r="O41" s="2" t="b">
        <v>0</v>
      </c>
      <c r="P41" s="68"/>
      <c r="R41" s="69"/>
      <c r="S41" s="68"/>
      <c r="U41" s="69"/>
      <c r="V41" s="68"/>
      <c r="X41" s="69"/>
      <c r="Y41" s="68"/>
      <c r="AA41" s="69"/>
      <c r="AB41" s="33">
        <f t="shared" si="0"/>
        <v>0</v>
      </c>
      <c r="AC41" s="45">
        <f>_xlfn.LET(_xlpm.ps_1,P41:R41, _xlpm.ps_2,S41:U41, _xlpm.ps_3,V41:X41, _xlpm.ps_4,Y41:AA41,
_xlpm.phase, MID(C41,SEARCH("-",C41)+1,256),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(_xlfn.XLOOKUP($C$7,site_assumptions[Details],site_assumptions[Volts])*SUMIFS(P41:AA41,_xlfn.ANCHORARRAY(D41),TRUE)/10*0.95)/1000,
IFERROR(IF(_xlpm.phase="3Phase", _xlpm.p3_calc, _xlpm.sp_calc),0))</f>
        <v>0</v>
      </c>
      <c r="AD41" s="29" t="str">
        <f ca="1"/>
        <v>Bare Metal</v>
      </c>
      <c r="AE41" s="30" t="str">
        <f ca="1"/>
        <v>Bare Metal</v>
      </c>
      <c r="AF41" s="30" t="str">
        <f ca="1"/>
        <v>Live</v>
      </c>
      <c r="AG41" s="30">
        <f ca="1"/>
        <v>6</v>
      </c>
      <c r="AH41" s="31" t="str">
        <f ca="1"/>
        <v>Unknown</v>
      </c>
      <c r="AI41" s="49">
        <f t="shared" ca="1" si="1"/>
        <v>0</v>
      </c>
      <c r="AJ41" s="71">
        <f ca="1"/>
        <v>3.6989999999999998</v>
      </c>
    </row>
    <row r="42" spans="2:36" x14ac:dyDescent="0.25">
      <c r="B42" s="29" t="str">
        <f ca="1"/>
        <v>dal10.sr01.rk30</v>
      </c>
      <c r="C42" s="10" t="s">
        <v>2070</v>
      </c>
      <c r="D42" s="2" t="b" cm="1">
        <f t="array" ref="D42:O42">_xlfn._xlws.FILTER(IF(ancillary!$E$4:$P$8="",FALSE,ancillary!$E$4:$P$8),ancillary!$B$4:$B$8=$C42)</f>
        <v>1</v>
      </c>
      <c r="E42" s="2" t="b">
        <v>1</v>
      </c>
      <c r="F42" s="2" t="b">
        <v>1</v>
      </c>
      <c r="G42" s="2" t="b">
        <v>1</v>
      </c>
      <c r="H42" s="2" t="b">
        <v>1</v>
      </c>
      <c r="I42" s="2" t="b">
        <v>1</v>
      </c>
      <c r="J42" s="2" t="b">
        <v>0</v>
      </c>
      <c r="K42" s="2" t="b">
        <v>0</v>
      </c>
      <c r="L42" s="2" t="b">
        <v>0</v>
      </c>
      <c r="M42" s="2" t="b">
        <v>0</v>
      </c>
      <c r="N42" s="2" t="b">
        <v>0</v>
      </c>
      <c r="O42" s="2" t="b">
        <v>0</v>
      </c>
      <c r="P42" s="68"/>
      <c r="R42" s="69"/>
      <c r="S42" s="68"/>
      <c r="U42" s="69"/>
      <c r="V42" s="68"/>
      <c r="X42" s="69"/>
      <c r="Y42" s="68"/>
      <c r="AA42" s="69"/>
      <c r="AB42" s="33">
        <f t="shared" si="0"/>
        <v>0</v>
      </c>
      <c r="AC42" s="45">
        <f>_xlfn.LET(_xlpm.ps_1,P42:R42, _xlpm.ps_2,S42:U42, _xlpm.ps_3,V42:X42, _xlpm.ps_4,Y42:AA42,
_xlpm.phase, MID(C42,SEARCH("-",C42)+1,256),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(_xlfn.XLOOKUP($C$7,site_assumptions[Details],site_assumptions[Volts])*SUMIFS(P42:AA42,_xlfn.ANCHORARRAY(D42),TRUE)/10*0.95)/1000,
IFERROR(IF(_xlpm.phase="3Phase", _xlpm.p3_calc, _xlpm.sp_calc),0))</f>
        <v>0</v>
      </c>
      <c r="AD42" s="29" t="str">
        <f ca="1"/>
        <v>Bare Metal</v>
      </c>
      <c r="AE42" s="30" t="str">
        <f ca="1"/>
        <v>Bare Metal</v>
      </c>
      <c r="AF42" s="30" t="str">
        <f ca="1"/>
        <v>Live</v>
      </c>
      <c r="AG42" s="30">
        <f ca="1"/>
        <v>6</v>
      </c>
      <c r="AH42" s="31" t="str">
        <f ca="1"/>
        <v>Unknown</v>
      </c>
      <c r="AI42" s="49">
        <f t="shared" ca="1" si="1"/>
        <v>0</v>
      </c>
      <c r="AJ42" s="71">
        <f ca="1"/>
        <v>2.3109999999999999</v>
      </c>
    </row>
    <row r="43" spans="2:36" x14ac:dyDescent="0.25">
      <c r="B43" s="29" t="str">
        <f ca="1"/>
        <v>dal10.sr01.rk31</v>
      </c>
      <c r="C43" s="10" t="s">
        <v>2070</v>
      </c>
      <c r="D43" s="2" t="b" cm="1">
        <f t="array" ref="D43:O43">_xlfn._xlws.FILTER(IF(ancillary!$E$4:$P$8="",FALSE,ancillary!$E$4:$P$8),ancillary!$B$4:$B$8=$C43)</f>
        <v>1</v>
      </c>
      <c r="E43" s="2" t="b">
        <v>1</v>
      </c>
      <c r="F43" s="2" t="b">
        <v>1</v>
      </c>
      <c r="G43" s="2" t="b">
        <v>1</v>
      </c>
      <c r="H43" s="2" t="b">
        <v>1</v>
      </c>
      <c r="I43" s="2" t="b">
        <v>1</v>
      </c>
      <c r="J43" s="2" t="b">
        <v>0</v>
      </c>
      <c r="K43" s="2" t="b">
        <v>0</v>
      </c>
      <c r="L43" s="2" t="b">
        <v>0</v>
      </c>
      <c r="M43" s="2" t="b">
        <v>0</v>
      </c>
      <c r="N43" s="2" t="b">
        <v>0</v>
      </c>
      <c r="O43" s="2" t="b">
        <v>0</v>
      </c>
      <c r="P43" s="68"/>
      <c r="R43" s="69"/>
      <c r="S43" s="68"/>
      <c r="U43" s="69"/>
      <c r="V43" s="68"/>
      <c r="X43" s="69"/>
      <c r="Y43" s="68"/>
      <c r="AA43" s="69"/>
      <c r="AB43" s="33">
        <f t="shared" si="0"/>
        <v>0</v>
      </c>
      <c r="AC43" s="45">
        <f>_xlfn.LET(_xlpm.ps_1,P43:R43, _xlpm.ps_2,S43:U43, _xlpm.ps_3,V43:X43, _xlpm.ps_4,Y43:AA43,
_xlpm.phase, MID(C43,SEARCH("-",C43)+1,256),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(_xlfn.XLOOKUP($C$7,site_assumptions[Details],site_assumptions[Volts])*SUMIFS(P43:AA43,_xlfn.ANCHORARRAY(D43),TRUE)/10*0.95)/1000,
IFERROR(IF(_xlpm.phase="3Phase", _xlpm.p3_calc, _xlpm.sp_calc),0))</f>
        <v>0</v>
      </c>
      <c r="AD43" s="29" t="str">
        <f ca="1"/>
        <v>Bare Metal</v>
      </c>
      <c r="AE43" s="30" t="str">
        <f ca="1"/>
        <v>Bare Metal</v>
      </c>
      <c r="AF43" s="30" t="str">
        <f ca="1"/>
        <v>Live</v>
      </c>
      <c r="AG43" s="30">
        <f ca="1"/>
        <v>6</v>
      </c>
      <c r="AH43" s="31" t="str">
        <f ca="1"/>
        <v>Unknown</v>
      </c>
      <c r="AI43" s="49">
        <f t="shared" ca="1" si="1"/>
        <v>0</v>
      </c>
      <c r="AJ43" s="71">
        <f ca="1"/>
        <v>5.0019999999999998</v>
      </c>
    </row>
    <row r="44" spans="2:36" x14ac:dyDescent="0.25">
      <c r="B44" s="29" t="str">
        <f ca="1"/>
        <v>dal10.sr01.rk32</v>
      </c>
      <c r="C44" s="10" t="s">
        <v>2070</v>
      </c>
      <c r="D44" s="2" t="b" cm="1">
        <f t="array" ref="D44:O44">_xlfn._xlws.FILTER(IF(ancillary!$E$4:$P$8="",FALSE,ancillary!$E$4:$P$8),ancillary!$B$4:$B$8=$C44)</f>
        <v>1</v>
      </c>
      <c r="E44" s="2" t="b">
        <v>1</v>
      </c>
      <c r="F44" s="2" t="b">
        <v>1</v>
      </c>
      <c r="G44" s="2" t="b">
        <v>1</v>
      </c>
      <c r="H44" s="2" t="b">
        <v>1</v>
      </c>
      <c r="I44" s="2" t="b">
        <v>1</v>
      </c>
      <c r="J44" s="2" t="b">
        <v>0</v>
      </c>
      <c r="K44" s="2" t="b">
        <v>0</v>
      </c>
      <c r="L44" s="2" t="b">
        <v>0</v>
      </c>
      <c r="M44" s="2" t="b">
        <v>0</v>
      </c>
      <c r="N44" s="2" t="b">
        <v>0</v>
      </c>
      <c r="O44" s="2" t="b">
        <v>0</v>
      </c>
      <c r="P44" s="68"/>
      <c r="R44" s="69"/>
      <c r="S44" s="68"/>
      <c r="U44" s="69"/>
      <c r="V44" s="68"/>
      <c r="X44" s="69"/>
      <c r="Y44" s="68"/>
      <c r="AA44" s="69"/>
      <c r="AB44" s="33">
        <f t="shared" si="0"/>
        <v>0</v>
      </c>
      <c r="AC44" s="45">
        <f>_xlfn.LET(_xlpm.ps_1,P44:R44, _xlpm.ps_2,S44:U44, _xlpm.ps_3,V44:X44, _xlpm.ps_4,Y44:AA44,
_xlpm.phase, MID(C44,SEARCH("-",C44)+1,256),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(_xlfn.XLOOKUP($C$7,site_assumptions[Details],site_assumptions[Volts])*SUMIFS(P44:AA44,_xlfn.ANCHORARRAY(D44),TRUE)/10*0.95)/1000,
IFERROR(IF(_xlpm.phase="3Phase", _xlpm.p3_calc, _xlpm.sp_calc),0))</f>
        <v>0</v>
      </c>
      <c r="AD44" s="29" t="str">
        <f ca="1"/>
        <v>Bare Metal</v>
      </c>
      <c r="AE44" s="30" t="str">
        <f ca="1"/>
        <v>Bare Metal</v>
      </c>
      <c r="AF44" s="30" t="str">
        <f ca="1"/>
        <v>Live</v>
      </c>
      <c r="AG44" s="30">
        <f ca="1"/>
        <v>6</v>
      </c>
      <c r="AH44" s="31" t="str">
        <f ca="1"/>
        <v>Unknown</v>
      </c>
      <c r="AI44" s="49">
        <f t="shared" ca="1" si="1"/>
        <v>0</v>
      </c>
      <c r="AJ44" s="71">
        <f ca="1"/>
        <v>2.8679999999999999</v>
      </c>
    </row>
    <row r="45" spans="2:36" x14ac:dyDescent="0.25">
      <c r="B45" s="29" t="str">
        <f ca="1"/>
        <v>dal10.sr01.rk33</v>
      </c>
      <c r="C45" s="10" t="s">
        <v>2070</v>
      </c>
      <c r="D45" s="2" t="b" cm="1">
        <f t="array" ref="D45:O45">_xlfn._xlws.FILTER(IF(ancillary!$E$4:$P$8="",FALSE,ancillary!$E$4:$P$8),ancillary!$B$4:$B$8=$C45)</f>
        <v>1</v>
      </c>
      <c r="E45" s="2" t="b">
        <v>1</v>
      </c>
      <c r="F45" s="2" t="b">
        <v>1</v>
      </c>
      <c r="G45" s="2" t="b">
        <v>1</v>
      </c>
      <c r="H45" s="2" t="b">
        <v>1</v>
      </c>
      <c r="I45" s="2" t="b">
        <v>1</v>
      </c>
      <c r="J45" s="2" t="b">
        <v>0</v>
      </c>
      <c r="K45" s="2" t="b">
        <v>0</v>
      </c>
      <c r="L45" s="2" t="b">
        <v>0</v>
      </c>
      <c r="M45" s="2" t="b">
        <v>0</v>
      </c>
      <c r="N45" s="2" t="b">
        <v>0</v>
      </c>
      <c r="O45" s="2" t="b">
        <v>0</v>
      </c>
      <c r="P45" s="68"/>
      <c r="R45" s="69"/>
      <c r="S45" s="68"/>
      <c r="U45" s="69"/>
      <c r="V45" s="68"/>
      <c r="X45" s="69"/>
      <c r="Y45" s="68"/>
      <c r="AA45" s="69"/>
      <c r="AB45" s="33">
        <f t="shared" si="0"/>
        <v>0</v>
      </c>
      <c r="AC45" s="45">
        <f>_xlfn.LET(_xlpm.ps_1,P45:R45, _xlpm.ps_2,S45:U45, _xlpm.ps_3,V45:X45, _xlpm.ps_4,Y45:AA45,
_xlpm.phase, MID(C45,SEARCH("-",C45)+1,256),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(_xlfn.XLOOKUP($C$7,site_assumptions[Details],site_assumptions[Volts])*SUMIFS(P45:AA45,_xlfn.ANCHORARRAY(D45),TRUE)/10*0.95)/1000,
IFERROR(IF(_xlpm.phase="3Phase", _xlpm.p3_calc, _xlpm.sp_calc),0))</f>
        <v>0</v>
      </c>
      <c r="AD45" s="29" t="str">
        <f ca="1"/>
        <v>Bare Metal</v>
      </c>
      <c r="AE45" s="30" t="str">
        <f ca="1"/>
        <v>Bare Metal</v>
      </c>
      <c r="AF45" s="30" t="str">
        <f ca="1"/>
        <v>Live</v>
      </c>
      <c r="AG45" s="30">
        <f ca="1"/>
        <v>6</v>
      </c>
      <c r="AH45" s="31" t="str">
        <f ca="1"/>
        <v>Unknown</v>
      </c>
      <c r="AI45" s="49">
        <f t="shared" ca="1" si="1"/>
        <v>0</v>
      </c>
      <c r="AJ45" s="71">
        <f ca="1"/>
        <v>2.4569999999999999</v>
      </c>
    </row>
    <row r="46" spans="2:36" x14ac:dyDescent="0.25">
      <c r="B46" s="29" t="str">
        <f ca="1"/>
        <v>dal10.sr01.rk34</v>
      </c>
      <c r="C46" s="10" t="s">
        <v>2070</v>
      </c>
      <c r="D46" s="2" t="b" cm="1">
        <f t="array" ref="D46:O46">_xlfn._xlws.FILTER(IF(ancillary!$E$4:$P$8="",FALSE,ancillary!$E$4:$P$8),ancillary!$B$4:$B$8=$C46)</f>
        <v>1</v>
      </c>
      <c r="E46" s="2" t="b">
        <v>1</v>
      </c>
      <c r="F46" s="2" t="b">
        <v>1</v>
      </c>
      <c r="G46" s="2" t="b">
        <v>1</v>
      </c>
      <c r="H46" s="2" t="b">
        <v>1</v>
      </c>
      <c r="I46" s="2" t="b">
        <v>1</v>
      </c>
      <c r="J46" s="2" t="b">
        <v>0</v>
      </c>
      <c r="K46" s="2" t="b">
        <v>0</v>
      </c>
      <c r="L46" s="2" t="b">
        <v>0</v>
      </c>
      <c r="M46" s="2" t="b">
        <v>0</v>
      </c>
      <c r="N46" s="2" t="b">
        <v>0</v>
      </c>
      <c r="O46" s="2" t="b">
        <v>0</v>
      </c>
      <c r="P46" s="68"/>
      <c r="R46" s="69"/>
      <c r="S46" s="68"/>
      <c r="U46" s="69"/>
      <c r="V46" s="68"/>
      <c r="X46" s="69"/>
      <c r="Y46" s="68"/>
      <c r="AA46" s="69"/>
      <c r="AB46" s="33">
        <f t="shared" si="0"/>
        <v>0</v>
      </c>
      <c r="AC46" s="45">
        <f>_xlfn.LET(_xlpm.ps_1,P46:R46, _xlpm.ps_2,S46:U46, _xlpm.ps_3,V46:X46, _xlpm.ps_4,Y46:AA46,
_xlpm.phase, MID(C46,SEARCH("-",C46)+1,256),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(_xlfn.XLOOKUP($C$7,site_assumptions[Details],site_assumptions[Volts])*SUMIFS(P46:AA46,_xlfn.ANCHORARRAY(D46),TRUE)/10*0.95)/1000,
IFERROR(IF(_xlpm.phase="3Phase", _xlpm.p3_calc, _xlpm.sp_calc),0))</f>
        <v>0</v>
      </c>
      <c r="AD46" s="29" t="str">
        <f ca="1"/>
        <v>Gen2</v>
      </c>
      <c r="AE46" s="30" t="str">
        <f ca="1"/>
        <v>Compute</v>
      </c>
      <c r="AF46" s="30" t="str">
        <f ca="1"/>
        <v>Live</v>
      </c>
      <c r="AG46" s="30">
        <f ca="1"/>
        <v>20</v>
      </c>
      <c r="AH46" s="31" t="str">
        <f ca="1"/>
        <v>Unknown</v>
      </c>
      <c r="AI46" s="49">
        <f t="shared" ca="1" si="1"/>
        <v>0</v>
      </c>
      <c r="AJ46" s="71">
        <f ca="1"/>
        <v>0</v>
      </c>
    </row>
    <row r="47" spans="2:36" x14ac:dyDescent="0.25">
      <c r="B47" s="29" t="str">
        <f ca="1"/>
        <v>dal10.sr01.rk35</v>
      </c>
      <c r="C47" s="10" t="s">
        <v>2070</v>
      </c>
      <c r="D47" s="2" t="b" cm="1">
        <f t="array" ref="D47:O47">_xlfn._xlws.FILTER(IF(ancillary!$E$4:$P$8="",FALSE,ancillary!$E$4:$P$8),ancillary!$B$4:$B$8=$C47)</f>
        <v>1</v>
      </c>
      <c r="E47" s="2" t="b">
        <v>1</v>
      </c>
      <c r="F47" s="2" t="b">
        <v>1</v>
      </c>
      <c r="G47" s="2" t="b">
        <v>1</v>
      </c>
      <c r="H47" s="2" t="b">
        <v>1</v>
      </c>
      <c r="I47" s="2" t="b">
        <v>1</v>
      </c>
      <c r="J47" s="2" t="b">
        <v>0</v>
      </c>
      <c r="K47" s="2" t="b">
        <v>0</v>
      </c>
      <c r="L47" s="2" t="b">
        <v>0</v>
      </c>
      <c r="M47" s="2" t="b">
        <v>0</v>
      </c>
      <c r="N47" s="2" t="b">
        <v>0</v>
      </c>
      <c r="O47" s="2" t="b">
        <v>0</v>
      </c>
      <c r="P47" s="68"/>
      <c r="R47" s="69"/>
      <c r="S47" s="68"/>
      <c r="U47" s="69"/>
      <c r="V47" s="68"/>
      <c r="X47" s="69"/>
      <c r="Y47" s="68"/>
      <c r="AA47" s="69"/>
      <c r="AB47" s="33">
        <f t="shared" si="0"/>
        <v>0</v>
      </c>
      <c r="AC47" s="45">
        <f>_xlfn.LET(_xlpm.ps_1,P47:R47, _xlpm.ps_2,S47:U47, _xlpm.ps_3,V47:X47, _xlpm.ps_4,Y47:AA47,
_xlpm.phase, MID(C47,SEARCH("-",C47)+1,256),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(_xlfn.XLOOKUP($C$7,site_assumptions[Details],site_assumptions[Volts])*SUMIFS(P47:AA47,_xlfn.ANCHORARRAY(D47),TRUE)/10*0.95)/1000,
IFERROR(IF(_xlpm.phase="3Phase", _xlpm.p3_calc, _xlpm.sp_calc),0))</f>
        <v>0</v>
      </c>
      <c r="AD47" s="29" t="str">
        <f ca="1"/>
        <v>Gen2</v>
      </c>
      <c r="AE47" s="30" t="str">
        <f ca="1"/>
        <v>Compute</v>
      </c>
      <c r="AF47" s="30" t="str">
        <f ca="1"/>
        <v>Live</v>
      </c>
      <c r="AG47" s="30">
        <f ca="1"/>
        <v>20</v>
      </c>
      <c r="AH47" s="31" t="str">
        <f ca="1"/>
        <v>Unknown</v>
      </c>
      <c r="AI47" s="49">
        <f t="shared" ca="1" si="1"/>
        <v>0</v>
      </c>
      <c r="AJ47" s="71">
        <f ca="1"/>
        <v>0</v>
      </c>
    </row>
    <row r="48" spans="2:36" x14ac:dyDescent="0.25">
      <c r="B48" s="29" t="str">
        <f ca="1"/>
        <v>dal10.sr01.rk36</v>
      </c>
      <c r="C48" s="10" t="s">
        <v>2070</v>
      </c>
      <c r="D48" s="2" t="b" cm="1">
        <f t="array" ref="D48:O48">_xlfn._xlws.FILTER(IF(ancillary!$E$4:$P$8="",FALSE,ancillary!$E$4:$P$8),ancillary!$B$4:$B$8=$C48)</f>
        <v>1</v>
      </c>
      <c r="E48" s="2" t="b">
        <v>1</v>
      </c>
      <c r="F48" s="2" t="b">
        <v>1</v>
      </c>
      <c r="G48" s="2" t="b">
        <v>1</v>
      </c>
      <c r="H48" s="2" t="b">
        <v>1</v>
      </c>
      <c r="I48" s="2" t="b">
        <v>1</v>
      </c>
      <c r="J48" s="2" t="b">
        <v>0</v>
      </c>
      <c r="K48" s="2" t="b">
        <v>0</v>
      </c>
      <c r="L48" s="2" t="b">
        <v>0</v>
      </c>
      <c r="M48" s="2" t="b">
        <v>0</v>
      </c>
      <c r="N48" s="2" t="b">
        <v>0</v>
      </c>
      <c r="O48" s="2" t="b">
        <v>0</v>
      </c>
      <c r="P48" s="68"/>
      <c r="R48" s="69"/>
      <c r="S48" s="68"/>
      <c r="U48" s="69"/>
      <c r="V48" s="68"/>
      <c r="X48" s="69"/>
      <c r="Y48" s="68"/>
      <c r="AA48" s="69"/>
      <c r="AB48" s="33">
        <f t="shared" si="0"/>
        <v>0</v>
      </c>
      <c r="AC48" s="45">
        <f>_xlfn.LET(_xlpm.ps_1,P48:R48, _xlpm.ps_2,S48:U48, _xlpm.ps_3,V48:X48, _xlpm.ps_4,Y48:AA48,
_xlpm.phase, MID(C48,SEARCH("-",C48)+1,256),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(_xlfn.XLOOKUP($C$7,site_assumptions[Details],site_assumptions[Volts])*SUMIFS(P48:AA48,_xlfn.ANCHORARRAY(D48),TRUE)/10*0.95)/1000,
IFERROR(IF(_xlpm.phase="3Phase", _xlpm.p3_calc, _xlpm.sp_calc),0))</f>
        <v>0</v>
      </c>
      <c r="AD48" s="29" t="str">
        <f ca="1"/>
        <v>Gen2</v>
      </c>
      <c r="AE48" s="30" t="str">
        <f ca="1"/>
        <v>Compute</v>
      </c>
      <c r="AF48" s="30" t="str">
        <f ca="1"/>
        <v>Live</v>
      </c>
      <c r="AG48" s="30">
        <f ca="1"/>
        <v>20</v>
      </c>
      <c r="AH48" s="31" t="str">
        <f ca="1"/>
        <v>Unknown</v>
      </c>
      <c r="AI48" s="49">
        <f t="shared" ca="1" si="1"/>
        <v>0</v>
      </c>
      <c r="AJ48" s="71">
        <f ca="1"/>
        <v>0</v>
      </c>
    </row>
    <row r="49" spans="2:36" x14ac:dyDescent="0.25">
      <c r="B49" s="29" t="str">
        <f ca="1"/>
        <v>dal10.sr01.rk37</v>
      </c>
      <c r="C49" s="10" t="s">
        <v>2070</v>
      </c>
      <c r="D49" s="2" t="b" cm="1">
        <f t="array" ref="D49:O49">_xlfn._xlws.FILTER(IF(ancillary!$E$4:$P$8="",FALSE,ancillary!$E$4:$P$8),ancillary!$B$4:$B$8=$C49)</f>
        <v>1</v>
      </c>
      <c r="E49" s="2" t="b">
        <v>1</v>
      </c>
      <c r="F49" s="2" t="b">
        <v>1</v>
      </c>
      <c r="G49" s="2" t="b">
        <v>1</v>
      </c>
      <c r="H49" s="2" t="b">
        <v>1</v>
      </c>
      <c r="I49" s="2" t="b">
        <v>1</v>
      </c>
      <c r="J49" s="2" t="b">
        <v>0</v>
      </c>
      <c r="K49" s="2" t="b">
        <v>0</v>
      </c>
      <c r="L49" s="2" t="b">
        <v>0</v>
      </c>
      <c r="M49" s="2" t="b">
        <v>0</v>
      </c>
      <c r="N49" s="2" t="b">
        <v>0</v>
      </c>
      <c r="O49" s="2" t="b">
        <v>0</v>
      </c>
      <c r="P49" s="68"/>
      <c r="R49" s="69"/>
      <c r="S49" s="68"/>
      <c r="U49" s="69"/>
      <c r="V49" s="68"/>
      <c r="X49" s="69"/>
      <c r="Y49" s="68"/>
      <c r="AA49" s="69"/>
      <c r="AB49" s="33">
        <f t="shared" si="0"/>
        <v>0</v>
      </c>
      <c r="AC49" s="45">
        <f>_xlfn.LET(_xlpm.ps_1,P49:R49, _xlpm.ps_2,S49:U49, _xlpm.ps_3,V49:X49, _xlpm.ps_4,Y49:AA49,
_xlpm.phase, MID(C49,SEARCH("-",C49)+1,256),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(_xlfn.XLOOKUP($C$7,site_assumptions[Details],site_assumptions[Volts])*SUMIFS(P49:AA49,_xlfn.ANCHORARRAY(D49),TRUE)/10*0.95)/1000,
IFERROR(IF(_xlpm.phase="3Phase", _xlpm.p3_calc, _xlpm.sp_calc),0))</f>
        <v>0</v>
      </c>
      <c r="AD49" s="29" t="str">
        <f ca="1"/>
        <v>Gen2</v>
      </c>
      <c r="AE49" s="30" t="str">
        <f ca="1"/>
        <v>Compute</v>
      </c>
      <c r="AF49" s="30" t="str">
        <f ca="1"/>
        <v>Live</v>
      </c>
      <c r="AG49" s="30">
        <f ca="1"/>
        <v>20</v>
      </c>
      <c r="AH49" s="31" t="str">
        <f ca="1"/>
        <v>Unknown</v>
      </c>
      <c r="AI49" s="49">
        <f t="shared" ca="1" si="1"/>
        <v>0</v>
      </c>
      <c r="AJ49" s="71">
        <f ca="1"/>
        <v>0</v>
      </c>
    </row>
    <row r="50" spans="2:36" x14ac:dyDescent="0.25">
      <c r="B50" s="29" t="str">
        <f ca="1"/>
        <v>dal10.sr01.rk38</v>
      </c>
      <c r="C50" s="10" t="s">
        <v>2070</v>
      </c>
      <c r="D50" s="2" t="b" cm="1">
        <f t="array" ref="D50:O50">_xlfn._xlws.FILTER(IF(ancillary!$E$4:$P$8="",FALSE,ancillary!$E$4:$P$8),ancillary!$B$4:$B$8=$C50)</f>
        <v>1</v>
      </c>
      <c r="E50" s="2" t="b">
        <v>1</v>
      </c>
      <c r="F50" s="2" t="b">
        <v>1</v>
      </c>
      <c r="G50" s="2" t="b">
        <v>1</v>
      </c>
      <c r="H50" s="2" t="b">
        <v>1</v>
      </c>
      <c r="I50" s="2" t="b">
        <v>1</v>
      </c>
      <c r="J50" s="2" t="b">
        <v>0</v>
      </c>
      <c r="K50" s="2" t="b">
        <v>0</v>
      </c>
      <c r="L50" s="2" t="b">
        <v>0</v>
      </c>
      <c r="M50" s="2" t="b">
        <v>0</v>
      </c>
      <c r="N50" s="2" t="b">
        <v>0</v>
      </c>
      <c r="O50" s="2" t="b">
        <v>0</v>
      </c>
      <c r="P50" s="68"/>
      <c r="R50" s="69"/>
      <c r="S50" s="68"/>
      <c r="U50" s="69"/>
      <c r="V50" s="68"/>
      <c r="X50" s="69"/>
      <c r="Y50" s="68"/>
      <c r="AA50" s="69"/>
      <c r="AB50" s="33">
        <f t="shared" si="0"/>
        <v>0</v>
      </c>
      <c r="AC50" s="45">
        <f>_xlfn.LET(_xlpm.ps_1,P50:R50, _xlpm.ps_2,S50:U50, _xlpm.ps_3,V50:X50, _xlpm.ps_4,Y50:AA50,
_xlpm.phase, MID(C50,SEARCH("-",C50)+1,256),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(_xlfn.XLOOKUP($C$7,site_assumptions[Details],site_assumptions[Volts])*SUMIFS(P50:AA50,_xlfn.ANCHORARRAY(D50),TRUE)/10*0.95)/1000,
IFERROR(IF(_xlpm.phase="3Phase", _xlpm.p3_calc, _xlpm.sp_calc),0))</f>
        <v>0</v>
      </c>
      <c r="AD50" s="29" t="str">
        <f ca="1"/>
        <v>Unallocated</v>
      </c>
      <c r="AE50" s="30" t="str">
        <f ca="1"/>
        <v>Unallocated</v>
      </c>
      <c r="AF50" s="30" t="str">
        <f ca="1"/>
        <v>Power Limit</v>
      </c>
      <c r="AG50" s="30">
        <f ca="1"/>
        <v>0</v>
      </c>
      <c r="AH50" s="31" t="str">
        <f ca="1"/>
        <v>Unknown</v>
      </c>
      <c r="AI50" s="49">
        <f t="shared" ca="1" si="1"/>
        <v>0</v>
      </c>
      <c r="AJ50" s="71">
        <f ca="1"/>
        <v>0</v>
      </c>
    </row>
    <row r="51" spans="2:36" x14ac:dyDescent="0.25">
      <c r="B51" s="29" t="str">
        <f ca="1"/>
        <v>dal10.sr01.rk39</v>
      </c>
      <c r="C51" s="10" t="s">
        <v>2070</v>
      </c>
      <c r="D51" s="2" t="b" cm="1">
        <f t="array" ref="D51:O51">_xlfn._xlws.FILTER(IF(ancillary!$E$4:$P$8="",FALSE,ancillary!$E$4:$P$8),ancillary!$B$4:$B$8=$C51)</f>
        <v>1</v>
      </c>
      <c r="E51" s="2" t="b">
        <v>1</v>
      </c>
      <c r="F51" s="2" t="b">
        <v>1</v>
      </c>
      <c r="G51" s="2" t="b">
        <v>1</v>
      </c>
      <c r="H51" s="2" t="b">
        <v>1</v>
      </c>
      <c r="I51" s="2" t="b">
        <v>1</v>
      </c>
      <c r="J51" s="2" t="b">
        <v>0</v>
      </c>
      <c r="K51" s="2" t="b">
        <v>0</v>
      </c>
      <c r="L51" s="2" t="b">
        <v>0</v>
      </c>
      <c r="M51" s="2" t="b">
        <v>0</v>
      </c>
      <c r="N51" s="2" t="b">
        <v>0</v>
      </c>
      <c r="O51" s="2" t="b">
        <v>0</v>
      </c>
      <c r="P51" s="68"/>
      <c r="R51" s="69"/>
      <c r="S51" s="68"/>
      <c r="U51" s="69"/>
      <c r="V51" s="68"/>
      <c r="X51" s="69"/>
      <c r="Y51" s="68"/>
      <c r="AA51" s="69"/>
      <c r="AB51" s="33">
        <f t="shared" si="0"/>
        <v>0</v>
      </c>
      <c r="AC51" s="45">
        <f>_xlfn.LET(_xlpm.ps_1,P51:R51, _xlpm.ps_2,S51:U51, _xlpm.ps_3,V51:X51, _xlpm.ps_4,Y51:AA51,
_xlpm.phase, MID(C51,SEARCH("-",C51)+1,256),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(_xlfn.XLOOKUP($C$7,site_assumptions[Details],site_assumptions[Volts])*SUMIFS(P51:AA51,_xlfn.ANCHORARRAY(D51),TRUE)/10*0.95)/1000,
IFERROR(IF(_xlpm.phase="3Phase", _xlpm.p3_calc, _xlpm.sp_calc),0))</f>
        <v>0</v>
      </c>
      <c r="AD51" s="29" t="str">
        <f ca="1"/>
        <v>Unallocated</v>
      </c>
      <c r="AE51" s="30" t="str">
        <f ca="1"/>
        <v>Unallocated</v>
      </c>
      <c r="AF51" s="30" t="str">
        <f ca="1"/>
        <v>Power Limit</v>
      </c>
      <c r="AG51" s="30">
        <f ca="1"/>
        <v>0</v>
      </c>
      <c r="AH51" s="31" t="str">
        <f ca="1"/>
        <v>Unknown</v>
      </c>
      <c r="AI51" s="49">
        <f t="shared" ca="1" si="1"/>
        <v>0</v>
      </c>
      <c r="AJ51" s="71">
        <f ca="1"/>
        <v>0</v>
      </c>
    </row>
    <row r="52" spans="2:36" x14ac:dyDescent="0.25">
      <c r="B52" s="29" t="str">
        <f ca="1"/>
        <v>dal10.sr01.rk40</v>
      </c>
      <c r="C52" s="10" t="s">
        <v>2070</v>
      </c>
      <c r="D52" s="2" t="b" cm="1">
        <f t="array" ref="D52:O52">_xlfn._xlws.FILTER(IF(ancillary!$E$4:$P$8="",FALSE,ancillary!$E$4:$P$8),ancillary!$B$4:$B$8=$C52)</f>
        <v>1</v>
      </c>
      <c r="E52" s="2" t="b">
        <v>1</v>
      </c>
      <c r="F52" s="2" t="b">
        <v>1</v>
      </c>
      <c r="G52" s="2" t="b">
        <v>1</v>
      </c>
      <c r="H52" s="2" t="b">
        <v>1</v>
      </c>
      <c r="I52" s="2" t="b">
        <v>1</v>
      </c>
      <c r="J52" s="2" t="b">
        <v>0</v>
      </c>
      <c r="K52" s="2" t="b">
        <v>0</v>
      </c>
      <c r="L52" s="2" t="b">
        <v>0</v>
      </c>
      <c r="M52" s="2" t="b">
        <v>0</v>
      </c>
      <c r="N52" s="2" t="b">
        <v>0</v>
      </c>
      <c r="O52" s="2" t="b">
        <v>0</v>
      </c>
      <c r="P52" s="68"/>
      <c r="R52" s="69"/>
      <c r="S52" s="68"/>
      <c r="U52" s="69"/>
      <c r="V52" s="68"/>
      <c r="X52" s="69"/>
      <c r="Y52" s="68"/>
      <c r="AA52" s="69"/>
      <c r="AB52" s="33">
        <f t="shared" si="0"/>
        <v>0</v>
      </c>
      <c r="AC52" s="45">
        <f>_xlfn.LET(_xlpm.ps_1,P52:R52, _xlpm.ps_2,S52:U52, _xlpm.ps_3,V52:X52, _xlpm.ps_4,Y52:AA52,
_xlpm.phase, MID(C52,SEARCH("-",C52)+1,256),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(_xlfn.XLOOKUP($C$7,site_assumptions[Details],site_assumptions[Volts])*SUMIFS(P52:AA52,_xlfn.ANCHORARRAY(D52),TRUE)/10*0.95)/1000,
IFERROR(IF(_xlpm.phase="3Phase", _xlpm.p3_calc, _xlpm.sp_calc),0))</f>
        <v>0</v>
      </c>
      <c r="AD52" s="29" t="str">
        <f ca="1"/>
        <v>Unallocated</v>
      </c>
      <c r="AE52" s="30" t="str">
        <f ca="1"/>
        <v>Unallocated</v>
      </c>
      <c r="AF52" s="30" t="str">
        <f ca="1"/>
        <v>Power Limit</v>
      </c>
      <c r="AG52" s="30">
        <f ca="1"/>
        <v>0</v>
      </c>
      <c r="AH52" s="31" t="str">
        <f ca="1"/>
        <v>Unknown</v>
      </c>
      <c r="AI52" s="49">
        <f t="shared" ca="1" si="1"/>
        <v>0</v>
      </c>
      <c r="AJ52" s="71">
        <f ca="1"/>
        <v>0</v>
      </c>
    </row>
    <row r="53" spans="2:36" x14ac:dyDescent="0.25">
      <c r="B53" s="29" t="str">
        <f ca="1"/>
        <v>dal10.sr01.rk41</v>
      </c>
      <c r="C53" s="10" t="s">
        <v>2070</v>
      </c>
      <c r="D53" s="2" t="b" cm="1">
        <f t="array" ref="D53:O53">_xlfn._xlws.FILTER(IF(ancillary!$E$4:$P$8="",FALSE,ancillary!$E$4:$P$8),ancillary!$B$4:$B$8=$C53)</f>
        <v>1</v>
      </c>
      <c r="E53" s="2" t="b">
        <v>1</v>
      </c>
      <c r="F53" s="2" t="b">
        <v>1</v>
      </c>
      <c r="G53" s="2" t="b">
        <v>1</v>
      </c>
      <c r="H53" s="2" t="b">
        <v>1</v>
      </c>
      <c r="I53" s="2" t="b">
        <v>1</v>
      </c>
      <c r="J53" s="2" t="b">
        <v>0</v>
      </c>
      <c r="K53" s="2" t="b">
        <v>0</v>
      </c>
      <c r="L53" s="2" t="b">
        <v>0</v>
      </c>
      <c r="M53" s="2" t="b">
        <v>0</v>
      </c>
      <c r="N53" s="2" t="b">
        <v>0</v>
      </c>
      <c r="O53" s="2" t="b">
        <v>0</v>
      </c>
      <c r="P53" s="68"/>
      <c r="R53" s="69"/>
      <c r="S53" s="68"/>
      <c r="U53" s="69"/>
      <c r="V53" s="68"/>
      <c r="X53" s="69"/>
      <c r="Y53" s="68"/>
      <c r="AA53" s="69"/>
      <c r="AB53" s="33">
        <f t="shared" si="0"/>
        <v>0</v>
      </c>
      <c r="AC53" s="45">
        <f>_xlfn.LET(_xlpm.ps_1,P53:R53, _xlpm.ps_2,S53:U53, _xlpm.ps_3,V53:X53, _xlpm.ps_4,Y53:AA53,
_xlpm.phase, MID(C53,SEARCH("-",C53)+1,256),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(_xlfn.XLOOKUP($C$7,site_assumptions[Details],site_assumptions[Volts])*SUMIFS(P53:AA53,_xlfn.ANCHORARRAY(D53),TRUE)/10*0.95)/1000,
IFERROR(IF(_xlpm.phase="3Phase", _xlpm.p3_calc, _xlpm.sp_calc),0))</f>
        <v>0</v>
      </c>
      <c r="AD53" s="29" t="str">
        <f ca="1"/>
        <v>Unallocated</v>
      </c>
      <c r="AE53" s="30" t="str">
        <f ca="1"/>
        <v>Unallocated</v>
      </c>
      <c r="AF53" s="30" t="str">
        <f ca="1"/>
        <v>Power Limit</v>
      </c>
      <c r="AG53" s="30">
        <f ca="1"/>
        <v>0</v>
      </c>
      <c r="AH53" s="31" t="str">
        <f ca="1"/>
        <v>Unknown</v>
      </c>
      <c r="AI53" s="49">
        <f t="shared" ca="1" si="1"/>
        <v>0</v>
      </c>
      <c r="AJ53" s="71">
        <f ca="1"/>
        <v>0</v>
      </c>
    </row>
    <row r="54" spans="2:36" x14ac:dyDescent="0.25">
      <c r="B54" s="29" t="str">
        <f ca="1"/>
        <v>dal10.sr01.rk42</v>
      </c>
      <c r="C54" s="10" t="s">
        <v>2070</v>
      </c>
      <c r="D54" s="2" t="b" cm="1">
        <f t="array" ref="D54:O54">_xlfn._xlws.FILTER(IF(ancillary!$E$4:$P$8="",FALSE,ancillary!$E$4:$P$8),ancillary!$B$4:$B$8=$C54)</f>
        <v>1</v>
      </c>
      <c r="E54" s="2" t="b">
        <v>1</v>
      </c>
      <c r="F54" s="2" t="b">
        <v>1</v>
      </c>
      <c r="G54" s="2" t="b">
        <v>1</v>
      </c>
      <c r="H54" s="2" t="b">
        <v>1</v>
      </c>
      <c r="I54" s="2" t="b">
        <v>1</v>
      </c>
      <c r="J54" s="2" t="b">
        <v>0</v>
      </c>
      <c r="K54" s="2" t="b">
        <v>0</v>
      </c>
      <c r="L54" s="2" t="b">
        <v>0</v>
      </c>
      <c r="M54" s="2" t="b">
        <v>0</v>
      </c>
      <c r="N54" s="2" t="b">
        <v>0</v>
      </c>
      <c r="O54" s="2" t="b">
        <v>0</v>
      </c>
      <c r="P54" s="68"/>
      <c r="R54" s="69"/>
      <c r="S54" s="68"/>
      <c r="U54" s="69"/>
      <c r="V54" s="68"/>
      <c r="X54" s="69"/>
      <c r="Y54" s="68"/>
      <c r="AA54" s="69"/>
      <c r="AB54" s="33">
        <f t="shared" si="0"/>
        <v>0</v>
      </c>
      <c r="AC54" s="45">
        <f>_xlfn.LET(_xlpm.ps_1,P54:R54, _xlpm.ps_2,S54:U54, _xlpm.ps_3,V54:X54, _xlpm.ps_4,Y54:AA54,
_xlpm.phase, MID(C54,SEARCH("-",C54)+1,256),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(_xlfn.XLOOKUP($C$7,site_assumptions[Details],site_assumptions[Volts])*SUMIFS(P54:AA54,_xlfn.ANCHORARRAY(D54),TRUE)/10*0.95)/1000,
IFERROR(IF(_xlpm.phase="3Phase", _xlpm.p3_calc, _xlpm.sp_calc),0))</f>
        <v>0</v>
      </c>
      <c r="AD54" s="29" t="str">
        <f ca="1"/>
        <v>Unallocated</v>
      </c>
      <c r="AE54" s="30" t="str">
        <f ca="1"/>
        <v>Unallocated</v>
      </c>
      <c r="AF54" s="30" t="str">
        <f ca="1"/>
        <v>Power Limit</v>
      </c>
      <c r="AG54" s="30">
        <f ca="1"/>
        <v>0</v>
      </c>
      <c r="AH54" s="31" t="str">
        <f ca="1"/>
        <v>Unknown</v>
      </c>
      <c r="AI54" s="49">
        <f t="shared" ca="1" si="1"/>
        <v>0</v>
      </c>
      <c r="AJ54" s="71">
        <f ca="1"/>
        <v>0</v>
      </c>
    </row>
    <row r="55" spans="2:36" x14ac:dyDescent="0.25">
      <c r="B55" s="29" t="str">
        <f ca="1"/>
        <v>dal10.sr01.rk43</v>
      </c>
      <c r="C55" s="10" t="s">
        <v>2070</v>
      </c>
      <c r="D55" s="2" t="b" cm="1">
        <f t="array" ref="D55:O55">_xlfn._xlws.FILTER(IF(ancillary!$E$4:$P$8="",FALSE,ancillary!$E$4:$P$8),ancillary!$B$4:$B$8=$C55)</f>
        <v>1</v>
      </c>
      <c r="E55" s="2" t="b">
        <v>1</v>
      </c>
      <c r="F55" s="2" t="b">
        <v>1</v>
      </c>
      <c r="G55" s="2" t="b">
        <v>1</v>
      </c>
      <c r="H55" s="2" t="b">
        <v>1</v>
      </c>
      <c r="I55" s="2" t="b">
        <v>1</v>
      </c>
      <c r="J55" s="2" t="b">
        <v>0</v>
      </c>
      <c r="K55" s="2" t="b">
        <v>0</v>
      </c>
      <c r="L55" s="2" t="b">
        <v>0</v>
      </c>
      <c r="M55" s="2" t="b">
        <v>0</v>
      </c>
      <c r="N55" s="2" t="b">
        <v>0</v>
      </c>
      <c r="O55" s="2" t="b">
        <v>0</v>
      </c>
      <c r="P55" s="68"/>
      <c r="R55" s="69"/>
      <c r="S55" s="68"/>
      <c r="U55" s="69"/>
      <c r="V55" s="68"/>
      <c r="X55" s="69"/>
      <c r="Y55" s="68"/>
      <c r="AA55" s="69"/>
      <c r="AB55" s="33">
        <f t="shared" si="0"/>
        <v>0</v>
      </c>
      <c r="AC55" s="45">
        <f>_xlfn.LET(_xlpm.ps_1,P55:R55, _xlpm.ps_2,S55:U55, _xlpm.ps_3,V55:X55, _xlpm.ps_4,Y55:AA55,
_xlpm.phase, MID(C55,SEARCH("-",C55)+1,256),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(_xlfn.XLOOKUP($C$7,site_assumptions[Details],site_assumptions[Volts])*SUMIFS(P55:AA55,_xlfn.ANCHORARRAY(D55),TRUE)/10*0.95)/1000,
IFERROR(IF(_xlpm.phase="3Phase", _xlpm.p3_calc, _xlpm.sp_calc),0))</f>
        <v>0</v>
      </c>
      <c r="AD55" s="29" t="str">
        <f ca="1"/>
        <v>Unallocated</v>
      </c>
      <c r="AE55" s="30" t="str">
        <f ca="1"/>
        <v>Unallocated</v>
      </c>
      <c r="AF55" s="30" t="str">
        <f ca="1"/>
        <v>Power Limit</v>
      </c>
      <c r="AG55" s="30">
        <f ca="1"/>
        <v>0</v>
      </c>
      <c r="AH55" s="31" t="str">
        <f ca="1"/>
        <v>Unknown</v>
      </c>
      <c r="AI55" s="49">
        <f t="shared" ca="1" si="1"/>
        <v>0</v>
      </c>
      <c r="AJ55" s="71">
        <f ca="1"/>
        <v>0</v>
      </c>
    </row>
    <row r="56" spans="2:36" x14ac:dyDescent="0.25">
      <c r="B56" s="29" t="str">
        <f ca="1"/>
        <v>dal10.sr01.rk44</v>
      </c>
      <c r="C56" s="10" t="s">
        <v>2070</v>
      </c>
      <c r="D56" s="2" t="b" cm="1">
        <f t="array" ref="D56:O56">_xlfn._xlws.FILTER(IF(ancillary!$E$4:$P$8="",FALSE,ancillary!$E$4:$P$8),ancillary!$B$4:$B$8=$C56)</f>
        <v>1</v>
      </c>
      <c r="E56" s="2" t="b">
        <v>1</v>
      </c>
      <c r="F56" s="2" t="b">
        <v>1</v>
      </c>
      <c r="G56" s="2" t="b">
        <v>1</v>
      </c>
      <c r="H56" s="2" t="b">
        <v>1</v>
      </c>
      <c r="I56" s="2" t="b">
        <v>1</v>
      </c>
      <c r="J56" s="2" t="b">
        <v>0</v>
      </c>
      <c r="K56" s="2" t="b">
        <v>0</v>
      </c>
      <c r="L56" s="2" t="b">
        <v>0</v>
      </c>
      <c r="M56" s="2" t="b">
        <v>0</v>
      </c>
      <c r="N56" s="2" t="b">
        <v>0</v>
      </c>
      <c r="O56" s="2" t="b">
        <v>0</v>
      </c>
      <c r="P56" s="68"/>
      <c r="R56" s="69"/>
      <c r="S56" s="68"/>
      <c r="U56" s="69"/>
      <c r="V56" s="68"/>
      <c r="X56" s="69"/>
      <c r="Y56" s="68"/>
      <c r="AA56" s="69"/>
      <c r="AB56" s="33">
        <f t="shared" si="0"/>
        <v>0</v>
      </c>
      <c r="AC56" s="45">
        <f>_xlfn.LET(_xlpm.ps_1,P56:R56, _xlpm.ps_2,S56:U56, _xlpm.ps_3,V56:X56, _xlpm.ps_4,Y56:AA56,
_xlpm.phase, MID(C56,SEARCH("-",C56)+1,256),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(_xlfn.XLOOKUP($C$7,site_assumptions[Details],site_assumptions[Volts])*SUMIFS(P56:AA56,_xlfn.ANCHORARRAY(D56),TRUE)/10*0.95)/1000,
IFERROR(IF(_xlpm.phase="3Phase", _xlpm.p3_calc, _xlpm.sp_calc),0))</f>
        <v>0</v>
      </c>
      <c r="AD56" s="29" t="str">
        <f ca="1"/>
        <v>Unallocated</v>
      </c>
      <c r="AE56" s="30" t="str">
        <f ca="1"/>
        <v>Unallocated</v>
      </c>
      <c r="AF56" s="30" t="str">
        <f ca="1"/>
        <v>Power Limit</v>
      </c>
      <c r="AG56" s="30">
        <f ca="1"/>
        <v>0</v>
      </c>
      <c r="AH56" s="31" t="str">
        <f ca="1"/>
        <v>Unknown</v>
      </c>
      <c r="AI56" s="49">
        <f t="shared" ca="1" si="1"/>
        <v>0</v>
      </c>
      <c r="AJ56" s="71">
        <f ca="1"/>
        <v>0</v>
      </c>
    </row>
    <row r="57" spans="2:36" x14ac:dyDescent="0.25">
      <c r="B57" s="29" t="str">
        <f ca="1"/>
        <v>dal10.sr01.rk45</v>
      </c>
      <c r="C57" s="10" t="s">
        <v>2070</v>
      </c>
      <c r="D57" s="2" t="b" cm="1">
        <f t="array" ref="D57:O57">_xlfn._xlws.FILTER(IF(ancillary!$E$4:$P$8="",FALSE,ancillary!$E$4:$P$8),ancillary!$B$4:$B$8=$C57)</f>
        <v>1</v>
      </c>
      <c r="E57" s="2" t="b">
        <v>1</v>
      </c>
      <c r="F57" s="2" t="b">
        <v>1</v>
      </c>
      <c r="G57" s="2" t="b">
        <v>1</v>
      </c>
      <c r="H57" s="2" t="b">
        <v>1</v>
      </c>
      <c r="I57" s="2" t="b">
        <v>1</v>
      </c>
      <c r="J57" s="2" t="b">
        <v>0</v>
      </c>
      <c r="K57" s="2" t="b">
        <v>0</v>
      </c>
      <c r="L57" s="2" t="b">
        <v>0</v>
      </c>
      <c r="M57" s="2" t="b">
        <v>0</v>
      </c>
      <c r="N57" s="2" t="b">
        <v>0</v>
      </c>
      <c r="O57" s="2" t="b">
        <v>0</v>
      </c>
      <c r="P57" s="68"/>
      <c r="R57" s="69"/>
      <c r="S57" s="68"/>
      <c r="U57" s="69"/>
      <c r="V57" s="68"/>
      <c r="X57" s="69"/>
      <c r="Y57" s="68"/>
      <c r="AA57" s="69"/>
      <c r="AB57" s="33">
        <f t="shared" si="0"/>
        <v>0</v>
      </c>
      <c r="AC57" s="45">
        <f>_xlfn.LET(_xlpm.ps_1,P57:R57, _xlpm.ps_2,S57:U57, _xlpm.ps_3,V57:X57, _xlpm.ps_4,Y57:AA57,
_xlpm.phase, MID(C57,SEARCH("-",C57)+1,256),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(_xlfn.XLOOKUP($C$7,site_assumptions[Details],site_assumptions[Volts])*SUMIFS(P57:AA57,_xlfn.ANCHORARRAY(D57),TRUE)/10*0.95)/1000,
IFERROR(IF(_xlpm.phase="3Phase", _xlpm.p3_calc, _xlpm.sp_calc),0))</f>
        <v>0</v>
      </c>
      <c r="AD57" s="29" t="str">
        <f ca="1"/>
        <v>Bare Metal</v>
      </c>
      <c r="AE57" s="30" t="str">
        <f ca="1"/>
        <v>Bare Metal</v>
      </c>
      <c r="AF57" s="30" t="str">
        <f ca="1"/>
        <v>Live</v>
      </c>
      <c r="AG57" s="30">
        <f ca="1"/>
        <v>6</v>
      </c>
      <c r="AH57" s="31" t="str">
        <f ca="1"/>
        <v>Unknown</v>
      </c>
      <c r="AI57" s="49">
        <f t="shared" ca="1" si="1"/>
        <v>0</v>
      </c>
      <c r="AJ57" s="71">
        <f ca="1"/>
        <v>3.512</v>
      </c>
    </row>
    <row r="58" spans="2:36" x14ac:dyDescent="0.25">
      <c r="B58" s="29" t="str">
        <f ca="1"/>
        <v>dal10.sr01.rk46</v>
      </c>
      <c r="C58" s="10" t="s">
        <v>2070</v>
      </c>
      <c r="D58" s="2" t="b" cm="1">
        <f t="array" ref="D58:O58">_xlfn._xlws.FILTER(IF(ancillary!$E$4:$P$8="",FALSE,ancillary!$E$4:$P$8),ancillary!$B$4:$B$8=$C58)</f>
        <v>1</v>
      </c>
      <c r="E58" s="2" t="b">
        <v>1</v>
      </c>
      <c r="F58" s="2" t="b">
        <v>1</v>
      </c>
      <c r="G58" s="2" t="b">
        <v>1</v>
      </c>
      <c r="H58" s="2" t="b">
        <v>1</v>
      </c>
      <c r="I58" s="2" t="b">
        <v>1</v>
      </c>
      <c r="J58" s="2" t="b">
        <v>0</v>
      </c>
      <c r="K58" s="2" t="b">
        <v>0</v>
      </c>
      <c r="L58" s="2" t="b">
        <v>0</v>
      </c>
      <c r="M58" s="2" t="b">
        <v>0</v>
      </c>
      <c r="N58" s="2" t="b">
        <v>0</v>
      </c>
      <c r="O58" s="2" t="b">
        <v>0</v>
      </c>
      <c r="P58" s="68"/>
      <c r="R58" s="69"/>
      <c r="S58" s="68"/>
      <c r="U58" s="69"/>
      <c r="V58" s="68"/>
      <c r="X58" s="69"/>
      <c r="Y58" s="68"/>
      <c r="AA58" s="69"/>
      <c r="AB58" s="33">
        <f t="shared" si="0"/>
        <v>0</v>
      </c>
      <c r="AC58" s="45">
        <f>_xlfn.LET(_xlpm.ps_1,P58:R58, _xlpm.ps_2,S58:U58, _xlpm.ps_3,V58:X58, _xlpm.ps_4,Y58:AA58,
_xlpm.phase, MID(C58,SEARCH("-",C58)+1,256),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(_xlfn.XLOOKUP($C$7,site_assumptions[Details],site_assumptions[Volts])*SUMIFS(P58:AA58,_xlfn.ANCHORARRAY(D58),TRUE)/10*0.95)/1000,
IFERROR(IF(_xlpm.phase="3Phase", _xlpm.p3_calc, _xlpm.sp_calc),0))</f>
        <v>0</v>
      </c>
      <c r="AD58" s="29" t="str">
        <f ca="1"/>
        <v>Bare Metal</v>
      </c>
      <c r="AE58" s="30" t="str">
        <f ca="1"/>
        <v>Bare Metal</v>
      </c>
      <c r="AF58" s="30" t="str">
        <f ca="1"/>
        <v>Live</v>
      </c>
      <c r="AG58" s="30">
        <f ca="1"/>
        <v>6</v>
      </c>
      <c r="AH58" s="31" t="str">
        <f ca="1"/>
        <v>Unknown</v>
      </c>
      <c r="AI58" s="49">
        <f t="shared" ca="1" si="1"/>
        <v>0</v>
      </c>
      <c r="AJ58" s="71">
        <f ca="1"/>
        <v>4.8639999999999999</v>
      </c>
    </row>
    <row r="59" spans="2:36" x14ac:dyDescent="0.25">
      <c r="B59" s="29" t="str">
        <f ca="1"/>
        <v>dal10.sr01.rk47</v>
      </c>
      <c r="C59" s="10" t="s">
        <v>2070</v>
      </c>
      <c r="D59" s="2" t="b" cm="1">
        <f t="array" ref="D59:O59">_xlfn._xlws.FILTER(IF(ancillary!$E$4:$P$8="",FALSE,ancillary!$E$4:$P$8),ancillary!$B$4:$B$8=$C59)</f>
        <v>1</v>
      </c>
      <c r="E59" s="2" t="b">
        <v>1</v>
      </c>
      <c r="F59" s="2" t="b">
        <v>1</v>
      </c>
      <c r="G59" s="2" t="b">
        <v>1</v>
      </c>
      <c r="H59" s="2" t="b">
        <v>1</v>
      </c>
      <c r="I59" s="2" t="b">
        <v>1</v>
      </c>
      <c r="J59" s="2" t="b">
        <v>0</v>
      </c>
      <c r="K59" s="2" t="b">
        <v>0</v>
      </c>
      <c r="L59" s="2" t="b">
        <v>0</v>
      </c>
      <c r="M59" s="2" t="b">
        <v>0</v>
      </c>
      <c r="N59" s="2" t="b">
        <v>0</v>
      </c>
      <c r="O59" s="2" t="b">
        <v>0</v>
      </c>
      <c r="P59" s="68"/>
      <c r="R59" s="69"/>
      <c r="S59" s="68"/>
      <c r="U59" s="69"/>
      <c r="V59" s="68"/>
      <c r="X59" s="69"/>
      <c r="Y59" s="68"/>
      <c r="AA59" s="69"/>
      <c r="AB59" s="33">
        <f t="shared" si="0"/>
        <v>0</v>
      </c>
      <c r="AC59" s="45">
        <f>_xlfn.LET(_xlpm.ps_1,P59:R59, _xlpm.ps_2,S59:U59, _xlpm.ps_3,V59:X59, _xlpm.ps_4,Y59:AA59,
_xlpm.phase, MID(C59,SEARCH("-",C59)+1,256),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(_xlfn.XLOOKUP($C$7,site_assumptions[Details],site_assumptions[Volts])*SUMIFS(P59:AA59,_xlfn.ANCHORARRAY(D59),TRUE)/10*0.95)/1000,
IFERROR(IF(_xlpm.phase="3Phase", _xlpm.p3_calc, _xlpm.sp_calc),0))</f>
        <v>0</v>
      </c>
      <c r="AD59" s="29" t="str">
        <f ca="1"/>
        <v>Bare Metal</v>
      </c>
      <c r="AE59" s="30" t="str">
        <f ca="1"/>
        <v>Bare Metal</v>
      </c>
      <c r="AF59" s="30" t="str">
        <f ca="1"/>
        <v>Live</v>
      </c>
      <c r="AG59" s="30">
        <f ca="1"/>
        <v>6</v>
      </c>
      <c r="AH59" s="31" t="str">
        <f ca="1"/>
        <v>Unknown</v>
      </c>
      <c r="AI59" s="49">
        <f t="shared" ca="1" si="1"/>
        <v>0</v>
      </c>
      <c r="AJ59" s="71">
        <f ca="1"/>
        <v>3.5939999999999999</v>
      </c>
    </row>
    <row r="60" spans="2:36" x14ac:dyDescent="0.25">
      <c r="B60" s="29" t="str">
        <f ca="1"/>
        <v>dal10.sr01.rk48</v>
      </c>
      <c r="C60" s="10" t="s">
        <v>2070</v>
      </c>
      <c r="D60" s="2" t="b" cm="1">
        <f t="array" ref="D60:O60">_xlfn._xlws.FILTER(IF(ancillary!$E$4:$P$8="",FALSE,ancillary!$E$4:$P$8),ancillary!$B$4:$B$8=$C60)</f>
        <v>1</v>
      </c>
      <c r="E60" s="2" t="b">
        <v>1</v>
      </c>
      <c r="F60" s="2" t="b">
        <v>1</v>
      </c>
      <c r="G60" s="2" t="b">
        <v>1</v>
      </c>
      <c r="H60" s="2" t="b">
        <v>1</v>
      </c>
      <c r="I60" s="2" t="b">
        <v>1</v>
      </c>
      <c r="J60" s="2" t="b">
        <v>0</v>
      </c>
      <c r="K60" s="2" t="b">
        <v>0</v>
      </c>
      <c r="L60" s="2" t="b">
        <v>0</v>
      </c>
      <c r="M60" s="2" t="b">
        <v>0</v>
      </c>
      <c r="N60" s="2" t="b">
        <v>0</v>
      </c>
      <c r="O60" s="2" t="b">
        <v>0</v>
      </c>
      <c r="P60" s="68"/>
      <c r="R60" s="69"/>
      <c r="S60" s="68"/>
      <c r="U60" s="69"/>
      <c r="V60" s="68"/>
      <c r="X60" s="69"/>
      <c r="Y60" s="68"/>
      <c r="AA60" s="69"/>
      <c r="AB60" s="33">
        <f t="shared" si="0"/>
        <v>0</v>
      </c>
      <c r="AC60" s="45">
        <f>_xlfn.LET(_xlpm.ps_1,P60:R60, _xlpm.ps_2,S60:U60, _xlpm.ps_3,V60:X60, _xlpm.ps_4,Y60:AA60,
_xlpm.phase, MID(C60,SEARCH("-",C60)+1,256),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(_xlfn.XLOOKUP($C$7,site_assumptions[Details],site_assumptions[Volts])*SUMIFS(P60:AA60,_xlfn.ANCHORARRAY(D60),TRUE)/10*0.95)/1000,
IFERROR(IF(_xlpm.phase="3Phase", _xlpm.p3_calc, _xlpm.sp_calc),0))</f>
        <v>0</v>
      </c>
      <c r="AD60" s="29" t="str">
        <f ca="1"/>
        <v>Bare Metal</v>
      </c>
      <c r="AE60" s="30" t="str">
        <f ca="1"/>
        <v>Bare Metal</v>
      </c>
      <c r="AF60" s="30" t="str">
        <f ca="1"/>
        <v>Live</v>
      </c>
      <c r="AG60" s="30">
        <f ca="1"/>
        <v>6</v>
      </c>
      <c r="AH60" s="31" t="str">
        <f ca="1"/>
        <v>Unknown</v>
      </c>
      <c r="AI60" s="49">
        <f t="shared" ca="1" si="1"/>
        <v>0</v>
      </c>
      <c r="AJ60" s="71">
        <f ca="1"/>
        <v>3.1709999999999998</v>
      </c>
    </row>
    <row r="61" spans="2:36" x14ac:dyDescent="0.25">
      <c r="B61" s="29" t="str">
        <f ca="1"/>
        <v>dal10.sr01.rk49</v>
      </c>
      <c r="C61" s="10" t="s">
        <v>2070</v>
      </c>
      <c r="D61" s="2" t="b" cm="1">
        <f t="array" ref="D61:O61">_xlfn._xlws.FILTER(IF(ancillary!$E$4:$P$8="",FALSE,ancillary!$E$4:$P$8),ancillary!$B$4:$B$8=$C61)</f>
        <v>1</v>
      </c>
      <c r="E61" s="2" t="b">
        <v>1</v>
      </c>
      <c r="F61" s="2" t="b">
        <v>1</v>
      </c>
      <c r="G61" s="2" t="b">
        <v>1</v>
      </c>
      <c r="H61" s="2" t="b">
        <v>1</v>
      </c>
      <c r="I61" s="2" t="b">
        <v>1</v>
      </c>
      <c r="J61" s="2" t="b">
        <v>0</v>
      </c>
      <c r="K61" s="2" t="b">
        <v>0</v>
      </c>
      <c r="L61" s="2" t="b">
        <v>0</v>
      </c>
      <c r="M61" s="2" t="b">
        <v>0</v>
      </c>
      <c r="N61" s="2" t="b">
        <v>0</v>
      </c>
      <c r="O61" s="2" t="b">
        <v>0</v>
      </c>
      <c r="P61" s="68"/>
      <c r="R61" s="69"/>
      <c r="S61" s="68"/>
      <c r="U61" s="69"/>
      <c r="V61" s="68"/>
      <c r="X61" s="69"/>
      <c r="Y61" s="68"/>
      <c r="AA61" s="69"/>
      <c r="AB61" s="33">
        <f t="shared" si="0"/>
        <v>0</v>
      </c>
      <c r="AC61" s="45">
        <f>_xlfn.LET(_xlpm.ps_1,P61:R61, _xlpm.ps_2,S61:U61, _xlpm.ps_3,V61:X61, _xlpm.ps_4,Y61:AA61,
_xlpm.phase, MID(C61,SEARCH("-",C61)+1,256),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(_xlfn.XLOOKUP($C$7,site_assumptions[Details],site_assumptions[Volts])*SUMIFS(P61:AA61,_xlfn.ANCHORARRAY(D61),TRUE)/10*0.95)/1000,
IFERROR(IF(_xlpm.phase="3Phase", _xlpm.p3_calc, _xlpm.sp_calc),0))</f>
        <v>0</v>
      </c>
      <c r="AD61" s="29" t="str">
        <f ca="1"/>
        <v>Bare Metal</v>
      </c>
      <c r="AE61" s="30" t="str">
        <f ca="1"/>
        <v>Bare Metal</v>
      </c>
      <c r="AF61" s="30" t="str">
        <f ca="1"/>
        <v>Live</v>
      </c>
      <c r="AG61" s="30">
        <f ca="1"/>
        <v>6</v>
      </c>
      <c r="AH61" s="31" t="str">
        <f ca="1"/>
        <v>Unknown</v>
      </c>
      <c r="AI61" s="49">
        <f t="shared" ca="1" si="1"/>
        <v>0</v>
      </c>
      <c r="AJ61" s="71">
        <f ca="1"/>
        <v>2.8690000000000002</v>
      </c>
    </row>
    <row r="62" spans="2:36" x14ac:dyDescent="0.25">
      <c r="B62" s="29" t="str">
        <f ca="1"/>
        <v>dal10.sr01.rk50</v>
      </c>
      <c r="C62" s="10" t="s">
        <v>2070</v>
      </c>
      <c r="D62" s="2" t="b" cm="1">
        <f t="array" ref="D62:O62">_xlfn._xlws.FILTER(IF(ancillary!$E$4:$P$8="",FALSE,ancillary!$E$4:$P$8),ancillary!$B$4:$B$8=$C62)</f>
        <v>1</v>
      </c>
      <c r="E62" s="2" t="b">
        <v>1</v>
      </c>
      <c r="F62" s="2" t="b">
        <v>1</v>
      </c>
      <c r="G62" s="2" t="b">
        <v>1</v>
      </c>
      <c r="H62" s="2" t="b">
        <v>1</v>
      </c>
      <c r="I62" s="2" t="b">
        <v>1</v>
      </c>
      <c r="J62" s="2" t="b">
        <v>0</v>
      </c>
      <c r="K62" s="2" t="b">
        <v>0</v>
      </c>
      <c r="L62" s="2" t="b">
        <v>0</v>
      </c>
      <c r="M62" s="2" t="b">
        <v>0</v>
      </c>
      <c r="N62" s="2" t="b">
        <v>0</v>
      </c>
      <c r="O62" s="2" t="b">
        <v>0</v>
      </c>
      <c r="P62" s="68"/>
      <c r="R62" s="69"/>
      <c r="S62" s="68"/>
      <c r="U62" s="69"/>
      <c r="V62" s="68"/>
      <c r="X62" s="69"/>
      <c r="Y62" s="68"/>
      <c r="AA62" s="69"/>
      <c r="AB62" s="33">
        <f t="shared" si="0"/>
        <v>0</v>
      </c>
      <c r="AC62" s="45">
        <f>_xlfn.LET(_xlpm.ps_1,P62:R62, _xlpm.ps_2,S62:U62, _xlpm.ps_3,V62:X62, _xlpm.ps_4,Y62:AA62,
_xlpm.phase, MID(C62,SEARCH("-",C62)+1,256),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(_xlfn.XLOOKUP($C$7,site_assumptions[Details],site_assumptions[Volts])*SUMIFS(P62:AA62,_xlfn.ANCHORARRAY(D62),TRUE)/10*0.95)/1000,
IFERROR(IF(_xlpm.phase="3Phase", _xlpm.p3_calc, _xlpm.sp_calc),0))</f>
        <v>0</v>
      </c>
      <c r="AD62" s="29" t="str">
        <f ca="1"/>
        <v>Network</v>
      </c>
      <c r="AE62" s="30" t="str">
        <f ca="1"/>
        <v>Aggregate</v>
      </c>
      <c r="AF62" s="30" t="str">
        <f ca="1"/>
        <v>Live</v>
      </c>
      <c r="AG62" s="30">
        <f ca="1"/>
        <v>5</v>
      </c>
      <c r="AH62" s="31" t="str">
        <f ca="1"/>
        <v>Unknown</v>
      </c>
      <c r="AI62" s="49">
        <f t="shared" ca="1" si="1"/>
        <v>0</v>
      </c>
      <c r="AJ62" s="71">
        <f ca="1"/>
        <v>0</v>
      </c>
    </row>
    <row r="63" spans="2:36" x14ac:dyDescent="0.25">
      <c r="B63" s="29" t="str">
        <f ca="1"/>
        <v>dal10.sr01.rk51</v>
      </c>
      <c r="C63" s="10" t="s">
        <v>2070</v>
      </c>
      <c r="D63" s="2" t="b" cm="1">
        <f t="array" ref="D63:O63">_xlfn._xlws.FILTER(IF(ancillary!$E$4:$P$8="",FALSE,ancillary!$E$4:$P$8),ancillary!$B$4:$B$8=$C63)</f>
        <v>1</v>
      </c>
      <c r="E63" s="2" t="b">
        <v>1</v>
      </c>
      <c r="F63" s="2" t="b">
        <v>1</v>
      </c>
      <c r="G63" s="2" t="b">
        <v>1</v>
      </c>
      <c r="H63" s="2" t="b">
        <v>1</v>
      </c>
      <c r="I63" s="2" t="b">
        <v>1</v>
      </c>
      <c r="J63" s="2" t="b">
        <v>0</v>
      </c>
      <c r="K63" s="2" t="b">
        <v>0</v>
      </c>
      <c r="L63" s="2" t="b">
        <v>0</v>
      </c>
      <c r="M63" s="2" t="b">
        <v>0</v>
      </c>
      <c r="N63" s="2" t="b">
        <v>0</v>
      </c>
      <c r="O63" s="2" t="b">
        <v>0</v>
      </c>
      <c r="P63" s="68"/>
      <c r="R63" s="69"/>
      <c r="S63" s="68"/>
      <c r="U63" s="69"/>
      <c r="V63" s="68"/>
      <c r="X63" s="69"/>
      <c r="Y63" s="68"/>
      <c r="AA63" s="69"/>
      <c r="AB63" s="33">
        <f t="shared" si="0"/>
        <v>0</v>
      </c>
      <c r="AC63" s="45">
        <f>_xlfn.LET(_xlpm.ps_1,P63:R63, _xlpm.ps_2,S63:U63, _xlpm.ps_3,V63:X63, _xlpm.ps_4,Y63:AA63,
_xlpm.phase, MID(C63,SEARCH("-",C63)+1,256),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(_xlfn.XLOOKUP($C$7,site_assumptions[Details],site_assumptions[Volts])*SUMIFS(P63:AA63,_xlfn.ANCHORARRAY(D63),TRUE)/10*0.95)/1000,
IFERROR(IF(_xlpm.phase="3Phase", _xlpm.p3_calc, _xlpm.sp_calc),0))</f>
        <v>0</v>
      </c>
      <c r="AD63" s="29" t="str">
        <f ca="1"/>
        <v>Bare Metal</v>
      </c>
      <c r="AE63" s="30" t="str">
        <f ca="1"/>
        <v>Bare Metal</v>
      </c>
      <c r="AF63" s="30" t="str">
        <f ca="1"/>
        <v>Live</v>
      </c>
      <c r="AG63" s="30">
        <f ca="1"/>
        <v>6</v>
      </c>
      <c r="AH63" s="31" t="str">
        <f ca="1"/>
        <v>Unknown</v>
      </c>
      <c r="AI63" s="49">
        <f t="shared" ca="1" si="1"/>
        <v>0</v>
      </c>
      <c r="AJ63" s="71">
        <f ca="1"/>
        <v>3.258</v>
      </c>
    </row>
    <row r="64" spans="2:36" x14ac:dyDescent="0.25">
      <c r="B64" s="29" t="str">
        <f ca="1"/>
        <v>dal10.sr01.rk52</v>
      </c>
      <c r="C64" s="10" t="s">
        <v>2070</v>
      </c>
      <c r="D64" s="2" t="b" cm="1">
        <f t="array" ref="D64:O64">_xlfn._xlws.FILTER(IF(ancillary!$E$4:$P$8="",FALSE,ancillary!$E$4:$P$8),ancillary!$B$4:$B$8=$C64)</f>
        <v>1</v>
      </c>
      <c r="E64" s="2" t="b">
        <v>1</v>
      </c>
      <c r="F64" s="2" t="b">
        <v>1</v>
      </c>
      <c r="G64" s="2" t="b">
        <v>1</v>
      </c>
      <c r="H64" s="2" t="b">
        <v>1</v>
      </c>
      <c r="I64" s="2" t="b">
        <v>1</v>
      </c>
      <c r="J64" s="2" t="b">
        <v>0</v>
      </c>
      <c r="K64" s="2" t="b">
        <v>0</v>
      </c>
      <c r="L64" s="2" t="b">
        <v>0</v>
      </c>
      <c r="M64" s="2" t="b">
        <v>0</v>
      </c>
      <c r="N64" s="2" t="b">
        <v>0</v>
      </c>
      <c r="O64" s="2" t="b">
        <v>0</v>
      </c>
      <c r="P64" s="68"/>
      <c r="R64" s="69"/>
      <c r="S64" s="68"/>
      <c r="U64" s="69"/>
      <c r="V64" s="68"/>
      <c r="X64" s="69"/>
      <c r="Y64" s="68"/>
      <c r="AA64" s="69"/>
      <c r="AB64" s="33">
        <f t="shared" si="0"/>
        <v>0</v>
      </c>
      <c r="AC64" s="45">
        <f>_xlfn.LET(_xlpm.ps_1,P64:R64, _xlpm.ps_2,S64:U64, _xlpm.ps_3,V64:X64, _xlpm.ps_4,Y64:AA64,
_xlpm.phase, MID(C64,SEARCH("-",C64)+1,256),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(_xlfn.XLOOKUP($C$7,site_assumptions[Details],site_assumptions[Volts])*SUMIFS(P64:AA64,_xlfn.ANCHORARRAY(D64),TRUE)/10*0.95)/1000,
IFERROR(IF(_xlpm.phase="3Phase", _xlpm.p3_calc, _xlpm.sp_calc),0))</f>
        <v>0</v>
      </c>
      <c r="AD64" s="29" t="str">
        <f ca="1"/>
        <v>Bare Metal</v>
      </c>
      <c r="AE64" s="30" t="str">
        <f ca="1"/>
        <v>Bare Metal</v>
      </c>
      <c r="AF64" s="30" t="str">
        <f ca="1"/>
        <v>Live</v>
      </c>
      <c r="AG64" s="30">
        <f ca="1"/>
        <v>6</v>
      </c>
      <c r="AH64" s="31" t="str">
        <f ca="1"/>
        <v>Unknown</v>
      </c>
      <c r="AI64" s="49">
        <f t="shared" ca="1" si="1"/>
        <v>0</v>
      </c>
      <c r="AJ64" s="71">
        <f ca="1"/>
        <v>4.4729999999999999</v>
      </c>
    </row>
    <row r="65" spans="2:36" x14ac:dyDescent="0.25">
      <c r="B65" s="29" t="str">
        <f ca="1"/>
        <v>dal10.sr01.rk53</v>
      </c>
      <c r="C65" s="10" t="s">
        <v>2070</v>
      </c>
      <c r="D65" s="2" t="b" cm="1">
        <f t="array" ref="D65:O65">_xlfn._xlws.FILTER(IF(ancillary!$E$4:$P$8="",FALSE,ancillary!$E$4:$P$8),ancillary!$B$4:$B$8=$C65)</f>
        <v>1</v>
      </c>
      <c r="E65" s="2" t="b">
        <v>1</v>
      </c>
      <c r="F65" s="2" t="b">
        <v>1</v>
      </c>
      <c r="G65" s="2" t="b">
        <v>1</v>
      </c>
      <c r="H65" s="2" t="b">
        <v>1</v>
      </c>
      <c r="I65" s="2" t="b">
        <v>1</v>
      </c>
      <c r="J65" s="2" t="b">
        <v>0</v>
      </c>
      <c r="K65" s="2" t="b">
        <v>0</v>
      </c>
      <c r="L65" s="2" t="b">
        <v>0</v>
      </c>
      <c r="M65" s="2" t="b">
        <v>0</v>
      </c>
      <c r="N65" s="2" t="b">
        <v>0</v>
      </c>
      <c r="O65" s="2" t="b">
        <v>0</v>
      </c>
      <c r="P65" s="68"/>
      <c r="R65" s="69"/>
      <c r="S65" s="68"/>
      <c r="U65" s="69"/>
      <c r="V65" s="68"/>
      <c r="X65" s="69"/>
      <c r="Y65" s="68"/>
      <c r="AA65" s="69"/>
      <c r="AB65" s="33">
        <f t="shared" si="0"/>
        <v>0</v>
      </c>
      <c r="AC65" s="45">
        <f>_xlfn.LET(_xlpm.ps_1,P65:R65, _xlpm.ps_2,S65:U65, _xlpm.ps_3,V65:X65, _xlpm.ps_4,Y65:AA65,
_xlpm.phase, MID(C65,SEARCH("-",C65)+1,256),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(_xlfn.XLOOKUP($C$7,site_assumptions[Details],site_assumptions[Volts])*SUMIFS(P65:AA65,_xlfn.ANCHORARRAY(D65),TRUE)/10*0.95)/1000,
IFERROR(IF(_xlpm.phase="3Phase", _xlpm.p3_calc, _xlpm.sp_calc),0))</f>
        <v>0</v>
      </c>
      <c r="AD65" s="29" t="str">
        <f ca="1"/>
        <v>Bare Metal</v>
      </c>
      <c r="AE65" s="30" t="str">
        <f ca="1"/>
        <v>Bare Metal</v>
      </c>
      <c r="AF65" s="30" t="str">
        <f ca="1"/>
        <v>Live</v>
      </c>
      <c r="AG65" s="30">
        <f ca="1"/>
        <v>6</v>
      </c>
      <c r="AH65" s="31" t="str">
        <f ca="1"/>
        <v>Unknown</v>
      </c>
      <c r="AI65" s="49">
        <f t="shared" ca="1" si="1"/>
        <v>0</v>
      </c>
      <c r="AJ65" s="71">
        <f ca="1"/>
        <v>3.7709999999999999</v>
      </c>
    </row>
    <row r="66" spans="2:36" x14ac:dyDescent="0.25">
      <c r="B66" s="29" t="str">
        <f ca="1"/>
        <v>dal10.sr01.rk54</v>
      </c>
      <c r="C66" s="10" t="s">
        <v>2070</v>
      </c>
      <c r="D66" s="2" t="b" cm="1">
        <f t="array" ref="D66:O66">_xlfn._xlws.FILTER(IF(ancillary!$E$4:$P$8="",FALSE,ancillary!$E$4:$P$8),ancillary!$B$4:$B$8=$C66)</f>
        <v>1</v>
      </c>
      <c r="E66" s="2" t="b">
        <v>1</v>
      </c>
      <c r="F66" s="2" t="b">
        <v>1</v>
      </c>
      <c r="G66" s="2" t="b">
        <v>1</v>
      </c>
      <c r="H66" s="2" t="b">
        <v>1</v>
      </c>
      <c r="I66" s="2" t="b">
        <v>1</v>
      </c>
      <c r="J66" s="2" t="b">
        <v>0</v>
      </c>
      <c r="K66" s="2" t="b">
        <v>0</v>
      </c>
      <c r="L66" s="2" t="b">
        <v>0</v>
      </c>
      <c r="M66" s="2" t="b">
        <v>0</v>
      </c>
      <c r="N66" s="2" t="b">
        <v>0</v>
      </c>
      <c r="O66" s="2" t="b">
        <v>0</v>
      </c>
      <c r="P66" s="68"/>
      <c r="R66" s="69"/>
      <c r="S66" s="68"/>
      <c r="U66" s="69"/>
      <c r="V66" s="68"/>
      <c r="X66" s="69"/>
      <c r="Y66" s="68"/>
      <c r="AA66" s="69"/>
      <c r="AB66" s="33">
        <f t="shared" si="0"/>
        <v>0</v>
      </c>
      <c r="AC66" s="45">
        <f>_xlfn.LET(_xlpm.ps_1,P66:R66, _xlpm.ps_2,S66:U66, _xlpm.ps_3,V66:X66, _xlpm.ps_4,Y66:AA66,
_xlpm.phase, MID(C66,SEARCH("-",C66)+1,256),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(_xlfn.XLOOKUP($C$7,site_assumptions[Details],site_assumptions[Volts])*SUMIFS(P66:AA66,_xlfn.ANCHORARRAY(D66),TRUE)/10*0.95)/1000,
IFERROR(IF(_xlpm.phase="3Phase", _xlpm.p3_calc, _xlpm.sp_calc),0))</f>
        <v>0</v>
      </c>
      <c r="AD66" s="29" t="str">
        <f ca="1"/>
        <v>Bare Metal</v>
      </c>
      <c r="AE66" s="30" t="str">
        <f ca="1"/>
        <v>Bare Metal</v>
      </c>
      <c r="AF66" s="30" t="str">
        <f ca="1"/>
        <v>Live</v>
      </c>
      <c r="AG66" s="30">
        <f ca="1"/>
        <v>6</v>
      </c>
      <c r="AH66" s="31" t="str">
        <f ca="1"/>
        <v>Unknown</v>
      </c>
      <c r="AI66" s="49">
        <f t="shared" ca="1" si="1"/>
        <v>0</v>
      </c>
      <c r="AJ66" s="71">
        <f ca="1"/>
        <v>5.0110000000000001</v>
      </c>
    </row>
    <row r="67" spans="2:36" x14ac:dyDescent="0.25">
      <c r="B67" s="29" t="str">
        <f ca="1"/>
        <v>dal10.sr01.rk55</v>
      </c>
      <c r="C67" s="10" t="s">
        <v>2070</v>
      </c>
      <c r="D67" s="2" t="b" cm="1">
        <f t="array" ref="D67:O67">_xlfn._xlws.FILTER(IF(ancillary!$E$4:$P$8="",FALSE,ancillary!$E$4:$P$8),ancillary!$B$4:$B$8=$C67)</f>
        <v>1</v>
      </c>
      <c r="E67" s="2" t="b">
        <v>1</v>
      </c>
      <c r="F67" s="2" t="b">
        <v>1</v>
      </c>
      <c r="G67" s="2" t="b">
        <v>1</v>
      </c>
      <c r="H67" s="2" t="b">
        <v>1</v>
      </c>
      <c r="I67" s="2" t="b">
        <v>1</v>
      </c>
      <c r="J67" s="2" t="b">
        <v>0</v>
      </c>
      <c r="K67" s="2" t="b">
        <v>0</v>
      </c>
      <c r="L67" s="2" t="b">
        <v>0</v>
      </c>
      <c r="M67" s="2" t="b">
        <v>0</v>
      </c>
      <c r="N67" s="2" t="b">
        <v>0</v>
      </c>
      <c r="O67" s="2" t="b">
        <v>0</v>
      </c>
      <c r="P67" s="68"/>
      <c r="R67" s="69"/>
      <c r="S67" s="68"/>
      <c r="U67" s="69"/>
      <c r="V67" s="68"/>
      <c r="X67" s="69"/>
      <c r="Y67" s="68"/>
      <c r="AA67" s="69"/>
      <c r="AB67" s="33">
        <f t="shared" si="0"/>
        <v>0</v>
      </c>
      <c r="AC67" s="45">
        <f>_xlfn.LET(_xlpm.ps_1,P67:R67, _xlpm.ps_2,S67:U67, _xlpm.ps_3,V67:X67, _xlpm.ps_4,Y67:AA67,
_xlpm.phase, MID(C67,SEARCH("-",C67)+1,256),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(_xlfn.XLOOKUP($C$7,site_assumptions[Details],site_assumptions[Volts])*SUMIFS(P67:AA67,_xlfn.ANCHORARRAY(D67),TRUE)/10*0.95)/1000,
IFERROR(IF(_xlpm.phase="3Phase", _xlpm.p3_calc, _xlpm.sp_calc),0))</f>
        <v>0</v>
      </c>
      <c r="AD67" s="29" t="str">
        <f ca="1"/>
        <v>Bare Metal</v>
      </c>
      <c r="AE67" s="30" t="str">
        <f ca="1"/>
        <v>Bare Metal</v>
      </c>
      <c r="AF67" s="30" t="str">
        <f ca="1"/>
        <v>Live</v>
      </c>
      <c r="AG67" s="30">
        <f ca="1"/>
        <v>6</v>
      </c>
      <c r="AH67" s="31" t="str">
        <f ca="1"/>
        <v>Unknown</v>
      </c>
      <c r="AI67" s="49">
        <f t="shared" ca="1" si="1"/>
        <v>0</v>
      </c>
      <c r="AJ67" s="71">
        <f ca="1"/>
        <v>2.798</v>
      </c>
    </row>
    <row r="68" spans="2:36" x14ac:dyDescent="0.25">
      <c r="B68" s="29" t="str">
        <f ca="1"/>
        <v>dal10.sr01.rk56</v>
      </c>
      <c r="C68" s="10" t="s">
        <v>2070</v>
      </c>
      <c r="D68" s="2" t="b" cm="1">
        <f t="array" ref="D68:O68">_xlfn._xlws.FILTER(IF(ancillary!$E$4:$P$8="",FALSE,ancillary!$E$4:$P$8),ancillary!$B$4:$B$8=$C68)</f>
        <v>1</v>
      </c>
      <c r="E68" s="2" t="b">
        <v>1</v>
      </c>
      <c r="F68" s="2" t="b">
        <v>1</v>
      </c>
      <c r="G68" s="2" t="b">
        <v>1</v>
      </c>
      <c r="H68" s="2" t="b">
        <v>1</v>
      </c>
      <c r="I68" s="2" t="b">
        <v>1</v>
      </c>
      <c r="J68" s="2" t="b">
        <v>0</v>
      </c>
      <c r="K68" s="2" t="b">
        <v>0</v>
      </c>
      <c r="L68" s="2" t="b">
        <v>0</v>
      </c>
      <c r="M68" s="2" t="b">
        <v>0</v>
      </c>
      <c r="N68" s="2" t="b">
        <v>0</v>
      </c>
      <c r="O68" s="2" t="b">
        <v>0</v>
      </c>
      <c r="P68" s="68"/>
      <c r="R68" s="69"/>
      <c r="S68" s="68"/>
      <c r="U68" s="69"/>
      <c r="V68" s="68"/>
      <c r="X68" s="69"/>
      <c r="Y68" s="68"/>
      <c r="AA68" s="69"/>
      <c r="AB68" s="33">
        <f t="shared" si="0"/>
        <v>0</v>
      </c>
      <c r="AC68" s="45">
        <f>_xlfn.LET(_xlpm.ps_1,P68:R68, _xlpm.ps_2,S68:U68, _xlpm.ps_3,V68:X68, _xlpm.ps_4,Y68:AA68,
_xlpm.phase, MID(C68,SEARCH("-",C68)+1,256),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(_xlfn.XLOOKUP($C$7,site_assumptions[Details],site_assumptions[Volts])*SUMIFS(P68:AA68,_xlfn.ANCHORARRAY(D68),TRUE)/10*0.95)/1000,
IFERROR(IF(_xlpm.phase="3Phase", _xlpm.p3_calc, _xlpm.sp_calc),0))</f>
        <v>0</v>
      </c>
      <c r="AD68" s="29" t="str">
        <f ca="1"/>
        <v>Bare Metal</v>
      </c>
      <c r="AE68" s="30" t="str">
        <f ca="1"/>
        <v>Bare Metal</v>
      </c>
      <c r="AF68" s="30" t="str">
        <f ca="1"/>
        <v>Live</v>
      </c>
      <c r="AG68" s="30">
        <f ca="1"/>
        <v>6</v>
      </c>
      <c r="AH68" s="31" t="str">
        <f ca="1"/>
        <v>Unknown</v>
      </c>
      <c r="AI68" s="49">
        <f t="shared" ca="1" si="1"/>
        <v>0</v>
      </c>
      <c r="AJ68" s="71">
        <f ca="1"/>
        <v>2.6989999999999998</v>
      </c>
    </row>
    <row r="69" spans="2:36" x14ac:dyDescent="0.25">
      <c r="B69" s="29" t="str">
        <f ca="1"/>
        <v>dal10.sr01.rk57</v>
      </c>
      <c r="C69" s="10" t="s">
        <v>2070</v>
      </c>
      <c r="D69" s="2" t="b" cm="1">
        <f t="array" ref="D69:O69">_xlfn._xlws.FILTER(IF(ancillary!$E$4:$P$8="",FALSE,ancillary!$E$4:$P$8),ancillary!$B$4:$B$8=$C69)</f>
        <v>1</v>
      </c>
      <c r="E69" s="2" t="b">
        <v>1</v>
      </c>
      <c r="F69" s="2" t="b">
        <v>1</v>
      </c>
      <c r="G69" s="2" t="b">
        <v>1</v>
      </c>
      <c r="H69" s="2" t="b">
        <v>1</v>
      </c>
      <c r="I69" s="2" t="b">
        <v>1</v>
      </c>
      <c r="J69" s="2" t="b">
        <v>0</v>
      </c>
      <c r="K69" s="2" t="b">
        <v>0</v>
      </c>
      <c r="L69" s="2" t="b">
        <v>0</v>
      </c>
      <c r="M69" s="2" t="b">
        <v>0</v>
      </c>
      <c r="N69" s="2" t="b">
        <v>0</v>
      </c>
      <c r="O69" s="2" t="b">
        <v>0</v>
      </c>
      <c r="P69" s="68"/>
      <c r="R69" s="69"/>
      <c r="S69" s="68"/>
      <c r="U69" s="69"/>
      <c r="V69" s="68"/>
      <c r="X69" s="69"/>
      <c r="Y69" s="68"/>
      <c r="AA69" s="69"/>
      <c r="AB69" s="33">
        <f t="shared" si="0"/>
        <v>0</v>
      </c>
      <c r="AC69" s="45">
        <f>_xlfn.LET(_xlpm.ps_1,P69:R69, _xlpm.ps_2,S69:U69, _xlpm.ps_3,V69:X69, _xlpm.ps_4,Y69:AA69,
_xlpm.phase, MID(C69,SEARCH("-",C69)+1,256),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(_xlfn.XLOOKUP($C$7,site_assumptions[Details],site_assumptions[Volts])*SUMIFS(P69:AA69,_xlfn.ANCHORARRAY(D69),TRUE)/10*0.95)/1000,
IFERROR(IF(_xlpm.phase="3Phase", _xlpm.p3_calc, _xlpm.sp_calc),0))</f>
        <v>0</v>
      </c>
      <c r="AD69" s="29" t="str">
        <f ca="1"/>
        <v>Bare Metal</v>
      </c>
      <c r="AE69" s="30" t="str">
        <f ca="1"/>
        <v>Bare Metal</v>
      </c>
      <c r="AF69" s="30" t="str">
        <f ca="1"/>
        <v>Live</v>
      </c>
      <c r="AG69" s="30">
        <f ca="1"/>
        <v>6</v>
      </c>
      <c r="AH69" s="31" t="str">
        <f ca="1"/>
        <v>Unknown</v>
      </c>
      <c r="AI69" s="49">
        <f t="shared" ca="1" si="1"/>
        <v>0</v>
      </c>
      <c r="AJ69" s="71">
        <f ca="1"/>
        <v>5.3479999999999999</v>
      </c>
    </row>
    <row r="70" spans="2:36" x14ac:dyDescent="0.25">
      <c r="B70" s="29" t="str">
        <f ca="1"/>
        <v>dal10.sr01.rk58</v>
      </c>
      <c r="C70" s="10" t="s">
        <v>2070</v>
      </c>
      <c r="D70" s="2" t="b" cm="1">
        <f t="array" ref="D70:O70">_xlfn._xlws.FILTER(IF(ancillary!$E$4:$P$8="",FALSE,ancillary!$E$4:$P$8),ancillary!$B$4:$B$8=$C70)</f>
        <v>1</v>
      </c>
      <c r="E70" s="2" t="b">
        <v>1</v>
      </c>
      <c r="F70" s="2" t="b">
        <v>1</v>
      </c>
      <c r="G70" s="2" t="b">
        <v>1</v>
      </c>
      <c r="H70" s="2" t="b">
        <v>1</v>
      </c>
      <c r="I70" s="2" t="b">
        <v>1</v>
      </c>
      <c r="J70" s="2" t="b">
        <v>0</v>
      </c>
      <c r="K70" s="2" t="b">
        <v>0</v>
      </c>
      <c r="L70" s="2" t="b">
        <v>0</v>
      </c>
      <c r="M70" s="2" t="b">
        <v>0</v>
      </c>
      <c r="N70" s="2" t="b">
        <v>0</v>
      </c>
      <c r="O70" s="2" t="b">
        <v>0</v>
      </c>
      <c r="P70" s="68"/>
      <c r="R70" s="69"/>
      <c r="S70" s="68"/>
      <c r="U70" s="69"/>
      <c r="V70" s="68"/>
      <c r="X70" s="69"/>
      <c r="Y70" s="68"/>
      <c r="AA70" s="69"/>
      <c r="AB70" s="33">
        <f t="shared" si="0"/>
        <v>0</v>
      </c>
      <c r="AC70" s="45">
        <f>_xlfn.LET(_xlpm.ps_1,P70:R70, _xlpm.ps_2,S70:U70, _xlpm.ps_3,V70:X70, _xlpm.ps_4,Y70:AA70,
_xlpm.phase, MID(C70,SEARCH("-",C70)+1,256),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(_xlfn.XLOOKUP($C$7,site_assumptions[Details],site_assumptions[Volts])*SUMIFS(P70:AA70,_xlfn.ANCHORARRAY(D70),TRUE)/10*0.95)/1000,
IFERROR(IF(_xlpm.phase="3Phase", _xlpm.p3_calc, _xlpm.sp_calc),0))</f>
        <v>0</v>
      </c>
      <c r="AD70" s="29" t="str">
        <f ca="1"/>
        <v>Bare Metal</v>
      </c>
      <c r="AE70" s="30" t="str">
        <f ca="1"/>
        <v>Bare Metal</v>
      </c>
      <c r="AF70" s="30" t="str">
        <f ca="1"/>
        <v>Live</v>
      </c>
      <c r="AG70" s="30">
        <f ca="1"/>
        <v>6</v>
      </c>
      <c r="AH70" s="31" t="str">
        <f ca="1"/>
        <v>Unknown</v>
      </c>
      <c r="AI70" s="49">
        <f t="shared" ca="1" si="1"/>
        <v>0</v>
      </c>
      <c r="AJ70" s="71">
        <f ca="1"/>
        <v>2.4119999999999999</v>
      </c>
    </row>
    <row r="71" spans="2:36" x14ac:dyDescent="0.25">
      <c r="B71" s="29" t="str">
        <f ca="1"/>
        <v>dal10.sr01.rk59</v>
      </c>
      <c r="C71" s="10" t="s">
        <v>2070</v>
      </c>
      <c r="D71" s="2" t="b" cm="1">
        <f t="array" ref="D71:O71">_xlfn._xlws.FILTER(IF(ancillary!$E$4:$P$8="",FALSE,ancillary!$E$4:$P$8),ancillary!$B$4:$B$8=$C71)</f>
        <v>1</v>
      </c>
      <c r="E71" s="2" t="b">
        <v>1</v>
      </c>
      <c r="F71" s="2" t="b">
        <v>1</v>
      </c>
      <c r="G71" s="2" t="b">
        <v>1</v>
      </c>
      <c r="H71" s="2" t="b">
        <v>1</v>
      </c>
      <c r="I71" s="2" t="b">
        <v>1</v>
      </c>
      <c r="J71" s="2" t="b">
        <v>0</v>
      </c>
      <c r="K71" s="2" t="b">
        <v>0</v>
      </c>
      <c r="L71" s="2" t="b">
        <v>0</v>
      </c>
      <c r="M71" s="2" t="b">
        <v>0</v>
      </c>
      <c r="N71" s="2" t="b">
        <v>0</v>
      </c>
      <c r="O71" s="2" t="b">
        <v>0</v>
      </c>
      <c r="P71" s="68"/>
      <c r="R71" s="69"/>
      <c r="S71" s="68"/>
      <c r="U71" s="69"/>
      <c r="V71" s="68"/>
      <c r="X71" s="69"/>
      <c r="Y71" s="68"/>
      <c r="AA71" s="69"/>
      <c r="AB71" s="33">
        <f t="shared" si="0"/>
        <v>0</v>
      </c>
      <c r="AC71" s="45">
        <f>_xlfn.LET(_xlpm.ps_1,P71:R71, _xlpm.ps_2,S71:U71, _xlpm.ps_3,V71:X71, _xlpm.ps_4,Y71:AA71,
_xlpm.phase, MID(C71,SEARCH("-",C71)+1,256),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(_xlfn.XLOOKUP($C$7,site_assumptions[Details],site_assumptions[Volts])*SUMIFS(P71:AA71,_xlfn.ANCHORARRAY(D71),TRUE)/10*0.95)/1000,
IFERROR(IF(_xlpm.phase="3Phase", _xlpm.p3_calc, _xlpm.sp_calc),0))</f>
        <v>0</v>
      </c>
      <c r="AD71" s="29" t="str">
        <f ca="1"/>
        <v>Bare Metal</v>
      </c>
      <c r="AE71" s="30" t="str">
        <f ca="1"/>
        <v>Bare Metal</v>
      </c>
      <c r="AF71" s="30" t="str">
        <f ca="1"/>
        <v>Live</v>
      </c>
      <c r="AG71" s="30">
        <f ca="1"/>
        <v>6</v>
      </c>
      <c r="AH71" s="31" t="str">
        <f ca="1"/>
        <v>Unknown</v>
      </c>
      <c r="AI71" s="49">
        <f t="shared" ca="1" si="1"/>
        <v>0</v>
      </c>
      <c r="AJ71" s="71">
        <f ca="1"/>
        <v>3.3719999999999999</v>
      </c>
    </row>
    <row r="72" spans="2:36" x14ac:dyDescent="0.25">
      <c r="B72" s="29" t="str">
        <f ca="1"/>
        <v>dal10.sr01.rk60</v>
      </c>
      <c r="C72" s="10" t="s">
        <v>2070</v>
      </c>
      <c r="D72" s="2" t="b" cm="1">
        <f t="array" ref="D72:O72">_xlfn._xlws.FILTER(IF(ancillary!$E$4:$P$8="",FALSE,ancillary!$E$4:$P$8),ancillary!$B$4:$B$8=$C72)</f>
        <v>1</v>
      </c>
      <c r="E72" s="2" t="b">
        <v>1</v>
      </c>
      <c r="F72" s="2" t="b">
        <v>1</v>
      </c>
      <c r="G72" s="2" t="b">
        <v>1</v>
      </c>
      <c r="H72" s="2" t="b">
        <v>1</v>
      </c>
      <c r="I72" s="2" t="b">
        <v>1</v>
      </c>
      <c r="J72" s="2" t="b">
        <v>0</v>
      </c>
      <c r="K72" s="2" t="b">
        <v>0</v>
      </c>
      <c r="L72" s="2" t="b">
        <v>0</v>
      </c>
      <c r="M72" s="2" t="b">
        <v>0</v>
      </c>
      <c r="N72" s="2" t="b">
        <v>0</v>
      </c>
      <c r="O72" s="2" t="b">
        <v>0</v>
      </c>
      <c r="P72" s="68"/>
      <c r="R72" s="69"/>
      <c r="S72" s="68"/>
      <c r="U72" s="69"/>
      <c r="V72" s="68"/>
      <c r="X72" s="69"/>
      <c r="Y72" s="68"/>
      <c r="AA72" s="69"/>
      <c r="AB72" s="33">
        <f t="shared" si="0"/>
        <v>0</v>
      </c>
      <c r="AC72" s="45">
        <f>_xlfn.LET(_xlpm.ps_1,P72:R72, _xlpm.ps_2,S72:U72, _xlpm.ps_3,V72:X72, _xlpm.ps_4,Y72:AA72,
_xlpm.phase, MID(C72,SEARCH("-",C72)+1,256),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(_xlfn.XLOOKUP($C$7,site_assumptions[Details],site_assumptions[Volts])*SUMIFS(P72:AA72,_xlfn.ANCHORARRAY(D72),TRUE)/10*0.95)/1000,
IFERROR(IF(_xlpm.phase="3Phase", _xlpm.p3_calc, _xlpm.sp_calc),0))</f>
        <v>0</v>
      </c>
      <c r="AD72" s="29" t="str">
        <f ca="1"/>
        <v>Bare Metal</v>
      </c>
      <c r="AE72" s="30" t="str">
        <f ca="1"/>
        <v>Bare Metal</v>
      </c>
      <c r="AF72" s="30" t="str">
        <f ca="1"/>
        <v>Live</v>
      </c>
      <c r="AG72" s="30">
        <f ca="1"/>
        <v>6</v>
      </c>
      <c r="AH72" s="31" t="str">
        <f ca="1"/>
        <v>Unknown</v>
      </c>
      <c r="AI72" s="49">
        <f t="shared" ca="1" si="1"/>
        <v>0</v>
      </c>
      <c r="AJ72" s="71">
        <f ca="1"/>
        <v>3.3450000000000002</v>
      </c>
    </row>
    <row r="73" spans="2:36" x14ac:dyDescent="0.25">
      <c r="B73" s="29" t="str">
        <f ca="1"/>
        <v>dal10.sr01.rk61</v>
      </c>
      <c r="C73" s="10" t="s">
        <v>2070</v>
      </c>
      <c r="D73" s="2" t="b" cm="1">
        <f t="array" ref="D73:O73">_xlfn._xlws.FILTER(IF(ancillary!$E$4:$P$8="",FALSE,ancillary!$E$4:$P$8),ancillary!$B$4:$B$8=$C73)</f>
        <v>1</v>
      </c>
      <c r="E73" s="2" t="b">
        <v>1</v>
      </c>
      <c r="F73" s="2" t="b">
        <v>1</v>
      </c>
      <c r="G73" s="2" t="b">
        <v>1</v>
      </c>
      <c r="H73" s="2" t="b">
        <v>1</v>
      </c>
      <c r="I73" s="2" t="b">
        <v>1</v>
      </c>
      <c r="J73" s="2" t="b">
        <v>0</v>
      </c>
      <c r="K73" s="2" t="b">
        <v>0</v>
      </c>
      <c r="L73" s="2" t="b">
        <v>0</v>
      </c>
      <c r="M73" s="2" t="b">
        <v>0</v>
      </c>
      <c r="N73" s="2" t="b">
        <v>0</v>
      </c>
      <c r="O73" s="2" t="b">
        <v>0</v>
      </c>
      <c r="P73" s="68"/>
      <c r="R73" s="69"/>
      <c r="S73" s="68"/>
      <c r="U73" s="69"/>
      <c r="V73" s="68"/>
      <c r="X73" s="69"/>
      <c r="Y73" s="68"/>
      <c r="AA73" s="69"/>
      <c r="AB73" s="33">
        <f t="shared" si="0"/>
        <v>0</v>
      </c>
      <c r="AC73" s="45">
        <f>_xlfn.LET(_xlpm.ps_1,P73:R73, _xlpm.ps_2,S73:U73, _xlpm.ps_3,V73:X73, _xlpm.ps_4,Y73:AA73,
_xlpm.phase, MID(C73,SEARCH("-",C73)+1,256),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(_xlfn.XLOOKUP($C$7,site_assumptions[Details],site_assumptions[Volts])*SUMIFS(P73:AA73,_xlfn.ANCHORARRAY(D73),TRUE)/10*0.95)/1000,
IFERROR(IF(_xlpm.phase="3Phase", _xlpm.p3_calc, _xlpm.sp_calc),0))</f>
        <v>0</v>
      </c>
      <c r="AD73" s="29" t="str">
        <f ca="1"/>
        <v>Network</v>
      </c>
      <c r="AE73" s="30" t="str">
        <f ca="1"/>
        <v>Aggregate</v>
      </c>
      <c r="AF73" s="30" t="str">
        <f ca="1"/>
        <v>Live</v>
      </c>
      <c r="AG73" s="30">
        <f ca="1"/>
        <v>5</v>
      </c>
      <c r="AH73" s="31" t="str">
        <f ca="1"/>
        <v>Unknown</v>
      </c>
      <c r="AI73" s="49">
        <f t="shared" ca="1" si="1"/>
        <v>0</v>
      </c>
      <c r="AJ73" s="71">
        <f ca="1"/>
        <v>0</v>
      </c>
    </row>
    <row r="74" spans="2:36" x14ac:dyDescent="0.25">
      <c r="B74" s="29" t="str">
        <f ca="1"/>
        <v>dal10.sr01.rk62</v>
      </c>
      <c r="C74" s="10" t="s">
        <v>2070</v>
      </c>
      <c r="D74" s="2" t="b" cm="1">
        <f t="array" ref="D74:O74">_xlfn._xlws.FILTER(IF(ancillary!$E$4:$P$8="",FALSE,ancillary!$E$4:$P$8),ancillary!$B$4:$B$8=$C74)</f>
        <v>1</v>
      </c>
      <c r="E74" s="2" t="b">
        <v>1</v>
      </c>
      <c r="F74" s="2" t="b">
        <v>1</v>
      </c>
      <c r="G74" s="2" t="b">
        <v>1</v>
      </c>
      <c r="H74" s="2" t="b">
        <v>1</v>
      </c>
      <c r="I74" s="2" t="b">
        <v>1</v>
      </c>
      <c r="J74" s="2" t="b">
        <v>0</v>
      </c>
      <c r="K74" s="2" t="b">
        <v>0</v>
      </c>
      <c r="L74" s="2" t="b">
        <v>0</v>
      </c>
      <c r="M74" s="2" t="b">
        <v>0</v>
      </c>
      <c r="N74" s="2" t="b">
        <v>0</v>
      </c>
      <c r="O74" s="2" t="b">
        <v>0</v>
      </c>
      <c r="P74" s="68"/>
      <c r="R74" s="69"/>
      <c r="S74" s="68"/>
      <c r="U74" s="69"/>
      <c r="V74" s="68"/>
      <c r="X74" s="69"/>
      <c r="Y74" s="68"/>
      <c r="AA74" s="69"/>
      <c r="AB74" s="33">
        <f t="shared" si="0"/>
        <v>0</v>
      </c>
      <c r="AC74" s="45">
        <f>_xlfn.LET(_xlpm.ps_1,P74:R74, _xlpm.ps_2,S74:U74, _xlpm.ps_3,V74:X74, _xlpm.ps_4,Y74:AA74,
_xlpm.phase, MID(C74,SEARCH("-",C74)+1,256),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(_xlfn.XLOOKUP($C$7,site_assumptions[Details],site_assumptions[Volts])*SUMIFS(P74:AA74,_xlfn.ANCHORARRAY(D74),TRUE)/10*0.95)/1000,
IFERROR(IF(_xlpm.phase="3Phase", _xlpm.p3_calc, _xlpm.sp_calc),0))</f>
        <v>0</v>
      </c>
      <c r="AD74" s="29" t="str">
        <f ca="1"/>
        <v>Bare Metal</v>
      </c>
      <c r="AE74" s="30" t="str">
        <f ca="1"/>
        <v>Bare Metal</v>
      </c>
      <c r="AF74" s="30" t="str">
        <f ca="1"/>
        <v>Live</v>
      </c>
      <c r="AG74" s="30">
        <f ca="1"/>
        <v>6</v>
      </c>
      <c r="AH74" s="31" t="str">
        <f ca="1"/>
        <v>Unknown</v>
      </c>
      <c r="AI74" s="49">
        <f t="shared" ca="1" si="1"/>
        <v>0</v>
      </c>
      <c r="AJ74" s="71">
        <f ca="1"/>
        <v>2.3090000000000002</v>
      </c>
    </row>
    <row r="75" spans="2:36" x14ac:dyDescent="0.25">
      <c r="B75" s="29" t="str">
        <f ca="1"/>
        <v>dal10.sr01.rk63</v>
      </c>
      <c r="C75" s="10" t="s">
        <v>2070</v>
      </c>
      <c r="D75" s="2" t="b" cm="1">
        <f t="array" ref="D75:O75">_xlfn._xlws.FILTER(IF(ancillary!$E$4:$P$8="",FALSE,ancillary!$E$4:$P$8),ancillary!$B$4:$B$8=$C75)</f>
        <v>1</v>
      </c>
      <c r="E75" s="2" t="b">
        <v>1</v>
      </c>
      <c r="F75" s="2" t="b">
        <v>1</v>
      </c>
      <c r="G75" s="2" t="b">
        <v>1</v>
      </c>
      <c r="H75" s="2" t="b">
        <v>1</v>
      </c>
      <c r="I75" s="2" t="b">
        <v>1</v>
      </c>
      <c r="J75" s="2" t="b">
        <v>0</v>
      </c>
      <c r="K75" s="2" t="b">
        <v>0</v>
      </c>
      <c r="L75" s="2" t="b">
        <v>0</v>
      </c>
      <c r="M75" s="2" t="b">
        <v>0</v>
      </c>
      <c r="N75" s="2" t="b">
        <v>0</v>
      </c>
      <c r="O75" s="2" t="b">
        <v>0</v>
      </c>
      <c r="P75" s="68"/>
      <c r="R75" s="69"/>
      <c r="S75" s="68"/>
      <c r="U75" s="69"/>
      <c r="V75" s="68"/>
      <c r="X75" s="69"/>
      <c r="Y75" s="68"/>
      <c r="AA75" s="69"/>
      <c r="AB75" s="33">
        <f t="shared" si="0"/>
        <v>0</v>
      </c>
      <c r="AC75" s="45">
        <f>_xlfn.LET(_xlpm.ps_1,P75:R75, _xlpm.ps_2,S75:U75, _xlpm.ps_3,V75:X75, _xlpm.ps_4,Y75:AA75,
_xlpm.phase, MID(C75,SEARCH("-",C75)+1,256),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(_xlfn.XLOOKUP($C$7,site_assumptions[Details],site_assumptions[Volts])*SUMIFS(P75:AA75,_xlfn.ANCHORARRAY(D75),TRUE)/10*0.95)/1000,
IFERROR(IF(_xlpm.phase="3Phase", _xlpm.p3_calc, _xlpm.sp_calc),0))</f>
        <v>0</v>
      </c>
      <c r="AD75" s="29" t="str">
        <f ca="1"/>
        <v>Bare Metal</v>
      </c>
      <c r="AE75" s="30" t="str">
        <f ca="1"/>
        <v>Bare Metal</v>
      </c>
      <c r="AF75" s="30" t="str">
        <f ca="1"/>
        <v>Live</v>
      </c>
      <c r="AG75" s="30">
        <f ca="1"/>
        <v>6</v>
      </c>
      <c r="AH75" s="31" t="str">
        <f ca="1"/>
        <v>Unknown</v>
      </c>
      <c r="AI75" s="49">
        <f t="shared" ca="1" si="1"/>
        <v>0</v>
      </c>
      <c r="AJ75" s="71">
        <f ca="1"/>
        <v>6.625</v>
      </c>
    </row>
    <row r="76" spans="2:36" x14ac:dyDescent="0.25">
      <c r="B76" s="29" t="str">
        <f ca="1"/>
        <v>dal10.sr01.rk64</v>
      </c>
      <c r="C76" s="10" t="s">
        <v>2070</v>
      </c>
      <c r="D76" s="2" t="b" cm="1">
        <f t="array" ref="D76:O76">_xlfn._xlws.FILTER(IF(ancillary!$E$4:$P$8="",FALSE,ancillary!$E$4:$P$8),ancillary!$B$4:$B$8=$C76)</f>
        <v>1</v>
      </c>
      <c r="E76" s="2" t="b">
        <v>1</v>
      </c>
      <c r="F76" s="2" t="b">
        <v>1</v>
      </c>
      <c r="G76" s="2" t="b">
        <v>1</v>
      </c>
      <c r="H76" s="2" t="b">
        <v>1</v>
      </c>
      <c r="I76" s="2" t="b">
        <v>1</v>
      </c>
      <c r="J76" s="2" t="b">
        <v>0</v>
      </c>
      <c r="K76" s="2" t="b">
        <v>0</v>
      </c>
      <c r="L76" s="2" t="b">
        <v>0</v>
      </c>
      <c r="M76" s="2" t="b">
        <v>0</v>
      </c>
      <c r="N76" s="2" t="b">
        <v>0</v>
      </c>
      <c r="O76" s="2" t="b">
        <v>0</v>
      </c>
      <c r="P76" s="68"/>
      <c r="R76" s="69"/>
      <c r="S76" s="68"/>
      <c r="U76" s="69"/>
      <c r="V76" s="68"/>
      <c r="X76" s="69"/>
      <c r="Y76" s="68"/>
      <c r="AA76" s="69"/>
      <c r="AB76" s="33">
        <f t="shared" si="0"/>
        <v>0</v>
      </c>
      <c r="AC76" s="45">
        <f>_xlfn.LET(_xlpm.ps_1,P76:R76, _xlpm.ps_2,S76:U76, _xlpm.ps_3,V76:X76, _xlpm.ps_4,Y76:AA76,
_xlpm.phase, MID(C76,SEARCH("-",C76)+1,256),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(_xlfn.XLOOKUP($C$7,site_assumptions[Details],site_assumptions[Volts])*SUMIFS(P76:AA76,_xlfn.ANCHORARRAY(D76),TRUE)/10*0.95)/1000,
IFERROR(IF(_xlpm.phase="3Phase", _xlpm.p3_calc, _xlpm.sp_calc),0))</f>
        <v>0</v>
      </c>
      <c r="AD76" s="29" t="str">
        <f ca="1"/>
        <v>Bare Metal</v>
      </c>
      <c r="AE76" s="30" t="str">
        <f ca="1"/>
        <v>Bare Metal</v>
      </c>
      <c r="AF76" s="30" t="str">
        <f ca="1"/>
        <v>Live</v>
      </c>
      <c r="AG76" s="30">
        <f ca="1"/>
        <v>6</v>
      </c>
      <c r="AH76" s="31" t="str">
        <f ca="1"/>
        <v>Unknown</v>
      </c>
      <c r="AI76" s="49">
        <f t="shared" ca="1" si="1"/>
        <v>0</v>
      </c>
      <c r="AJ76" s="71">
        <f ca="1"/>
        <v>2.6949999999999998</v>
      </c>
    </row>
    <row r="77" spans="2:36" x14ac:dyDescent="0.25">
      <c r="B77" s="29" t="str">
        <f ca="1"/>
        <v>dal10.sr01.rk65</v>
      </c>
      <c r="C77" s="10" t="s">
        <v>2070</v>
      </c>
      <c r="D77" s="2" t="b" cm="1">
        <f t="array" ref="D77:O77">_xlfn._xlws.FILTER(IF(ancillary!$E$4:$P$8="",FALSE,ancillary!$E$4:$P$8),ancillary!$B$4:$B$8=$C77)</f>
        <v>1</v>
      </c>
      <c r="E77" s="2" t="b">
        <v>1</v>
      </c>
      <c r="F77" s="2" t="b">
        <v>1</v>
      </c>
      <c r="G77" s="2" t="b">
        <v>1</v>
      </c>
      <c r="H77" s="2" t="b">
        <v>1</v>
      </c>
      <c r="I77" s="2" t="b">
        <v>1</v>
      </c>
      <c r="J77" s="2" t="b">
        <v>0</v>
      </c>
      <c r="K77" s="2" t="b">
        <v>0</v>
      </c>
      <c r="L77" s="2" t="b">
        <v>0</v>
      </c>
      <c r="M77" s="2" t="b">
        <v>0</v>
      </c>
      <c r="N77" s="2" t="b">
        <v>0</v>
      </c>
      <c r="O77" s="2" t="b">
        <v>0</v>
      </c>
      <c r="P77" s="68"/>
      <c r="R77" s="69"/>
      <c r="S77" s="68"/>
      <c r="U77" s="69"/>
      <c r="V77" s="68"/>
      <c r="X77" s="69"/>
      <c r="Y77" s="68"/>
      <c r="AA77" s="69"/>
      <c r="AB77" s="33">
        <f t="shared" si="0"/>
        <v>0</v>
      </c>
      <c r="AC77" s="45">
        <f>_xlfn.LET(_xlpm.ps_1,P77:R77, _xlpm.ps_2,S77:U77, _xlpm.ps_3,V77:X77, _xlpm.ps_4,Y77:AA77,
_xlpm.phase, MID(C77,SEARCH("-",C77)+1,256),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(_xlfn.XLOOKUP($C$7,site_assumptions[Details],site_assumptions[Volts])*SUMIFS(P77:AA77,_xlfn.ANCHORARRAY(D77),TRUE)/10*0.95)/1000,
IFERROR(IF(_xlpm.phase="3Phase", _xlpm.p3_calc, _xlpm.sp_calc),0))</f>
        <v>0</v>
      </c>
      <c r="AD77" s="29" t="str">
        <f ca="1"/>
        <v>Bare Metal</v>
      </c>
      <c r="AE77" s="30" t="str">
        <f ca="1"/>
        <v>Bare Metal</v>
      </c>
      <c r="AF77" s="30" t="str">
        <f ca="1"/>
        <v>Live</v>
      </c>
      <c r="AG77" s="30">
        <f ca="1"/>
        <v>6</v>
      </c>
      <c r="AH77" s="31" t="str">
        <f ca="1"/>
        <v>Unknown</v>
      </c>
      <c r="AI77" s="49">
        <f t="shared" ca="1" si="1"/>
        <v>0</v>
      </c>
      <c r="AJ77" s="71">
        <f ca="1"/>
        <v>0.35699999999999998</v>
      </c>
    </row>
    <row r="78" spans="2:36" x14ac:dyDescent="0.25">
      <c r="B78" s="29" t="str">
        <f ca="1"/>
        <v>dal10.sr01.rk66</v>
      </c>
      <c r="C78" s="10" t="s">
        <v>2070</v>
      </c>
      <c r="D78" s="2" t="b" cm="1">
        <f t="array" ref="D78:O78">_xlfn._xlws.FILTER(IF(ancillary!$E$4:$P$8="",FALSE,ancillary!$E$4:$P$8),ancillary!$B$4:$B$8=$C78)</f>
        <v>1</v>
      </c>
      <c r="E78" s="2" t="b">
        <v>1</v>
      </c>
      <c r="F78" s="2" t="b">
        <v>1</v>
      </c>
      <c r="G78" s="2" t="b">
        <v>1</v>
      </c>
      <c r="H78" s="2" t="b">
        <v>1</v>
      </c>
      <c r="I78" s="2" t="b">
        <v>1</v>
      </c>
      <c r="J78" s="2" t="b">
        <v>0</v>
      </c>
      <c r="K78" s="2" t="b">
        <v>0</v>
      </c>
      <c r="L78" s="2" t="b">
        <v>0</v>
      </c>
      <c r="M78" s="2" t="b">
        <v>0</v>
      </c>
      <c r="N78" s="2" t="b">
        <v>0</v>
      </c>
      <c r="O78" s="2" t="b">
        <v>0</v>
      </c>
      <c r="P78" s="68"/>
      <c r="R78" s="69"/>
      <c r="S78" s="68"/>
      <c r="U78" s="69"/>
      <c r="V78" s="68"/>
      <c r="X78" s="69"/>
      <c r="Y78" s="68"/>
      <c r="AA78" s="69"/>
      <c r="AB78" s="33">
        <f t="shared" ref="AB78:AB141" si="2">IFERROR(AVERAGEIFS(P78:AA78,_xlfn.ANCHORARRAY(D78),TRUE),0)/10</f>
        <v>0</v>
      </c>
      <c r="AC78" s="45">
        <f>_xlfn.LET(_xlpm.ps_1,P78:R78, _xlpm.ps_2,S78:U78, _xlpm.ps_3,V78:X78, _xlpm.ps_4,Y78:AA78,
_xlpm.phase, MID(C78,SEARCH("-",C78)+1,256),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(_xlfn.XLOOKUP($C$7,site_assumptions[Details],site_assumptions[Volts])*SUMIFS(P78:AA78,_xlfn.ANCHORARRAY(D78),TRUE)/10*0.95)/1000,
IFERROR(IF(_xlpm.phase="3Phase", _xlpm.p3_calc, _xlpm.sp_calc),0))</f>
        <v>0</v>
      </c>
      <c r="AD78" s="29" t="str">
        <f ca="1"/>
        <v>Bare Metal</v>
      </c>
      <c r="AE78" s="30" t="str">
        <f ca="1"/>
        <v>Bare Metal</v>
      </c>
      <c r="AF78" s="30" t="str">
        <f ca="1"/>
        <v>Live</v>
      </c>
      <c r="AG78" s="30">
        <f ca="1"/>
        <v>6</v>
      </c>
      <c r="AH78" s="31" t="str">
        <f ca="1"/>
        <v>Unknown</v>
      </c>
      <c r="AI78" s="49">
        <f t="shared" ref="AI78:AI141" ca="1" si="3">IFERROR(AC78/AG78,0)</f>
        <v>0</v>
      </c>
      <c r="AJ78" s="71">
        <f ca="1"/>
        <v>0.36299999999999999</v>
      </c>
    </row>
    <row r="79" spans="2:36" x14ac:dyDescent="0.25">
      <c r="B79" s="29" t="str">
        <f ca="1"/>
        <v>dal10.sr01.rk67</v>
      </c>
      <c r="C79" s="10" t="s">
        <v>2070</v>
      </c>
      <c r="D79" s="2" t="b" cm="1">
        <f t="array" ref="D79:O79">_xlfn._xlws.FILTER(IF(ancillary!$E$4:$P$8="",FALSE,ancillary!$E$4:$P$8),ancillary!$B$4:$B$8=$C79)</f>
        <v>1</v>
      </c>
      <c r="E79" s="2" t="b">
        <v>1</v>
      </c>
      <c r="F79" s="2" t="b">
        <v>1</v>
      </c>
      <c r="G79" s="2" t="b">
        <v>1</v>
      </c>
      <c r="H79" s="2" t="b">
        <v>1</v>
      </c>
      <c r="I79" s="2" t="b">
        <v>1</v>
      </c>
      <c r="J79" s="2" t="b">
        <v>0</v>
      </c>
      <c r="K79" s="2" t="b">
        <v>0</v>
      </c>
      <c r="L79" s="2" t="b">
        <v>0</v>
      </c>
      <c r="M79" s="2" t="b">
        <v>0</v>
      </c>
      <c r="N79" s="2" t="b">
        <v>0</v>
      </c>
      <c r="O79" s="2" t="b">
        <v>0</v>
      </c>
      <c r="P79" s="68"/>
      <c r="R79" s="69"/>
      <c r="S79" s="68"/>
      <c r="U79" s="69"/>
      <c r="V79" s="68"/>
      <c r="X79" s="69"/>
      <c r="Y79" s="68"/>
      <c r="AA79" s="69"/>
      <c r="AB79" s="33">
        <f t="shared" si="2"/>
        <v>0</v>
      </c>
      <c r="AC79" s="45">
        <f>_xlfn.LET(_xlpm.ps_1,P79:R79, _xlpm.ps_2,S79:U79, _xlpm.ps_3,V79:X79, _xlpm.ps_4,Y79:AA79,
_xlpm.phase, MID(C79,SEARCH("-",C79)+1,256),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(_xlfn.XLOOKUP($C$7,site_assumptions[Details],site_assumptions[Volts])*SUMIFS(P79:AA79,_xlfn.ANCHORARRAY(D79),TRUE)/10*0.95)/1000,
IFERROR(IF(_xlpm.phase="3Phase", _xlpm.p3_calc, _xlpm.sp_calc),0))</f>
        <v>0</v>
      </c>
      <c r="AD79" s="29" t="str">
        <f ca="1"/>
        <v>Network</v>
      </c>
      <c r="AE79" s="30" t="str">
        <f ca="1"/>
        <v>Network Spares</v>
      </c>
      <c r="AF79" s="30" t="str">
        <f ca="1"/>
        <v>Live</v>
      </c>
      <c r="AG79" s="30">
        <f ca="1"/>
        <v>0</v>
      </c>
      <c r="AH79" s="31" t="str">
        <f ca="1"/>
        <v>Unknown</v>
      </c>
      <c r="AI79" s="49">
        <f t="shared" ca="1" si="3"/>
        <v>0</v>
      </c>
      <c r="AJ79" s="71">
        <f ca="1"/>
        <v>0</v>
      </c>
    </row>
    <row r="80" spans="2:36" x14ac:dyDescent="0.25">
      <c r="B80" s="29" t="str">
        <f ca="1"/>
        <v>dal10.sr01.rk68</v>
      </c>
      <c r="C80" s="10" t="s">
        <v>2070</v>
      </c>
      <c r="D80" s="2" t="b" cm="1">
        <f t="array" ref="D80:O80">_xlfn._xlws.FILTER(IF(ancillary!$E$4:$P$8="",FALSE,ancillary!$E$4:$P$8),ancillary!$B$4:$B$8=$C80)</f>
        <v>1</v>
      </c>
      <c r="E80" s="2" t="b">
        <v>1</v>
      </c>
      <c r="F80" s="2" t="b">
        <v>1</v>
      </c>
      <c r="G80" s="2" t="b">
        <v>1</v>
      </c>
      <c r="H80" s="2" t="b">
        <v>1</v>
      </c>
      <c r="I80" s="2" t="b">
        <v>1</v>
      </c>
      <c r="J80" s="2" t="b">
        <v>0</v>
      </c>
      <c r="K80" s="2" t="b">
        <v>0</v>
      </c>
      <c r="L80" s="2" t="b">
        <v>0</v>
      </c>
      <c r="M80" s="2" t="b">
        <v>0</v>
      </c>
      <c r="N80" s="2" t="b">
        <v>0</v>
      </c>
      <c r="O80" s="2" t="b">
        <v>0</v>
      </c>
      <c r="P80" s="68"/>
      <c r="R80" s="69"/>
      <c r="S80" s="68"/>
      <c r="U80" s="69"/>
      <c r="V80" s="68"/>
      <c r="X80" s="69"/>
      <c r="Y80" s="68"/>
      <c r="AA80" s="69"/>
      <c r="AB80" s="33">
        <f t="shared" si="2"/>
        <v>0</v>
      </c>
      <c r="AC80" s="45">
        <f>_xlfn.LET(_xlpm.ps_1,P80:R80, _xlpm.ps_2,S80:U80, _xlpm.ps_3,V80:X80, _xlpm.ps_4,Y80:AA80,
_xlpm.phase, MID(C80,SEARCH("-",C80)+1,256),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(_xlfn.XLOOKUP($C$7,site_assumptions[Details],site_assumptions[Volts])*SUMIFS(P80:AA80,_xlfn.ANCHORARRAY(D80),TRUE)/10*0.95)/1000,
IFERROR(IF(_xlpm.phase="3Phase", _xlpm.p3_calc, _xlpm.sp_calc),0))</f>
        <v>0</v>
      </c>
      <c r="AD80" s="29" t="str">
        <f ca="1"/>
        <v>Unallocated</v>
      </c>
      <c r="AE80" s="30" t="str">
        <f ca="1"/>
        <v>Unallocated</v>
      </c>
      <c r="AF80" s="30" t="str">
        <f ca="1"/>
        <v>Planned</v>
      </c>
      <c r="AG80" s="30">
        <f ca="1"/>
        <v>0</v>
      </c>
      <c r="AH80" s="31" t="str">
        <f ca="1"/>
        <v>Unknown</v>
      </c>
      <c r="AI80" s="49">
        <f t="shared" ca="1" si="3"/>
        <v>0</v>
      </c>
      <c r="AJ80" s="71">
        <f ca="1"/>
        <v>0</v>
      </c>
    </row>
    <row r="81" spans="2:36" x14ac:dyDescent="0.25">
      <c r="B81" s="29" t="str">
        <f ca="1"/>
        <v>dal10.sr01.rk69</v>
      </c>
      <c r="C81" s="10" t="s">
        <v>2070</v>
      </c>
      <c r="D81" s="2" t="b" cm="1">
        <f t="array" ref="D81:O81">_xlfn._xlws.FILTER(IF(ancillary!$E$4:$P$8="",FALSE,ancillary!$E$4:$P$8),ancillary!$B$4:$B$8=$C81)</f>
        <v>1</v>
      </c>
      <c r="E81" s="2" t="b">
        <v>1</v>
      </c>
      <c r="F81" s="2" t="b">
        <v>1</v>
      </c>
      <c r="G81" s="2" t="b">
        <v>1</v>
      </c>
      <c r="H81" s="2" t="b">
        <v>1</v>
      </c>
      <c r="I81" s="2" t="b">
        <v>1</v>
      </c>
      <c r="J81" s="2" t="b">
        <v>0</v>
      </c>
      <c r="K81" s="2" t="b">
        <v>0</v>
      </c>
      <c r="L81" s="2" t="b">
        <v>0</v>
      </c>
      <c r="M81" s="2" t="b">
        <v>0</v>
      </c>
      <c r="N81" s="2" t="b">
        <v>0</v>
      </c>
      <c r="O81" s="2" t="b">
        <v>0</v>
      </c>
      <c r="P81" s="68"/>
      <c r="R81" s="69"/>
      <c r="S81" s="68"/>
      <c r="U81" s="69"/>
      <c r="V81" s="68"/>
      <c r="X81" s="69"/>
      <c r="Y81" s="68"/>
      <c r="AA81" s="69"/>
      <c r="AB81" s="33">
        <f t="shared" si="2"/>
        <v>0</v>
      </c>
      <c r="AC81" s="45">
        <f>_xlfn.LET(_xlpm.ps_1,P81:R81, _xlpm.ps_2,S81:U81, _xlpm.ps_3,V81:X81, _xlpm.ps_4,Y81:AA81,
_xlpm.phase, MID(C81,SEARCH("-",C81)+1,256),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(_xlfn.XLOOKUP($C$7,site_assumptions[Details],site_assumptions[Volts])*SUMIFS(P81:AA81,_xlfn.ANCHORARRAY(D81),TRUE)/10*0.95)/1000,
IFERROR(IF(_xlpm.phase="3Phase", _xlpm.p3_calc, _xlpm.sp_calc),0))</f>
        <v>0</v>
      </c>
      <c r="AD81" s="29" t="str">
        <f ca="1"/>
        <v>Unallocated</v>
      </c>
      <c r="AE81" s="30" t="str">
        <f ca="1"/>
        <v>Unallocated</v>
      </c>
      <c r="AF81" s="30" t="str">
        <f ca="1"/>
        <v>Planned</v>
      </c>
      <c r="AG81" s="30">
        <f ca="1"/>
        <v>0</v>
      </c>
      <c r="AH81" s="31" t="str">
        <f ca="1"/>
        <v>Unknown</v>
      </c>
      <c r="AI81" s="49">
        <f t="shared" ca="1" si="3"/>
        <v>0</v>
      </c>
      <c r="AJ81" s="71">
        <f ca="1"/>
        <v>0</v>
      </c>
    </row>
    <row r="82" spans="2:36" x14ac:dyDescent="0.25">
      <c r="B82" s="29" t="str">
        <f ca="1"/>
        <v>dal10.sr01.rk70</v>
      </c>
      <c r="C82" s="10" t="s">
        <v>2070</v>
      </c>
      <c r="D82" s="2" t="b" cm="1">
        <f t="array" ref="D82:O82">_xlfn._xlws.FILTER(IF(ancillary!$E$4:$P$8="",FALSE,ancillary!$E$4:$P$8),ancillary!$B$4:$B$8=$C82)</f>
        <v>1</v>
      </c>
      <c r="E82" s="2" t="b">
        <v>1</v>
      </c>
      <c r="F82" s="2" t="b">
        <v>1</v>
      </c>
      <c r="G82" s="2" t="b">
        <v>1</v>
      </c>
      <c r="H82" s="2" t="b">
        <v>1</v>
      </c>
      <c r="I82" s="2" t="b">
        <v>1</v>
      </c>
      <c r="J82" s="2" t="b">
        <v>0</v>
      </c>
      <c r="K82" s="2" t="b">
        <v>0</v>
      </c>
      <c r="L82" s="2" t="b">
        <v>0</v>
      </c>
      <c r="M82" s="2" t="b">
        <v>0</v>
      </c>
      <c r="N82" s="2" t="b">
        <v>0</v>
      </c>
      <c r="O82" s="2" t="b">
        <v>0</v>
      </c>
      <c r="P82" s="68"/>
      <c r="R82" s="69"/>
      <c r="S82" s="68"/>
      <c r="U82" s="69"/>
      <c r="V82" s="68"/>
      <c r="X82" s="69"/>
      <c r="Y82" s="68"/>
      <c r="AA82" s="69"/>
      <c r="AB82" s="33">
        <f t="shared" si="2"/>
        <v>0</v>
      </c>
      <c r="AC82" s="45">
        <f>_xlfn.LET(_xlpm.ps_1,P82:R82, _xlpm.ps_2,S82:U82, _xlpm.ps_3,V82:X82, _xlpm.ps_4,Y82:AA82,
_xlpm.phase, MID(C82,SEARCH("-",C82)+1,256),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(_xlfn.XLOOKUP($C$7,site_assumptions[Details],site_assumptions[Volts])*SUMIFS(P82:AA82,_xlfn.ANCHORARRAY(D82),TRUE)/10*0.95)/1000,
IFERROR(IF(_xlpm.phase="3Phase", _xlpm.p3_calc, _xlpm.sp_calc),0))</f>
        <v>0</v>
      </c>
      <c r="AD82" s="29" t="str">
        <f ca="1"/>
        <v>Unallocated</v>
      </c>
      <c r="AE82" s="30" t="str">
        <f ca="1"/>
        <v>Unallocated</v>
      </c>
      <c r="AF82" s="30" t="str">
        <f ca="1"/>
        <v>Planned</v>
      </c>
      <c r="AG82" s="30">
        <f ca="1"/>
        <v>0</v>
      </c>
      <c r="AH82" s="31" t="str">
        <f ca="1"/>
        <v>Unknown</v>
      </c>
      <c r="AI82" s="49">
        <f t="shared" ca="1" si="3"/>
        <v>0</v>
      </c>
      <c r="AJ82" s="71">
        <f ca="1"/>
        <v>0</v>
      </c>
    </row>
    <row r="83" spans="2:36" x14ac:dyDescent="0.25">
      <c r="B83" s="29" t="str">
        <f ca="1"/>
        <v>dal10.sr01.rk71</v>
      </c>
      <c r="C83" s="10" t="s">
        <v>2070</v>
      </c>
      <c r="D83" s="2" t="b" cm="1">
        <f t="array" ref="D83:O83">_xlfn._xlws.FILTER(IF(ancillary!$E$4:$P$8="",FALSE,ancillary!$E$4:$P$8),ancillary!$B$4:$B$8=$C83)</f>
        <v>1</v>
      </c>
      <c r="E83" s="2" t="b">
        <v>1</v>
      </c>
      <c r="F83" s="2" t="b">
        <v>1</v>
      </c>
      <c r="G83" s="2" t="b">
        <v>1</v>
      </c>
      <c r="H83" s="2" t="b">
        <v>1</v>
      </c>
      <c r="I83" s="2" t="b">
        <v>1</v>
      </c>
      <c r="J83" s="2" t="b">
        <v>0</v>
      </c>
      <c r="K83" s="2" t="b">
        <v>0</v>
      </c>
      <c r="L83" s="2" t="b">
        <v>0</v>
      </c>
      <c r="M83" s="2" t="b">
        <v>0</v>
      </c>
      <c r="N83" s="2" t="b">
        <v>0</v>
      </c>
      <c r="O83" s="2" t="b">
        <v>0</v>
      </c>
      <c r="P83" s="68"/>
      <c r="R83" s="69"/>
      <c r="S83" s="68"/>
      <c r="U83" s="69"/>
      <c r="V83" s="68"/>
      <c r="X83" s="69"/>
      <c r="Y83" s="68"/>
      <c r="AA83" s="69"/>
      <c r="AB83" s="33">
        <f t="shared" si="2"/>
        <v>0</v>
      </c>
      <c r="AC83" s="45">
        <f>_xlfn.LET(_xlpm.ps_1,P83:R83, _xlpm.ps_2,S83:U83, _xlpm.ps_3,V83:X83, _xlpm.ps_4,Y83:AA83,
_xlpm.phase, MID(C83,SEARCH("-",C83)+1,256),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(_xlfn.XLOOKUP($C$7,site_assumptions[Details],site_assumptions[Volts])*SUMIFS(P83:AA83,_xlfn.ANCHORARRAY(D83),TRUE)/10*0.95)/1000,
IFERROR(IF(_xlpm.phase="3Phase", _xlpm.p3_calc, _xlpm.sp_calc),0))</f>
        <v>0</v>
      </c>
      <c r="AD83" s="29" t="str">
        <f ca="1"/>
        <v>Unallocated</v>
      </c>
      <c r="AE83" s="30" t="str">
        <f ca="1"/>
        <v>Unallocated</v>
      </c>
      <c r="AF83" s="30" t="str">
        <f ca="1"/>
        <v>Planned</v>
      </c>
      <c r="AG83" s="30">
        <f ca="1"/>
        <v>0</v>
      </c>
      <c r="AH83" s="31" t="str">
        <f ca="1"/>
        <v>Unknown</v>
      </c>
      <c r="AI83" s="49">
        <f t="shared" ca="1" si="3"/>
        <v>0</v>
      </c>
      <c r="AJ83" s="71">
        <f ca="1"/>
        <v>0</v>
      </c>
    </row>
    <row r="84" spans="2:36" x14ac:dyDescent="0.25">
      <c r="B84" s="29" t="str">
        <f ca="1"/>
        <v>dal10.sr01.rk72</v>
      </c>
      <c r="C84" s="10" t="s">
        <v>2070</v>
      </c>
      <c r="D84" s="2" t="b" cm="1">
        <f t="array" ref="D84:O84">_xlfn._xlws.FILTER(IF(ancillary!$E$4:$P$8="",FALSE,ancillary!$E$4:$P$8),ancillary!$B$4:$B$8=$C84)</f>
        <v>1</v>
      </c>
      <c r="E84" s="2" t="b">
        <v>1</v>
      </c>
      <c r="F84" s="2" t="b">
        <v>1</v>
      </c>
      <c r="G84" s="2" t="b">
        <v>1</v>
      </c>
      <c r="H84" s="2" t="b">
        <v>1</v>
      </c>
      <c r="I84" s="2" t="b">
        <v>1</v>
      </c>
      <c r="J84" s="2" t="b">
        <v>0</v>
      </c>
      <c r="K84" s="2" t="b">
        <v>0</v>
      </c>
      <c r="L84" s="2" t="b">
        <v>0</v>
      </c>
      <c r="M84" s="2" t="b">
        <v>0</v>
      </c>
      <c r="N84" s="2" t="b">
        <v>0</v>
      </c>
      <c r="O84" s="2" t="b">
        <v>0</v>
      </c>
      <c r="P84" s="68"/>
      <c r="R84" s="69"/>
      <c r="S84" s="68"/>
      <c r="U84" s="69"/>
      <c r="V84" s="68"/>
      <c r="X84" s="69"/>
      <c r="Y84" s="68"/>
      <c r="AA84" s="69"/>
      <c r="AB84" s="33">
        <f t="shared" si="2"/>
        <v>0</v>
      </c>
      <c r="AC84" s="45">
        <f>_xlfn.LET(_xlpm.ps_1,P84:R84, _xlpm.ps_2,S84:U84, _xlpm.ps_3,V84:X84, _xlpm.ps_4,Y84:AA84,
_xlpm.phase, MID(C84,SEARCH("-",C84)+1,256),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(_xlfn.XLOOKUP($C$7,site_assumptions[Details],site_assumptions[Volts])*SUMIFS(P84:AA84,_xlfn.ANCHORARRAY(D84),TRUE)/10*0.95)/1000,
IFERROR(IF(_xlpm.phase="3Phase", _xlpm.p3_calc, _xlpm.sp_calc),0))</f>
        <v>0</v>
      </c>
      <c r="AD84" s="29" t="str">
        <f ca="1"/>
        <v>Unallocated</v>
      </c>
      <c r="AE84" s="30" t="str">
        <f ca="1"/>
        <v>Unallocated</v>
      </c>
      <c r="AF84" s="30" t="str">
        <f ca="1"/>
        <v>Planned</v>
      </c>
      <c r="AG84" s="30">
        <f ca="1"/>
        <v>0</v>
      </c>
      <c r="AH84" s="31" t="str">
        <f ca="1"/>
        <v>Unknown</v>
      </c>
      <c r="AI84" s="49">
        <f t="shared" ca="1" si="3"/>
        <v>0</v>
      </c>
      <c r="AJ84" s="71">
        <f ca="1"/>
        <v>0</v>
      </c>
    </row>
    <row r="85" spans="2:36" x14ac:dyDescent="0.25">
      <c r="B85" s="29" t="str">
        <f ca="1"/>
        <v>dal10.sr01.rk73</v>
      </c>
      <c r="C85" s="10" t="s">
        <v>2070</v>
      </c>
      <c r="D85" s="2" t="b" cm="1">
        <f t="array" ref="D85:O85">_xlfn._xlws.FILTER(IF(ancillary!$E$4:$P$8="",FALSE,ancillary!$E$4:$P$8),ancillary!$B$4:$B$8=$C85)</f>
        <v>1</v>
      </c>
      <c r="E85" s="2" t="b">
        <v>1</v>
      </c>
      <c r="F85" s="2" t="b">
        <v>1</v>
      </c>
      <c r="G85" s="2" t="b">
        <v>1</v>
      </c>
      <c r="H85" s="2" t="b">
        <v>1</v>
      </c>
      <c r="I85" s="2" t="b">
        <v>1</v>
      </c>
      <c r="J85" s="2" t="b">
        <v>0</v>
      </c>
      <c r="K85" s="2" t="b">
        <v>0</v>
      </c>
      <c r="L85" s="2" t="b">
        <v>0</v>
      </c>
      <c r="M85" s="2" t="b">
        <v>0</v>
      </c>
      <c r="N85" s="2" t="b">
        <v>0</v>
      </c>
      <c r="O85" s="2" t="b">
        <v>0</v>
      </c>
      <c r="P85" s="68"/>
      <c r="R85" s="69"/>
      <c r="S85" s="68"/>
      <c r="U85" s="69"/>
      <c r="V85" s="68"/>
      <c r="X85" s="69"/>
      <c r="Y85" s="68"/>
      <c r="AA85" s="69"/>
      <c r="AB85" s="33">
        <f t="shared" si="2"/>
        <v>0</v>
      </c>
      <c r="AC85" s="45">
        <f>_xlfn.LET(_xlpm.ps_1,P85:R85, _xlpm.ps_2,S85:U85, _xlpm.ps_3,V85:X85, _xlpm.ps_4,Y85:AA85,
_xlpm.phase, MID(C85,SEARCH("-",C85)+1,256),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(_xlfn.XLOOKUP($C$7,site_assumptions[Details],site_assumptions[Volts])*SUMIFS(P85:AA85,_xlfn.ANCHORARRAY(D85),TRUE)/10*0.95)/1000,
IFERROR(IF(_xlpm.phase="3Phase", _xlpm.p3_calc, _xlpm.sp_calc),0))</f>
        <v>0</v>
      </c>
      <c r="AD85" s="29" t="str">
        <f ca="1"/>
        <v>Unallocated</v>
      </c>
      <c r="AE85" s="30" t="str">
        <f ca="1"/>
        <v>Unallocated</v>
      </c>
      <c r="AF85" s="30" t="str">
        <f ca="1"/>
        <v>Planned</v>
      </c>
      <c r="AG85" s="30">
        <f ca="1"/>
        <v>0</v>
      </c>
      <c r="AH85" s="31" t="str">
        <f ca="1"/>
        <v>Unknown</v>
      </c>
      <c r="AI85" s="49">
        <f t="shared" ca="1" si="3"/>
        <v>0</v>
      </c>
      <c r="AJ85" s="71">
        <f ca="1"/>
        <v>0</v>
      </c>
    </row>
    <row r="86" spans="2:36" x14ac:dyDescent="0.25">
      <c r="B86" s="29" t="str">
        <f ca="1"/>
        <v>dal10.sr01.rk74</v>
      </c>
      <c r="C86" s="10" t="s">
        <v>2070</v>
      </c>
      <c r="D86" s="2" t="b" cm="1">
        <f t="array" ref="D86:O86">_xlfn._xlws.FILTER(IF(ancillary!$E$4:$P$8="",FALSE,ancillary!$E$4:$P$8),ancillary!$B$4:$B$8=$C86)</f>
        <v>1</v>
      </c>
      <c r="E86" s="2" t="b">
        <v>1</v>
      </c>
      <c r="F86" s="2" t="b">
        <v>1</v>
      </c>
      <c r="G86" s="2" t="b">
        <v>1</v>
      </c>
      <c r="H86" s="2" t="b">
        <v>1</v>
      </c>
      <c r="I86" s="2" t="b">
        <v>1</v>
      </c>
      <c r="J86" s="2" t="b">
        <v>0</v>
      </c>
      <c r="K86" s="2" t="b">
        <v>0</v>
      </c>
      <c r="L86" s="2" t="b">
        <v>0</v>
      </c>
      <c r="M86" s="2" t="b">
        <v>0</v>
      </c>
      <c r="N86" s="2" t="b">
        <v>0</v>
      </c>
      <c r="O86" s="2" t="b">
        <v>0</v>
      </c>
      <c r="P86" s="68"/>
      <c r="R86" s="69"/>
      <c r="S86" s="68"/>
      <c r="U86" s="69"/>
      <c r="V86" s="68"/>
      <c r="X86" s="69"/>
      <c r="Y86" s="68"/>
      <c r="AA86" s="69"/>
      <c r="AB86" s="33">
        <f t="shared" si="2"/>
        <v>0</v>
      </c>
      <c r="AC86" s="45">
        <f>_xlfn.LET(_xlpm.ps_1,P86:R86, _xlpm.ps_2,S86:U86, _xlpm.ps_3,V86:X86, _xlpm.ps_4,Y86:AA86,
_xlpm.phase, MID(C86,SEARCH("-",C86)+1,256),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(_xlfn.XLOOKUP($C$7,site_assumptions[Details],site_assumptions[Volts])*SUMIFS(P86:AA86,_xlfn.ANCHORARRAY(D86),TRUE)/10*0.95)/1000,
IFERROR(IF(_xlpm.phase="3Phase", _xlpm.p3_calc, _xlpm.sp_calc),0))</f>
        <v>0</v>
      </c>
      <c r="AD86" s="29" t="str">
        <f ca="1"/>
        <v>Gen2</v>
      </c>
      <c r="AE86" s="30" t="str">
        <f ca="1"/>
        <v>GPU</v>
      </c>
      <c r="AF86" s="30" t="str">
        <f ca="1"/>
        <v>Planned</v>
      </c>
      <c r="AG86" s="30">
        <f ca="1"/>
        <v>20</v>
      </c>
      <c r="AH86" s="31" t="str">
        <f ca="1"/>
        <v>Unknown</v>
      </c>
      <c r="AI86" s="49">
        <f t="shared" ca="1" si="3"/>
        <v>0</v>
      </c>
      <c r="AJ86" s="71">
        <f ca="1"/>
        <v>0</v>
      </c>
    </row>
    <row r="87" spans="2:36" x14ac:dyDescent="0.25">
      <c r="B87" s="29" t="str">
        <f ca="1"/>
        <v>dal10.sr01.rk75</v>
      </c>
      <c r="C87" s="10" t="s">
        <v>2070</v>
      </c>
      <c r="D87" s="2" t="b" cm="1">
        <f t="array" ref="D87:O87">_xlfn._xlws.FILTER(IF(ancillary!$E$4:$P$8="",FALSE,ancillary!$E$4:$P$8),ancillary!$B$4:$B$8=$C87)</f>
        <v>1</v>
      </c>
      <c r="E87" s="2" t="b">
        <v>1</v>
      </c>
      <c r="F87" s="2" t="b">
        <v>1</v>
      </c>
      <c r="G87" s="2" t="b">
        <v>1</v>
      </c>
      <c r="H87" s="2" t="b">
        <v>1</v>
      </c>
      <c r="I87" s="2" t="b">
        <v>1</v>
      </c>
      <c r="J87" s="2" t="b">
        <v>0</v>
      </c>
      <c r="K87" s="2" t="b">
        <v>0</v>
      </c>
      <c r="L87" s="2" t="b">
        <v>0</v>
      </c>
      <c r="M87" s="2" t="b">
        <v>0</v>
      </c>
      <c r="N87" s="2" t="b">
        <v>0</v>
      </c>
      <c r="O87" s="2" t="b">
        <v>0</v>
      </c>
      <c r="P87" s="68"/>
      <c r="R87" s="69"/>
      <c r="S87" s="68"/>
      <c r="U87" s="69"/>
      <c r="V87" s="68"/>
      <c r="X87" s="69"/>
      <c r="Y87" s="68"/>
      <c r="AA87" s="69"/>
      <c r="AB87" s="33">
        <f t="shared" si="2"/>
        <v>0</v>
      </c>
      <c r="AC87" s="45">
        <f>_xlfn.LET(_xlpm.ps_1,P87:R87, _xlpm.ps_2,S87:U87, _xlpm.ps_3,V87:X87, _xlpm.ps_4,Y87:AA87,
_xlpm.phase, MID(C87,SEARCH("-",C87)+1,256),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(_xlfn.XLOOKUP($C$7,site_assumptions[Details],site_assumptions[Volts])*SUMIFS(P87:AA87,_xlfn.ANCHORARRAY(D87),TRUE)/10*0.95)/1000,
IFERROR(IF(_xlpm.phase="3Phase", _xlpm.p3_calc, _xlpm.sp_calc),0))</f>
        <v>0</v>
      </c>
      <c r="AD87" s="29" t="str">
        <f ca="1"/>
        <v>Gen2</v>
      </c>
      <c r="AE87" s="30" t="str">
        <f ca="1"/>
        <v>GPU</v>
      </c>
      <c r="AF87" s="30" t="str">
        <f ca="1"/>
        <v>Planned</v>
      </c>
      <c r="AG87" s="30">
        <f ca="1"/>
        <v>20</v>
      </c>
      <c r="AH87" s="31" t="str">
        <f ca="1"/>
        <v>Unknown</v>
      </c>
      <c r="AI87" s="49">
        <f t="shared" ca="1" si="3"/>
        <v>0</v>
      </c>
      <c r="AJ87" s="71">
        <f ca="1"/>
        <v>0</v>
      </c>
    </row>
    <row r="88" spans="2:36" x14ac:dyDescent="0.25">
      <c r="B88" s="29" t="str">
        <f ca="1"/>
        <v>dal10.sr01.rk76</v>
      </c>
      <c r="C88" s="10" t="s">
        <v>2070</v>
      </c>
      <c r="D88" s="2" t="b" cm="1">
        <f t="array" ref="D88:O88">_xlfn._xlws.FILTER(IF(ancillary!$E$4:$P$8="",FALSE,ancillary!$E$4:$P$8),ancillary!$B$4:$B$8=$C88)</f>
        <v>1</v>
      </c>
      <c r="E88" s="2" t="b">
        <v>1</v>
      </c>
      <c r="F88" s="2" t="b">
        <v>1</v>
      </c>
      <c r="G88" s="2" t="b">
        <v>1</v>
      </c>
      <c r="H88" s="2" t="b">
        <v>1</v>
      </c>
      <c r="I88" s="2" t="b">
        <v>1</v>
      </c>
      <c r="J88" s="2" t="b">
        <v>0</v>
      </c>
      <c r="K88" s="2" t="b">
        <v>0</v>
      </c>
      <c r="L88" s="2" t="b">
        <v>0</v>
      </c>
      <c r="M88" s="2" t="b">
        <v>0</v>
      </c>
      <c r="N88" s="2" t="b">
        <v>0</v>
      </c>
      <c r="O88" s="2" t="b">
        <v>0</v>
      </c>
      <c r="P88" s="68"/>
      <c r="R88" s="69"/>
      <c r="S88" s="68"/>
      <c r="U88" s="69"/>
      <c r="V88" s="68"/>
      <c r="X88" s="69"/>
      <c r="Y88" s="68"/>
      <c r="AA88" s="69"/>
      <c r="AB88" s="33">
        <f t="shared" si="2"/>
        <v>0</v>
      </c>
      <c r="AC88" s="45">
        <f>_xlfn.LET(_xlpm.ps_1,P88:R88, _xlpm.ps_2,S88:U88, _xlpm.ps_3,V88:X88, _xlpm.ps_4,Y88:AA88,
_xlpm.phase, MID(C88,SEARCH("-",C88)+1,256),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(_xlfn.XLOOKUP($C$7,site_assumptions[Details],site_assumptions[Volts])*SUMIFS(P88:AA88,_xlfn.ANCHORARRAY(D88),TRUE)/10*0.95)/1000,
IFERROR(IF(_xlpm.phase="3Phase", _xlpm.p3_calc, _xlpm.sp_calc),0))</f>
        <v>0</v>
      </c>
      <c r="AD88" s="29" t="str">
        <f ca="1"/>
        <v>Gen2</v>
      </c>
      <c r="AE88" s="30" t="str">
        <f ca="1"/>
        <v>GPU</v>
      </c>
      <c r="AF88" s="30" t="str">
        <f ca="1"/>
        <v>Planned</v>
      </c>
      <c r="AG88" s="30">
        <f ca="1"/>
        <v>20</v>
      </c>
      <c r="AH88" s="31" t="str">
        <f ca="1"/>
        <v>Unknown</v>
      </c>
      <c r="AI88" s="49">
        <f t="shared" ca="1" si="3"/>
        <v>0</v>
      </c>
      <c r="AJ88" s="71">
        <f ca="1"/>
        <v>0</v>
      </c>
    </row>
    <row r="89" spans="2:36" x14ac:dyDescent="0.25">
      <c r="B89" s="29" t="str">
        <f ca="1"/>
        <v>dal10.sr01.rk77</v>
      </c>
      <c r="C89" s="10" t="s">
        <v>2070</v>
      </c>
      <c r="D89" s="2" t="b" cm="1">
        <f t="array" ref="D89:O89">_xlfn._xlws.FILTER(IF(ancillary!$E$4:$P$8="",FALSE,ancillary!$E$4:$P$8),ancillary!$B$4:$B$8=$C89)</f>
        <v>1</v>
      </c>
      <c r="E89" s="2" t="b">
        <v>1</v>
      </c>
      <c r="F89" s="2" t="b">
        <v>1</v>
      </c>
      <c r="G89" s="2" t="b">
        <v>1</v>
      </c>
      <c r="H89" s="2" t="b">
        <v>1</v>
      </c>
      <c r="I89" s="2" t="b">
        <v>1</v>
      </c>
      <c r="J89" s="2" t="b">
        <v>0</v>
      </c>
      <c r="K89" s="2" t="b">
        <v>0</v>
      </c>
      <c r="L89" s="2" t="b">
        <v>0</v>
      </c>
      <c r="M89" s="2" t="b">
        <v>0</v>
      </c>
      <c r="N89" s="2" t="b">
        <v>0</v>
      </c>
      <c r="O89" s="2" t="b">
        <v>0</v>
      </c>
      <c r="P89" s="68"/>
      <c r="R89" s="69"/>
      <c r="S89" s="68"/>
      <c r="U89" s="69"/>
      <c r="V89" s="68"/>
      <c r="X89" s="69"/>
      <c r="Y89" s="68"/>
      <c r="AA89" s="69"/>
      <c r="AB89" s="33">
        <f t="shared" si="2"/>
        <v>0</v>
      </c>
      <c r="AC89" s="45">
        <f>_xlfn.LET(_xlpm.ps_1,P89:R89, _xlpm.ps_2,S89:U89, _xlpm.ps_3,V89:X89, _xlpm.ps_4,Y89:AA89,
_xlpm.phase, MID(C89,SEARCH("-",C89)+1,256),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(_xlfn.XLOOKUP($C$7,site_assumptions[Details],site_assumptions[Volts])*SUMIFS(P89:AA89,_xlfn.ANCHORARRAY(D89),TRUE)/10*0.95)/1000,
IFERROR(IF(_xlpm.phase="3Phase", _xlpm.p3_calc, _xlpm.sp_calc),0))</f>
        <v>0</v>
      </c>
      <c r="AD89" s="29" t="str">
        <f ca="1"/>
        <v>Gen2</v>
      </c>
      <c r="AE89" s="30" t="str">
        <f ca="1"/>
        <v>GPU</v>
      </c>
      <c r="AF89" s="30" t="str">
        <f ca="1"/>
        <v>Planned</v>
      </c>
      <c r="AG89" s="30">
        <f ca="1"/>
        <v>20</v>
      </c>
      <c r="AH89" s="31" t="str">
        <f ca="1"/>
        <v>Unknown</v>
      </c>
      <c r="AI89" s="49">
        <f t="shared" ca="1" si="3"/>
        <v>0</v>
      </c>
      <c r="AJ89" s="71">
        <f ca="1"/>
        <v>0</v>
      </c>
    </row>
    <row r="90" spans="2:36" x14ac:dyDescent="0.25">
      <c r="B90" s="29" t="str">
        <f ca="1"/>
        <v>dal10.sr01.rk78</v>
      </c>
      <c r="C90" s="10" t="s">
        <v>2070</v>
      </c>
      <c r="D90" s="2" t="b" cm="1">
        <f t="array" ref="D90:O90">_xlfn._xlws.FILTER(IF(ancillary!$E$4:$P$8="",FALSE,ancillary!$E$4:$P$8),ancillary!$B$4:$B$8=$C90)</f>
        <v>1</v>
      </c>
      <c r="E90" s="2" t="b">
        <v>1</v>
      </c>
      <c r="F90" s="2" t="b">
        <v>1</v>
      </c>
      <c r="G90" s="2" t="b">
        <v>1</v>
      </c>
      <c r="H90" s="2" t="b">
        <v>1</v>
      </c>
      <c r="I90" s="2" t="b">
        <v>1</v>
      </c>
      <c r="J90" s="2" t="b">
        <v>0</v>
      </c>
      <c r="K90" s="2" t="b">
        <v>0</v>
      </c>
      <c r="L90" s="2" t="b">
        <v>0</v>
      </c>
      <c r="M90" s="2" t="b">
        <v>0</v>
      </c>
      <c r="N90" s="2" t="b">
        <v>0</v>
      </c>
      <c r="O90" s="2" t="b">
        <v>0</v>
      </c>
      <c r="P90" s="68"/>
      <c r="R90" s="69"/>
      <c r="S90" s="68"/>
      <c r="U90" s="69"/>
      <c r="V90" s="68"/>
      <c r="X90" s="69"/>
      <c r="Y90" s="68"/>
      <c r="AA90" s="69"/>
      <c r="AB90" s="33">
        <f t="shared" si="2"/>
        <v>0</v>
      </c>
      <c r="AC90" s="45">
        <f>_xlfn.LET(_xlpm.ps_1,P90:R90, _xlpm.ps_2,S90:U90, _xlpm.ps_3,V90:X90, _xlpm.ps_4,Y90:AA90,
_xlpm.phase, MID(C90,SEARCH("-",C90)+1,256),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(_xlfn.XLOOKUP($C$7,site_assumptions[Details],site_assumptions[Volts])*SUMIFS(P90:AA90,_xlfn.ANCHORARRAY(D90),TRUE)/10*0.95)/1000,
IFERROR(IF(_xlpm.phase="3Phase", _xlpm.p3_calc, _xlpm.sp_calc),0))</f>
        <v>0</v>
      </c>
      <c r="AD90" s="29" t="str">
        <f ca="1"/>
        <v>Gen2</v>
      </c>
      <c r="AE90" s="30" t="str">
        <f ca="1"/>
        <v>Compute</v>
      </c>
      <c r="AF90" s="30" t="str">
        <f ca="1"/>
        <v>Live</v>
      </c>
      <c r="AG90" s="30">
        <f ca="1"/>
        <v>20</v>
      </c>
      <c r="AH90" s="31" t="str">
        <f ca="1"/>
        <v>Unknown</v>
      </c>
      <c r="AI90" s="49">
        <f t="shared" ca="1" si="3"/>
        <v>0</v>
      </c>
      <c r="AJ90" s="71">
        <f ca="1"/>
        <v>0</v>
      </c>
    </row>
    <row r="91" spans="2:36" x14ac:dyDescent="0.25">
      <c r="B91" s="29" t="str">
        <f ca="1"/>
        <v>dal10.sr01.rk79</v>
      </c>
      <c r="C91" s="10" t="s">
        <v>2070</v>
      </c>
      <c r="D91" s="2" t="b" cm="1">
        <f t="array" ref="D91:O91">_xlfn._xlws.FILTER(IF(ancillary!$E$4:$P$8="",FALSE,ancillary!$E$4:$P$8),ancillary!$B$4:$B$8=$C91)</f>
        <v>1</v>
      </c>
      <c r="E91" s="2" t="b">
        <v>1</v>
      </c>
      <c r="F91" s="2" t="b">
        <v>1</v>
      </c>
      <c r="G91" s="2" t="b">
        <v>1</v>
      </c>
      <c r="H91" s="2" t="b">
        <v>1</v>
      </c>
      <c r="I91" s="2" t="b">
        <v>1</v>
      </c>
      <c r="J91" s="2" t="b">
        <v>0</v>
      </c>
      <c r="K91" s="2" t="b">
        <v>0</v>
      </c>
      <c r="L91" s="2" t="b">
        <v>0</v>
      </c>
      <c r="M91" s="2" t="b">
        <v>0</v>
      </c>
      <c r="N91" s="2" t="b">
        <v>0</v>
      </c>
      <c r="O91" s="2" t="b">
        <v>0</v>
      </c>
      <c r="P91" s="68"/>
      <c r="R91" s="69"/>
      <c r="S91" s="68"/>
      <c r="U91" s="69"/>
      <c r="V91" s="68"/>
      <c r="X91" s="69"/>
      <c r="Y91" s="68"/>
      <c r="AA91" s="69"/>
      <c r="AB91" s="33">
        <f t="shared" si="2"/>
        <v>0</v>
      </c>
      <c r="AC91" s="45">
        <f>_xlfn.LET(_xlpm.ps_1,P91:R91, _xlpm.ps_2,S91:U91, _xlpm.ps_3,V91:X91, _xlpm.ps_4,Y91:AA91,
_xlpm.phase, MID(C91,SEARCH("-",C91)+1,256),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(_xlfn.XLOOKUP($C$7,site_assumptions[Details],site_assumptions[Volts])*SUMIFS(P91:AA91,_xlfn.ANCHORARRAY(D91),TRUE)/10*0.95)/1000,
IFERROR(IF(_xlpm.phase="3Phase", _xlpm.p3_calc, _xlpm.sp_calc),0))</f>
        <v>0</v>
      </c>
      <c r="AD91" s="29" t="str">
        <f ca="1"/>
        <v>Gen2</v>
      </c>
      <c r="AE91" s="30" t="str">
        <f ca="1"/>
        <v>Compute</v>
      </c>
      <c r="AF91" s="30" t="str">
        <f ca="1"/>
        <v>Live</v>
      </c>
      <c r="AG91" s="30">
        <f ca="1"/>
        <v>20</v>
      </c>
      <c r="AH91" s="31" t="str">
        <f ca="1"/>
        <v>Unknown</v>
      </c>
      <c r="AI91" s="49">
        <f t="shared" ca="1" si="3"/>
        <v>0</v>
      </c>
      <c r="AJ91" s="71">
        <f ca="1"/>
        <v>0</v>
      </c>
    </row>
    <row r="92" spans="2:36" x14ac:dyDescent="0.25">
      <c r="B92" s="29" t="str">
        <f ca="1"/>
        <v>dal10.sr01.rk80</v>
      </c>
      <c r="C92" s="10" t="s">
        <v>2070</v>
      </c>
      <c r="D92" s="2" t="b" cm="1">
        <f t="array" ref="D92:O92">_xlfn._xlws.FILTER(IF(ancillary!$E$4:$P$8="",FALSE,ancillary!$E$4:$P$8),ancillary!$B$4:$B$8=$C92)</f>
        <v>1</v>
      </c>
      <c r="E92" s="2" t="b">
        <v>1</v>
      </c>
      <c r="F92" s="2" t="b">
        <v>1</v>
      </c>
      <c r="G92" s="2" t="b">
        <v>1</v>
      </c>
      <c r="H92" s="2" t="b">
        <v>1</v>
      </c>
      <c r="I92" s="2" t="b">
        <v>1</v>
      </c>
      <c r="J92" s="2" t="b">
        <v>0</v>
      </c>
      <c r="K92" s="2" t="b">
        <v>0</v>
      </c>
      <c r="L92" s="2" t="b">
        <v>0</v>
      </c>
      <c r="M92" s="2" t="b">
        <v>0</v>
      </c>
      <c r="N92" s="2" t="b">
        <v>0</v>
      </c>
      <c r="O92" s="2" t="b">
        <v>0</v>
      </c>
      <c r="P92" s="68"/>
      <c r="R92" s="69"/>
      <c r="S92" s="68"/>
      <c r="U92" s="69"/>
      <c r="V92" s="68"/>
      <c r="X92" s="69"/>
      <c r="Y92" s="68"/>
      <c r="AA92" s="69"/>
      <c r="AB92" s="33">
        <f t="shared" si="2"/>
        <v>0</v>
      </c>
      <c r="AC92" s="45">
        <f>_xlfn.LET(_xlpm.ps_1,P92:R92, _xlpm.ps_2,S92:U92, _xlpm.ps_3,V92:X92, _xlpm.ps_4,Y92:AA92,
_xlpm.phase, MID(C92,SEARCH("-",C92)+1,256),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(_xlfn.XLOOKUP($C$7,site_assumptions[Details],site_assumptions[Volts])*SUMIFS(P92:AA92,_xlfn.ANCHORARRAY(D92),TRUE)/10*0.95)/1000,
IFERROR(IF(_xlpm.phase="3Phase", _xlpm.p3_calc, _xlpm.sp_calc),0))</f>
        <v>0</v>
      </c>
      <c r="AD92" s="29" t="str">
        <f ca="1"/>
        <v>Gen2</v>
      </c>
      <c r="AE92" s="30" t="str">
        <f ca="1"/>
        <v>Compute</v>
      </c>
      <c r="AF92" s="30" t="str">
        <f ca="1"/>
        <v>Live</v>
      </c>
      <c r="AG92" s="30">
        <f ca="1"/>
        <v>20</v>
      </c>
      <c r="AH92" s="31" t="str">
        <f ca="1"/>
        <v>Unknown</v>
      </c>
      <c r="AI92" s="49">
        <f t="shared" ca="1" si="3"/>
        <v>0</v>
      </c>
      <c r="AJ92" s="71">
        <f ca="1"/>
        <v>0</v>
      </c>
    </row>
    <row r="93" spans="2:36" x14ac:dyDescent="0.25">
      <c r="B93" s="29" t="str">
        <f ca="1"/>
        <v>dal10.sr01.rk81</v>
      </c>
      <c r="C93" s="10" t="s">
        <v>2070</v>
      </c>
      <c r="D93" s="2" t="b" cm="1">
        <f t="array" ref="D93:O93">_xlfn._xlws.FILTER(IF(ancillary!$E$4:$P$8="",FALSE,ancillary!$E$4:$P$8),ancillary!$B$4:$B$8=$C93)</f>
        <v>1</v>
      </c>
      <c r="E93" s="2" t="b">
        <v>1</v>
      </c>
      <c r="F93" s="2" t="b">
        <v>1</v>
      </c>
      <c r="G93" s="2" t="b">
        <v>1</v>
      </c>
      <c r="H93" s="2" t="b">
        <v>1</v>
      </c>
      <c r="I93" s="2" t="b">
        <v>1</v>
      </c>
      <c r="J93" s="2" t="b">
        <v>0</v>
      </c>
      <c r="K93" s="2" t="b">
        <v>0</v>
      </c>
      <c r="L93" s="2" t="b">
        <v>0</v>
      </c>
      <c r="M93" s="2" t="b">
        <v>0</v>
      </c>
      <c r="N93" s="2" t="b">
        <v>0</v>
      </c>
      <c r="O93" s="2" t="b">
        <v>0</v>
      </c>
      <c r="P93" s="68"/>
      <c r="R93" s="69"/>
      <c r="S93" s="68"/>
      <c r="U93" s="69"/>
      <c r="V93" s="68"/>
      <c r="X93" s="69"/>
      <c r="Y93" s="68"/>
      <c r="AA93" s="69"/>
      <c r="AB93" s="33">
        <f t="shared" si="2"/>
        <v>0</v>
      </c>
      <c r="AC93" s="45">
        <f>_xlfn.LET(_xlpm.ps_1,P93:R93, _xlpm.ps_2,S93:U93, _xlpm.ps_3,V93:X93, _xlpm.ps_4,Y93:AA93,
_xlpm.phase, MID(C93,SEARCH("-",C93)+1,256),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(_xlfn.XLOOKUP($C$7,site_assumptions[Details],site_assumptions[Volts])*SUMIFS(P93:AA93,_xlfn.ANCHORARRAY(D93),TRUE)/10*0.95)/1000,
IFERROR(IF(_xlpm.phase="3Phase", _xlpm.p3_calc, _xlpm.sp_calc),0))</f>
        <v>0</v>
      </c>
      <c r="AD93" s="29" t="str">
        <f ca="1"/>
        <v>Gen2</v>
      </c>
      <c r="AE93" s="30" t="str">
        <f ca="1"/>
        <v>Compute</v>
      </c>
      <c r="AF93" s="30" t="str">
        <f ca="1"/>
        <v>Live</v>
      </c>
      <c r="AG93" s="30">
        <f ca="1"/>
        <v>20</v>
      </c>
      <c r="AH93" s="31" t="str">
        <f ca="1"/>
        <v>Unknown</v>
      </c>
      <c r="AI93" s="49">
        <f t="shared" ca="1" si="3"/>
        <v>0</v>
      </c>
      <c r="AJ93" s="71">
        <f ca="1"/>
        <v>0</v>
      </c>
    </row>
    <row r="94" spans="2:36" x14ac:dyDescent="0.25">
      <c r="B94" s="29" t="str">
        <f ca="1"/>
        <v>dal10.sr01.rk82</v>
      </c>
      <c r="C94" s="10" t="s">
        <v>2070</v>
      </c>
      <c r="D94" s="2" t="b" cm="1">
        <f t="array" ref="D94:O94">_xlfn._xlws.FILTER(IF(ancillary!$E$4:$P$8="",FALSE,ancillary!$E$4:$P$8),ancillary!$B$4:$B$8=$C94)</f>
        <v>1</v>
      </c>
      <c r="E94" s="2" t="b">
        <v>1</v>
      </c>
      <c r="F94" s="2" t="b">
        <v>1</v>
      </c>
      <c r="G94" s="2" t="b">
        <v>1</v>
      </c>
      <c r="H94" s="2" t="b">
        <v>1</v>
      </c>
      <c r="I94" s="2" t="b">
        <v>1</v>
      </c>
      <c r="J94" s="2" t="b">
        <v>0</v>
      </c>
      <c r="K94" s="2" t="b">
        <v>0</v>
      </c>
      <c r="L94" s="2" t="b">
        <v>0</v>
      </c>
      <c r="M94" s="2" t="b">
        <v>0</v>
      </c>
      <c r="N94" s="2" t="b">
        <v>0</v>
      </c>
      <c r="O94" s="2" t="b">
        <v>0</v>
      </c>
      <c r="P94" s="68"/>
      <c r="R94" s="69"/>
      <c r="S94" s="68"/>
      <c r="U94" s="69"/>
      <c r="V94" s="68"/>
      <c r="X94" s="69"/>
      <c r="Y94" s="68"/>
      <c r="AA94" s="69"/>
      <c r="AB94" s="33">
        <f t="shared" si="2"/>
        <v>0</v>
      </c>
      <c r="AC94" s="45">
        <f>_xlfn.LET(_xlpm.ps_1,P94:R94, _xlpm.ps_2,S94:U94, _xlpm.ps_3,V94:X94, _xlpm.ps_4,Y94:AA94,
_xlpm.phase, MID(C94,SEARCH("-",C94)+1,256),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(_xlfn.XLOOKUP($C$7,site_assumptions[Details],site_assumptions[Volts])*SUMIFS(P94:AA94,_xlfn.ANCHORARRAY(D94),TRUE)/10*0.95)/1000,
IFERROR(IF(_xlpm.phase="3Phase", _xlpm.p3_calc, _xlpm.sp_calc),0))</f>
        <v>0</v>
      </c>
      <c r="AD94" s="29" t="str">
        <f ca="1"/>
        <v>Unallocated</v>
      </c>
      <c r="AE94" s="30" t="str">
        <f ca="1"/>
        <v>Unallocated</v>
      </c>
      <c r="AF94" s="30" t="str">
        <f ca="1"/>
        <v>Power Limit</v>
      </c>
      <c r="AG94" s="30">
        <f ca="1"/>
        <v>0</v>
      </c>
      <c r="AH94" s="31" t="str">
        <f ca="1"/>
        <v>Unknown</v>
      </c>
      <c r="AI94" s="49">
        <f t="shared" ca="1" si="3"/>
        <v>0</v>
      </c>
      <c r="AJ94" s="71">
        <f ca="1"/>
        <v>0</v>
      </c>
    </row>
    <row r="95" spans="2:36" x14ac:dyDescent="0.25">
      <c r="B95" s="29" t="str">
        <f ca="1"/>
        <v>dal10.sr01.rk83</v>
      </c>
      <c r="C95" s="10" t="s">
        <v>2070</v>
      </c>
      <c r="D95" s="2" t="b" cm="1">
        <f t="array" ref="D95:O95">_xlfn._xlws.FILTER(IF(ancillary!$E$4:$P$8="",FALSE,ancillary!$E$4:$P$8),ancillary!$B$4:$B$8=$C95)</f>
        <v>1</v>
      </c>
      <c r="E95" s="2" t="b">
        <v>1</v>
      </c>
      <c r="F95" s="2" t="b">
        <v>1</v>
      </c>
      <c r="G95" s="2" t="b">
        <v>1</v>
      </c>
      <c r="H95" s="2" t="b">
        <v>1</v>
      </c>
      <c r="I95" s="2" t="b">
        <v>1</v>
      </c>
      <c r="J95" s="2" t="b">
        <v>0</v>
      </c>
      <c r="K95" s="2" t="b">
        <v>0</v>
      </c>
      <c r="L95" s="2" t="b">
        <v>0</v>
      </c>
      <c r="M95" s="2" t="b">
        <v>0</v>
      </c>
      <c r="N95" s="2" t="b">
        <v>0</v>
      </c>
      <c r="O95" s="2" t="b">
        <v>0</v>
      </c>
      <c r="P95" s="68"/>
      <c r="R95" s="69"/>
      <c r="S95" s="68"/>
      <c r="U95" s="69"/>
      <c r="V95" s="68"/>
      <c r="X95" s="69"/>
      <c r="Y95" s="68"/>
      <c r="AA95" s="69"/>
      <c r="AB95" s="33">
        <f t="shared" si="2"/>
        <v>0</v>
      </c>
      <c r="AC95" s="45">
        <f>_xlfn.LET(_xlpm.ps_1,P95:R95, _xlpm.ps_2,S95:U95, _xlpm.ps_3,V95:X95, _xlpm.ps_4,Y95:AA95,
_xlpm.phase, MID(C95,SEARCH("-",C95)+1,256),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(_xlfn.XLOOKUP($C$7,site_assumptions[Details],site_assumptions[Volts])*SUMIFS(P95:AA95,_xlfn.ANCHORARRAY(D95),TRUE)/10*0.95)/1000,
IFERROR(IF(_xlpm.phase="3Phase", _xlpm.p3_calc, _xlpm.sp_calc),0))</f>
        <v>0</v>
      </c>
      <c r="AD95" s="29" t="str">
        <f ca="1"/>
        <v>Unallocated</v>
      </c>
      <c r="AE95" s="30" t="str">
        <f ca="1"/>
        <v>Unallocated</v>
      </c>
      <c r="AF95" s="30" t="str">
        <f ca="1"/>
        <v>Power Limit</v>
      </c>
      <c r="AG95" s="30">
        <f ca="1"/>
        <v>0</v>
      </c>
      <c r="AH95" s="31" t="str">
        <f ca="1"/>
        <v>Unknown</v>
      </c>
      <c r="AI95" s="49">
        <f t="shared" ca="1" si="3"/>
        <v>0</v>
      </c>
      <c r="AJ95" s="71">
        <f ca="1"/>
        <v>0</v>
      </c>
    </row>
    <row r="96" spans="2:36" x14ac:dyDescent="0.25">
      <c r="B96" s="29" t="str">
        <f ca="1"/>
        <v>dal10.sr01.rk84</v>
      </c>
      <c r="C96" s="10" t="s">
        <v>2070</v>
      </c>
      <c r="D96" s="2" t="b" cm="1">
        <f t="array" ref="D96:O96">_xlfn._xlws.FILTER(IF(ancillary!$E$4:$P$8="",FALSE,ancillary!$E$4:$P$8),ancillary!$B$4:$B$8=$C96)</f>
        <v>1</v>
      </c>
      <c r="E96" s="2" t="b">
        <v>1</v>
      </c>
      <c r="F96" s="2" t="b">
        <v>1</v>
      </c>
      <c r="G96" s="2" t="b">
        <v>1</v>
      </c>
      <c r="H96" s="2" t="b">
        <v>1</v>
      </c>
      <c r="I96" s="2" t="b">
        <v>1</v>
      </c>
      <c r="J96" s="2" t="b">
        <v>0</v>
      </c>
      <c r="K96" s="2" t="b">
        <v>0</v>
      </c>
      <c r="L96" s="2" t="b">
        <v>0</v>
      </c>
      <c r="M96" s="2" t="b">
        <v>0</v>
      </c>
      <c r="N96" s="2" t="b">
        <v>0</v>
      </c>
      <c r="O96" s="2" t="b">
        <v>0</v>
      </c>
      <c r="P96" s="68"/>
      <c r="R96" s="69"/>
      <c r="S96" s="68"/>
      <c r="U96" s="69"/>
      <c r="V96" s="68"/>
      <c r="X96" s="69"/>
      <c r="Y96" s="68"/>
      <c r="AA96" s="69"/>
      <c r="AB96" s="33">
        <f t="shared" si="2"/>
        <v>0</v>
      </c>
      <c r="AC96" s="45">
        <f>_xlfn.LET(_xlpm.ps_1,P96:R96, _xlpm.ps_2,S96:U96, _xlpm.ps_3,V96:X96, _xlpm.ps_4,Y96:AA96,
_xlpm.phase, MID(C96,SEARCH("-",C96)+1,256),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(_xlfn.XLOOKUP($C$7,site_assumptions[Details],site_assumptions[Volts])*SUMIFS(P96:AA96,_xlfn.ANCHORARRAY(D96),TRUE)/10*0.95)/1000,
IFERROR(IF(_xlpm.phase="3Phase", _xlpm.p3_calc, _xlpm.sp_calc),0))</f>
        <v>0</v>
      </c>
      <c r="AD96" s="29" t="str">
        <f ca="1"/>
        <v>Unallocated</v>
      </c>
      <c r="AE96" s="30" t="str">
        <f ca="1"/>
        <v>Unallocated</v>
      </c>
      <c r="AF96" s="30" t="str">
        <f ca="1"/>
        <v>Power Limit</v>
      </c>
      <c r="AG96" s="30">
        <f ca="1"/>
        <v>0</v>
      </c>
      <c r="AH96" s="31" t="str">
        <f ca="1"/>
        <v>Unknown</v>
      </c>
      <c r="AI96" s="49">
        <f t="shared" ca="1" si="3"/>
        <v>0</v>
      </c>
      <c r="AJ96" s="71">
        <f ca="1"/>
        <v>0</v>
      </c>
    </row>
    <row r="97" spans="2:36" x14ac:dyDescent="0.25">
      <c r="B97" s="29" t="str">
        <f ca="1"/>
        <v>dal10.sr01.rk85</v>
      </c>
      <c r="C97" s="10" t="s">
        <v>2070</v>
      </c>
      <c r="D97" s="2" t="b" cm="1">
        <f t="array" ref="D97:O97">_xlfn._xlws.FILTER(IF(ancillary!$E$4:$P$8="",FALSE,ancillary!$E$4:$P$8),ancillary!$B$4:$B$8=$C97)</f>
        <v>1</v>
      </c>
      <c r="E97" s="2" t="b">
        <v>1</v>
      </c>
      <c r="F97" s="2" t="b">
        <v>1</v>
      </c>
      <c r="G97" s="2" t="b">
        <v>1</v>
      </c>
      <c r="H97" s="2" t="b">
        <v>1</v>
      </c>
      <c r="I97" s="2" t="b">
        <v>1</v>
      </c>
      <c r="J97" s="2" t="b">
        <v>0</v>
      </c>
      <c r="K97" s="2" t="b">
        <v>0</v>
      </c>
      <c r="L97" s="2" t="b">
        <v>0</v>
      </c>
      <c r="M97" s="2" t="b">
        <v>0</v>
      </c>
      <c r="N97" s="2" t="b">
        <v>0</v>
      </c>
      <c r="O97" s="2" t="b">
        <v>0</v>
      </c>
      <c r="P97" s="68"/>
      <c r="R97" s="69"/>
      <c r="S97" s="68"/>
      <c r="U97" s="69"/>
      <c r="V97" s="68"/>
      <c r="X97" s="69"/>
      <c r="Y97" s="68"/>
      <c r="AA97" s="69"/>
      <c r="AB97" s="33">
        <f t="shared" si="2"/>
        <v>0</v>
      </c>
      <c r="AC97" s="45">
        <f>_xlfn.LET(_xlpm.ps_1,P97:R97, _xlpm.ps_2,S97:U97, _xlpm.ps_3,V97:X97, _xlpm.ps_4,Y97:AA97,
_xlpm.phase, MID(C97,SEARCH("-",C97)+1,256),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(_xlfn.XLOOKUP($C$7,site_assumptions[Details],site_assumptions[Volts])*SUMIFS(P97:AA97,_xlfn.ANCHORARRAY(D97),TRUE)/10*0.95)/1000,
IFERROR(IF(_xlpm.phase="3Phase", _xlpm.p3_calc, _xlpm.sp_calc),0))</f>
        <v>0</v>
      </c>
      <c r="AD97" s="29" t="str">
        <f ca="1"/>
        <v>Unallocated</v>
      </c>
      <c r="AE97" s="30" t="str">
        <f ca="1"/>
        <v>Unallocated</v>
      </c>
      <c r="AF97" s="30" t="str">
        <f ca="1"/>
        <v>Power Limit</v>
      </c>
      <c r="AG97" s="30">
        <f ca="1"/>
        <v>0</v>
      </c>
      <c r="AH97" s="31" t="str">
        <f ca="1"/>
        <v>Unknown</v>
      </c>
      <c r="AI97" s="49">
        <f t="shared" ca="1" si="3"/>
        <v>0</v>
      </c>
      <c r="AJ97" s="71">
        <f ca="1"/>
        <v>0</v>
      </c>
    </row>
    <row r="98" spans="2:36" x14ac:dyDescent="0.25">
      <c r="B98" s="29" t="str">
        <f ca="1"/>
        <v>dal10.sr01.rk86</v>
      </c>
      <c r="C98" s="10" t="s">
        <v>2070</v>
      </c>
      <c r="D98" s="2" t="b" cm="1">
        <f t="array" ref="D98:O98">_xlfn._xlws.FILTER(IF(ancillary!$E$4:$P$8="",FALSE,ancillary!$E$4:$P$8),ancillary!$B$4:$B$8=$C98)</f>
        <v>1</v>
      </c>
      <c r="E98" s="2" t="b">
        <v>1</v>
      </c>
      <c r="F98" s="2" t="b">
        <v>1</v>
      </c>
      <c r="G98" s="2" t="b">
        <v>1</v>
      </c>
      <c r="H98" s="2" t="b">
        <v>1</v>
      </c>
      <c r="I98" s="2" t="b">
        <v>1</v>
      </c>
      <c r="J98" s="2" t="b">
        <v>0</v>
      </c>
      <c r="K98" s="2" t="b">
        <v>0</v>
      </c>
      <c r="L98" s="2" t="b">
        <v>0</v>
      </c>
      <c r="M98" s="2" t="b">
        <v>0</v>
      </c>
      <c r="N98" s="2" t="b">
        <v>0</v>
      </c>
      <c r="O98" s="2" t="b">
        <v>0</v>
      </c>
      <c r="P98" s="68"/>
      <c r="R98" s="69"/>
      <c r="S98" s="68"/>
      <c r="U98" s="69"/>
      <c r="V98" s="68"/>
      <c r="X98" s="69"/>
      <c r="Y98" s="68"/>
      <c r="AA98" s="69"/>
      <c r="AB98" s="33">
        <f t="shared" si="2"/>
        <v>0</v>
      </c>
      <c r="AC98" s="45">
        <f>_xlfn.LET(_xlpm.ps_1,P98:R98, _xlpm.ps_2,S98:U98, _xlpm.ps_3,V98:X98, _xlpm.ps_4,Y98:AA98,
_xlpm.phase, MID(C98,SEARCH("-",C98)+1,256),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(_xlfn.XLOOKUP($C$7,site_assumptions[Details],site_assumptions[Volts])*SUMIFS(P98:AA98,_xlfn.ANCHORARRAY(D98),TRUE)/10*0.95)/1000,
IFERROR(IF(_xlpm.phase="3Phase", _xlpm.p3_calc, _xlpm.sp_calc),0))</f>
        <v>0</v>
      </c>
      <c r="AD98" s="29" t="str">
        <f ca="1"/>
        <v>Unallocated</v>
      </c>
      <c r="AE98" s="30" t="str">
        <f ca="1"/>
        <v>Unallocated</v>
      </c>
      <c r="AF98" s="30" t="str">
        <f ca="1"/>
        <v>Power Limit</v>
      </c>
      <c r="AG98" s="30">
        <f ca="1"/>
        <v>0</v>
      </c>
      <c r="AH98" s="31" t="str">
        <f ca="1"/>
        <v>Unknown</v>
      </c>
      <c r="AI98" s="49">
        <f t="shared" ca="1" si="3"/>
        <v>0</v>
      </c>
      <c r="AJ98" s="71">
        <f ca="1"/>
        <v>0</v>
      </c>
    </row>
    <row r="99" spans="2:36" x14ac:dyDescent="0.25">
      <c r="B99" s="29" t="str">
        <f ca="1"/>
        <v>dal10.sr01.rk87</v>
      </c>
      <c r="C99" s="10" t="s">
        <v>2070</v>
      </c>
      <c r="D99" s="2" t="b" cm="1">
        <f t="array" ref="D99:O99">_xlfn._xlws.FILTER(IF(ancillary!$E$4:$P$8="",FALSE,ancillary!$E$4:$P$8),ancillary!$B$4:$B$8=$C99)</f>
        <v>1</v>
      </c>
      <c r="E99" s="2" t="b">
        <v>1</v>
      </c>
      <c r="F99" s="2" t="b">
        <v>1</v>
      </c>
      <c r="G99" s="2" t="b">
        <v>1</v>
      </c>
      <c r="H99" s="2" t="b">
        <v>1</v>
      </c>
      <c r="I99" s="2" t="b">
        <v>1</v>
      </c>
      <c r="J99" s="2" t="b">
        <v>0</v>
      </c>
      <c r="K99" s="2" t="b">
        <v>0</v>
      </c>
      <c r="L99" s="2" t="b">
        <v>0</v>
      </c>
      <c r="M99" s="2" t="b">
        <v>0</v>
      </c>
      <c r="N99" s="2" t="b">
        <v>0</v>
      </c>
      <c r="O99" s="2" t="b">
        <v>0</v>
      </c>
      <c r="P99" s="68"/>
      <c r="R99" s="69"/>
      <c r="S99" s="68"/>
      <c r="U99" s="69"/>
      <c r="V99" s="68"/>
      <c r="X99" s="69"/>
      <c r="Y99" s="68"/>
      <c r="AA99" s="69"/>
      <c r="AB99" s="33">
        <f t="shared" si="2"/>
        <v>0</v>
      </c>
      <c r="AC99" s="45">
        <f>_xlfn.LET(_xlpm.ps_1,P99:R99, _xlpm.ps_2,S99:U99, _xlpm.ps_3,V99:X99, _xlpm.ps_4,Y99:AA99,
_xlpm.phase, MID(C99,SEARCH("-",C99)+1,256),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(_xlfn.XLOOKUP($C$7,site_assumptions[Details],site_assumptions[Volts])*SUMIFS(P99:AA99,_xlfn.ANCHORARRAY(D99),TRUE)/10*0.95)/1000,
IFERROR(IF(_xlpm.phase="3Phase", _xlpm.p3_calc, _xlpm.sp_calc),0))</f>
        <v>0</v>
      </c>
      <c r="AD99" s="29" t="str">
        <f ca="1"/>
        <v>Unallocated</v>
      </c>
      <c r="AE99" s="30" t="str">
        <f ca="1"/>
        <v>Unallocated</v>
      </c>
      <c r="AF99" s="30" t="str">
        <f ca="1"/>
        <v>Power Limit</v>
      </c>
      <c r="AG99" s="30">
        <f ca="1"/>
        <v>0</v>
      </c>
      <c r="AH99" s="31" t="str">
        <f ca="1"/>
        <v>Unknown</v>
      </c>
      <c r="AI99" s="49">
        <f t="shared" ca="1" si="3"/>
        <v>0</v>
      </c>
      <c r="AJ99" s="71">
        <f ca="1"/>
        <v>0</v>
      </c>
    </row>
    <row r="100" spans="2:36" x14ac:dyDescent="0.25">
      <c r="B100" s="29" t="str">
        <f ca="1"/>
        <v>dal10.sr01.rk88</v>
      </c>
      <c r="C100" s="10" t="s">
        <v>2070</v>
      </c>
      <c r="D100" s="2" t="b" cm="1">
        <f t="array" ref="D100:O100">_xlfn._xlws.FILTER(IF(ancillary!$E$4:$P$8="",FALSE,ancillary!$E$4:$P$8),ancillary!$B$4:$B$8=$C100)</f>
        <v>1</v>
      </c>
      <c r="E100" s="2" t="b">
        <v>1</v>
      </c>
      <c r="F100" s="2" t="b">
        <v>1</v>
      </c>
      <c r="G100" s="2" t="b">
        <v>1</v>
      </c>
      <c r="H100" s="2" t="b">
        <v>1</v>
      </c>
      <c r="I100" s="2" t="b">
        <v>1</v>
      </c>
      <c r="J100" s="2" t="b">
        <v>0</v>
      </c>
      <c r="K100" s="2" t="b">
        <v>0</v>
      </c>
      <c r="L100" s="2" t="b">
        <v>0</v>
      </c>
      <c r="M100" s="2" t="b">
        <v>0</v>
      </c>
      <c r="N100" s="2" t="b">
        <v>0</v>
      </c>
      <c r="O100" s="2" t="b">
        <v>0</v>
      </c>
      <c r="P100" s="68"/>
      <c r="R100" s="69"/>
      <c r="S100" s="68"/>
      <c r="U100" s="69"/>
      <c r="V100" s="68"/>
      <c r="X100" s="69"/>
      <c r="Y100" s="68"/>
      <c r="AA100" s="69"/>
      <c r="AB100" s="33">
        <f t="shared" si="2"/>
        <v>0</v>
      </c>
      <c r="AC100" s="45">
        <f>_xlfn.LET(_xlpm.ps_1,P100:R100, _xlpm.ps_2,S100:U100, _xlpm.ps_3,V100:X100, _xlpm.ps_4,Y100:AA100,
_xlpm.phase, MID(C100,SEARCH("-",C100)+1,256),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(_xlfn.XLOOKUP($C$7,site_assumptions[Details],site_assumptions[Volts])*SUMIFS(P100:AA100,_xlfn.ANCHORARRAY(D100),TRUE)/10*0.95)/1000,
IFERROR(IF(_xlpm.phase="3Phase", _xlpm.p3_calc, _xlpm.sp_calc),0))</f>
        <v>0</v>
      </c>
      <c r="AD100" s="29" t="str">
        <f ca="1"/>
        <v>Unallocated</v>
      </c>
      <c r="AE100" s="30" t="str">
        <f ca="1"/>
        <v>Unallocated</v>
      </c>
      <c r="AF100" s="30" t="str">
        <f ca="1"/>
        <v>Power Limit</v>
      </c>
      <c r="AG100" s="30">
        <f ca="1"/>
        <v>0</v>
      </c>
      <c r="AH100" s="31" t="str">
        <f ca="1"/>
        <v>Unknown</v>
      </c>
      <c r="AI100" s="49">
        <f t="shared" ca="1" si="3"/>
        <v>0</v>
      </c>
      <c r="AJ100" s="71">
        <f ca="1"/>
        <v>0</v>
      </c>
    </row>
    <row r="101" spans="2:36" x14ac:dyDescent="0.25">
      <c r="B101" s="29" t="str">
        <f ca="1"/>
        <v>dal10.sr01.rk89</v>
      </c>
      <c r="C101" s="10" t="s">
        <v>2070</v>
      </c>
      <c r="D101" s="2" t="b" cm="1">
        <f t="array" ref="D101:O101">_xlfn._xlws.FILTER(IF(ancillary!$E$4:$P$8="",FALSE,ancillary!$E$4:$P$8),ancillary!$B$4:$B$8=$C101)</f>
        <v>1</v>
      </c>
      <c r="E101" s="2" t="b">
        <v>1</v>
      </c>
      <c r="F101" s="2" t="b">
        <v>1</v>
      </c>
      <c r="G101" s="2" t="b">
        <v>1</v>
      </c>
      <c r="H101" s="2" t="b">
        <v>1</v>
      </c>
      <c r="I101" s="2" t="b">
        <v>1</v>
      </c>
      <c r="J101" s="2" t="b">
        <v>0</v>
      </c>
      <c r="K101" s="2" t="b">
        <v>0</v>
      </c>
      <c r="L101" s="2" t="b">
        <v>0</v>
      </c>
      <c r="M101" s="2" t="b">
        <v>0</v>
      </c>
      <c r="N101" s="2" t="b">
        <v>0</v>
      </c>
      <c r="O101" s="2" t="b">
        <v>0</v>
      </c>
      <c r="P101" s="68"/>
      <c r="R101" s="69"/>
      <c r="S101" s="68"/>
      <c r="U101" s="69"/>
      <c r="V101" s="68"/>
      <c r="X101" s="69"/>
      <c r="Y101" s="68"/>
      <c r="AA101" s="69"/>
      <c r="AB101" s="33">
        <f t="shared" si="2"/>
        <v>0</v>
      </c>
      <c r="AC101" s="45">
        <f>_xlfn.LET(_xlpm.ps_1,P101:R101, _xlpm.ps_2,S101:U101, _xlpm.ps_3,V101:X101, _xlpm.ps_4,Y101:AA101,
_xlpm.phase, MID(C101,SEARCH("-",C101)+1,256),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(_xlfn.XLOOKUP($C$7,site_assumptions[Details],site_assumptions[Volts])*SUMIFS(P101:AA101,_xlfn.ANCHORARRAY(D101),TRUE)/10*0.95)/1000,
IFERROR(IF(_xlpm.phase="3Phase", _xlpm.p3_calc, _xlpm.sp_calc),0))</f>
        <v>0</v>
      </c>
      <c r="AD101" s="29" t="str">
        <f ca="1"/>
        <v>Bare Metal</v>
      </c>
      <c r="AE101" s="30" t="str">
        <f ca="1"/>
        <v>Bare Metal</v>
      </c>
      <c r="AF101" s="30" t="str">
        <f ca="1"/>
        <v>Live</v>
      </c>
      <c r="AG101" s="30">
        <f ca="1"/>
        <v>6</v>
      </c>
      <c r="AH101" s="31" t="str">
        <f ca="1"/>
        <v>Unknown</v>
      </c>
      <c r="AI101" s="49">
        <f t="shared" ca="1" si="3"/>
        <v>0</v>
      </c>
      <c r="AJ101" s="71">
        <f ca="1"/>
        <v>3.3279999999999998</v>
      </c>
    </row>
    <row r="102" spans="2:36" x14ac:dyDescent="0.25">
      <c r="B102" s="29" t="str">
        <f ca="1"/>
        <v>dal10.sr01.rk90</v>
      </c>
      <c r="C102" s="10" t="s">
        <v>2070</v>
      </c>
      <c r="D102" s="2" t="b" cm="1">
        <f t="array" ref="D102:O102">_xlfn._xlws.FILTER(IF(ancillary!$E$4:$P$8="",FALSE,ancillary!$E$4:$P$8),ancillary!$B$4:$B$8=$C102)</f>
        <v>1</v>
      </c>
      <c r="E102" s="2" t="b">
        <v>1</v>
      </c>
      <c r="F102" s="2" t="b">
        <v>1</v>
      </c>
      <c r="G102" s="2" t="b">
        <v>1</v>
      </c>
      <c r="H102" s="2" t="b">
        <v>1</v>
      </c>
      <c r="I102" s="2" t="b">
        <v>1</v>
      </c>
      <c r="J102" s="2" t="b">
        <v>0</v>
      </c>
      <c r="K102" s="2" t="b">
        <v>0</v>
      </c>
      <c r="L102" s="2" t="b">
        <v>0</v>
      </c>
      <c r="M102" s="2" t="b">
        <v>0</v>
      </c>
      <c r="N102" s="2" t="b">
        <v>0</v>
      </c>
      <c r="O102" s="2" t="b">
        <v>0</v>
      </c>
      <c r="P102" s="68"/>
      <c r="R102" s="69"/>
      <c r="S102" s="68"/>
      <c r="U102" s="69"/>
      <c r="V102" s="68"/>
      <c r="X102" s="69"/>
      <c r="Y102" s="68"/>
      <c r="AA102" s="69"/>
      <c r="AB102" s="33">
        <f t="shared" si="2"/>
        <v>0</v>
      </c>
      <c r="AC102" s="45">
        <f>_xlfn.LET(_xlpm.ps_1,P102:R102, _xlpm.ps_2,S102:U102, _xlpm.ps_3,V102:X102, _xlpm.ps_4,Y102:AA102,
_xlpm.phase, MID(C102,SEARCH("-",C102)+1,256),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(_xlfn.XLOOKUP($C$7,site_assumptions[Details],site_assumptions[Volts])*SUMIFS(P102:AA102,_xlfn.ANCHORARRAY(D102),TRUE)/10*0.95)/1000,
IFERROR(IF(_xlpm.phase="3Phase", _xlpm.p3_calc, _xlpm.sp_calc),0))</f>
        <v>0</v>
      </c>
      <c r="AD102" s="29" t="str">
        <f ca="1"/>
        <v>Bare Metal</v>
      </c>
      <c r="AE102" s="30" t="str">
        <f ca="1"/>
        <v>Bare Metal</v>
      </c>
      <c r="AF102" s="30" t="str">
        <f ca="1"/>
        <v>Live</v>
      </c>
      <c r="AG102" s="30">
        <f ca="1"/>
        <v>6</v>
      </c>
      <c r="AH102" s="31" t="str">
        <f ca="1"/>
        <v>Unknown</v>
      </c>
      <c r="AI102" s="49">
        <f t="shared" ca="1" si="3"/>
        <v>0</v>
      </c>
      <c r="AJ102" s="71">
        <f ca="1"/>
        <v>3.7160000000000002</v>
      </c>
    </row>
    <row r="103" spans="2:36" x14ac:dyDescent="0.25">
      <c r="B103" s="29" t="str">
        <f ca="1"/>
        <v>dal10.sr01.rk91</v>
      </c>
      <c r="C103" s="10" t="s">
        <v>2070</v>
      </c>
      <c r="D103" s="2" t="b" cm="1">
        <f t="array" ref="D103:O103">_xlfn._xlws.FILTER(IF(ancillary!$E$4:$P$8="",FALSE,ancillary!$E$4:$P$8),ancillary!$B$4:$B$8=$C103)</f>
        <v>1</v>
      </c>
      <c r="E103" s="2" t="b">
        <v>1</v>
      </c>
      <c r="F103" s="2" t="b">
        <v>1</v>
      </c>
      <c r="G103" s="2" t="b">
        <v>1</v>
      </c>
      <c r="H103" s="2" t="b">
        <v>1</v>
      </c>
      <c r="I103" s="2" t="b">
        <v>1</v>
      </c>
      <c r="J103" s="2" t="b">
        <v>0</v>
      </c>
      <c r="K103" s="2" t="b">
        <v>0</v>
      </c>
      <c r="L103" s="2" t="b">
        <v>0</v>
      </c>
      <c r="M103" s="2" t="b">
        <v>0</v>
      </c>
      <c r="N103" s="2" t="b">
        <v>0</v>
      </c>
      <c r="O103" s="2" t="b">
        <v>0</v>
      </c>
      <c r="P103" s="68"/>
      <c r="R103" s="69"/>
      <c r="S103" s="68"/>
      <c r="U103" s="69"/>
      <c r="V103" s="68"/>
      <c r="X103" s="69"/>
      <c r="Y103" s="68"/>
      <c r="AA103" s="69"/>
      <c r="AB103" s="33">
        <f t="shared" si="2"/>
        <v>0</v>
      </c>
      <c r="AC103" s="45">
        <f>_xlfn.LET(_xlpm.ps_1,P103:R103, _xlpm.ps_2,S103:U103, _xlpm.ps_3,V103:X103, _xlpm.ps_4,Y103:AA103,
_xlpm.phase, MID(C103,SEARCH("-",C103)+1,256),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(_xlfn.XLOOKUP($C$7,site_assumptions[Details],site_assumptions[Volts])*SUMIFS(P103:AA103,_xlfn.ANCHORARRAY(D103),TRUE)/10*0.95)/1000,
IFERROR(IF(_xlpm.phase="3Phase", _xlpm.p3_calc, _xlpm.sp_calc),0))</f>
        <v>0</v>
      </c>
      <c r="AD103" s="29" t="str">
        <f ca="1"/>
        <v>Bare Metal</v>
      </c>
      <c r="AE103" s="30" t="str">
        <f ca="1"/>
        <v>Bare Metal</v>
      </c>
      <c r="AF103" s="30" t="str">
        <f ca="1"/>
        <v>Live</v>
      </c>
      <c r="AG103" s="30">
        <f ca="1"/>
        <v>6</v>
      </c>
      <c r="AH103" s="31" t="str">
        <f ca="1"/>
        <v>Unknown</v>
      </c>
      <c r="AI103" s="49">
        <f t="shared" ca="1" si="3"/>
        <v>0</v>
      </c>
      <c r="AJ103" s="71">
        <f ca="1"/>
        <v>2.8210000000000002</v>
      </c>
    </row>
    <row r="104" spans="2:36" x14ac:dyDescent="0.25">
      <c r="B104" s="29" t="str">
        <f ca="1"/>
        <v>dal10.sr01.rk92</v>
      </c>
      <c r="C104" s="10" t="s">
        <v>2070</v>
      </c>
      <c r="D104" s="2" t="b" cm="1">
        <f t="array" ref="D104:O104">_xlfn._xlws.FILTER(IF(ancillary!$E$4:$P$8="",FALSE,ancillary!$E$4:$P$8),ancillary!$B$4:$B$8=$C104)</f>
        <v>1</v>
      </c>
      <c r="E104" s="2" t="b">
        <v>1</v>
      </c>
      <c r="F104" s="2" t="b">
        <v>1</v>
      </c>
      <c r="G104" s="2" t="b">
        <v>1</v>
      </c>
      <c r="H104" s="2" t="b">
        <v>1</v>
      </c>
      <c r="I104" s="2" t="b">
        <v>1</v>
      </c>
      <c r="J104" s="2" t="b">
        <v>0</v>
      </c>
      <c r="K104" s="2" t="b">
        <v>0</v>
      </c>
      <c r="L104" s="2" t="b">
        <v>0</v>
      </c>
      <c r="M104" s="2" t="b">
        <v>0</v>
      </c>
      <c r="N104" s="2" t="b">
        <v>0</v>
      </c>
      <c r="O104" s="2" t="b">
        <v>0</v>
      </c>
      <c r="P104" s="68"/>
      <c r="R104" s="69"/>
      <c r="S104" s="68"/>
      <c r="U104" s="69"/>
      <c r="V104" s="68"/>
      <c r="X104" s="69"/>
      <c r="Y104" s="68"/>
      <c r="AA104" s="69"/>
      <c r="AB104" s="33">
        <f t="shared" si="2"/>
        <v>0</v>
      </c>
      <c r="AC104" s="45">
        <f>_xlfn.LET(_xlpm.ps_1,P104:R104, _xlpm.ps_2,S104:U104, _xlpm.ps_3,V104:X104, _xlpm.ps_4,Y104:AA104,
_xlpm.phase, MID(C104,SEARCH("-",C104)+1,256),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(_xlfn.XLOOKUP($C$7,site_assumptions[Details],site_assumptions[Volts])*SUMIFS(P104:AA104,_xlfn.ANCHORARRAY(D104),TRUE)/10*0.95)/1000,
IFERROR(IF(_xlpm.phase="3Phase", _xlpm.p3_calc, _xlpm.sp_calc),0))</f>
        <v>0</v>
      </c>
      <c r="AD104" s="29" t="str">
        <f ca="1"/>
        <v>Bare Metal</v>
      </c>
      <c r="AE104" s="30" t="str">
        <f ca="1"/>
        <v>Bare Metal</v>
      </c>
      <c r="AF104" s="30" t="str">
        <f ca="1"/>
        <v>Live</v>
      </c>
      <c r="AG104" s="30">
        <f ca="1"/>
        <v>6</v>
      </c>
      <c r="AH104" s="31" t="str">
        <f ca="1"/>
        <v>Unknown</v>
      </c>
      <c r="AI104" s="49">
        <f t="shared" ca="1" si="3"/>
        <v>0</v>
      </c>
      <c r="AJ104" s="71">
        <f ca="1"/>
        <v>4.1029999999999998</v>
      </c>
    </row>
    <row r="105" spans="2:36" x14ac:dyDescent="0.25">
      <c r="B105" s="29" t="str">
        <f ca="1"/>
        <v>dal10.sr01.rk93</v>
      </c>
      <c r="C105" s="10" t="s">
        <v>2070</v>
      </c>
      <c r="D105" s="2" t="b" cm="1">
        <f t="array" ref="D105:O105">_xlfn._xlws.FILTER(IF(ancillary!$E$4:$P$8="",FALSE,ancillary!$E$4:$P$8),ancillary!$B$4:$B$8=$C105)</f>
        <v>1</v>
      </c>
      <c r="E105" s="2" t="b">
        <v>1</v>
      </c>
      <c r="F105" s="2" t="b">
        <v>1</v>
      </c>
      <c r="G105" s="2" t="b">
        <v>1</v>
      </c>
      <c r="H105" s="2" t="b">
        <v>1</v>
      </c>
      <c r="I105" s="2" t="b">
        <v>1</v>
      </c>
      <c r="J105" s="2" t="b">
        <v>0</v>
      </c>
      <c r="K105" s="2" t="b">
        <v>0</v>
      </c>
      <c r="L105" s="2" t="b">
        <v>0</v>
      </c>
      <c r="M105" s="2" t="b">
        <v>0</v>
      </c>
      <c r="N105" s="2" t="b">
        <v>0</v>
      </c>
      <c r="O105" s="2" t="b">
        <v>0</v>
      </c>
      <c r="P105" s="68"/>
      <c r="R105" s="69"/>
      <c r="S105" s="68"/>
      <c r="U105" s="69"/>
      <c r="V105" s="68"/>
      <c r="X105" s="69"/>
      <c r="Y105" s="68"/>
      <c r="AA105" s="69"/>
      <c r="AB105" s="33">
        <f t="shared" si="2"/>
        <v>0</v>
      </c>
      <c r="AC105" s="45">
        <f>_xlfn.LET(_xlpm.ps_1,P105:R105, _xlpm.ps_2,S105:U105, _xlpm.ps_3,V105:X105, _xlpm.ps_4,Y105:AA105,
_xlpm.phase, MID(C105,SEARCH("-",C105)+1,256),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(_xlfn.XLOOKUP($C$7,site_assumptions[Details],site_assumptions[Volts])*SUMIFS(P105:AA105,_xlfn.ANCHORARRAY(D105),TRUE)/10*0.95)/1000,
IFERROR(IF(_xlpm.phase="3Phase", _xlpm.p3_calc, _xlpm.sp_calc),0))</f>
        <v>0</v>
      </c>
      <c r="AD105" s="29" t="str">
        <f ca="1"/>
        <v>Bare Metal</v>
      </c>
      <c r="AE105" s="30" t="str">
        <f ca="1"/>
        <v>Bare Metal</v>
      </c>
      <c r="AF105" s="30" t="str">
        <f ca="1"/>
        <v>Live</v>
      </c>
      <c r="AG105" s="30">
        <f ca="1"/>
        <v>6</v>
      </c>
      <c r="AH105" s="31" t="str">
        <f ca="1"/>
        <v>Unknown</v>
      </c>
      <c r="AI105" s="49">
        <f t="shared" ca="1" si="3"/>
        <v>0</v>
      </c>
      <c r="AJ105" s="71">
        <f ca="1"/>
        <v>3.319</v>
      </c>
    </row>
    <row r="106" spans="2:36" x14ac:dyDescent="0.25">
      <c r="B106" s="29" t="str">
        <f ca="1"/>
        <v>dal10.sr01.rk94</v>
      </c>
      <c r="C106" s="10" t="s">
        <v>2070</v>
      </c>
      <c r="D106" s="2" t="b" cm="1">
        <f t="array" ref="D106:O106">_xlfn._xlws.FILTER(IF(ancillary!$E$4:$P$8="",FALSE,ancillary!$E$4:$P$8),ancillary!$B$4:$B$8=$C106)</f>
        <v>1</v>
      </c>
      <c r="E106" s="2" t="b">
        <v>1</v>
      </c>
      <c r="F106" s="2" t="b">
        <v>1</v>
      </c>
      <c r="G106" s="2" t="b">
        <v>1</v>
      </c>
      <c r="H106" s="2" t="b">
        <v>1</v>
      </c>
      <c r="I106" s="2" t="b">
        <v>1</v>
      </c>
      <c r="J106" s="2" t="b">
        <v>0</v>
      </c>
      <c r="K106" s="2" t="b">
        <v>0</v>
      </c>
      <c r="L106" s="2" t="b">
        <v>0</v>
      </c>
      <c r="M106" s="2" t="b">
        <v>0</v>
      </c>
      <c r="N106" s="2" t="b">
        <v>0</v>
      </c>
      <c r="O106" s="2" t="b">
        <v>0</v>
      </c>
      <c r="P106" s="68"/>
      <c r="R106" s="69"/>
      <c r="S106" s="68"/>
      <c r="U106" s="69"/>
      <c r="V106" s="68"/>
      <c r="X106" s="69"/>
      <c r="Y106" s="68"/>
      <c r="AA106" s="69"/>
      <c r="AB106" s="33">
        <f t="shared" si="2"/>
        <v>0</v>
      </c>
      <c r="AC106" s="45">
        <f>_xlfn.LET(_xlpm.ps_1,P106:R106, _xlpm.ps_2,S106:U106, _xlpm.ps_3,V106:X106, _xlpm.ps_4,Y106:AA106,
_xlpm.phase, MID(C106,SEARCH("-",C106)+1,256),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(_xlfn.XLOOKUP($C$7,site_assumptions[Details],site_assumptions[Volts])*SUMIFS(P106:AA106,_xlfn.ANCHORARRAY(D106),TRUE)/10*0.95)/1000,
IFERROR(IF(_xlpm.phase="3Phase", _xlpm.p3_calc, _xlpm.sp_calc),0))</f>
        <v>0</v>
      </c>
      <c r="AD106" s="29" t="str">
        <f ca="1"/>
        <v>Network</v>
      </c>
      <c r="AE106" s="30" t="str">
        <f ca="1"/>
        <v>Aggregate</v>
      </c>
      <c r="AF106" s="30" t="str">
        <f ca="1"/>
        <v>Live</v>
      </c>
      <c r="AG106" s="30">
        <f ca="1"/>
        <v>5</v>
      </c>
      <c r="AH106" s="31" t="str">
        <f ca="1"/>
        <v>Unknown</v>
      </c>
      <c r="AI106" s="49">
        <f t="shared" ca="1" si="3"/>
        <v>0</v>
      </c>
      <c r="AJ106" s="71">
        <f ca="1"/>
        <v>0</v>
      </c>
    </row>
    <row r="107" spans="2:36" x14ac:dyDescent="0.25">
      <c r="B107" s="29" t="str">
        <f ca="1"/>
        <v>dal10.sr01.rk95</v>
      </c>
      <c r="C107" s="10" t="s">
        <v>2070</v>
      </c>
      <c r="D107" s="2" t="b" cm="1">
        <f t="array" ref="D107:O107">_xlfn._xlws.FILTER(IF(ancillary!$E$4:$P$8="",FALSE,ancillary!$E$4:$P$8),ancillary!$B$4:$B$8=$C107)</f>
        <v>1</v>
      </c>
      <c r="E107" s="2" t="b">
        <v>1</v>
      </c>
      <c r="F107" s="2" t="b">
        <v>1</v>
      </c>
      <c r="G107" s="2" t="b">
        <v>1</v>
      </c>
      <c r="H107" s="2" t="b">
        <v>1</v>
      </c>
      <c r="I107" s="2" t="b">
        <v>1</v>
      </c>
      <c r="J107" s="2" t="b">
        <v>0</v>
      </c>
      <c r="K107" s="2" t="b">
        <v>0</v>
      </c>
      <c r="L107" s="2" t="b">
        <v>0</v>
      </c>
      <c r="M107" s="2" t="b">
        <v>0</v>
      </c>
      <c r="N107" s="2" t="b">
        <v>0</v>
      </c>
      <c r="O107" s="2" t="b">
        <v>0</v>
      </c>
      <c r="P107" s="68"/>
      <c r="R107" s="69"/>
      <c r="S107" s="68"/>
      <c r="U107" s="69"/>
      <c r="V107" s="68"/>
      <c r="X107" s="69"/>
      <c r="Y107" s="68"/>
      <c r="AA107" s="69"/>
      <c r="AB107" s="33">
        <f t="shared" si="2"/>
        <v>0</v>
      </c>
      <c r="AC107" s="45">
        <f>_xlfn.LET(_xlpm.ps_1,P107:R107, _xlpm.ps_2,S107:U107, _xlpm.ps_3,V107:X107, _xlpm.ps_4,Y107:AA107,
_xlpm.phase, MID(C107,SEARCH("-",C107)+1,256),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(_xlfn.XLOOKUP($C$7,site_assumptions[Details],site_assumptions[Volts])*SUMIFS(P107:AA107,_xlfn.ANCHORARRAY(D107),TRUE)/10*0.95)/1000,
IFERROR(IF(_xlpm.phase="3Phase", _xlpm.p3_calc, _xlpm.sp_calc),0))</f>
        <v>0</v>
      </c>
      <c r="AD107" s="29" t="str">
        <f ca="1"/>
        <v>Bare Metal</v>
      </c>
      <c r="AE107" s="30" t="str">
        <f ca="1"/>
        <v>Bare Metal</v>
      </c>
      <c r="AF107" s="30" t="str">
        <f ca="1"/>
        <v>Live</v>
      </c>
      <c r="AG107" s="30">
        <f ca="1"/>
        <v>6</v>
      </c>
      <c r="AH107" s="31" t="str">
        <f ca="1"/>
        <v>Unknown</v>
      </c>
      <c r="AI107" s="49">
        <f t="shared" ca="1" si="3"/>
        <v>0</v>
      </c>
      <c r="AJ107" s="71">
        <f ca="1"/>
        <v>4.7809999999999997</v>
      </c>
    </row>
    <row r="108" spans="2:36" x14ac:dyDescent="0.25">
      <c r="B108" s="29" t="str">
        <f ca="1"/>
        <v>dal10.sr01.rk96</v>
      </c>
      <c r="C108" s="10" t="s">
        <v>2070</v>
      </c>
      <c r="D108" s="2" t="b" cm="1">
        <f t="array" ref="D108:O108">_xlfn._xlws.FILTER(IF(ancillary!$E$4:$P$8="",FALSE,ancillary!$E$4:$P$8),ancillary!$B$4:$B$8=$C108)</f>
        <v>1</v>
      </c>
      <c r="E108" s="2" t="b">
        <v>1</v>
      </c>
      <c r="F108" s="2" t="b">
        <v>1</v>
      </c>
      <c r="G108" s="2" t="b">
        <v>1</v>
      </c>
      <c r="H108" s="2" t="b">
        <v>1</v>
      </c>
      <c r="I108" s="2" t="b">
        <v>1</v>
      </c>
      <c r="J108" s="2" t="b">
        <v>0</v>
      </c>
      <c r="K108" s="2" t="b">
        <v>0</v>
      </c>
      <c r="L108" s="2" t="b">
        <v>0</v>
      </c>
      <c r="M108" s="2" t="b">
        <v>0</v>
      </c>
      <c r="N108" s="2" t="b">
        <v>0</v>
      </c>
      <c r="O108" s="2" t="b">
        <v>0</v>
      </c>
      <c r="P108" s="68"/>
      <c r="R108" s="69"/>
      <c r="S108" s="68"/>
      <c r="U108" s="69"/>
      <c r="V108" s="68"/>
      <c r="X108" s="69"/>
      <c r="Y108" s="68"/>
      <c r="AA108" s="69"/>
      <c r="AB108" s="33">
        <f t="shared" si="2"/>
        <v>0</v>
      </c>
      <c r="AC108" s="45">
        <f>_xlfn.LET(_xlpm.ps_1,P108:R108, _xlpm.ps_2,S108:U108, _xlpm.ps_3,V108:X108, _xlpm.ps_4,Y108:AA108,
_xlpm.phase, MID(C108,SEARCH("-",C108)+1,256),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(_xlfn.XLOOKUP($C$7,site_assumptions[Details],site_assumptions[Volts])*SUMIFS(P108:AA108,_xlfn.ANCHORARRAY(D108),TRUE)/10*0.95)/1000,
IFERROR(IF(_xlpm.phase="3Phase", _xlpm.p3_calc, _xlpm.sp_calc),0))</f>
        <v>0</v>
      </c>
      <c r="AD108" s="29" t="str">
        <f ca="1"/>
        <v>Bare Metal</v>
      </c>
      <c r="AE108" s="30" t="str">
        <f ca="1"/>
        <v>Bare Metal</v>
      </c>
      <c r="AF108" s="30" t="str">
        <f ca="1"/>
        <v>Live</v>
      </c>
      <c r="AG108" s="30">
        <f ca="1"/>
        <v>6</v>
      </c>
      <c r="AH108" s="31" t="str">
        <f ca="1"/>
        <v>Unknown</v>
      </c>
      <c r="AI108" s="49">
        <f t="shared" ca="1" si="3"/>
        <v>0</v>
      </c>
      <c r="AJ108" s="71">
        <f ca="1"/>
        <v>2.149</v>
      </c>
    </row>
    <row r="109" spans="2:36" x14ac:dyDescent="0.25">
      <c r="B109" s="29" t="str">
        <f ca="1"/>
        <v>dal10.sr01.rk97</v>
      </c>
      <c r="C109" s="10" t="s">
        <v>2070</v>
      </c>
      <c r="D109" s="2" t="b" cm="1">
        <f t="array" ref="D109:O109">_xlfn._xlws.FILTER(IF(ancillary!$E$4:$P$8="",FALSE,ancillary!$E$4:$P$8),ancillary!$B$4:$B$8=$C109)</f>
        <v>1</v>
      </c>
      <c r="E109" s="2" t="b">
        <v>1</v>
      </c>
      <c r="F109" s="2" t="b">
        <v>1</v>
      </c>
      <c r="G109" s="2" t="b">
        <v>1</v>
      </c>
      <c r="H109" s="2" t="b">
        <v>1</v>
      </c>
      <c r="I109" s="2" t="b">
        <v>1</v>
      </c>
      <c r="J109" s="2" t="b">
        <v>0</v>
      </c>
      <c r="K109" s="2" t="b">
        <v>0</v>
      </c>
      <c r="L109" s="2" t="b">
        <v>0</v>
      </c>
      <c r="M109" s="2" t="b">
        <v>0</v>
      </c>
      <c r="N109" s="2" t="b">
        <v>0</v>
      </c>
      <c r="O109" s="2" t="b">
        <v>0</v>
      </c>
      <c r="P109" s="68"/>
      <c r="R109" s="69"/>
      <c r="S109" s="68"/>
      <c r="U109" s="69"/>
      <c r="V109" s="68"/>
      <c r="X109" s="69"/>
      <c r="Y109" s="68"/>
      <c r="AA109" s="69"/>
      <c r="AB109" s="33">
        <f t="shared" si="2"/>
        <v>0</v>
      </c>
      <c r="AC109" s="45">
        <f>_xlfn.LET(_xlpm.ps_1,P109:R109, _xlpm.ps_2,S109:U109, _xlpm.ps_3,V109:X109, _xlpm.ps_4,Y109:AA109,
_xlpm.phase, MID(C109,SEARCH("-",C109)+1,256),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(_xlfn.XLOOKUP($C$7,site_assumptions[Details],site_assumptions[Volts])*SUMIFS(P109:AA109,_xlfn.ANCHORARRAY(D109),TRUE)/10*0.95)/1000,
IFERROR(IF(_xlpm.phase="3Phase", _xlpm.p3_calc, _xlpm.sp_calc),0))</f>
        <v>0</v>
      </c>
      <c r="AD109" s="29" t="str">
        <f ca="1"/>
        <v>Bare Metal</v>
      </c>
      <c r="AE109" s="30" t="str">
        <f ca="1"/>
        <v>Bare Metal</v>
      </c>
      <c r="AF109" s="30" t="str">
        <f ca="1"/>
        <v>Live</v>
      </c>
      <c r="AG109" s="30">
        <f ca="1"/>
        <v>6</v>
      </c>
      <c r="AH109" s="31" t="str">
        <f ca="1"/>
        <v>Unknown</v>
      </c>
      <c r="AI109" s="49">
        <f t="shared" ca="1" si="3"/>
        <v>0</v>
      </c>
      <c r="AJ109" s="71">
        <f ca="1"/>
        <v>3.7930000000000001</v>
      </c>
    </row>
    <row r="110" spans="2:36" x14ac:dyDescent="0.25">
      <c r="B110" s="29" t="str">
        <f ca="1"/>
        <v>dal10.sr01.rk98</v>
      </c>
      <c r="C110" s="10" t="s">
        <v>2070</v>
      </c>
      <c r="D110" s="2" t="b" cm="1">
        <f t="array" ref="D110:O110">_xlfn._xlws.FILTER(IF(ancillary!$E$4:$P$8="",FALSE,ancillary!$E$4:$P$8),ancillary!$B$4:$B$8=$C110)</f>
        <v>1</v>
      </c>
      <c r="E110" s="2" t="b">
        <v>1</v>
      </c>
      <c r="F110" s="2" t="b">
        <v>1</v>
      </c>
      <c r="G110" s="2" t="b">
        <v>1</v>
      </c>
      <c r="H110" s="2" t="b">
        <v>1</v>
      </c>
      <c r="I110" s="2" t="b">
        <v>1</v>
      </c>
      <c r="J110" s="2" t="b">
        <v>0</v>
      </c>
      <c r="K110" s="2" t="b">
        <v>0</v>
      </c>
      <c r="L110" s="2" t="b">
        <v>0</v>
      </c>
      <c r="M110" s="2" t="b">
        <v>0</v>
      </c>
      <c r="N110" s="2" t="b">
        <v>0</v>
      </c>
      <c r="O110" s="2" t="b">
        <v>0</v>
      </c>
      <c r="P110" s="68"/>
      <c r="R110" s="69"/>
      <c r="S110" s="68"/>
      <c r="U110" s="69"/>
      <c r="V110" s="68"/>
      <c r="X110" s="69"/>
      <c r="Y110" s="68"/>
      <c r="AA110" s="69"/>
      <c r="AB110" s="33">
        <f t="shared" si="2"/>
        <v>0</v>
      </c>
      <c r="AC110" s="45">
        <f>_xlfn.LET(_xlpm.ps_1,P110:R110, _xlpm.ps_2,S110:U110, _xlpm.ps_3,V110:X110, _xlpm.ps_4,Y110:AA110,
_xlpm.phase, MID(C110,SEARCH("-",C110)+1,256),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(_xlfn.XLOOKUP($C$7,site_assumptions[Details],site_assumptions[Volts])*SUMIFS(P110:AA110,_xlfn.ANCHORARRAY(D110),TRUE)/10*0.95)/1000,
IFERROR(IF(_xlpm.phase="3Phase", _xlpm.p3_calc, _xlpm.sp_calc),0))</f>
        <v>0</v>
      </c>
      <c r="AD110" s="29" t="str">
        <f ca="1"/>
        <v>Bare Metal</v>
      </c>
      <c r="AE110" s="30" t="str">
        <f ca="1"/>
        <v>Bare Metal</v>
      </c>
      <c r="AF110" s="30" t="str">
        <f ca="1"/>
        <v>Live</v>
      </c>
      <c r="AG110" s="30">
        <f ca="1"/>
        <v>6</v>
      </c>
      <c r="AH110" s="31" t="str">
        <f ca="1"/>
        <v>Unknown</v>
      </c>
      <c r="AI110" s="49">
        <f t="shared" ca="1" si="3"/>
        <v>0</v>
      </c>
      <c r="AJ110" s="71">
        <f ca="1"/>
        <v>3.496</v>
      </c>
    </row>
    <row r="111" spans="2:36" x14ac:dyDescent="0.25">
      <c r="B111" s="29" t="str">
        <f ca="1"/>
        <v>dal10.sr01.rk99</v>
      </c>
      <c r="C111" s="10" t="s">
        <v>2070</v>
      </c>
      <c r="D111" s="2" t="b" cm="1">
        <f t="array" ref="D111:O111">_xlfn._xlws.FILTER(IF(ancillary!$E$4:$P$8="",FALSE,ancillary!$E$4:$P$8),ancillary!$B$4:$B$8=$C111)</f>
        <v>1</v>
      </c>
      <c r="E111" s="2" t="b">
        <v>1</v>
      </c>
      <c r="F111" s="2" t="b">
        <v>1</v>
      </c>
      <c r="G111" s="2" t="b">
        <v>1</v>
      </c>
      <c r="H111" s="2" t="b">
        <v>1</v>
      </c>
      <c r="I111" s="2" t="b">
        <v>1</v>
      </c>
      <c r="J111" s="2" t="b">
        <v>0</v>
      </c>
      <c r="K111" s="2" t="b">
        <v>0</v>
      </c>
      <c r="L111" s="2" t="b">
        <v>0</v>
      </c>
      <c r="M111" s="2" t="b">
        <v>0</v>
      </c>
      <c r="N111" s="2" t="b">
        <v>0</v>
      </c>
      <c r="O111" s="2" t="b">
        <v>0</v>
      </c>
      <c r="P111" s="68"/>
      <c r="R111" s="69"/>
      <c r="S111" s="68"/>
      <c r="U111" s="69"/>
      <c r="V111" s="68"/>
      <c r="X111" s="69"/>
      <c r="Y111" s="68"/>
      <c r="AA111" s="69"/>
      <c r="AB111" s="33">
        <f t="shared" si="2"/>
        <v>0</v>
      </c>
      <c r="AC111" s="45">
        <f>_xlfn.LET(_xlpm.ps_1,P111:R111, _xlpm.ps_2,S111:U111, _xlpm.ps_3,V111:X111, _xlpm.ps_4,Y111:AA111,
_xlpm.phase, MID(C111,SEARCH("-",C111)+1,256),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(_xlfn.XLOOKUP($C$7,site_assumptions[Details],site_assumptions[Volts])*SUMIFS(P111:AA111,_xlfn.ANCHORARRAY(D111),TRUE)/10*0.95)/1000,
IFERROR(IF(_xlpm.phase="3Phase", _xlpm.p3_calc, _xlpm.sp_calc),0))</f>
        <v>0</v>
      </c>
      <c r="AD111" s="29" t="str">
        <f ca="1"/>
        <v>Bare Metal</v>
      </c>
      <c r="AE111" s="30" t="str">
        <f ca="1"/>
        <v>Bare Metal</v>
      </c>
      <c r="AF111" s="30" t="str">
        <f ca="1"/>
        <v>Live</v>
      </c>
      <c r="AG111" s="30">
        <f ca="1"/>
        <v>6</v>
      </c>
      <c r="AH111" s="31" t="str">
        <f ca="1"/>
        <v>Unknown</v>
      </c>
      <c r="AI111" s="49">
        <f t="shared" ca="1" si="3"/>
        <v>0</v>
      </c>
      <c r="AJ111" s="71">
        <f ca="1"/>
        <v>2.895</v>
      </c>
    </row>
    <row r="112" spans="2:36" x14ac:dyDescent="0.25">
      <c r="B112" s="29" t="str">
        <f ca="1"/>
        <v>dal10.sr01.rk100</v>
      </c>
      <c r="C112" s="10" t="s">
        <v>2070</v>
      </c>
      <c r="D112" s="2" t="b" cm="1">
        <f t="array" ref="D112:O112">_xlfn._xlws.FILTER(IF(ancillary!$E$4:$P$8="",FALSE,ancillary!$E$4:$P$8),ancillary!$B$4:$B$8=$C112)</f>
        <v>1</v>
      </c>
      <c r="E112" s="2" t="b">
        <v>1</v>
      </c>
      <c r="F112" s="2" t="b">
        <v>1</v>
      </c>
      <c r="G112" s="2" t="b">
        <v>1</v>
      </c>
      <c r="H112" s="2" t="b">
        <v>1</v>
      </c>
      <c r="I112" s="2" t="b">
        <v>1</v>
      </c>
      <c r="J112" s="2" t="b">
        <v>0</v>
      </c>
      <c r="K112" s="2" t="b">
        <v>0</v>
      </c>
      <c r="L112" s="2" t="b">
        <v>0</v>
      </c>
      <c r="M112" s="2" t="b">
        <v>0</v>
      </c>
      <c r="N112" s="2" t="b">
        <v>0</v>
      </c>
      <c r="O112" s="2" t="b">
        <v>0</v>
      </c>
      <c r="P112" s="68"/>
      <c r="R112" s="69"/>
      <c r="S112" s="68"/>
      <c r="U112" s="69"/>
      <c r="V112" s="68"/>
      <c r="X112" s="69"/>
      <c r="Y112" s="68"/>
      <c r="AA112" s="69"/>
      <c r="AB112" s="33">
        <f t="shared" si="2"/>
        <v>0</v>
      </c>
      <c r="AC112" s="45">
        <f>_xlfn.LET(_xlpm.ps_1,P112:R112, _xlpm.ps_2,S112:U112, _xlpm.ps_3,V112:X112, _xlpm.ps_4,Y112:AA112,
_xlpm.phase, MID(C112,SEARCH("-",C112)+1,256),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(_xlfn.XLOOKUP($C$7,site_assumptions[Details],site_assumptions[Volts])*SUMIFS(P112:AA112,_xlfn.ANCHORARRAY(D112),TRUE)/10*0.95)/1000,
IFERROR(IF(_xlpm.phase="3Phase", _xlpm.p3_calc, _xlpm.sp_calc),0))</f>
        <v>0</v>
      </c>
      <c r="AD112" s="29" t="str">
        <f ca="1"/>
        <v>Bare Metal</v>
      </c>
      <c r="AE112" s="30" t="str">
        <f ca="1"/>
        <v>Bare Metal</v>
      </c>
      <c r="AF112" s="30" t="str">
        <f ca="1"/>
        <v>Live</v>
      </c>
      <c r="AG112" s="30">
        <f ca="1"/>
        <v>6</v>
      </c>
      <c r="AH112" s="31" t="str">
        <f ca="1"/>
        <v>Unknown</v>
      </c>
      <c r="AI112" s="49">
        <f t="shared" ca="1" si="3"/>
        <v>0</v>
      </c>
      <c r="AJ112" s="71">
        <f ca="1"/>
        <v>2.7320000000000002</v>
      </c>
    </row>
    <row r="113" spans="2:36" x14ac:dyDescent="0.25">
      <c r="B113" s="29" t="str">
        <f ca="1"/>
        <v>dal10.sr01.rk101</v>
      </c>
      <c r="C113" s="10" t="s">
        <v>2070</v>
      </c>
      <c r="D113" s="2" t="b" cm="1">
        <f t="array" ref="D113:O113">_xlfn._xlws.FILTER(IF(ancillary!$E$4:$P$8="",FALSE,ancillary!$E$4:$P$8),ancillary!$B$4:$B$8=$C113)</f>
        <v>1</v>
      </c>
      <c r="E113" s="2" t="b">
        <v>1</v>
      </c>
      <c r="F113" s="2" t="b">
        <v>1</v>
      </c>
      <c r="G113" s="2" t="b">
        <v>1</v>
      </c>
      <c r="H113" s="2" t="b">
        <v>1</v>
      </c>
      <c r="I113" s="2" t="b">
        <v>1</v>
      </c>
      <c r="J113" s="2" t="b">
        <v>0</v>
      </c>
      <c r="K113" s="2" t="b">
        <v>0</v>
      </c>
      <c r="L113" s="2" t="b">
        <v>0</v>
      </c>
      <c r="M113" s="2" t="b">
        <v>0</v>
      </c>
      <c r="N113" s="2" t="b">
        <v>0</v>
      </c>
      <c r="O113" s="2" t="b">
        <v>0</v>
      </c>
      <c r="P113" s="68"/>
      <c r="R113" s="69"/>
      <c r="S113" s="68"/>
      <c r="U113" s="69"/>
      <c r="V113" s="68"/>
      <c r="X113" s="69"/>
      <c r="Y113" s="68"/>
      <c r="AA113" s="69"/>
      <c r="AB113" s="33">
        <f t="shared" si="2"/>
        <v>0</v>
      </c>
      <c r="AC113" s="45">
        <f>_xlfn.LET(_xlpm.ps_1,P113:R113, _xlpm.ps_2,S113:U113, _xlpm.ps_3,V113:X113, _xlpm.ps_4,Y113:AA113,
_xlpm.phase, MID(C113,SEARCH("-",C113)+1,256),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(_xlfn.XLOOKUP($C$7,site_assumptions[Details],site_assumptions[Volts])*SUMIFS(P113:AA113,_xlfn.ANCHORARRAY(D113),TRUE)/10*0.95)/1000,
IFERROR(IF(_xlpm.phase="3Phase", _xlpm.p3_calc, _xlpm.sp_calc),0))</f>
        <v>0</v>
      </c>
      <c r="AD113" s="29" t="str">
        <f ca="1"/>
        <v>Bare Metal</v>
      </c>
      <c r="AE113" s="30" t="str">
        <f ca="1"/>
        <v>Bare Metal</v>
      </c>
      <c r="AF113" s="30" t="str">
        <f ca="1"/>
        <v>Live</v>
      </c>
      <c r="AG113" s="30">
        <f ca="1"/>
        <v>6</v>
      </c>
      <c r="AH113" s="31" t="str">
        <f ca="1"/>
        <v>Unknown</v>
      </c>
      <c r="AI113" s="49">
        <f t="shared" ca="1" si="3"/>
        <v>0</v>
      </c>
      <c r="AJ113" s="71">
        <f ca="1"/>
        <v>3.2690000000000001</v>
      </c>
    </row>
    <row r="114" spans="2:36" x14ac:dyDescent="0.25">
      <c r="B114" s="29" t="str">
        <f ca="1"/>
        <v>dal10.sr01.rk102</v>
      </c>
      <c r="C114" s="10" t="s">
        <v>2070</v>
      </c>
      <c r="D114" s="2" t="b" cm="1">
        <f t="array" ref="D114:O114">_xlfn._xlws.FILTER(IF(ancillary!$E$4:$P$8="",FALSE,ancillary!$E$4:$P$8),ancillary!$B$4:$B$8=$C114)</f>
        <v>1</v>
      </c>
      <c r="E114" s="2" t="b">
        <v>1</v>
      </c>
      <c r="F114" s="2" t="b">
        <v>1</v>
      </c>
      <c r="G114" s="2" t="b">
        <v>1</v>
      </c>
      <c r="H114" s="2" t="b">
        <v>1</v>
      </c>
      <c r="I114" s="2" t="b">
        <v>1</v>
      </c>
      <c r="J114" s="2" t="b">
        <v>0</v>
      </c>
      <c r="K114" s="2" t="b">
        <v>0</v>
      </c>
      <c r="L114" s="2" t="b">
        <v>0</v>
      </c>
      <c r="M114" s="2" t="b">
        <v>0</v>
      </c>
      <c r="N114" s="2" t="b">
        <v>0</v>
      </c>
      <c r="O114" s="2" t="b">
        <v>0</v>
      </c>
      <c r="P114" s="68"/>
      <c r="R114" s="69"/>
      <c r="S114" s="68"/>
      <c r="U114" s="69"/>
      <c r="V114" s="68"/>
      <c r="X114" s="69"/>
      <c r="Y114" s="68"/>
      <c r="AA114" s="69"/>
      <c r="AB114" s="33">
        <f t="shared" si="2"/>
        <v>0</v>
      </c>
      <c r="AC114" s="45">
        <f>_xlfn.LET(_xlpm.ps_1,P114:R114, _xlpm.ps_2,S114:U114, _xlpm.ps_3,V114:X114, _xlpm.ps_4,Y114:AA114,
_xlpm.phase, MID(C114,SEARCH("-",C114)+1,256),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(_xlfn.XLOOKUP($C$7,site_assumptions[Details],site_assumptions[Volts])*SUMIFS(P114:AA114,_xlfn.ANCHORARRAY(D114),TRUE)/10*0.95)/1000,
IFERROR(IF(_xlpm.phase="3Phase", _xlpm.p3_calc, _xlpm.sp_calc),0))</f>
        <v>0</v>
      </c>
      <c r="AD114" s="29" t="str">
        <f ca="1"/>
        <v>Bare Metal</v>
      </c>
      <c r="AE114" s="30" t="str">
        <f ca="1"/>
        <v>Bare Metal</v>
      </c>
      <c r="AF114" s="30" t="str">
        <f ca="1"/>
        <v>Live</v>
      </c>
      <c r="AG114" s="30">
        <f ca="1"/>
        <v>6</v>
      </c>
      <c r="AH114" s="31" t="str">
        <f ca="1"/>
        <v>Unknown</v>
      </c>
      <c r="AI114" s="49">
        <f t="shared" ca="1" si="3"/>
        <v>0</v>
      </c>
      <c r="AJ114" s="71">
        <f ca="1"/>
        <v>4.556</v>
      </c>
    </row>
    <row r="115" spans="2:36" x14ac:dyDescent="0.25">
      <c r="B115" s="29" t="str">
        <f ca="1"/>
        <v>dal10.sr01.rk103</v>
      </c>
      <c r="C115" s="10" t="s">
        <v>2070</v>
      </c>
      <c r="D115" s="2" t="b" cm="1">
        <f t="array" ref="D115:O115">_xlfn._xlws.FILTER(IF(ancillary!$E$4:$P$8="",FALSE,ancillary!$E$4:$P$8),ancillary!$B$4:$B$8=$C115)</f>
        <v>1</v>
      </c>
      <c r="E115" s="2" t="b">
        <v>1</v>
      </c>
      <c r="F115" s="2" t="b">
        <v>1</v>
      </c>
      <c r="G115" s="2" t="b">
        <v>1</v>
      </c>
      <c r="H115" s="2" t="b">
        <v>1</v>
      </c>
      <c r="I115" s="2" t="b">
        <v>1</v>
      </c>
      <c r="J115" s="2" t="b">
        <v>0</v>
      </c>
      <c r="K115" s="2" t="b">
        <v>0</v>
      </c>
      <c r="L115" s="2" t="b">
        <v>0</v>
      </c>
      <c r="M115" s="2" t="b">
        <v>0</v>
      </c>
      <c r="N115" s="2" t="b">
        <v>0</v>
      </c>
      <c r="O115" s="2" t="b">
        <v>0</v>
      </c>
      <c r="P115" s="68"/>
      <c r="R115" s="69"/>
      <c r="S115" s="68"/>
      <c r="U115" s="69"/>
      <c r="V115" s="68"/>
      <c r="X115" s="69"/>
      <c r="Y115" s="68"/>
      <c r="AA115" s="69"/>
      <c r="AB115" s="33">
        <f t="shared" si="2"/>
        <v>0</v>
      </c>
      <c r="AC115" s="45">
        <f>_xlfn.LET(_xlpm.ps_1,P115:R115, _xlpm.ps_2,S115:U115, _xlpm.ps_3,V115:X115, _xlpm.ps_4,Y115:AA115,
_xlpm.phase, MID(C115,SEARCH("-",C115)+1,256),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(_xlfn.XLOOKUP($C$7,site_assumptions[Details],site_assumptions[Volts])*SUMIFS(P115:AA115,_xlfn.ANCHORARRAY(D115),TRUE)/10*0.95)/1000,
IFERROR(IF(_xlpm.phase="3Phase", _xlpm.p3_calc, _xlpm.sp_calc),0))</f>
        <v>0</v>
      </c>
      <c r="AD115" s="29" t="str">
        <f ca="1"/>
        <v>Bare Metal</v>
      </c>
      <c r="AE115" s="30" t="str">
        <f ca="1"/>
        <v>Bare Metal</v>
      </c>
      <c r="AF115" s="30" t="str">
        <f ca="1"/>
        <v>Live</v>
      </c>
      <c r="AG115" s="30">
        <f ca="1"/>
        <v>6</v>
      </c>
      <c r="AH115" s="31" t="str">
        <f ca="1"/>
        <v>Unknown</v>
      </c>
      <c r="AI115" s="49">
        <f t="shared" ca="1" si="3"/>
        <v>0</v>
      </c>
      <c r="AJ115" s="71">
        <f ca="1"/>
        <v>3.206</v>
      </c>
    </row>
    <row r="116" spans="2:36" x14ac:dyDescent="0.25">
      <c r="B116" s="29" t="str">
        <f ca="1"/>
        <v>dal10.sr01.rk104</v>
      </c>
      <c r="C116" s="10" t="s">
        <v>2070</v>
      </c>
      <c r="D116" s="2" t="b" cm="1">
        <f t="array" ref="D116:O116">_xlfn._xlws.FILTER(IF(ancillary!$E$4:$P$8="",FALSE,ancillary!$E$4:$P$8),ancillary!$B$4:$B$8=$C116)</f>
        <v>1</v>
      </c>
      <c r="E116" s="2" t="b">
        <v>1</v>
      </c>
      <c r="F116" s="2" t="b">
        <v>1</v>
      </c>
      <c r="G116" s="2" t="b">
        <v>1</v>
      </c>
      <c r="H116" s="2" t="b">
        <v>1</v>
      </c>
      <c r="I116" s="2" t="b">
        <v>1</v>
      </c>
      <c r="J116" s="2" t="b">
        <v>0</v>
      </c>
      <c r="K116" s="2" t="b">
        <v>0</v>
      </c>
      <c r="L116" s="2" t="b">
        <v>0</v>
      </c>
      <c r="M116" s="2" t="b">
        <v>0</v>
      </c>
      <c r="N116" s="2" t="b">
        <v>0</v>
      </c>
      <c r="O116" s="2" t="b">
        <v>0</v>
      </c>
      <c r="P116" s="68"/>
      <c r="R116" s="69"/>
      <c r="S116" s="68"/>
      <c r="U116" s="69"/>
      <c r="V116" s="68"/>
      <c r="X116" s="69"/>
      <c r="Y116" s="68"/>
      <c r="AA116" s="69"/>
      <c r="AB116" s="33">
        <f t="shared" si="2"/>
        <v>0</v>
      </c>
      <c r="AC116" s="45">
        <f>_xlfn.LET(_xlpm.ps_1,P116:R116, _xlpm.ps_2,S116:U116, _xlpm.ps_3,V116:X116, _xlpm.ps_4,Y116:AA116,
_xlpm.phase, MID(C116,SEARCH("-",C116)+1,256),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(_xlfn.XLOOKUP($C$7,site_assumptions[Details],site_assumptions[Volts])*SUMIFS(P116:AA116,_xlfn.ANCHORARRAY(D116),TRUE)/10*0.95)/1000,
IFERROR(IF(_xlpm.phase="3Phase", _xlpm.p3_calc, _xlpm.sp_calc),0))</f>
        <v>0</v>
      </c>
      <c r="AD116" s="29" t="str">
        <f ca="1"/>
        <v>Bare Metal</v>
      </c>
      <c r="AE116" s="30" t="str">
        <f ca="1"/>
        <v>Bare Metal</v>
      </c>
      <c r="AF116" s="30" t="str">
        <f ca="1"/>
        <v>Live</v>
      </c>
      <c r="AG116" s="30">
        <f ca="1"/>
        <v>6</v>
      </c>
      <c r="AH116" s="31" t="str">
        <f ca="1"/>
        <v>Unknown</v>
      </c>
      <c r="AI116" s="49">
        <f t="shared" ca="1" si="3"/>
        <v>0</v>
      </c>
      <c r="AJ116" s="71">
        <f ca="1"/>
        <v>2.9980000000000002</v>
      </c>
    </row>
    <row r="117" spans="2:36" x14ac:dyDescent="0.25">
      <c r="B117" s="29" t="str">
        <f ca="1"/>
        <v>dal10.sr01.rk105</v>
      </c>
      <c r="C117" s="10" t="s">
        <v>2070</v>
      </c>
      <c r="D117" s="2" t="b" cm="1">
        <f t="array" ref="D117:O117">_xlfn._xlws.FILTER(IF(ancillary!$E$4:$P$8="",FALSE,ancillary!$E$4:$P$8),ancillary!$B$4:$B$8=$C117)</f>
        <v>1</v>
      </c>
      <c r="E117" s="2" t="b">
        <v>1</v>
      </c>
      <c r="F117" s="2" t="b">
        <v>1</v>
      </c>
      <c r="G117" s="2" t="b">
        <v>1</v>
      </c>
      <c r="H117" s="2" t="b">
        <v>1</v>
      </c>
      <c r="I117" s="2" t="b">
        <v>1</v>
      </c>
      <c r="J117" s="2" t="b">
        <v>0</v>
      </c>
      <c r="K117" s="2" t="b">
        <v>0</v>
      </c>
      <c r="L117" s="2" t="b">
        <v>0</v>
      </c>
      <c r="M117" s="2" t="b">
        <v>0</v>
      </c>
      <c r="N117" s="2" t="b">
        <v>0</v>
      </c>
      <c r="O117" s="2" t="b">
        <v>0</v>
      </c>
      <c r="P117" s="68"/>
      <c r="R117" s="69"/>
      <c r="S117" s="68"/>
      <c r="U117" s="69"/>
      <c r="V117" s="68"/>
      <c r="X117" s="69"/>
      <c r="Y117" s="68"/>
      <c r="AA117" s="69"/>
      <c r="AB117" s="33">
        <f t="shared" si="2"/>
        <v>0</v>
      </c>
      <c r="AC117" s="45">
        <f>_xlfn.LET(_xlpm.ps_1,P117:R117, _xlpm.ps_2,S117:U117, _xlpm.ps_3,V117:X117, _xlpm.ps_4,Y117:AA117,
_xlpm.phase, MID(C117,SEARCH("-",C117)+1,256),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(_xlfn.XLOOKUP($C$7,site_assumptions[Details],site_assumptions[Volts])*SUMIFS(P117:AA117,_xlfn.ANCHORARRAY(D117),TRUE)/10*0.95)/1000,
IFERROR(IF(_xlpm.phase="3Phase", _xlpm.p3_calc, _xlpm.sp_calc),0))</f>
        <v>0</v>
      </c>
      <c r="AD117" s="29" t="str">
        <f ca="1"/>
        <v>Network</v>
      </c>
      <c r="AE117" s="30" t="str">
        <f ca="1"/>
        <v>Aggregate</v>
      </c>
      <c r="AF117" s="30" t="str">
        <f ca="1"/>
        <v>Live</v>
      </c>
      <c r="AG117" s="30">
        <f ca="1"/>
        <v>5</v>
      </c>
      <c r="AH117" s="31" t="str">
        <f ca="1"/>
        <v>Unknown</v>
      </c>
      <c r="AI117" s="49">
        <f t="shared" ca="1" si="3"/>
        <v>0</v>
      </c>
      <c r="AJ117" s="71">
        <f ca="1"/>
        <v>0</v>
      </c>
    </row>
    <row r="118" spans="2:36" x14ac:dyDescent="0.25">
      <c r="B118" s="29" t="str">
        <f ca="1"/>
        <v>dal10.sr01.rk106</v>
      </c>
      <c r="C118" s="10" t="s">
        <v>2070</v>
      </c>
      <c r="D118" s="2" t="b" cm="1">
        <f t="array" ref="D118:O118">_xlfn._xlws.FILTER(IF(ancillary!$E$4:$P$8="",FALSE,ancillary!$E$4:$P$8),ancillary!$B$4:$B$8=$C118)</f>
        <v>1</v>
      </c>
      <c r="E118" s="2" t="b">
        <v>1</v>
      </c>
      <c r="F118" s="2" t="b">
        <v>1</v>
      </c>
      <c r="G118" s="2" t="b">
        <v>1</v>
      </c>
      <c r="H118" s="2" t="b">
        <v>1</v>
      </c>
      <c r="I118" s="2" t="b">
        <v>1</v>
      </c>
      <c r="J118" s="2" t="b">
        <v>0</v>
      </c>
      <c r="K118" s="2" t="b">
        <v>0</v>
      </c>
      <c r="L118" s="2" t="b">
        <v>0</v>
      </c>
      <c r="M118" s="2" t="b">
        <v>0</v>
      </c>
      <c r="N118" s="2" t="b">
        <v>0</v>
      </c>
      <c r="O118" s="2" t="b">
        <v>0</v>
      </c>
      <c r="P118" s="68"/>
      <c r="R118" s="69"/>
      <c r="S118" s="68"/>
      <c r="U118" s="69"/>
      <c r="V118" s="68"/>
      <c r="X118" s="69"/>
      <c r="Y118" s="68"/>
      <c r="AA118" s="69"/>
      <c r="AB118" s="33">
        <f t="shared" si="2"/>
        <v>0</v>
      </c>
      <c r="AC118" s="45">
        <f>_xlfn.LET(_xlpm.ps_1,P118:R118, _xlpm.ps_2,S118:U118, _xlpm.ps_3,V118:X118, _xlpm.ps_4,Y118:AA118,
_xlpm.phase, MID(C118,SEARCH("-",C118)+1,256),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(_xlfn.XLOOKUP($C$7,site_assumptions[Details],site_assumptions[Volts])*SUMIFS(P118:AA118,_xlfn.ANCHORARRAY(D118),TRUE)/10*0.95)/1000,
IFERROR(IF(_xlpm.phase="3Phase", _xlpm.p3_calc, _xlpm.sp_calc),0))</f>
        <v>0</v>
      </c>
      <c r="AD118" s="29" t="str">
        <f ca="1"/>
        <v>Bare Metal</v>
      </c>
      <c r="AE118" s="30" t="str">
        <f ca="1"/>
        <v>Bare Metal</v>
      </c>
      <c r="AF118" s="30" t="str">
        <f ca="1"/>
        <v>Live</v>
      </c>
      <c r="AG118" s="30">
        <f ca="1"/>
        <v>6</v>
      </c>
      <c r="AH118" s="31" t="str">
        <f ca="1"/>
        <v>Unknown</v>
      </c>
      <c r="AI118" s="49">
        <f t="shared" ca="1" si="3"/>
        <v>0</v>
      </c>
      <c r="AJ118" s="71">
        <f ca="1"/>
        <v>2.6509999999999998</v>
      </c>
    </row>
    <row r="119" spans="2:36" x14ac:dyDescent="0.25">
      <c r="B119" s="29" t="str">
        <f ca="1"/>
        <v>dal10.sr01.rk107</v>
      </c>
      <c r="C119" s="10" t="s">
        <v>2070</v>
      </c>
      <c r="D119" s="2" t="b" cm="1">
        <f t="array" ref="D119:O119">_xlfn._xlws.FILTER(IF(ancillary!$E$4:$P$8="",FALSE,ancillary!$E$4:$P$8),ancillary!$B$4:$B$8=$C119)</f>
        <v>1</v>
      </c>
      <c r="E119" s="2" t="b">
        <v>1</v>
      </c>
      <c r="F119" s="2" t="b">
        <v>1</v>
      </c>
      <c r="G119" s="2" t="b">
        <v>1</v>
      </c>
      <c r="H119" s="2" t="b">
        <v>1</v>
      </c>
      <c r="I119" s="2" t="b">
        <v>1</v>
      </c>
      <c r="J119" s="2" t="b">
        <v>0</v>
      </c>
      <c r="K119" s="2" t="b">
        <v>0</v>
      </c>
      <c r="L119" s="2" t="b">
        <v>0</v>
      </c>
      <c r="M119" s="2" t="b">
        <v>0</v>
      </c>
      <c r="N119" s="2" t="b">
        <v>0</v>
      </c>
      <c r="O119" s="2" t="b">
        <v>0</v>
      </c>
      <c r="P119" s="68"/>
      <c r="R119" s="69"/>
      <c r="S119" s="68"/>
      <c r="U119" s="69"/>
      <c r="V119" s="68"/>
      <c r="X119" s="69"/>
      <c r="Y119" s="68"/>
      <c r="AA119" s="69"/>
      <c r="AB119" s="33">
        <f t="shared" si="2"/>
        <v>0</v>
      </c>
      <c r="AC119" s="45">
        <f>_xlfn.LET(_xlpm.ps_1,P119:R119, _xlpm.ps_2,S119:U119, _xlpm.ps_3,V119:X119, _xlpm.ps_4,Y119:AA119,
_xlpm.phase, MID(C119,SEARCH("-",C119)+1,256),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(_xlfn.XLOOKUP($C$7,site_assumptions[Details],site_assumptions[Volts])*SUMIFS(P119:AA119,_xlfn.ANCHORARRAY(D119),TRUE)/10*0.95)/1000,
IFERROR(IF(_xlpm.phase="3Phase", _xlpm.p3_calc, _xlpm.sp_calc),0))</f>
        <v>0</v>
      </c>
      <c r="AD119" s="29" t="str">
        <f ca="1"/>
        <v>Bare Metal</v>
      </c>
      <c r="AE119" s="30" t="str">
        <f ca="1"/>
        <v>Bare Metal</v>
      </c>
      <c r="AF119" s="30" t="str">
        <f ca="1"/>
        <v>Live</v>
      </c>
      <c r="AG119" s="30">
        <f ca="1"/>
        <v>6</v>
      </c>
      <c r="AH119" s="31" t="str">
        <f ca="1"/>
        <v>Unknown</v>
      </c>
      <c r="AI119" s="49">
        <f t="shared" ca="1" si="3"/>
        <v>0</v>
      </c>
      <c r="AJ119" s="71">
        <f ca="1"/>
        <v>1.7509999999999999</v>
      </c>
    </row>
    <row r="120" spans="2:36" x14ac:dyDescent="0.25">
      <c r="B120" s="29" t="str">
        <f ca="1"/>
        <v>dal10.sr01.rk108</v>
      </c>
      <c r="C120" s="10" t="s">
        <v>2070</v>
      </c>
      <c r="D120" s="2" t="b" cm="1">
        <f t="array" ref="D120:O120">_xlfn._xlws.FILTER(IF(ancillary!$E$4:$P$8="",FALSE,ancillary!$E$4:$P$8),ancillary!$B$4:$B$8=$C120)</f>
        <v>1</v>
      </c>
      <c r="E120" s="2" t="b">
        <v>1</v>
      </c>
      <c r="F120" s="2" t="b">
        <v>1</v>
      </c>
      <c r="G120" s="2" t="b">
        <v>1</v>
      </c>
      <c r="H120" s="2" t="b">
        <v>1</v>
      </c>
      <c r="I120" s="2" t="b">
        <v>1</v>
      </c>
      <c r="J120" s="2" t="b">
        <v>0</v>
      </c>
      <c r="K120" s="2" t="b">
        <v>0</v>
      </c>
      <c r="L120" s="2" t="b">
        <v>0</v>
      </c>
      <c r="M120" s="2" t="b">
        <v>0</v>
      </c>
      <c r="N120" s="2" t="b">
        <v>0</v>
      </c>
      <c r="O120" s="2" t="b">
        <v>0</v>
      </c>
      <c r="P120" s="68"/>
      <c r="R120" s="69"/>
      <c r="S120" s="68"/>
      <c r="U120" s="69"/>
      <c r="V120" s="68"/>
      <c r="X120" s="69"/>
      <c r="Y120" s="68"/>
      <c r="AA120" s="69"/>
      <c r="AB120" s="33">
        <f t="shared" si="2"/>
        <v>0</v>
      </c>
      <c r="AC120" s="45">
        <f>_xlfn.LET(_xlpm.ps_1,P120:R120, _xlpm.ps_2,S120:U120, _xlpm.ps_3,V120:X120, _xlpm.ps_4,Y120:AA120,
_xlpm.phase, MID(C120,SEARCH("-",C120)+1,256),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(_xlfn.XLOOKUP($C$7,site_assumptions[Details],site_assumptions[Volts])*SUMIFS(P120:AA120,_xlfn.ANCHORARRAY(D120),TRUE)/10*0.95)/1000,
IFERROR(IF(_xlpm.phase="3Phase", _xlpm.p3_calc, _xlpm.sp_calc),0))</f>
        <v>0</v>
      </c>
      <c r="AD120" s="29" t="str">
        <f ca="1"/>
        <v>Bare Metal</v>
      </c>
      <c r="AE120" s="30" t="str">
        <f ca="1"/>
        <v>Bare Metal</v>
      </c>
      <c r="AF120" s="30" t="str">
        <f ca="1"/>
        <v>Live</v>
      </c>
      <c r="AG120" s="30">
        <f ca="1"/>
        <v>6</v>
      </c>
      <c r="AH120" s="31" t="str">
        <f ca="1"/>
        <v>Unknown</v>
      </c>
      <c r="AI120" s="49">
        <f t="shared" ca="1" si="3"/>
        <v>0</v>
      </c>
      <c r="AJ120" s="71">
        <f ca="1"/>
        <v>2.4220000000000002</v>
      </c>
    </row>
    <row r="121" spans="2:36" x14ac:dyDescent="0.25">
      <c r="B121" s="29" t="str">
        <f ca="1"/>
        <v>dal10.sr01.rk109</v>
      </c>
      <c r="C121" s="10" t="s">
        <v>2070</v>
      </c>
      <c r="D121" s="2" t="b" cm="1">
        <f t="array" ref="D121:O121">_xlfn._xlws.FILTER(IF(ancillary!$E$4:$P$8="",FALSE,ancillary!$E$4:$P$8),ancillary!$B$4:$B$8=$C121)</f>
        <v>1</v>
      </c>
      <c r="E121" s="2" t="b">
        <v>1</v>
      </c>
      <c r="F121" s="2" t="b">
        <v>1</v>
      </c>
      <c r="G121" s="2" t="b">
        <v>1</v>
      </c>
      <c r="H121" s="2" t="b">
        <v>1</v>
      </c>
      <c r="I121" s="2" t="b">
        <v>1</v>
      </c>
      <c r="J121" s="2" t="b">
        <v>0</v>
      </c>
      <c r="K121" s="2" t="b">
        <v>0</v>
      </c>
      <c r="L121" s="2" t="b">
        <v>0</v>
      </c>
      <c r="M121" s="2" t="b">
        <v>0</v>
      </c>
      <c r="N121" s="2" t="b">
        <v>0</v>
      </c>
      <c r="O121" s="2" t="b">
        <v>0</v>
      </c>
      <c r="P121" s="68"/>
      <c r="R121" s="69"/>
      <c r="S121" s="68"/>
      <c r="U121" s="69"/>
      <c r="V121" s="68"/>
      <c r="X121" s="69"/>
      <c r="Y121" s="68"/>
      <c r="AA121" s="69"/>
      <c r="AB121" s="33">
        <f t="shared" si="2"/>
        <v>0</v>
      </c>
      <c r="AC121" s="45">
        <f>_xlfn.LET(_xlpm.ps_1,P121:R121, _xlpm.ps_2,S121:U121, _xlpm.ps_3,V121:X121, _xlpm.ps_4,Y121:AA121,
_xlpm.phase, MID(C121,SEARCH("-",C121)+1,256),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(_xlfn.XLOOKUP($C$7,site_assumptions[Details],site_assumptions[Volts])*SUMIFS(P121:AA121,_xlfn.ANCHORARRAY(D121),TRUE)/10*0.95)/1000,
IFERROR(IF(_xlpm.phase="3Phase", _xlpm.p3_calc, _xlpm.sp_calc),0))</f>
        <v>0</v>
      </c>
      <c r="AD121" s="29" t="str">
        <f ca="1"/>
        <v>Bare Metal</v>
      </c>
      <c r="AE121" s="30" t="str">
        <f ca="1"/>
        <v>Bare Metal</v>
      </c>
      <c r="AF121" s="30" t="str">
        <f ca="1"/>
        <v>Live</v>
      </c>
      <c r="AG121" s="30">
        <f ca="1"/>
        <v>6</v>
      </c>
      <c r="AH121" s="31" t="str">
        <f ca="1"/>
        <v>Unknown</v>
      </c>
      <c r="AI121" s="49">
        <f t="shared" ca="1" si="3"/>
        <v>0</v>
      </c>
      <c r="AJ121" s="71">
        <f ca="1"/>
        <v>2.9620000000000002</v>
      </c>
    </row>
    <row r="122" spans="2:36" x14ac:dyDescent="0.25">
      <c r="B122" s="29" t="str">
        <f ca="1"/>
        <v>dal10.sr01.rk110</v>
      </c>
      <c r="C122" s="10" t="s">
        <v>2070</v>
      </c>
      <c r="D122" s="2" t="b" cm="1">
        <f t="array" ref="D122:O122">_xlfn._xlws.FILTER(IF(ancillary!$E$4:$P$8="",FALSE,ancillary!$E$4:$P$8),ancillary!$B$4:$B$8=$C122)</f>
        <v>1</v>
      </c>
      <c r="E122" s="2" t="b">
        <v>1</v>
      </c>
      <c r="F122" s="2" t="b">
        <v>1</v>
      </c>
      <c r="G122" s="2" t="b">
        <v>1</v>
      </c>
      <c r="H122" s="2" t="b">
        <v>1</v>
      </c>
      <c r="I122" s="2" t="b">
        <v>1</v>
      </c>
      <c r="J122" s="2" t="b">
        <v>0</v>
      </c>
      <c r="K122" s="2" t="b">
        <v>0</v>
      </c>
      <c r="L122" s="2" t="b">
        <v>0</v>
      </c>
      <c r="M122" s="2" t="b">
        <v>0</v>
      </c>
      <c r="N122" s="2" t="b">
        <v>0</v>
      </c>
      <c r="O122" s="2" t="b">
        <v>0</v>
      </c>
      <c r="P122" s="68"/>
      <c r="R122" s="69"/>
      <c r="S122" s="68"/>
      <c r="U122" s="69"/>
      <c r="V122" s="68"/>
      <c r="X122" s="69"/>
      <c r="Y122" s="68"/>
      <c r="AA122" s="69"/>
      <c r="AB122" s="33">
        <f t="shared" si="2"/>
        <v>0</v>
      </c>
      <c r="AC122" s="45">
        <f>_xlfn.LET(_xlpm.ps_1,P122:R122, _xlpm.ps_2,S122:U122, _xlpm.ps_3,V122:X122, _xlpm.ps_4,Y122:AA122,
_xlpm.phase, MID(C122,SEARCH("-",C122)+1,256),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(_xlfn.XLOOKUP($C$7,site_assumptions[Details],site_assumptions[Volts])*SUMIFS(P122:AA122,_xlfn.ANCHORARRAY(D122),TRUE)/10*0.95)/1000,
IFERROR(IF(_xlpm.phase="3Phase", _xlpm.p3_calc, _xlpm.sp_calc),0))</f>
        <v>0</v>
      </c>
      <c r="AD122" s="29" t="str">
        <f ca="1"/>
        <v>Bare Metal</v>
      </c>
      <c r="AE122" s="30" t="str">
        <f ca="1"/>
        <v>Bare Metal</v>
      </c>
      <c r="AF122" s="30" t="str">
        <f ca="1"/>
        <v>Live</v>
      </c>
      <c r="AG122" s="30">
        <f ca="1"/>
        <v>6</v>
      </c>
      <c r="AH122" s="31" t="str">
        <f ca="1"/>
        <v>Unknown</v>
      </c>
      <c r="AI122" s="49">
        <f t="shared" ca="1" si="3"/>
        <v>0</v>
      </c>
      <c r="AJ122" s="71">
        <f ca="1"/>
        <v>1.4510000000000001</v>
      </c>
    </row>
    <row r="123" spans="2:36" x14ac:dyDescent="0.25">
      <c r="B123" s="29" t="str">
        <f ca="1"/>
        <v>dal10.sr01.rk111</v>
      </c>
      <c r="C123" s="10" t="s">
        <v>2070</v>
      </c>
      <c r="D123" s="2" t="b" cm="1">
        <f t="array" ref="D123:O123">_xlfn._xlws.FILTER(IF(ancillary!$E$4:$P$8="",FALSE,ancillary!$E$4:$P$8),ancillary!$B$4:$B$8=$C123)</f>
        <v>1</v>
      </c>
      <c r="E123" s="2" t="b">
        <v>1</v>
      </c>
      <c r="F123" s="2" t="b">
        <v>1</v>
      </c>
      <c r="G123" s="2" t="b">
        <v>1</v>
      </c>
      <c r="H123" s="2" t="b">
        <v>1</v>
      </c>
      <c r="I123" s="2" t="b">
        <v>1</v>
      </c>
      <c r="J123" s="2" t="b">
        <v>0</v>
      </c>
      <c r="K123" s="2" t="b">
        <v>0</v>
      </c>
      <c r="L123" s="2" t="b">
        <v>0</v>
      </c>
      <c r="M123" s="2" t="b">
        <v>0</v>
      </c>
      <c r="N123" s="2" t="b">
        <v>0</v>
      </c>
      <c r="O123" s="2" t="b">
        <v>0</v>
      </c>
      <c r="P123" s="68"/>
      <c r="R123" s="69"/>
      <c r="S123" s="68"/>
      <c r="U123" s="69"/>
      <c r="V123" s="68"/>
      <c r="X123" s="69"/>
      <c r="Y123" s="68"/>
      <c r="AA123" s="69"/>
      <c r="AB123" s="33">
        <f t="shared" si="2"/>
        <v>0</v>
      </c>
      <c r="AC123" s="45">
        <f>_xlfn.LET(_xlpm.ps_1,P123:R123, _xlpm.ps_2,S123:U123, _xlpm.ps_3,V123:X123, _xlpm.ps_4,Y123:AA123,
_xlpm.phase, MID(C123,SEARCH("-",C123)+1,256),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(_xlfn.XLOOKUP($C$7,site_assumptions[Details],site_assumptions[Volts])*SUMIFS(P123:AA123,_xlfn.ANCHORARRAY(D123),TRUE)/10*0.95)/1000,
IFERROR(IF(_xlpm.phase="3Phase", _xlpm.p3_calc, _xlpm.sp_calc),0))</f>
        <v>0</v>
      </c>
      <c r="AD123" s="29" t="str">
        <f ca="1"/>
        <v>Storage</v>
      </c>
      <c r="AE123" s="30" t="str">
        <f ca="1"/>
        <v>Misc.</v>
      </c>
      <c r="AF123" s="30" t="str">
        <f ca="1"/>
        <v>Live</v>
      </c>
      <c r="AG123" s="30">
        <f ca="1"/>
        <v>6</v>
      </c>
      <c r="AH123" s="31" t="str">
        <f ca="1"/>
        <v>Unknown</v>
      </c>
      <c r="AI123" s="49">
        <f t="shared" ca="1" si="3"/>
        <v>0</v>
      </c>
      <c r="AJ123" s="71">
        <f ca="1"/>
        <v>0</v>
      </c>
    </row>
    <row r="124" spans="2:36" x14ac:dyDescent="0.25">
      <c r="B124" s="29" t="str">
        <f ca="1"/>
        <v>dal10.sr01.rk112</v>
      </c>
      <c r="C124" s="10" t="s">
        <v>2070</v>
      </c>
      <c r="D124" s="2" t="b" cm="1">
        <f t="array" ref="D124:O124">_xlfn._xlws.FILTER(IF(ancillary!$E$4:$P$8="",FALSE,ancillary!$E$4:$P$8),ancillary!$B$4:$B$8=$C124)</f>
        <v>1</v>
      </c>
      <c r="E124" s="2" t="b">
        <v>1</v>
      </c>
      <c r="F124" s="2" t="b">
        <v>1</v>
      </c>
      <c r="G124" s="2" t="b">
        <v>1</v>
      </c>
      <c r="H124" s="2" t="b">
        <v>1</v>
      </c>
      <c r="I124" s="2" t="b">
        <v>1</v>
      </c>
      <c r="J124" s="2" t="b">
        <v>0</v>
      </c>
      <c r="K124" s="2" t="b">
        <v>0</v>
      </c>
      <c r="L124" s="2" t="b">
        <v>0</v>
      </c>
      <c r="M124" s="2" t="b">
        <v>0</v>
      </c>
      <c r="N124" s="2" t="b">
        <v>0</v>
      </c>
      <c r="O124" s="2" t="b">
        <v>0</v>
      </c>
      <c r="P124" s="68"/>
      <c r="R124" s="69"/>
      <c r="S124" s="68"/>
      <c r="U124" s="69"/>
      <c r="V124" s="68"/>
      <c r="X124" s="69"/>
      <c r="Y124" s="68"/>
      <c r="AA124" s="69"/>
      <c r="AB124" s="33">
        <f t="shared" si="2"/>
        <v>0</v>
      </c>
      <c r="AC124" s="45">
        <f>_xlfn.LET(_xlpm.ps_1,P124:R124, _xlpm.ps_2,S124:U124, _xlpm.ps_3,V124:X124, _xlpm.ps_4,Y124:AA124,
_xlpm.phase, MID(C124,SEARCH("-",C124)+1,256),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(_xlfn.XLOOKUP($C$7,site_assumptions[Details],site_assumptions[Volts])*SUMIFS(P124:AA124,_xlfn.ANCHORARRAY(D124),TRUE)/10*0.95)/1000,
IFERROR(IF(_xlpm.phase="3Phase", _xlpm.p3_calc, _xlpm.sp_calc),0))</f>
        <v>0</v>
      </c>
      <c r="AD124" s="29" t="str">
        <f ca="1"/>
        <v>Storage</v>
      </c>
      <c r="AE124" s="30" t="str">
        <f ca="1"/>
        <v>Misc.</v>
      </c>
      <c r="AF124" s="30" t="str">
        <f ca="1"/>
        <v>Live</v>
      </c>
      <c r="AG124" s="30">
        <f ca="1"/>
        <v>6</v>
      </c>
      <c r="AH124" s="31" t="str">
        <f ca="1"/>
        <v>Unknown</v>
      </c>
      <c r="AI124" s="49">
        <f t="shared" ca="1" si="3"/>
        <v>0</v>
      </c>
      <c r="AJ124" s="71">
        <f ca="1"/>
        <v>0</v>
      </c>
    </row>
    <row r="125" spans="2:36" x14ac:dyDescent="0.25">
      <c r="B125" s="29" t="str">
        <f ca="1"/>
        <v>dal10.sr01.rk113</v>
      </c>
      <c r="C125" s="10" t="s">
        <v>2070</v>
      </c>
      <c r="D125" s="2" t="b" cm="1">
        <f t="array" ref="D125:O125">_xlfn._xlws.FILTER(IF(ancillary!$E$4:$P$8="",FALSE,ancillary!$E$4:$P$8),ancillary!$B$4:$B$8=$C125)</f>
        <v>1</v>
      </c>
      <c r="E125" s="2" t="b">
        <v>1</v>
      </c>
      <c r="F125" s="2" t="b">
        <v>1</v>
      </c>
      <c r="G125" s="2" t="b">
        <v>1</v>
      </c>
      <c r="H125" s="2" t="b">
        <v>1</v>
      </c>
      <c r="I125" s="2" t="b">
        <v>1</v>
      </c>
      <c r="J125" s="2" t="b">
        <v>0</v>
      </c>
      <c r="K125" s="2" t="b">
        <v>0</v>
      </c>
      <c r="L125" s="2" t="b">
        <v>0</v>
      </c>
      <c r="M125" s="2" t="b">
        <v>0</v>
      </c>
      <c r="N125" s="2" t="b">
        <v>0</v>
      </c>
      <c r="O125" s="2" t="b">
        <v>0</v>
      </c>
      <c r="P125" s="68"/>
      <c r="R125" s="69"/>
      <c r="S125" s="68"/>
      <c r="U125" s="69"/>
      <c r="V125" s="68"/>
      <c r="X125" s="69"/>
      <c r="Y125" s="68"/>
      <c r="AA125" s="69"/>
      <c r="AB125" s="33">
        <f t="shared" si="2"/>
        <v>0</v>
      </c>
      <c r="AC125" s="45">
        <f>_xlfn.LET(_xlpm.ps_1,P125:R125, _xlpm.ps_2,S125:U125, _xlpm.ps_3,V125:X125, _xlpm.ps_4,Y125:AA125,
_xlpm.phase, MID(C125,SEARCH("-",C125)+1,256),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(_xlfn.XLOOKUP($C$7,site_assumptions[Details],site_assumptions[Volts])*SUMIFS(P125:AA125,_xlfn.ANCHORARRAY(D125),TRUE)/10*0.95)/1000,
IFERROR(IF(_xlpm.phase="3Phase", _xlpm.p3_calc, _xlpm.sp_calc),0))</f>
        <v>0</v>
      </c>
      <c r="AD125" s="29" t="str">
        <f ca="1"/>
        <v>Fabric</v>
      </c>
      <c r="AE125" s="30" t="str">
        <f ca="1"/>
        <v>Unallocated</v>
      </c>
      <c r="AF125" s="30" t="str">
        <f ca="1"/>
        <v>Live</v>
      </c>
      <c r="AG125" s="30">
        <f ca="1"/>
        <v>4.5999999999999996</v>
      </c>
      <c r="AH125" s="31" t="str">
        <f ca="1"/>
        <v>Unknown</v>
      </c>
      <c r="AI125" s="49">
        <f t="shared" ca="1" si="3"/>
        <v>0</v>
      </c>
      <c r="AJ125" s="71">
        <f ca="1"/>
        <v>0</v>
      </c>
    </row>
    <row r="126" spans="2:36" x14ac:dyDescent="0.25">
      <c r="B126" s="29" t="str">
        <f ca="1"/>
        <v>dal10.sr01.rk114</v>
      </c>
      <c r="C126" s="10" t="s">
        <v>2070</v>
      </c>
      <c r="D126" s="2" t="b" cm="1">
        <f t="array" ref="D126:O126">_xlfn._xlws.FILTER(IF(ancillary!$E$4:$P$8="",FALSE,ancillary!$E$4:$P$8),ancillary!$B$4:$B$8=$C126)</f>
        <v>1</v>
      </c>
      <c r="E126" s="2" t="b">
        <v>1</v>
      </c>
      <c r="F126" s="2" t="b">
        <v>1</v>
      </c>
      <c r="G126" s="2" t="b">
        <v>1</v>
      </c>
      <c r="H126" s="2" t="b">
        <v>1</v>
      </c>
      <c r="I126" s="2" t="b">
        <v>1</v>
      </c>
      <c r="J126" s="2" t="b">
        <v>0</v>
      </c>
      <c r="K126" s="2" t="b">
        <v>0</v>
      </c>
      <c r="L126" s="2" t="b">
        <v>0</v>
      </c>
      <c r="M126" s="2" t="b">
        <v>0</v>
      </c>
      <c r="N126" s="2" t="b">
        <v>0</v>
      </c>
      <c r="O126" s="2" t="b">
        <v>0</v>
      </c>
      <c r="P126" s="68"/>
      <c r="R126" s="69"/>
      <c r="S126" s="68"/>
      <c r="U126" s="69"/>
      <c r="V126" s="68"/>
      <c r="X126" s="69"/>
      <c r="Y126" s="68"/>
      <c r="AA126" s="69"/>
      <c r="AB126" s="33">
        <f t="shared" si="2"/>
        <v>0</v>
      </c>
      <c r="AC126" s="45">
        <f>_xlfn.LET(_xlpm.ps_1,P126:R126, _xlpm.ps_2,S126:U126, _xlpm.ps_3,V126:X126, _xlpm.ps_4,Y126:AA126,
_xlpm.phase, MID(C126,SEARCH("-",C126)+1,256),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(_xlfn.XLOOKUP($C$7,site_assumptions[Details],site_assumptions[Volts])*SUMIFS(P126:AA126,_xlfn.ANCHORARRAY(D126),TRUE)/10*0.95)/1000,
IFERROR(IF(_xlpm.phase="3Phase", _xlpm.p3_calc, _xlpm.sp_calc),0))</f>
        <v>0</v>
      </c>
      <c r="AD126" s="29" t="str">
        <f ca="1"/>
        <v>Fabric</v>
      </c>
      <c r="AE126" s="30" t="str">
        <f ca="1"/>
        <v>Server</v>
      </c>
      <c r="AF126" s="30" t="str">
        <f ca="1"/>
        <v>Live</v>
      </c>
      <c r="AG126" s="30">
        <f ca="1"/>
        <v>4.5999999999999996</v>
      </c>
      <c r="AH126" s="31" t="str">
        <f ca="1"/>
        <v>Unknown</v>
      </c>
      <c r="AI126" s="49">
        <f t="shared" ca="1" si="3"/>
        <v>0</v>
      </c>
      <c r="AJ126" s="71">
        <f ca="1"/>
        <v>0</v>
      </c>
    </row>
    <row r="127" spans="2:36" x14ac:dyDescent="0.25">
      <c r="B127" s="29" t="str">
        <f ca="1"/>
        <v>dal10.sr01.rk115</v>
      </c>
      <c r="C127" s="10" t="s">
        <v>2070</v>
      </c>
      <c r="D127" s="2" t="b" cm="1">
        <f t="array" ref="D127:O127">_xlfn._xlws.FILTER(IF(ancillary!$E$4:$P$8="",FALSE,ancillary!$E$4:$P$8),ancillary!$B$4:$B$8=$C127)</f>
        <v>1</v>
      </c>
      <c r="E127" s="2" t="b">
        <v>1</v>
      </c>
      <c r="F127" s="2" t="b">
        <v>1</v>
      </c>
      <c r="G127" s="2" t="b">
        <v>1</v>
      </c>
      <c r="H127" s="2" t="b">
        <v>1</v>
      </c>
      <c r="I127" s="2" t="b">
        <v>1</v>
      </c>
      <c r="J127" s="2" t="b">
        <v>0</v>
      </c>
      <c r="K127" s="2" t="b">
        <v>0</v>
      </c>
      <c r="L127" s="2" t="b">
        <v>0</v>
      </c>
      <c r="M127" s="2" t="b">
        <v>0</v>
      </c>
      <c r="N127" s="2" t="b">
        <v>0</v>
      </c>
      <c r="O127" s="2" t="b">
        <v>0</v>
      </c>
      <c r="P127" s="68"/>
      <c r="R127" s="69"/>
      <c r="S127" s="68"/>
      <c r="U127" s="69"/>
      <c r="V127" s="68"/>
      <c r="X127" s="69"/>
      <c r="Y127" s="68"/>
      <c r="AA127" s="69"/>
      <c r="AB127" s="33">
        <f t="shared" si="2"/>
        <v>0</v>
      </c>
      <c r="AC127" s="45">
        <f>_xlfn.LET(_xlpm.ps_1,P127:R127, _xlpm.ps_2,S127:U127, _xlpm.ps_3,V127:X127, _xlpm.ps_4,Y127:AA127,
_xlpm.phase, MID(C127,SEARCH("-",C127)+1,256),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(_xlfn.XLOOKUP($C$7,site_assumptions[Details],site_assumptions[Volts])*SUMIFS(P127:AA127,_xlfn.ANCHORARRAY(D127),TRUE)/10*0.95)/1000,
IFERROR(IF(_xlpm.phase="3Phase", _xlpm.p3_calc, _xlpm.sp_calc),0))</f>
        <v>0</v>
      </c>
      <c r="AD127" s="29" t="str">
        <f ca="1"/>
        <v>Fabric</v>
      </c>
      <c r="AE127" s="30" t="str">
        <f ca="1"/>
        <v>Server</v>
      </c>
      <c r="AF127" s="30" t="str">
        <f ca="1"/>
        <v>Live</v>
      </c>
      <c r="AG127" s="30">
        <f ca="1"/>
        <v>4.5999999999999996</v>
      </c>
      <c r="AH127" s="31" t="str">
        <f ca="1"/>
        <v>Unknown</v>
      </c>
      <c r="AI127" s="49">
        <f t="shared" ca="1" si="3"/>
        <v>0</v>
      </c>
      <c r="AJ127" s="71">
        <f ca="1"/>
        <v>0</v>
      </c>
    </row>
    <row r="128" spans="2:36" x14ac:dyDescent="0.25">
      <c r="B128" s="29" t="str">
        <f ca="1"/>
        <v>dal10.sr01.rk116</v>
      </c>
      <c r="C128" s="10" t="s">
        <v>2070</v>
      </c>
      <c r="D128" s="2" t="b" cm="1">
        <f t="array" ref="D128:O128">_xlfn._xlws.FILTER(IF(ancillary!$E$4:$P$8="",FALSE,ancillary!$E$4:$P$8),ancillary!$B$4:$B$8=$C128)</f>
        <v>1</v>
      </c>
      <c r="E128" s="2" t="b">
        <v>1</v>
      </c>
      <c r="F128" s="2" t="b">
        <v>1</v>
      </c>
      <c r="G128" s="2" t="b">
        <v>1</v>
      </c>
      <c r="H128" s="2" t="b">
        <v>1</v>
      </c>
      <c r="I128" s="2" t="b">
        <v>1</v>
      </c>
      <c r="J128" s="2" t="b">
        <v>0</v>
      </c>
      <c r="K128" s="2" t="b">
        <v>0</v>
      </c>
      <c r="L128" s="2" t="b">
        <v>0</v>
      </c>
      <c r="M128" s="2" t="b">
        <v>0</v>
      </c>
      <c r="N128" s="2" t="b">
        <v>0</v>
      </c>
      <c r="O128" s="2" t="b">
        <v>0</v>
      </c>
      <c r="P128" s="68"/>
      <c r="R128" s="69"/>
      <c r="S128" s="68"/>
      <c r="U128" s="69"/>
      <c r="V128" s="68"/>
      <c r="X128" s="69"/>
      <c r="Y128" s="68"/>
      <c r="AA128" s="69"/>
      <c r="AB128" s="33">
        <f t="shared" si="2"/>
        <v>0</v>
      </c>
      <c r="AC128" s="45">
        <f>_xlfn.LET(_xlpm.ps_1,P128:R128, _xlpm.ps_2,S128:U128, _xlpm.ps_3,V128:X128, _xlpm.ps_4,Y128:AA128,
_xlpm.phase, MID(C128,SEARCH("-",C128)+1,256),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(_xlfn.XLOOKUP($C$7,site_assumptions[Details],site_assumptions[Volts])*SUMIFS(P128:AA128,_xlfn.ANCHORARRAY(D128),TRUE)/10*0.95)/1000,
IFERROR(IF(_xlpm.phase="3Phase", _xlpm.p3_calc, _xlpm.sp_calc),0))</f>
        <v>0</v>
      </c>
      <c r="AD128" s="29" t="str">
        <f ca="1"/>
        <v>Fabric</v>
      </c>
      <c r="AE128" s="30" t="str">
        <f ca="1"/>
        <v>Server</v>
      </c>
      <c r="AF128" s="30" t="str">
        <f ca="1"/>
        <v>Live</v>
      </c>
      <c r="AG128" s="30">
        <f ca="1"/>
        <v>4.5999999999999996</v>
      </c>
      <c r="AH128" s="31" t="str">
        <f ca="1"/>
        <v>Unknown</v>
      </c>
      <c r="AI128" s="49">
        <f t="shared" ca="1" si="3"/>
        <v>0</v>
      </c>
      <c r="AJ128" s="71">
        <f ca="1"/>
        <v>0</v>
      </c>
    </row>
    <row r="129" spans="2:36" x14ac:dyDescent="0.25">
      <c r="B129" s="29" t="str">
        <f ca="1"/>
        <v>dal10.sr01.rk117</v>
      </c>
      <c r="C129" s="10" t="s">
        <v>2070</v>
      </c>
      <c r="D129" s="2" t="b" cm="1">
        <f t="array" ref="D129:O129">_xlfn._xlws.FILTER(IF(ancillary!$E$4:$P$8="",FALSE,ancillary!$E$4:$P$8),ancillary!$B$4:$B$8=$C129)</f>
        <v>1</v>
      </c>
      <c r="E129" s="2" t="b">
        <v>1</v>
      </c>
      <c r="F129" s="2" t="b">
        <v>1</v>
      </c>
      <c r="G129" s="2" t="b">
        <v>1</v>
      </c>
      <c r="H129" s="2" t="b">
        <v>1</v>
      </c>
      <c r="I129" s="2" t="b">
        <v>1</v>
      </c>
      <c r="J129" s="2" t="b">
        <v>0</v>
      </c>
      <c r="K129" s="2" t="b">
        <v>0</v>
      </c>
      <c r="L129" s="2" t="b">
        <v>0</v>
      </c>
      <c r="M129" s="2" t="b">
        <v>0</v>
      </c>
      <c r="N129" s="2" t="b">
        <v>0</v>
      </c>
      <c r="O129" s="2" t="b">
        <v>0</v>
      </c>
      <c r="P129" s="68"/>
      <c r="R129" s="69"/>
      <c r="S129" s="68"/>
      <c r="U129" s="69"/>
      <c r="V129" s="68"/>
      <c r="X129" s="69"/>
      <c r="Y129" s="68"/>
      <c r="AA129" s="69"/>
      <c r="AB129" s="33">
        <f t="shared" si="2"/>
        <v>0</v>
      </c>
      <c r="AC129" s="45">
        <f>_xlfn.LET(_xlpm.ps_1,P129:R129, _xlpm.ps_2,S129:U129, _xlpm.ps_3,V129:X129, _xlpm.ps_4,Y129:AA129,
_xlpm.phase, MID(C129,SEARCH("-",C129)+1,256),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(_xlfn.XLOOKUP($C$7,site_assumptions[Details],site_assumptions[Volts])*SUMIFS(P129:AA129,_xlfn.ANCHORARRAY(D129),TRUE)/10*0.95)/1000,
IFERROR(IF(_xlpm.phase="3Phase", _xlpm.p3_calc, _xlpm.sp_calc),0))</f>
        <v>0</v>
      </c>
      <c r="AD129" s="29" t="str">
        <f ca="1"/>
        <v>Fabric</v>
      </c>
      <c r="AE129" s="30" t="str">
        <f ca="1"/>
        <v>Server</v>
      </c>
      <c r="AF129" s="30" t="str">
        <f ca="1"/>
        <v>Live</v>
      </c>
      <c r="AG129" s="30">
        <f ca="1"/>
        <v>4.5999999999999996</v>
      </c>
      <c r="AH129" s="31" t="str">
        <f ca="1"/>
        <v>Unknown</v>
      </c>
      <c r="AI129" s="49">
        <f t="shared" ca="1" si="3"/>
        <v>0</v>
      </c>
      <c r="AJ129" s="71">
        <f ca="1"/>
        <v>0</v>
      </c>
    </row>
    <row r="130" spans="2:36" x14ac:dyDescent="0.25">
      <c r="B130" s="29" t="str">
        <f ca="1"/>
        <v>dal10.sr01.rk118</v>
      </c>
      <c r="C130" s="10" t="s">
        <v>2070</v>
      </c>
      <c r="D130" s="2" t="b" cm="1">
        <f t="array" ref="D130:O130">_xlfn._xlws.FILTER(IF(ancillary!$E$4:$P$8="",FALSE,ancillary!$E$4:$P$8),ancillary!$B$4:$B$8=$C130)</f>
        <v>1</v>
      </c>
      <c r="E130" s="2" t="b">
        <v>1</v>
      </c>
      <c r="F130" s="2" t="b">
        <v>1</v>
      </c>
      <c r="G130" s="2" t="b">
        <v>1</v>
      </c>
      <c r="H130" s="2" t="b">
        <v>1</v>
      </c>
      <c r="I130" s="2" t="b">
        <v>1</v>
      </c>
      <c r="J130" s="2" t="b">
        <v>0</v>
      </c>
      <c r="K130" s="2" t="b">
        <v>0</v>
      </c>
      <c r="L130" s="2" t="b">
        <v>0</v>
      </c>
      <c r="M130" s="2" t="b">
        <v>0</v>
      </c>
      <c r="N130" s="2" t="b">
        <v>0</v>
      </c>
      <c r="O130" s="2" t="b">
        <v>0</v>
      </c>
      <c r="P130" s="68"/>
      <c r="R130" s="69"/>
      <c r="S130" s="68"/>
      <c r="U130" s="69"/>
      <c r="V130" s="68"/>
      <c r="X130" s="69"/>
      <c r="Y130" s="68"/>
      <c r="AA130" s="69"/>
      <c r="AB130" s="33">
        <f t="shared" si="2"/>
        <v>0</v>
      </c>
      <c r="AC130" s="45">
        <f>_xlfn.LET(_xlpm.ps_1,P130:R130, _xlpm.ps_2,S130:U130, _xlpm.ps_3,V130:X130, _xlpm.ps_4,Y130:AA130,
_xlpm.phase, MID(C130,SEARCH("-",C130)+1,256),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(_xlfn.XLOOKUP($C$7,site_assumptions[Details],site_assumptions[Volts])*SUMIFS(P130:AA130,_xlfn.ANCHORARRAY(D130),TRUE)/10*0.95)/1000,
IFERROR(IF(_xlpm.phase="3Phase", _xlpm.p3_calc, _xlpm.sp_calc),0))</f>
        <v>0</v>
      </c>
      <c r="AD130" s="29" t="str">
        <f ca="1"/>
        <v>Fabric</v>
      </c>
      <c r="AE130" s="30" t="str">
        <f ca="1"/>
        <v>Server</v>
      </c>
      <c r="AF130" s="30" t="str">
        <f ca="1"/>
        <v>Live</v>
      </c>
      <c r="AG130" s="30">
        <f ca="1"/>
        <v>4.5999999999999996</v>
      </c>
      <c r="AH130" s="31" t="str">
        <f ca="1"/>
        <v>Unknown</v>
      </c>
      <c r="AI130" s="49">
        <f t="shared" ca="1" si="3"/>
        <v>0</v>
      </c>
      <c r="AJ130" s="71">
        <f ca="1"/>
        <v>0</v>
      </c>
    </row>
    <row r="131" spans="2:36" x14ac:dyDescent="0.25">
      <c r="B131" s="29" t="str">
        <f ca="1"/>
        <v>dal10.sr01.rk119</v>
      </c>
      <c r="C131" s="10" t="s">
        <v>2070</v>
      </c>
      <c r="D131" s="2" t="b" cm="1">
        <f t="array" ref="D131:O131">_xlfn._xlws.FILTER(IF(ancillary!$E$4:$P$8="",FALSE,ancillary!$E$4:$P$8),ancillary!$B$4:$B$8=$C131)</f>
        <v>1</v>
      </c>
      <c r="E131" s="2" t="b">
        <v>1</v>
      </c>
      <c r="F131" s="2" t="b">
        <v>1</v>
      </c>
      <c r="G131" s="2" t="b">
        <v>1</v>
      </c>
      <c r="H131" s="2" t="b">
        <v>1</v>
      </c>
      <c r="I131" s="2" t="b">
        <v>1</v>
      </c>
      <c r="J131" s="2" t="b">
        <v>0</v>
      </c>
      <c r="K131" s="2" t="b">
        <v>0</v>
      </c>
      <c r="L131" s="2" t="b">
        <v>0</v>
      </c>
      <c r="M131" s="2" t="b">
        <v>0</v>
      </c>
      <c r="N131" s="2" t="b">
        <v>0</v>
      </c>
      <c r="O131" s="2" t="b">
        <v>0</v>
      </c>
      <c r="P131" s="68"/>
      <c r="R131" s="69"/>
      <c r="S131" s="68"/>
      <c r="U131" s="69"/>
      <c r="V131" s="68"/>
      <c r="X131" s="69"/>
      <c r="Y131" s="68"/>
      <c r="AA131" s="69"/>
      <c r="AB131" s="33">
        <f t="shared" si="2"/>
        <v>0</v>
      </c>
      <c r="AC131" s="45">
        <f>_xlfn.LET(_xlpm.ps_1,P131:R131, _xlpm.ps_2,S131:U131, _xlpm.ps_3,V131:X131, _xlpm.ps_4,Y131:AA131,
_xlpm.phase, MID(C131,SEARCH("-",C131)+1,256),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(_xlfn.XLOOKUP($C$7,site_assumptions[Details],site_assumptions[Volts])*SUMIFS(P131:AA131,_xlfn.ANCHORARRAY(D131),TRUE)/10*0.95)/1000,
IFERROR(IF(_xlpm.phase="3Phase", _xlpm.p3_calc, _xlpm.sp_calc),0))</f>
        <v>0</v>
      </c>
      <c r="AD131" s="29" t="str">
        <f ca="1"/>
        <v>Fabric</v>
      </c>
      <c r="AE131" s="30" t="str">
        <f ca="1"/>
        <v>DTS</v>
      </c>
      <c r="AF131" s="30" t="str">
        <f ca="1"/>
        <v>Live</v>
      </c>
      <c r="AG131" s="30">
        <f ca="1"/>
        <v>4.5999999999999996</v>
      </c>
      <c r="AH131" s="31" t="str">
        <f ca="1"/>
        <v>Unknown</v>
      </c>
      <c r="AI131" s="49">
        <f t="shared" ca="1" si="3"/>
        <v>0</v>
      </c>
      <c r="AJ131" s="71">
        <f ca="1"/>
        <v>0</v>
      </c>
    </row>
    <row r="132" spans="2:36" x14ac:dyDescent="0.25">
      <c r="B132" s="29" t="str">
        <f ca="1"/>
        <v>dal10.sr01.rk120</v>
      </c>
      <c r="C132" s="10" t="s">
        <v>2070</v>
      </c>
      <c r="D132" s="2" t="b" cm="1">
        <f t="array" ref="D132:O132">_xlfn._xlws.FILTER(IF(ancillary!$E$4:$P$8="",FALSE,ancillary!$E$4:$P$8),ancillary!$B$4:$B$8=$C132)</f>
        <v>1</v>
      </c>
      <c r="E132" s="2" t="b">
        <v>1</v>
      </c>
      <c r="F132" s="2" t="b">
        <v>1</v>
      </c>
      <c r="G132" s="2" t="b">
        <v>1</v>
      </c>
      <c r="H132" s="2" t="b">
        <v>1</v>
      </c>
      <c r="I132" s="2" t="b">
        <v>1</v>
      </c>
      <c r="J132" s="2" t="b">
        <v>0</v>
      </c>
      <c r="K132" s="2" t="b">
        <v>0</v>
      </c>
      <c r="L132" s="2" t="b">
        <v>0</v>
      </c>
      <c r="M132" s="2" t="b">
        <v>0</v>
      </c>
      <c r="N132" s="2" t="b">
        <v>0</v>
      </c>
      <c r="O132" s="2" t="b">
        <v>0</v>
      </c>
      <c r="P132" s="68"/>
      <c r="R132" s="69"/>
      <c r="S132" s="68"/>
      <c r="U132" s="69"/>
      <c r="V132" s="68"/>
      <c r="X132" s="69"/>
      <c r="Y132" s="68"/>
      <c r="AA132" s="69"/>
      <c r="AB132" s="33">
        <f t="shared" si="2"/>
        <v>0</v>
      </c>
      <c r="AC132" s="45">
        <f>_xlfn.LET(_xlpm.ps_1,P132:R132, _xlpm.ps_2,S132:U132, _xlpm.ps_3,V132:X132, _xlpm.ps_4,Y132:AA132,
_xlpm.phase, MID(C132,SEARCH("-",C132)+1,256),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(_xlfn.XLOOKUP($C$7,site_assumptions[Details],site_assumptions[Volts])*SUMIFS(P132:AA132,_xlfn.ANCHORARRAY(D132),TRUE)/10*0.95)/1000,
IFERROR(IF(_xlpm.phase="3Phase", _xlpm.p3_calc, _xlpm.sp_calc),0))</f>
        <v>0</v>
      </c>
      <c r="AD132" s="29" t="str">
        <f ca="1"/>
        <v>Storage</v>
      </c>
      <c r="AE132" s="30" t="str">
        <f ca="1"/>
        <v>Misc.</v>
      </c>
      <c r="AF132" s="30" t="str">
        <f ca="1"/>
        <v>Live</v>
      </c>
      <c r="AG132" s="30">
        <f ca="1"/>
        <v>6</v>
      </c>
      <c r="AH132" s="31" t="str">
        <f ca="1"/>
        <v>Unknown</v>
      </c>
      <c r="AI132" s="49">
        <f t="shared" ca="1" si="3"/>
        <v>0</v>
      </c>
      <c r="AJ132" s="71">
        <f ca="1"/>
        <v>0</v>
      </c>
    </row>
    <row r="133" spans="2:36" x14ac:dyDescent="0.25">
      <c r="B133" s="29" t="str">
        <f ca="1"/>
        <v>dal10.sr01.rk121</v>
      </c>
      <c r="C133" s="10" t="s">
        <v>2070</v>
      </c>
      <c r="D133" s="2" t="b" cm="1">
        <f t="array" ref="D133:O133">_xlfn._xlws.FILTER(IF(ancillary!$E$4:$P$8="",FALSE,ancillary!$E$4:$P$8),ancillary!$B$4:$B$8=$C133)</f>
        <v>1</v>
      </c>
      <c r="E133" s="2" t="b">
        <v>1</v>
      </c>
      <c r="F133" s="2" t="b">
        <v>1</v>
      </c>
      <c r="G133" s="2" t="b">
        <v>1</v>
      </c>
      <c r="H133" s="2" t="b">
        <v>1</v>
      </c>
      <c r="I133" s="2" t="b">
        <v>1</v>
      </c>
      <c r="J133" s="2" t="b">
        <v>0</v>
      </c>
      <c r="K133" s="2" t="b">
        <v>0</v>
      </c>
      <c r="L133" s="2" t="b">
        <v>0</v>
      </c>
      <c r="M133" s="2" t="b">
        <v>0</v>
      </c>
      <c r="N133" s="2" t="b">
        <v>0</v>
      </c>
      <c r="O133" s="2" t="b">
        <v>0</v>
      </c>
      <c r="P133" s="68"/>
      <c r="R133" s="69"/>
      <c r="S133" s="68"/>
      <c r="U133" s="69"/>
      <c r="V133" s="68"/>
      <c r="X133" s="69"/>
      <c r="Y133" s="68"/>
      <c r="AA133" s="69"/>
      <c r="AB133" s="33">
        <f t="shared" si="2"/>
        <v>0</v>
      </c>
      <c r="AC133" s="45">
        <f>_xlfn.LET(_xlpm.ps_1,P133:R133, _xlpm.ps_2,S133:U133, _xlpm.ps_3,V133:X133, _xlpm.ps_4,Y133:AA133,
_xlpm.phase, MID(C133,SEARCH("-",C133)+1,256),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(_xlfn.XLOOKUP($C$7,site_assumptions[Details],site_assumptions[Volts])*SUMIFS(P133:AA133,_xlfn.ANCHORARRAY(D133),TRUE)/10*0.95)/1000,
IFERROR(IF(_xlpm.phase="3Phase", _xlpm.p3_calc, _xlpm.sp_calc),0))</f>
        <v>0</v>
      </c>
      <c r="AD133" s="29" t="str">
        <f ca="1"/>
        <v>Storage</v>
      </c>
      <c r="AE133" s="30" t="str">
        <f ca="1"/>
        <v>Misc.</v>
      </c>
      <c r="AF133" s="30" t="str">
        <f ca="1"/>
        <v>Live</v>
      </c>
      <c r="AG133" s="30">
        <f ca="1"/>
        <v>6</v>
      </c>
      <c r="AH133" s="31" t="str">
        <f ca="1"/>
        <v>Unknown</v>
      </c>
      <c r="AI133" s="49">
        <f t="shared" ca="1" si="3"/>
        <v>0</v>
      </c>
      <c r="AJ133" s="71">
        <f ca="1"/>
        <v>0</v>
      </c>
    </row>
    <row r="134" spans="2:36" x14ac:dyDescent="0.25">
      <c r="B134" s="29" t="str">
        <f ca="1"/>
        <v>dal10.sr01.rk122</v>
      </c>
      <c r="C134" s="10" t="s">
        <v>2070</v>
      </c>
      <c r="D134" s="2" t="b" cm="1">
        <f t="array" ref="D134:O134">_xlfn._xlws.FILTER(IF(ancillary!$E$4:$P$8="",FALSE,ancillary!$E$4:$P$8),ancillary!$B$4:$B$8=$C134)</f>
        <v>1</v>
      </c>
      <c r="E134" s="2" t="b">
        <v>1</v>
      </c>
      <c r="F134" s="2" t="b">
        <v>1</v>
      </c>
      <c r="G134" s="2" t="b">
        <v>1</v>
      </c>
      <c r="H134" s="2" t="b">
        <v>1</v>
      </c>
      <c r="I134" s="2" t="b">
        <v>1</v>
      </c>
      <c r="J134" s="2" t="b">
        <v>0</v>
      </c>
      <c r="K134" s="2" t="b">
        <v>0</v>
      </c>
      <c r="L134" s="2" t="b">
        <v>0</v>
      </c>
      <c r="M134" s="2" t="b">
        <v>0</v>
      </c>
      <c r="N134" s="2" t="b">
        <v>0</v>
      </c>
      <c r="O134" s="2" t="b">
        <v>0</v>
      </c>
      <c r="P134" s="68"/>
      <c r="R134" s="69"/>
      <c r="S134" s="68"/>
      <c r="U134" s="69"/>
      <c r="V134" s="68"/>
      <c r="X134" s="69"/>
      <c r="Y134" s="68"/>
      <c r="AA134" s="69"/>
      <c r="AB134" s="33">
        <f t="shared" si="2"/>
        <v>0</v>
      </c>
      <c r="AC134" s="45">
        <f>_xlfn.LET(_xlpm.ps_1,P134:R134, _xlpm.ps_2,S134:U134, _xlpm.ps_3,V134:X134, _xlpm.ps_4,Y134:AA134,
_xlpm.phase, MID(C134,SEARCH("-",C134)+1,256),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(_xlfn.XLOOKUP($C$7,site_assumptions[Details],site_assumptions[Volts])*SUMIFS(P134:AA134,_xlfn.ANCHORARRAY(D134),TRUE)/10*0.95)/1000,
IFERROR(IF(_xlpm.phase="3Phase", _xlpm.p3_calc, _xlpm.sp_calc),0))</f>
        <v>0</v>
      </c>
      <c r="AD134" s="29" t="str">
        <f ca="1"/>
        <v>Fabric</v>
      </c>
      <c r="AE134" s="30" t="str">
        <f ca="1"/>
        <v>Server</v>
      </c>
      <c r="AF134" s="30" t="str">
        <f ca="1"/>
        <v>Live</v>
      </c>
      <c r="AG134" s="30">
        <f ca="1"/>
        <v>4.5999999999999996</v>
      </c>
      <c r="AH134" s="31" t="str">
        <f ca="1"/>
        <v>Unknown</v>
      </c>
      <c r="AI134" s="49">
        <f t="shared" ca="1" si="3"/>
        <v>0</v>
      </c>
      <c r="AJ134" s="71">
        <f ca="1"/>
        <v>0</v>
      </c>
    </row>
    <row r="135" spans="2:36" x14ac:dyDescent="0.25">
      <c r="B135" s="29" t="str">
        <f ca="1"/>
        <v>dal10.sr01.rk123</v>
      </c>
      <c r="C135" s="10" t="s">
        <v>2070</v>
      </c>
      <c r="D135" s="2" t="b" cm="1">
        <f t="array" ref="D135:O135">_xlfn._xlws.FILTER(IF(ancillary!$E$4:$P$8="",FALSE,ancillary!$E$4:$P$8),ancillary!$B$4:$B$8=$C135)</f>
        <v>1</v>
      </c>
      <c r="E135" s="2" t="b">
        <v>1</v>
      </c>
      <c r="F135" s="2" t="b">
        <v>1</v>
      </c>
      <c r="G135" s="2" t="b">
        <v>1</v>
      </c>
      <c r="H135" s="2" t="b">
        <v>1</v>
      </c>
      <c r="I135" s="2" t="b">
        <v>1</v>
      </c>
      <c r="J135" s="2" t="b">
        <v>0</v>
      </c>
      <c r="K135" s="2" t="b">
        <v>0</v>
      </c>
      <c r="L135" s="2" t="b">
        <v>0</v>
      </c>
      <c r="M135" s="2" t="b">
        <v>0</v>
      </c>
      <c r="N135" s="2" t="b">
        <v>0</v>
      </c>
      <c r="O135" s="2" t="b">
        <v>0</v>
      </c>
      <c r="P135" s="68"/>
      <c r="R135" s="69"/>
      <c r="S135" s="68"/>
      <c r="U135" s="69"/>
      <c r="V135" s="68"/>
      <c r="X135" s="69"/>
      <c r="Y135" s="68"/>
      <c r="AA135" s="69"/>
      <c r="AB135" s="33">
        <f t="shared" si="2"/>
        <v>0</v>
      </c>
      <c r="AC135" s="45">
        <f>_xlfn.LET(_xlpm.ps_1,P135:R135, _xlpm.ps_2,S135:U135, _xlpm.ps_3,V135:X135, _xlpm.ps_4,Y135:AA135,
_xlpm.phase, MID(C135,SEARCH("-",C135)+1,256),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(_xlfn.XLOOKUP($C$7,site_assumptions[Details],site_assumptions[Volts])*SUMIFS(P135:AA135,_xlfn.ANCHORARRAY(D135),TRUE)/10*0.95)/1000,
IFERROR(IF(_xlpm.phase="3Phase", _xlpm.p3_calc, _xlpm.sp_calc),0))</f>
        <v>0</v>
      </c>
      <c r="AD135" s="29" t="str">
        <f ca="1"/>
        <v>Fabric</v>
      </c>
      <c r="AE135" s="30" t="str">
        <f ca="1"/>
        <v>Server</v>
      </c>
      <c r="AF135" s="30" t="str">
        <f ca="1"/>
        <v>Live</v>
      </c>
      <c r="AG135" s="30">
        <f ca="1"/>
        <v>4.5999999999999996</v>
      </c>
      <c r="AH135" s="31" t="str">
        <f ca="1"/>
        <v>Unknown</v>
      </c>
      <c r="AI135" s="49">
        <f t="shared" ca="1" si="3"/>
        <v>0</v>
      </c>
      <c r="AJ135" s="71">
        <f ca="1"/>
        <v>0</v>
      </c>
    </row>
    <row r="136" spans="2:36" x14ac:dyDescent="0.25">
      <c r="B136" s="29" t="str">
        <f ca="1"/>
        <v>dal10.sr01.rk124</v>
      </c>
      <c r="C136" s="10" t="s">
        <v>2070</v>
      </c>
      <c r="D136" s="2" t="b" cm="1">
        <f t="array" ref="D136:O136">_xlfn._xlws.FILTER(IF(ancillary!$E$4:$P$8="",FALSE,ancillary!$E$4:$P$8),ancillary!$B$4:$B$8=$C136)</f>
        <v>1</v>
      </c>
      <c r="E136" s="2" t="b">
        <v>1</v>
      </c>
      <c r="F136" s="2" t="b">
        <v>1</v>
      </c>
      <c r="G136" s="2" t="b">
        <v>1</v>
      </c>
      <c r="H136" s="2" t="b">
        <v>1</v>
      </c>
      <c r="I136" s="2" t="b">
        <v>1</v>
      </c>
      <c r="J136" s="2" t="b">
        <v>0</v>
      </c>
      <c r="K136" s="2" t="b">
        <v>0</v>
      </c>
      <c r="L136" s="2" t="b">
        <v>0</v>
      </c>
      <c r="M136" s="2" t="b">
        <v>0</v>
      </c>
      <c r="N136" s="2" t="b">
        <v>0</v>
      </c>
      <c r="O136" s="2" t="b">
        <v>0</v>
      </c>
      <c r="P136" s="68"/>
      <c r="R136" s="69"/>
      <c r="S136" s="68"/>
      <c r="U136" s="69"/>
      <c r="V136" s="68"/>
      <c r="X136" s="69"/>
      <c r="Y136" s="68"/>
      <c r="AA136" s="69"/>
      <c r="AB136" s="33">
        <f t="shared" si="2"/>
        <v>0</v>
      </c>
      <c r="AC136" s="45">
        <f>_xlfn.LET(_xlpm.ps_1,P136:R136, _xlpm.ps_2,S136:U136, _xlpm.ps_3,V136:X136, _xlpm.ps_4,Y136:AA136,
_xlpm.phase, MID(C136,SEARCH("-",C136)+1,256),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(_xlfn.XLOOKUP($C$7,site_assumptions[Details],site_assumptions[Volts])*SUMIFS(P136:AA136,_xlfn.ANCHORARRAY(D136),TRUE)/10*0.95)/1000,
IFERROR(IF(_xlpm.phase="3Phase", _xlpm.p3_calc, _xlpm.sp_calc),0))</f>
        <v>0</v>
      </c>
      <c r="AD136" s="29" t="str">
        <f ca="1"/>
        <v>Fabric</v>
      </c>
      <c r="AE136" s="30" t="str">
        <f ca="1"/>
        <v>Server</v>
      </c>
      <c r="AF136" s="30" t="str">
        <f ca="1"/>
        <v>Live</v>
      </c>
      <c r="AG136" s="30">
        <f ca="1"/>
        <v>4.5999999999999996</v>
      </c>
      <c r="AH136" s="31" t="str">
        <f ca="1"/>
        <v>Unknown</v>
      </c>
      <c r="AI136" s="49">
        <f t="shared" ca="1" si="3"/>
        <v>0</v>
      </c>
      <c r="AJ136" s="71">
        <f ca="1"/>
        <v>0</v>
      </c>
    </row>
    <row r="137" spans="2:36" x14ac:dyDescent="0.25">
      <c r="B137" s="29" t="str">
        <f ca="1"/>
        <v>dal10.sr01.rk125</v>
      </c>
      <c r="C137" s="10" t="s">
        <v>2070</v>
      </c>
      <c r="D137" s="2" t="b" cm="1">
        <f t="array" ref="D137:O137">_xlfn._xlws.FILTER(IF(ancillary!$E$4:$P$8="",FALSE,ancillary!$E$4:$P$8),ancillary!$B$4:$B$8=$C137)</f>
        <v>1</v>
      </c>
      <c r="E137" s="2" t="b">
        <v>1</v>
      </c>
      <c r="F137" s="2" t="b">
        <v>1</v>
      </c>
      <c r="G137" s="2" t="b">
        <v>1</v>
      </c>
      <c r="H137" s="2" t="b">
        <v>1</v>
      </c>
      <c r="I137" s="2" t="b">
        <v>1</v>
      </c>
      <c r="J137" s="2" t="b">
        <v>0</v>
      </c>
      <c r="K137" s="2" t="b">
        <v>0</v>
      </c>
      <c r="L137" s="2" t="b">
        <v>0</v>
      </c>
      <c r="M137" s="2" t="b">
        <v>0</v>
      </c>
      <c r="N137" s="2" t="b">
        <v>0</v>
      </c>
      <c r="O137" s="2" t="b">
        <v>0</v>
      </c>
      <c r="P137" s="68"/>
      <c r="R137" s="69"/>
      <c r="S137" s="68"/>
      <c r="U137" s="69"/>
      <c r="V137" s="68"/>
      <c r="X137" s="69"/>
      <c r="Y137" s="68"/>
      <c r="AA137" s="69"/>
      <c r="AB137" s="33">
        <f t="shared" si="2"/>
        <v>0</v>
      </c>
      <c r="AC137" s="45">
        <f>_xlfn.LET(_xlpm.ps_1,P137:R137, _xlpm.ps_2,S137:U137, _xlpm.ps_3,V137:X137, _xlpm.ps_4,Y137:AA137,
_xlpm.phase, MID(C137,SEARCH("-",C137)+1,256),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(_xlfn.XLOOKUP($C$7,site_assumptions[Details],site_assumptions[Volts])*SUMIFS(P137:AA137,_xlfn.ANCHORARRAY(D137),TRUE)/10*0.95)/1000,
IFERROR(IF(_xlpm.phase="3Phase", _xlpm.p3_calc, _xlpm.sp_calc),0))</f>
        <v>0</v>
      </c>
      <c r="AD137" s="29" t="str">
        <f ca="1"/>
        <v>Fabric</v>
      </c>
      <c r="AE137" s="30" t="str">
        <f ca="1"/>
        <v>Server</v>
      </c>
      <c r="AF137" s="30" t="str">
        <f ca="1"/>
        <v>Live</v>
      </c>
      <c r="AG137" s="30">
        <f ca="1"/>
        <v>4.5999999999999996</v>
      </c>
      <c r="AH137" s="31" t="str">
        <f ca="1"/>
        <v>Unknown</v>
      </c>
      <c r="AI137" s="49">
        <f t="shared" ca="1" si="3"/>
        <v>0</v>
      </c>
      <c r="AJ137" s="71">
        <f ca="1"/>
        <v>0</v>
      </c>
    </row>
    <row r="138" spans="2:36" x14ac:dyDescent="0.25">
      <c r="B138" s="29" t="str">
        <f ca="1"/>
        <v>dal10.sr01.rk126</v>
      </c>
      <c r="C138" s="10" t="s">
        <v>2070</v>
      </c>
      <c r="D138" s="2" t="b" cm="1">
        <f t="array" ref="D138:O138">_xlfn._xlws.FILTER(IF(ancillary!$E$4:$P$8="",FALSE,ancillary!$E$4:$P$8),ancillary!$B$4:$B$8=$C138)</f>
        <v>1</v>
      </c>
      <c r="E138" s="2" t="b">
        <v>1</v>
      </c>
      <c r="F138" s="2" t="b">
        <v>1</v>
      </c>
      <c r="G138" s="2" t="b">
        <v>1</v>
      </c>
      <c r="H138" s="2" t="b">
        <v>1</v>
      </c>
      <c r="I138" s="2" t="b">
        <v>1</v>
      </c>
      <c r="J138" s="2" t="b">
        <v>0</v>
      </c>
      <c r="K138" s="2" t="b">
        <v>0</v>
      </c>
      <c r="L138" s="2" t="b">
        <v>0</v>
      </c>
      <c r="M138" s="2" t="b">
        <v>0</v>
      </c>
      <c r="N138" s="2" t="b">
        <v>0</v>
      </c>
      <c r="O138" s="2" t="b">
        <v>0</v>
      </c>
      <c r="P138" s="68"/>
      <c r="R138" s="69"/>
      <c r="S138" s="68"/>
      <c r="U138" s="69"/>
      <c r="V138" s="68"/>
      <c r="X138" s="69"/>
      <c r="Y138" s="68"/>
      <c r="AA138" s="69"/>
      <c r="AB138" s="33">
        <f t="shared" si="2"/>
        <v>0</v>
      </c>
      <c r="AC138" s="45">
        <f>_xlfn.LET(_xlpm.ps_1,P138:R138, _xlpm.ps_2,S138:U138, _xlpm.ps_3,V138:X138, _xlpm.ps_4,Y138:AA138,
_xlpm.phase, MID(C138,SEARCH("-",C138)+1,256),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(_xlfn.XLOOKUP($C$7,site_assumptions[Details],site_assumptions[Volts])*SUMIFS(P138:AA138,_xlfn.ANCHORARRAY(D138),TRUE)/10*0.95)/1000,
IFERROR(IF(_xlpm.phase="3Phase", _xlpm.p3_calc, _xlpm.sp_calc),0))</f>
        <v>0</v>
      </c>
      <c r="AD138" s="29" t="str">
        <f ca="1"/>
        <v>Unallocated</v>
      </c>
      <c r="AE138" s="30" t="str">
        <f ca="1"/>
        <v>Unallocated</v>
      </c>
      <c r="AF138" s="30" t="str">
        <f ca="1"/>
        <v>Planned</v>
      </c>
      <c r="AG138" s="30">
        <f ca="1"/>
        <v>0</v>
      </c>
      <c r="AH138" s="31" t="str">
        <f ca="1"/>
        <v>Unknown</v>
      </c>
      <c r="AI138" s="49">
        <f t="shared" ca="1" si="3"/>
        <v>0</v>
      </c>
      <c r="AJ138" s="71">
        <f ca="1"/>
        <v>0</v>
      </c>
    </row>
    <row r="139" spans="2:36" x14ac:dyDescent="0.25">
      <c r="B139" s="29" t="str">
        <f ca="1"/>
        <v>dal10.sr01.rk127</v>
      </c>
      <c r="C139" s="10" t="s">
        <v>2070</v>
      </c>
      <c r="D139" s="2" t="b" cm="1">
        <f t="array" ref="D139:O139">_xlfn._xlws.FILTER(IF(ancillary!$E$4:$P$8="",FALSE,ancillary!$E$4:$P$8),ancillary!$B$4:$B$8=$C139)</f>
        <v>1</v>
      </c>
      <c r="E139" s="2" t="b">
        <v>1</v>
      </c>
      <c r="F139" s="2" t="b">
        <v>1</v>
      </c>
      <c r="G139" s="2" t="b">
        <v>1</v>
      </c>
      <c r="H139" s="2" t="b">
        <v>1</v>
      </c>
      <c r="I139" s="2" t="b">
        <v>1</v>
      </c>
      <c r="J139" s="2" t="b">
        <v>0</v>
      </c>
      <c r="K139" s="2" t="b">
        <v>0</v>
      </c>
      <c r="L139" s="2" t="b">
        <v>0</v>
      </c>
      <c r="M139" s="2" t="b">
        <v>0</v>
      </c>
      <c r="N139" s="2" t="b">
        <v>0</v>
      </c>
      <c r="O139" s="2" t="b">
        <v>0</v>
      </c>
      <c r="P139" s="68"/>
      <c r="R139" s="69"/>
      <c r="S139" s="68"/>
      <c r="U139" s="69"/>
      <c r="V139" s="68"/>
      <c r="X139" s="69"/>
      <c r="Y139" s="68"/>
      <c r="AA139" s="69"/>
      <c r="AB139" s="33">
        <f t="shared" si="2"/>
        <v>0</v>
      </c>
      <c r="AC139" s="45">
        <f>_xlfn.LET(_xlpm.ps_1,P139:R139, _xlpm.ps_2,S139:U139, _xlpm.ps_3,V139:X139, _xlpm.ps_4,Y139:AA139,
_xlpm.phase, MID(C139,SEARCH("-",C139)+1,256),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(_xlfn.XLOOKUP($C$7,site_assumptions[Details],site_assumptions[Volts])*SUMIFS(P139:AA139,_xlfn.ANCHORARRAY(D139),TRUE)/10*0.95)/1000,
IFERROR(IF(_xlpm.phase="3Phase", _xlpm.p3_calc, _xlpm.sp_calc),0))</f>
        <v>0</v>
      </c>
      <c r="AD139" s="29" t="str">
        <f ca="1"/>
        <v>Fabric</v>
      </c>
      <c r="AE139" s="30" t="str">
        <f ca="1"/>
        <v>Server</v>
      </c>
      <c r="AF139" s="30" t="str">
        <f ca="1"/>
        <v>Decom</v>
      </c>
      <c r="AG139" s="30">
        <f ca="1"/>
        <v>0</v>
      </c>
      <c r="AH139" s="31" t="str">
        <f ca="1"/>
        <v>Unknown</v>
      </c>
      <c r="AI139" s="49">
        <f t="shared" ca="1" si="3"/>
        <v>0</v>
      </c>
      <c r="AJ139" s="71">
        <f ca="1"/>
        <v>0</v>
      </c>
    </row>
    <row r="140" spans="2:36" x14ac:dyDescent="0.25">
      <c r="B140" s="29" t="str">
        <f ca="1"/>
        <v>dal10.sr01.rk128</v>
      </c>
      <c r="C140" s="10" t="s">
        <v>2070</v>
      </c>
      <c r="D140" s="2" t="b" cm="1">
        <f t="array" ref="D140:O140">_xlfn._xlws.FILTER(IF(ancillary!$E$4:$P$8="",FALSE,ancillary!$E$4:$P$8),ancillary!$B$4:$B$8=$C140)</f>
        <v>1</v>
      </c>
      <c r="E140" s="2" t="b">
        <v>1</v>
      </c>
      <c r="F140" s="2" t="b">
        <v>1</v>
      </c>
      <c r="G140" s="2" t="b">
        <v>1</v>
      </c>
      <c r="H140" s="2" t="b">
        <v>1</v>
      </c>
      <c r="I140" s="2" t="b">
        <v>1</v>
      </c>
      <c r="J140" s="2" t="b">
        <v>0</v>
      </c>
      <c r="K140" s="2" t="b">
        <v>0</v>
      </c>
      <c r="L140" s="2" t="b">
        <v>0</v>
      </c>
      <c r="M140" s="2" t="b">
        <v>0</v>
      </c>
      <c r="N140" s="2" t="b">
        <v>0</v>
      </c>
      <c r="O140" s="2" t="b">
        <v>0</v>
      </c>
      <c r="P140" s="68"/>
      <c r="R140" s="69"/>
      <c r="S140" s="68"/>
      <c r="U140" s="69"/>
      <c r="V140" s="68"/>
      <c r="X140" s="69"/>
      <c r="Y140" s="68"/>
      <c r="AA140" s="69"/>
      <c r="AB140" s="33">
        <f t="shared" si="2"/>
        <v>0</v>
      </c>
      <c r="AC140" s="45">
        <f>_xlfn.LET(_xlpm.ps_1,P140:R140, _xlpm.ps_2,S140:U140, _xlpm.ps_3,V140:X140, _xlpm.ps_4,Y140:AA140,
_xlpm.phase, MID(C140,SEARCH("-",C140)+1,256),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(_xlfn.XLOOKUP($C$7,site_assumptions[Details],site_assumptions[Volts])*SUMIFS(P140:AA140,_xlfn.ANCHORARRAY(D140),TRUE)/10*0.95)/1000,
IFERROR(IF(_xlpm.phase="3Phase", _xlpm.p3_calc, _xlpm.sp_calc),0))</f>
        <v>0</v>
      </c>
      <c r="AD140" s="29" t="str">
        <f ca="1"/>
        <v>Unallocated</v>
      </c>
      <c r="AE140" s="30" t="str">
        <f ca="1"/>
        <v>Unallocated</v>
      </c>
      <c r="AF140" s="30" t="str">
        <f ca="1"/>
        <v>Planned</v>
      </c>
      <c r="AG140" s="30">
        <f ca="1"/>
        <v>0</v>
      </c>
      <c r="AH140" s="31" t="str">
        <f ca="1"/>
        <v>Unknown</v>
      </c>
      <c r="AI140" s="49">
        <f t="shared" ca="1" si="3"/>
        <v>0</v>
      </c>
      <c r="AJ140" s="71">
        <f ca="1"/>
        <v>0</v>
      </c>
    </row>
    <row r="141" spans="2:36" x14ac:dyDescent="0.25">
      <c r="B141" s="29" t="str">
        <f ca="1"/>
        <v>dal10.sr01.rk129</v>
      </c>
      <c r="C141" s="10" t="s">
        <v>2070</v>
      </c>
      <c r="D141" s="2" t="b" cm="1">
        <f t="array" ref="D141:O141">_xlfn._xlws.FILTER(IF(ancillary!$E$4:$P$8="",FALSE,ancillary!$E$4:$P$8),ancillary!$B$4:$B$8=$C141)</f>
        <v>1</v>
      </c>
      <c r="E141" s="2" t="b">
        <v>1</v>
      </c>
      <c r="F141" s="2" t="b">
        <v>1</v>
      </c>
      <c r="G141" s="2" t="b">
        <v>1</v>
      </c>
      <c r="H141" s="2" t="b">
        <v>1</v>
      </c>
      <c r="I141" s="2" t="b">
        <v>1</v>
      </c>
      <c r="J141" s="2" t="b">
        <v>0</v>
      </c>
      <c r="K141" s="2" t="b">
        <v>0</v>
      </c>
      <c r="L141" s="2" t="b">
        <v>0</v>
      </c>
      <c r="M141" s="2" t="b">
        <v>0</v>
      </c>
      <c r="N141" s="2" t="b">
        <v>0</v>
      </c>
      <c r="O141" s="2" t="b">
        <v>0</v>
      </c>
      <c r="P141" s="68"/>
      <c r="R141" s="69"/>
      <c r="S141" s="68"/>
      <c r="U141" s="69"/>
      <c r="V141" s="68"/>
      <c r="X141" s="69"/>
      <c r="Y141" s="68"/>
      <c r="AA141" s="69"/>
      <c r="AB141" s="33">
        <f t="shared" si="2"/>
        <v>0</v>
      </c>
      <c r="AC141" s="45">
        <f>_xlfn.LET(_xlpm.ps_1,P141:R141, _xlpm.ps_2,S141:U141, _xlpm.ps_3,V141:X141, _xlpm.ps_4,Y141:AA141,
_xlpm.phase, MID(C141,SEARCH("-",C141)+1,256),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(_xlfn.XLOOKUP($C$7,site_assumptions[Details],site_assumptions[Volts])*SUMIFS(P141:AA141,_xlfn.ANCHORARRAY(D141),TRUE)/10*0.95)/1000,
IFERROR(IF(_xlpm.phase="3Phase", _xlpm.p3_calc, _xlpm.sp_calc),0))</f>
        <v>0</v>
      </c>
      <c r="AD141" s="29" t="str">
        <f ca="1"/>
        <v>Fabric</v>
      </c>
      <c r="AE141" s="30" t="str">
        <f ca="1"/>
        <v>Server</v>
      </c>
      <c r="AF141" s="30" t="str">
        <f ca="1"/>
        <v>Decom</v>
      </c>
      <c r="AG141" s="30">
        <f ca="1"/>
        <v>0</v>
      </c>
      <c r="AH141" s="31" t="str">
        <f ca="1"/>
        <v>Unknown</v>
      </c>
      <c r="AI141" s="49">
        <f t="shared" ca="1" si="3"/>
        <v>0</v>
      </c>
      <c r="AJ141" s="71">
        <f ca="1"/>
        <v>0</v>
      </c>
    </row>
    <row r="142" spans="2:36" x14ac:dyDescent="0.25">
      <c r="B142" s="29" t="str">
        <f ca="1"/>
        <v>dal10.sr01.rk130</v>
      </c>
      <c r="C142" s="10" t="s">
        <v>2070</v>
      </c>
      <c r="D142" s="2" t="b" cm="1">
        <f t="array" ref="D142:O142">_xlfn._xlws.FILTER(IF(ancillary!$E$4:$P$8="",FALSE,ancillary!$E$4:$P$8),ancillary!$B$4:$B$8=$C142)</f>
        <v>1</v>
      </c>
      <c r="E142" s="2" t="b">
        <v>1</v>
      </c>
      <c r="F142" s="2" t="b">
        <v>1</v>
      </c>
      <c r="G142" s="2" t="b">
        <v>1</v>
      </c>
      <c r="H142" s="2" t="b">
        <v>1</v>
      </c>
      <c r="I142" s="2" t="b">
        <v>1</v>
      </c>
      <c r="J142" s="2" t="b">
        <v>0</v>
      </c>
      <c r="K142" s="2" t="b">
        <v>0</v>
      </c>
      <c r="L142" s="2" t="b">
        <v>0</v>
      </c>
      <c r="M142" s="2" t="b">
        <v>0</v>
      </c>
      <c r="N142" s="2" t="b">
        <v>0</v>
      </c>
      <c r="O142" s="2" t="b">
        <v>0</v>
      </c>
      <c r="P142" s="68"/>
      <c r="R142" s="69"/>
      <c r="S142" s="68"/>
      <c r="U142" s="69"/>
      <c r="V142" s="68"/>
      <c r="X142" s="69"/>
      <c r="Y142" s="68"/>
      <c r="AA142" s="69"/>
      <c r="AB142" s="33">
        <f t="shared" ref="AB142:AB205" si="4">IFERROR(AVERAGEIFS(P142:AA142,_xlfn.ANCHORARRAY(D142),TRUE),0)/10</f>
        <v>0</v>
      </c>
      <c r="AC142" s="45">
        <f>_xlfn.LET(_xlpm.ps_1,P142:R142, _xlpm.ps_2,S142:U142, _xlpm.ps_3,V142:X142, _xlpm.ps_4,Y142:AA142,
_xlpm.phase, MID(C142,SEARCH("-",C142)+1,256),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(_xlfn.XLOOKUP($C$7,site_assumptions[Details],site_assumptions[Volts])*SUMIFS(P142:AA142,_xlfn.ANCHORARRAY(D142),TRUE)/10*0.95)/1000,
IFERROR(IF(_xlpm.phase="3Phase", _xlpm.p3_calc, _xlpm.sp_calc),0))</f>
        <v>0</v>
      </c>
      <c r="AD142" s="29" t="str">
        <f ca="1"/>
        <v>Fabric</v>
      </c>
      <c r="AE142" s="30" t="str">
        <f ca="1"/>
        <v>Server</v>
      </c>
      <c r="AF142" s="30" t="str">
        <f ca="1"/>
        <v>Decom</v>
      </c>
      <c r="AG142" s="30">
        <f ca="1"/>
        <v>0</v>
      </c>
      <c r="AH142" s="31" t="str">
        <f ca="1"/>
        <v>Unknown</v>
      </c>
      <c r="AI142" s="49">
        <f t="shared" ref="AI142:AI205" ca="1" si="5">IFERROR(AC142/AG142,0)</f>
        <v>0</v>
      </c>
      <c r="AJ142" s="71">
        <f ca="1"/>
        <v>0</v>
      </c>
    </row>
    <row r="143" spans="2:36" x14ac:dyDescent="0.25">
      <c r="B143" s="29" t="str">
        <f ca="1"/>
        <v>dal10.sr01.rk131</v>
      </c>
      <c r="C143" s="10" t="s">
        <v>2070</v>
      </c>
      <c r="D143" s="2" t="b" cm="1">
        <f t="array" ref="D143:O143">_xlfn._xlws.FILTER(IF(ancillary!$E$4:$P$8="",FALSE,ancillary!$E$4:$P$8),ancillary!$B$4:$B$8=$C143)</f>
        <v>1</v>
      </c>
      <c r="E143" s="2" t="b">
        <v>1</v>
      </c>
      <c r="F143" s="2" t="b">
        <v>1</v>
      </c>
      <c r="G143" s="2" t="b">
        <v>1</v>
      </c>
      <c r="H143" s="2" t="b">
        <v>1</v>
      </c>
      <c r="I143" s="2" t="b">
        <v>1</v>
      </c>
      <c r="J143" s="2" t="b">
        <v>0</v>
      </c>
      <c r="K143" s="2" t="b">
        <v>0</v>
      </c>
      <c r="L143" s="2" t="b">
        <v>0</v>
      </c>
      <c r="M143" s="2" t="b">
        <v>0</v>
      </c>
      <c r="N143" s="2" t="b">
        <v>0</v>
      </c>
      <c r="O143" s="2" t="b">
        <v>0</v>
      </c>
      <c r="P143" s="68"/>
      <c r="R143" s="69"/>
      <c r="S143" s="68"/>
      <c r="U143" s="69"/>
      <c r="V143" s="68"/>
      <c r="X143" s="69"/>
      <c r="Y143" s="68"/>
      <c r="AA143" s="69"/>
      <c r="AB143" s="33">
        <f t="shared" si="4"/>
        <v>0</v>
      </c>
      <c r="AC143" s="45">
        <f>_xlfn.LET(_xlpm.ps_1,P143:R143, _xlpm.ps_2,S143:U143, _xlpm.ps_3,V143:X143, _xlpm.ps_4,Y143:AA143,
_xlpm.phase, MID(C143,SEARCH("-",C143)+1,256),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(_xlfn.XLOOKUP($C$7,site_assumptions[Details],site_assumptions[Volts])*SUMIFS(P143:AA143,_xlfn.ANCHORARRAY(D143),TRUE)/10*0.95)/1000,
IFERROR(IF(_xlpm.phase="3Phase", _xlpm.p3_calc, _xlpm.sp_calc),0))</f>
        <v>0</v>
      </c>
      <c r="AD143" s="29" t="str">
        <f ca="1"/>
        <v>Fabric</v>
      </c>
      <c r="AE143" s="30" t="str">
        <f ca="1"/>
        <v>Server</v>
      </c>
      <c r="AF143" s="30" t="str">
        <f ca="1"/>
        <v>Decom</v>
      </c>
      <c r="AG143" s="30">
        <f ca="1"/>
        <v>0</v>
      </c>
      <c r="AH143" s="31" t="str">
        <f ca="1"/>
        <v>Unknown</v>
      </c>
      <c r="AI143" s="49">
        <f t="shared" ca="1" si="5"/>
        <v>0</v>
      </c>
      <c r="AJ143" s="71">
        <f ca="1"/>
        <v>0</v>
      </c>
    </row>
    <row r="144" spans="2:36" x14ac:dyDescent="0.25">
      <c r="B144" s="29" t="str">
        <f ca="1"/>
        <v>dal10.sr01.rk132</v>
      </c>
      <c r="C144" s="10" t="s">
        <v>2070</v>
      </c>
      <c r="D144" s="2" t="b" cm="1">
        <f t="array" ref="D144:O144">_xlfn._xlws.FILTER(IF(ancillary!$E$4:$P$8="",FALSE,ancillary!$E$4:$P$8),ancillary!$B$4:$B$8=$C144)</f>
        <v>1</v>
      </c>
      <c r="E144" s="2" t="b">
        <v>1</v>
      </c>
      <c r="F144" s="2" t="b">
        <v>1</v>
      </c>
      <c r="G144" s="2" t="b">
        <v>1</v>
      </c>
      <c r="H144" s="2" t="b">
        <v>1</v>
      </c>
      <c r="I144" s="2" t="b">
        <v>1</v>
      </c>
      <c r="J144" s="2" t="b">
        <v>0</v>
      </c>
      <c r="K144" s="2" t="b">
        <v>0</v>
      </c>
      <c r="L144" s="2" t="b">
        <v>0</v>
      </c>
      <c r="M144" s="2" t="b">
        <v>0</v>
      </c>
      <c r="N144" s="2" t="b">
        <v>0</v>
      </c>
      <c r="O144" s="2" t="b">
        <v>0</v>
      </c>
      <c r="P144" s="68"/>
      <c r="R144" s="69"/>
      <c r="S144" s="68"/>
      <c r="U144" s="69"/>
      <c r="V144" s="68"/>
      <c r="X144" s="69"/>
      <c r="Y144" s="68"/>
      <c r="AA144" s="69"/>
      <c r="AB144" s="33">
        <f t="shared" si="4"/>
        <v>0</v>
      </c>
      <c r="AC144" s="45">
        <f>_xlfn.LET(_xlpm.ps_1,P144:R144, _xlpm.ps_2,S144:U144, _xlpm.ps_3,V144:X144, _xlpm.ps_4,Y144:AA144,
_xlpm.phase, MID(C144,SEARCH("-",C144)+1,256),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(_xlfn.XLOOKUP($C$7,site_assumptions[Details],site_assumptions[Volts])*SUMIFS(P144:AA144,_xlfn.ANCHORARRAY(D144),TRUE)/10*0.95)/1000,
IFERROR(IF(_xlpm.phase="3Phase", _xlpm.p3_calc, _xlpm.sp_calc),0))</f>
        <v>0</v>
      </c>
      <c r="AD144" s="29" t="str">
        <f ca="1"/>
        <v>Fabric</v>
      </c>
      <c r="AE144" s="30" t="str">
        <f ca="1"/>
        <v>Server</v>
      </c>
      <c r="AF144" s="30" t="str">
        <f ca="1"/>
        <v>Decom</v>
      </c>
      <c r="AG144" s="30">
        <f ca="1"/>
        <v>0</v>
      </c>
      <c r="AH144" s="31" t="str">
        <f ca="1"/>
        <v>Unknown</v>
      </c>
      <c r="AI144" s="49">
        <f t="shared" ca="1" si="5"/>
        <v>0</v>
      </c>
      <c r="AJ144" s="71">
        <f ca="1"/>
        <v>0</v>
      </c>
    </row>
    <row r="145" spans="2:36" x14ac:dyDescent="0.25">
      <c r="B145" s="29" t="str">
        <f ca="1"/>
        <v>dal10.sr01.rk133</v>
      </c>
      <c r="C145" s="10" t="s">
        <v>2070</v>
      </c>
      <c r="D145" s="2" t="b" cm="1">
        <f t="array" ref="D145:O145">_xlfn._xlws.FILTER(IF(ancillary!$E$4:$P$8="",FALSE,ancillary!$E$4:$P$8),ancillary!$B$4:$B$8=$C145)</f>
        <v>1</v>
      </c>
      <c r="E145" s="2" t="b">
        <v>1</v>
      </c>
      <c r="F145" s="2" t="b">
        <v>1</v>
      </c>
      <c r="G145" s="2" t="b">
        <v>1</v>
      </c>
      <c r="H145" s="2" t="b">
        <v>1</v>
      </c>
      <c r="I145" s="2" t="b">
        <v>1</v>
      </c>
      <c r="J145" s="2" t="b">
        <v>0</v>
      </c>
      <c r="K145" s="2" t="b">
        <v>0</v>
      </c>
      <c r="L145" s="2" t="b">
        <v>0</v>
      </c>
      <c r="M145" s="2" t="b">
        <v>0</v>
      </c>
      <c r="N145" s="2" t="b">
        <v>0</v>
      </c>
      <c r="O145" s="2" t="b">
        <v>0</v>
      </c>
      <c r="P145" s="68"/>
      <c r="R145" s="69"/>
      <c r="S145" s="68"/>
      <c r="U145" s="69"/>
      <c r="V145" s="68"/>
      <c r="X145" s="69"/>
      <c r="Y145" s="68"/>
      <c r="AA145" s="69"/>
      <c r="AB145" s="33">
        <f t="shared" si="4"/>
        <v>0</v>
      </c>
      <c r="AC145" s="45">
        <f>_xlfn.LET(_xlpm.ps_1,P145:R145, _xlpm.ps_2,S145:U145, _xlpm.ps_3,V145:X145, _xlpm.ps_4,Y145:AA145,
_xlpm.phase, MID(C145,SEARCH("-",C145)+1,256),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(_xlfn.XLOOKUP($C$7,site_assumptions[Details],site_assumptions[Volts])*SUMIFS(P145:AA145,_xlfn.ANCHORARRAY(D145),TRUE)/10*0.95)/1000,
IFERROR(IF(_xlpm.phase="3Phase", _xlpm.p3_calc, _xlpm.sp_calc),0))</f>
        <v>0</v>
      </c>
      <c r="AD145" s="29" t="str">
        <f ca="1"/>
        <v>Network</v>
      </c>
      <c r="AE145" s="30" t="str">
        <f ca="1"/>
        <v>Fiber</v>
      </c>
      <c r="AF145" s="30" t="str">
        <f ca="1"/>
        <v>Live</v>
      </c>
      <c r="AG145" s="30">
        <f ca="1"/>
        <v>0</v>
      </c>
      <c r="AH145" s="31" t="str">
        <f ca="1"/>
        <v>Unknown</v>
      </c>
      <c r="AI145" s="49">
        <f t="shared" ca="1" si="5"/>
        <v>0</v>
      </c>
      <c r="AJ145" s="71">
        <f ca="1"/>
        <v>0</v>
      </c>
    </row>
    <row r="146" spans="2:36" x14ac:dyDescent="0.25">
      <c r="B146" s="29" t="str">
        <f ca="1"/>
        <v>dal10.sr01.rk134</v>
      </c>
      <c r="C146" s="10" t="s">
        <v>2070</v>
      </c>
      <c r="D146" s="2" t="b" cm="1">
        <f t="array" ref="D146:O146">_xlfn._xlws.FILTER(IF(ancillary!$E$4:$P$8="",FALSE,ancillary!$E$4:$P$8),ancillary!$B$4:$B$8=$C146)</f>
        <v>1</v>
      </c>
      <c r="E146" s="2" t="b">
        <v>1</v>
      </c>
      <c r="F146" s="2" t="b">
        <v>1</v>
      </c>
      <c r="G146" s="2" t="b">
        <v>1</v>
      </c>
      <c r="H146" s="2" t="b">
        <v>1</v>
      </c>
      <c r="I146" s="2" t="b">
        <v>1</v>
      </c>
      <c r="J146" s="2" t="b">
        <v>0</v>
      </c>
      <c r="K146" s="2" t="b">
        <v>0</v>
      </c>
      <c r="L146" s="2" t="b">
        <v>0</v>
      </c>
      <c r="M146" s="2" t="b">
        <v>0</v>
      </c>
      <c r="N146" s="2" t="b">
        <v>0</v>
      </c>
      <c r="O146" s="2" t="b">
        <v>0</v>
      </c>
      <c r="P146" s="68"/>
      <c r="R146" s="69"/>
      <c r="S146" s="68"/>
      <c r="U146" s="69"/>
      <c r="V146" s="68"/>
      <c r="X146" s="69"/>
      <c r="Y146" s="68"/>
      <c r="AA146" s="69"/>
      <c r="AB146" s="33">
        <f t="shared" si="4"/>
        <v>0</v>
      </c>
      <c r="AC146" s="45">
        <f>_xlfn.LET(_xlpm.ps_1,P146:R146, _xlpm.ps_2,S146:U146, _xlpm.ps_3,V146:X146, _xlpm.ps_4,Y146:AA146,
_xlpm.phase, MID(C146,SEARCH("-",C146)+1,256),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(_xlfn.XLOOKUP($C$7,site_assumptions[Details],site_assumptions[Volts])*SUMIFS(P146:AA146,_xlfn.ANCHORARRAY(D146),TRUE)/10*0.95)/1000,
IFERROR(IF(_xlpm.phase="3Phase", _xlpm.p3_calc, _xlpm.sp_calc),0))</f>
        <v>0</v>
      </c>
      <c r="AD146" s="29" t="str">
        <f ca="1"/>
        <v>Network</v>
      </c>
      <c r="AE146" s="30" t="str">
        <f ca="1"/>
        <v>Router</v>
      </c>
      <c r="AF146" s="30" t="str">
        <f ca="1"/>
        <v>Live</v>
      </c>
      <c r="AG146" s="30">
        <f ca="1"/>
        <v>9.1</v>
      </c>
      <c r="AH146" s="31" t="str">
        <f ca="1"/>
        <v>Unknown</v>
      </c>
      <c r="AI146" s="49">
        <f t="shared" ca="1" si="5"/>
        <v>0</v>
      </c>
      <c r="AJ146" s="71">
        <f ca="1"/>
        <v>0</v>
      </c>
    </row>
    <row r="147" spans="2:36" x14ac:dyDescent="0.25">
      <c r="B147" s="29" t="str">
        <f ca="1"/>
        <v>dal10.sr01.rk136</v>
      </c>
      <c r="C147" s="10" t="s">
        <v>2070</v>
      </c>
      <c r="D147" s="2" t="b" cm="1">
        <f t="array" ref="D147:O147">_xlfn._xlws.FILTER(IF(ancillary!$E$4:$P$8="",FALSE,ancillary!$E$4:$P$8),ancillary!$B$4:$B$8=$C147)</f>
        <v>1</v>
      </c>
      <c r="E147" s="2" t="b">
        <v>1</v>
      </c>
      <c r="F147" s="2" t="b">
        <v>1</v>
      </c>
      <c r="G147" s="2" t="b">
        <v>1</v>
      </c>
      <c r="H147" s="2" t="b">
        <v>1</v>
      </c>
      <c r="I147" s="2" t="b">
        <v>1</v>
      </c>
      <c r="J147" s="2" t="b">
        <v>0</v>
      </c>
      <c r="K147" s="2" t="b">
        <v>0</v>
      </c>
      <c r="L147" s="2" t="b">
        <v>0</v>
      </c>
      <c r="M147" s="2" t="b">
        <v>0</v>
      </c>
      <c r="N147" s="2" t="b">
        <v>0</v>
      </c>
      <c r="O147" s="2" t="b">
        <v>0</v>
      </c>
      <c r="P147" s="68"/>
      <c r="R147" s="69"/>
      <c r="S147" s="68"/>
      <c r="U147" s="69"/>
      <c r="V147" s="68"/>
      <c r="X147" s="69"/>
      <c r="Y147" s="68"/>
      <c r="AA147" s="69"/>
      <c r="AB147" s="33">
        <f t="shared" si="4"/>
        <v>0</v>
      </c>
      <c r="AC147" s="45">
        <f>_xlfn.LET(_xlpm.ps_1,P147:R147, _xlpm.ps_2,S147:U147, _xlpm.ps_3,V147:X147, _xlpm.ps_4,Y147:AA147,
_xlpm.phase, MID(C147,SEARCH("-",C147)+1,256),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(_xlfn.XLOOKUP($C$7,site_assumptions[Details],site_assumptions[Volts])*SUMIFS(P147:AA147,_xlfn.ANCHORARRAY(D147),TRUE)/10*0.95)/1000,
IFERROR(IF(_xlpm.phase="3Phase", _xlpm.p3_calc, _xlpm.sp_calc),0))</f>
        <v>0</v>
      </c>
      <c r="AD147" s="29" t="str">
        <f ca="1"/>
        <v>Network</v>
      </c>
      <c r="AE147" s="30" t="str">
        <f ca="1"/>
        <v>Router</v>
      </c>
      <c r="AF147" s="30" t="str">
        <f ca="1"/>
        <v>Live</v>
      </c>
      <c r="AG147" s="30">
        <f ca="1"/>
        <v>9.1</v>
      </c>
      <c r="AH147" s="31" t="str">
        <f ca="1"/>
        <v>Unknown</v>
      </c>
      <c r="AI147" s="49">
        <f t="shared" ca="1" si="5"/>
        <v>0</v>
      </c>
      <c r="AJ147" s="71">
        <f ca="1"/>
        <v>0</v>
      </c>
    </row>
    <row r="148" spans="2:36" x14ac:dyDescent="0.25">
      <c r="B148" s="29" t="str">
        <f ca="1"/>
        <v>dal10.sr01.rk137</v>
      </c>
      <c r="C148" s="10" t="s">
        <v>2070</v>
      </c>
      <c r="D148" s="2" t="b" cm="1">
        <f t="array" ref="D148:O148">_xlfn._xlws.FILTER(IF(ancillary!$E$4:$P$8="",FALSE,ancillary!$E$4:$P$8),ancillary!$B$4:$B$8=$C148)</f>
        <v>1</v>
      </c>
      <c r="E148" s="2" t="b">
        <v>1</v>
      </c>
      <c r="F148" s="2" t="b">
        <v>1</v>
      </c>
      <c r="G148" s="2" t="b">
        <v>1</v>
      </c>
      <c r="H148" s="2" t="b">
        <v>1</v>
      </c>
      <c r="I148" s="2" t="b">
        <v>1</v>
      </c>
      <c r="J148" s="2" t="b">
        <v>0</v>
      </c>
      <c r="K148" s="2" t="b">
        <v>0</v>
      </c>
      <c r="L148" s="2" t="b">
        <v>0</v>
      </c>
      <c r="M148" s="2" t="b">
        <v>0</v>
      </c>
      <c r="N148" s="2" t="b">
        <v>0</v>
      </c>
      <c r="O148" s="2" t="b">
        <v>0</v>
      </c>
      <c r="P148" s="68"/>
      <c r="R148" s="69"/>
      <c r="S148" s="68"/>
      <c r="U148" s="69"/>
      <c r="V148" s="68"/>
      <c r="X148" s="69"/>
      <c r="Y148" s="68"/>
      <c r="AA148" s="69"/>
      <c r="AB148" s="33">
        <f t="shared" si="4"/>
        <v>0</v>
      </c>
      <c r="AC148" s="45">
        <f>_xlfn.LET(_xlpm.ps_1,P148:R148, _xlpm.ps_2,S148:U148, _xlpm.ps_3,V148:X148, _xlpm.ps_4,Y148:AA148,
_xlpm.phase, MID(C148,SEARCH("-",C148)+1,256),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(_xlfn.XLOOKUP($C$7,site_assumptions[Details],site_assumptions[Volts])*SUMIFS(P148:AA148,_xlfn.ANCHORARRAY(D148),TRUE)/10*0.95)/1000,
IFERROR(IF(_xlpm.phase="3Phase", _xlpm.p3_calc, _xlpm.sp_calc),0))</f>
        <v>0</v>
      </c>
      <c r="AD148" s="29" t="str">
        <f ca="1"/>
        <v>Network</v>
      </c>
      <c r="AE148" s="30" t="str">
        <f ca="1"/>
        <v>Router</v>
      </c>
      <c r="AF148" s="30" t="str">
        <f ca="1"/>
        <v>Live</v>
      </c>
      <c r="AG148" s="30">
        <f ca="1"/>
        <v>9.1</v>
      </c>
      <c r="AH148" s="31" t="str">
        <f ca="1"/>
        <v>Unknown</v>
      </c>
      <c r="AI148" s="49">
        <f t="shared" ca="1" si="5"/>
        <v>0</v>
      </c>
      <c r="AJ148" s="71">
        <f ca="1"/>
        <v>0</v>
      </c>
    </row>
    <row r="149" spans="2:36" x14ac:dyDescent="0.25">
      <c r="B149" s="29" t="str">
        <f ca="1"/>
        <v>dal10.sr01.rk138</v>
      </c>
      <c r="C149" s="10" t="s">
        <v>2070</v>
      </c>
      <c r="D149" s="2" t="b" cm="1">
        <f t="array" ref="D149:O149">_xlfn._xlws.FILTER(IF(ancillary!$E$4:$P$8="",FALSE,ancillary!$E$4:$P$8),ancillary!$B$4:$B$8=$C149)</f>
        <v>1</v>
      </c>
      <c r="E149" s="2" t="b">
        <v>1</v>
      </c>
      <c r="F149" s="2" t="b">
        <v>1</v>
      </c>
      <c r="G149" s="2" t="b">
        <v>1</v>
      </c>
      <c r="H149" s="2" t="b">
        <v>1</v>
      </c>
      <c r="I149" s="2" t="b">
        <v>1</v>
      </c>
      <c r="J149" s="2" t="b">
        <v>0</v>
      </c>
      <c r="K149" s="2" t="b">
        <v>0</v>
      </c>
      <c r="L149" s="2" t="b">
        <v>0</v>
      </c>
      <c r="M149" s="2" t="b">
        <v>0</v>
      </c>
      <c r="N149" s="2" t="b">
        <v>0</v>
      </c>
      <c r="O149" s="2" t="b">
        <v>0</v>
      </c>
      <c r="P149" s="68"/>
      <c r="R149" s="69"/>
      <c r="S149" s="68"/>
      <c r="U149" s="69"/>
      <c r="V149" s="68"/>
      <c r="X149" s="69"/>
      <c r="Y149" s="68"/>
      <c r="AA149" s="69"/>
      <c r="AB149" s="33">
        <f t="shared" si="4"/>
        <v>0</v>
      </c>
      <c r="AC149" s="45">
        <f>_xlfn.LET(_xlpm.ps_1,P149:R149, _xlpm.ps_2,S149:U149, _xlpm.ps_3,V149:X149, _xlpm.ps_4,Y149:AA149,
_xlpm.phase, MID(C149,SEARCH("-",C149)+1,256),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(_xlfn.XLOOKUP($C$7,site_assumptions[Details],site_assumptions[Volts])*SUMIFS(P149:AA149,_xlfn.ANCHORARRAY(D149),TRUE)/10*0.95)/1000,
IFERROR(IF(_xlpm.phase="3Phase", _xlpm.p3_calc, _xlpm.sp_calc),0))</f>
        <v>0</v>
      </c>
      <c r="AD149" s="29" t="str">
        <f ca="1"/>
        <v>Network</v>
      </c>
      <c r="AE149" s="30" t="str">
        <f ca="1"/>
        <v>Router</v>
      </c>
      <c r="AF149" s="30" t="str">
        <f ca="1"/>
        <v>Live</v>
      </c>
      <c r="AG149" s="30">
        <f ca="1"/>
        <v>9.1</v>
      </c>
      <c r="AH149" s="31" t="str">
        <f ca="1"/>
        <v>Unknown</v>
      </c>
      <c r="AI149" s="49">
        <f t="shared" ca="1" si="5"/>
        <v>0</v>
      </c>
      <c r="AJ149" s="71">
        <f ca="1"/>
        <v>0</v>
      </c>
    </row>
    <row r="150" spans="2:36" x14ac:dyDescent="0.25">
      <c r="B150" s="29" t="str">
        <f ca="1"/>
        <v>dal10.sr01.rk139</v>
      </c>
      <c r="C150" s="10" t="s">
        <v>2070</v>
      </c>
      <c r="D150" s="2" t="b" cm="1">
        <f t="array" ref="D150:O150">_xlfn._xlws.FILTER(IF(ancillary!$E$4:$P$8="",FALSE,ancillary!$E$4:$P$8),ancillary!$B$4:$B$8=$C150)</f>
        <v>1</v>
      </c>
      <c r="E150" s="2" t="b">
        <v>1</v>
      </c>
      <c r="F150" s="2" t="b">
        <v>1</v>
      </c>
      <c r="G150" s="2" t="b">
        <v>1</v>
      </c>
      <c r="H150" s="2" t="b">
        <v>1</v>
      </c>
      <c r="I150" s="2" t="b">
        <v>1</v>
      </c>
      <c r="J150" s="2" t="b">
        <v>0</v>
      </c>
      <c r="K150" s="2" t="b">
        <v>0</v>
      </c>
      <c r="L150" s="2" t="b">
        <v>0</v>
      </c>
      <c r="M150" s="2" t="b">
        <v>0</v>
      </c>
      <c r="N150" s="2" t="b">
        <v>0</v>
      </c>
      <c r="O150" s="2" t="b">
        <v>0</v>
      </c>
      <c r="P150" s="68"/>
      <c r="R150" s="69"/>
      <c r="S150" s="68"/>
      <c r="U150" s="69"/>
      <c r="V150" s="68"/>
      <c r="X150" s="69"/>
      <c r="Y150" s="68"/>
      <c r="AA150" s="69"/>
      <c r="AB150" s="33">
        <f t="shared" si="4"/>
        <v>0</v>
      </c>
      <c r="AC150" s="45">
        <f>_xlfn.LET(_xlpm.ps_1,P150:R150, _xlpm.ps_2,S150:U150, _xlpm.ps_3,V150:X150, _xlpm.ps_4,Y150:AA150,
_xlpm.phase, MID(C150,SEARCH("-",C150)+1,256),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(_xlfn.XLOOKUP($C$7,site_assumptions[Details],site_assumptions[Volts])*SUMIFS(P150:AA150,_xlfn.ANCHORARRAY(D150),TRUE)/10*0.95)/1000,
IFERROR(IF(_xlpm.phase="3Phase", _xlpm.p3_calc, _xlpm.sp_calc),0))</f>
        <v>0</v>
      </c>
      <c r="AD150" s="29" t="str">
        <f ca="1"/>
        <v>Network</v>
      </c>
      <c r="AE150" s="30" t="str">
        <f ca="1"/>
        <v>Router</v>
      </c>
      <c r="AF150" s="30" t="str">
        <f ca="1"/>
        <v>Live</v>
      </c>
      <c r="AG150" s="30">
        <f ca="1"/>
        <v>9.1</v>
      </c>
      <c r="AH150" s="31" t="str">
        <f ca="1"/>
        <v>Unknown</v>
      </c>
      <c r="AI150" s="49">
        <f t="shared" ca="1" si="5"/>
        <v>0</v>
      </c>
      <c r="AJ150" s="71">
        <f ca="1"/>
        <v>0</v>
      </c>
    </row>
    <row r="151" spans="2:36" x14ac:dyDescent="0.25">
      <c r="B151" s="29" t="str">
        <f ca="1"/>
        <v>dal10.sr01.rk140</v>
      </c>
      <c r="C151" s="10" t="s">
        <v>2070</v>
      </c>
      <c r="D151" s="2" t="b" cm="1">
        <f t="array" ref="D151:O151">_xlfn._xlws.FILTER(IF(ancillary!$E$4:$P$8="",FALSE,ancillary!$E$4:$P$8),ancillary!$B$4:$B$8=$C151)</f>
        <v>1</v>
      </c>
      <c r="E151" s="2" t="b">
        <v>1</v>
      </c>
      <c r="F151" s="2" t="b">
        <v>1</v>
      </c>
      <c r="G151" s="2" t="b">
        <v>1</v>
      </c>
      <c r="H151" s="2" t="b">
        <v>1</v>
      </c>
      <c r="I151" s="2" t="b">
        <v>1</v>
      </c>
      <c r="J151" s="2" t="b">
        <v>0</v>
      </c>
      <c r="K151" s="2" t="b">
        <v>0</v>
      </c>
      <c r="L151" s="2" t="b">
        <v>0</v>
      </c>
      <c r="M151" s="2" t="b">
        <v>0</v>
      </c>
      <c r="N151" s="2" t="b">
        <v>0</v>
      </c>
      <c r="O151" s="2" t="b">
        <v>0</v>
      </c>
      <c r="P151" s="68"/>
      <c r="R151" s="69"/>
      <c r="S151" s="68"/>
      <c r="U151" s="69"/>
      <c r="V151" s="68"/>
      <c r="X151" s="69"/>
      <c r="Y151" s="68"/>
      <c r="AA151" s="69"/>
      <c r="AB151" s="33">
        <f t="shared" si="4"/>
        <v>0</v>
      </c>
      <c r="AC151" s="45">
        <f>_xlfn.LET(_xlpm.ps_1,P151:R151, _xlpm.ps_2,S151:U151, _xlpm.ps_3,V151:X151, _xlpm.ps_4,Y151:AA151,
_xlpm.phase, MID(C151,SEARCH("-",C151)+1,256),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(_xlfn.XLOOKUP($C$7,site_assumptions[Details],site_assumptions[Volts])*SUMIFS(P151:AA151,_xlfn.ANCHORARRAY(D151),TRUE)/10*0.95)/1000,
IFERROR(IF(_xlpm.phase="3Phase", _xlpm.p3_calc, _xlpm.sp_calc),0))</f>
        <v>0</v>
      </c>
      <c r="AD151" s="29" t="str">
        <f ca="1"/>
        <v>Network</v>
      </c>
      <c r="AE151" s="30" t="str">
        <f ca="1"/>
        <v>Router</v>
      </c>
      <c r="AF151" s="30" t="str">
        <f ca="1"/>
        <v>Live</v>
      </c>
      <c r="AG151" s="30">
        <f ca="1"/>
        <v>9.1</v>
      </c>
      <c r="AH151" s="31" t="str">
        <f ca="1"/>
        <v>Unknown</v>
      </c>
      <c r="AI151" s="49">
        <f t="shared" ca="1" si="5"/>
        <v>0</v>
      </c>
      <c r="AJ151" s="71">
        <f ca="1"/>
        <v>0</v>
      </c>
    </row>
    <row r="152" spans="2:36" x14ac:dyDescent="0.25">
      <c r="B152" s="29" t="str">
        <f ca="1"/>
        <v>dal10.sr01.rk141</v>
      </c>
      <c r="C152" s="10" t="s">
        <v>2070</v>
      </c>
      <c r="D152" s="2" t="b" cm="1">
        <f t="array" ref="D152:O152">_xlfn._xlws.FILTER(IF(ancillary!$E$4:$P$8="",FALSE,ancillary!$E$4:$P$8),ancillary!$B$4:$B$8=$C152)</f>
        <v>1</v>
      </c>
      <c r="E152" s="2" t="b">
        <v>1</v>
      </c>
      <c r="F152" s="2" t="b">
        <v>1</v>
      </c>
      <c r="G152" s="2" t="b">
        <v>1</v>
      </c>
      <c r="H152" s="2" t="b">
        <v>1</v>
      </c>
      <c r="I152" s="2" t="b">
        <v>1</v>
      </c>
      <c r="J152" s="2" t="b">
        <v>0</v>
      </c>
      <c r="K152" s="2" t="b">
        <v>0</v>
      </c>
      <c r="L152" s="2" t="b">
        <v>0</v>
      </c>
      <c r="M152" s="2" t="b">
        <v>0</v>
      </c>
      <c r="N152" s="2" t="b">
        <v>0</v>
      </c>
      <c r="O152" s="2" t="b">
        <v>0</v>
      </c>
      <c r="P152" s="68"/>
      <c r="R152" s="69"/>
      <c r="S152" s="68"/>
      <c r="U152" s="69"/>
      <c r="V152" s="68"/>
      <c r="X152" s="69"/>
      <c r="Y152" s="68"/>
      <c r="AA152" s="69"/>
      <c r="AB152" s="33">
        <f t="shared" si="4"/>
        <v>0</v>
      </c>
      <c r="AC152" s="45">
        <f>_xlfn.LET(_xlpm.ps_1,P152:R152, _xlpm.ps_2,S152:U152, _xlpm.ps_3,V152:X152, _xlpm.ps_4,Y152:AA152,
_xlpm.phase, MID(C152,SEARCH("-",C152)+1,256),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(_xlfn.XLOOKUP($C$7,site_assumptions[Details],site_assumptions[Volts])*SUMIFS(P152:AA152,_xlfn.ANCHORARRAY(D152),TRUE)/10*0.95)/1000,
IFERROR(IF(_xlpm.phase="3Phase", _xlpm.p3_calc, _xlpm.sp_calc),0))</f>
        <v>0</v>
      </c>
      <c r="AD152" s="29" t="str">
        <f ca="1"/>
        <v>Network</v>
      </c>
      <c r="AE152" s="30" t="str">
        <f ca="1"/>
        <v>Misc.</v>
      </c>
      <c r="AF152" s="30" t="str">
        <f ca="1"/>
        <v>Unusable</v>
      </c>
      <c r="AG152" s="30">
        <f ca="1"/>
        <v>9.1</v>
      </c>
      <c r="AH152" s="31" t="str">
        <f ca="1"/>
        <v>Unknown</v>
      </c>
      <c r="AI152" s="49">
        <f t="shared" ca="1" si="5"/>
        <v>0</v>
      </c>
      <c r="AJ152" s="71">
        <f ca="1"/>
        <v>0</v>
      </c>
    </row>
    <row r="153" spans="2:36" x14ac:dyDescent="0.25">
      <c r="B153" s="29" t="str">
        <f ca="1"/>
        <v>dal10.sr01.rk142</v>
      </c>
      <c r="C153" s="10" t="s">
        <v>2070</v>
      </c>
      <c r="D153" s="2" t="b" cm="1">
        <f t="array" ref="D153:O153">_xlfn._xlws.FILTER(IF(ancillary!$E$4:$P$8="",FALSE,ancillary!$E$4:$P$8),ancillary!$B$4:$B$8=$C153)</f>
        <v>1</v>
      </c>
      <c r="E153" s="2" t="b">
        <v>1</v>
      </c>
      <c r="F153" s="2" t="b">
        <v>1</v>
      </c>
      <c r="G153" s="2" t="b">
        <v>1</v>
      </c>
      <c r="H153" s="2" t="b">
        <v>1</v>
      </c>
      <c r="I153" s="2" t="b">
        <v>1</v>
      </c>
      <c r="J153" s="2" t="b">
        <v>0</v>
      </c>
      <c r="K153" s="2" t="b">
        <v>0</v>
      </c>
      <c r="L153" s="2" t="b">
        <v>0</v>
      </c>
      <c r="M153" s="2" t="b">
        <v>0</v>
      </c>
      <c r="N153" s="2" t="b">
        <v>0</v>
      </c>
      <c r="O153" s="2" t="b">
        <v>0</v>
      </c>
      <c r="P153" s="68"/>
      <c r="R153" s="69"/>
      <c r="S153" s="68"/>
      <c r="U153" s="69"/>
      <c r="V153" s="68"/>
      <c r="X153" s="69"/>
      <c r="Y153" s="68"/>
      <c r="AA153" s="69"/>
      <c r="AB153" s="33">
        <f t="shared" si="4"/>
        <v>0</v>
      </c>
      <c r="AC153" s="45">
        <f>_xlfn.LET(_xlpm.ps_1,P153:R153, _xlpm.ps_2,S153:U153, _xlpm.ps_3,V153:X153, _xlpm.ps_4,Y153:AA153,
_xlpm.phase, MID(C153,SEARCH("-",C153)+1,256),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(_xlfn.XLOOKUP($C$7,site_assumptions[Details],site_assumptions[Volts])*SUMIFS(P153:AA153,_xlfn.ANCHORARRAY(D153),TRUE)/10*0.95)/1000,
IFERROR(IF(_xlpm.phase="3Phase", _xlpm.p3_calc, _xlpm.sp_calc),0))</f>
        <v>0</v>
      </c>
      <c r="AD153" s="29" t="str">
        <f ca="1"/>
        <v>Network</v>
      </c>
      <c r="AE153" s="30" t="str">
        <f ca="1"/>
        <v>Router</v>
      </c>
      <c r="AF153" s="30" t="str">
        <f ca="1"/>
        <v>Live</v>
      </c>
      <c r="AG153" s="30">
        <f ca="1"/>
        <v>9.1</v>
      </c>
      <c r="AH153" s="31" t="str">
        <f ca="1"/>
        <v>Unknown</v>
      </c>
      <c r="AI153" s="49">
        <f t="shared" ca="1" si="5"/>
        <v>0</v>
      </c>
      <c r="AJ153" s="71">
        <f ca="1"/>
        <v>0</v>
      </c>
    </row>
    <row r="154" spans="2:36" x14ac:dyDescent="0.25">
      <c r="B154" s="29" t="str">
        <f ca="1"/>
        <v>dal10.sr01.rk143</v>
      </c>
      <c r="C154" s="10" t="s">
        <v>2070</v>
      </c>
      <c r="D154" s="2" t="b" cm="1">
        <f t="array" ref="D154:O154">_xlfn._xlws.FILTER(IF(ancillary!$E$4:$P$8="",FALSE,ancillary!$E$4:$P$8),ancillary!$B$4:$B$8=$C154)</f>
        <v>1</v>
      </c>
      <c r="E154" s="2" t="b">
        <v>1</v>
      </c>
      <c r="F154" s="2" t="b">
        <v>1</v>
      </c>
      <c r="G154" s="2" t="b">
        <v>1</v>
      </c>
      <c r="H154" s="2" t="b">
        <v>1</v>
      </c>
      <c r="I154" s="2" t="b">
        <v>1</v>
      </c>
      <c r="J154" s="2" t="b">
        <v>0</v>
      </c>
      <c r="K154" s="2" t="b">
        <v>0</v>
      </c>
      <c r="L154" s="2" t="b">
        <v>0</v>
      </c>
      <c r="M154" s="2" t="b">
        <v>0</v>
      </c>
      <c r="N154" s="2" t="b">
        <v>0</v>
      </c>
      <c r="O154" s="2" t="b">
        <v>0</v>
      </c>
      <c r="P154" s="68"/>
      <c r="R154" s="69"/>
      <c r="S154" s="68"/>
      <c r="U154" s="69"/>
      <c r="V154" s="68"/>
      <c r="X154" s="69"/>
      <c r="Y154" s="68"/>
      <c r="AA154" s="69"/>
      <c r="AB154" s="33">
        <f t="shared" si="4"/>
        <v>0</v>
      </c>
      <c r="AC154" s="45">
        <f>_xlfn.LET(_xlpm.ps_1,P154:R154, _xlpm.ps_2,S154:U154, _xlpm.ps_3,V154:X154, _xlpm.ps_4,Y154:AA154,
_xlpm.phase, MID(C154,SEARCH("-",C154)+1,256),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(_xlfn.XLOOKUP($C$7,site_assumptions[Details],site_assumptions[Volts])*SUMIFS(P154:AA154,_xlfn.ANCHORARRAY(D154),TRUE)/10*0.95)/1000,
IFERROR(IF(_xlpm.phase="3Phase", _xlpm.p3_calc, _xlpm.sp_calc),0))</f>
        <v>0</v>
      </c>
      <c r="AD154" s="29" t="str">
        <f ca="1"/>
        <v>Network</v>
      </c>
      <c r="AE154" s="30" t="str">
        <f ca="1"/>
        <v>Misc.</v>
      </c>
      <c r="AF154" s="30" t="str">
        <f ca="1"/>
        <v>Live</v>
      </c>
      <c r="AG154" s="30">
        <f ca="1"/>
        <v>9.1</v>
      </c>
      <c r="AH154" s="31" t="str">
        <f ca="1"/>
        <v>Unknown</v>
      </c>
      <c r="AI154" s="49">
        <f t="shared" ca="1" si="5"/>
        <v>0</v>
      </c>
      <c r="AJ154" s="71">
        <f ca="1"/>
        <v>0</v>
      </c>
    </row>
    <row r="155" spans="2:36" x14ac:dyDescent="0.25">
      <c r="B155" s="29" t="str">
        <f ca="1"/>
        <v>dal10.sr01.rk144</v>
      </c>
      <c r="C155" s="10" t="s">
        <v>2070</v>
      </c>
      <c r="D155" s="2" t="b" cm="1">
        <f t="array" ref="D155:O155">_xlfn._xlws.FILTER(IF(ancillary!$E$4:$P$8="",FALSE,ancillary!$E$4:$P$8),ancillary!$B$4:$B$8=$C155)</f>
        <v>1</v>
      </c>
      <c r="E155" s="2" t="b">
        <v>1</v>
      </c>
      <c r="F155" s="2" t="b">
        <v>1</v>
      </c>
      <c r="G155" s="2" t="b">
        <v>1</v>
      </c>
      <c r="H155" s="2" t="b">
        <v>1</v>
      </c>
      <c r="I155" s="2" t="b">
        <v>1</v>
      </c>
      <c r="J155" s="2" t="b">
        <v>0</v>
      </c>
      <c r="K155" s="2" t="b">
        <v>0</v>
      </c>
      <c r="L155" s="2" t="b">
        <v>0</v>
      </c>
      <c r="M155" s="2" t="b">
        <v>0</v>
      </c>
      <c r="N155" s="2" t="b">
        <v>0</v>
      </c>
      <c r="O155" s="2" t="b">
        <v>0</v>
      </c>
      <c r="P155" s="68"/>
      <c r="R155" s="69"/>
      <c r="S155" s="68"/>
      <c r="U155" s="69"/>
      <c r="V155" s="68"/>
      <c r="X155" s="69"/>
      <c r="Y155" s="68"/>
      <c r="AA155" s="69"/>
      <c r="AB155" s="33">
        <f t="shared" si="4"/>
        <v>0</v>
      </c>
      <c r="AC155" s="45">
        <f>_xlfn.LET(_xlpm.ps_1,P155:R155, _xlpm.ps_2,S155:U155, _xlpm.ps_3,V155:X155, _xlpm.ps_4,Y155:AA155,
_xlpm.phase, MID(C155,SEARCH("-",C155)+1,256),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(_xlfn.XLOOKUP($C$7,site_assumptions[Details],site_assumptions[Volts])*SUMIFS(P155:AA155,_xlfn.ANCHORARRAY(D155),TRUE)/10*0.95)/1000,
IFERROR(IF(_xlpm.phase="3Phase", _xlpm.p3_calc, _xlpm.sp_calc),0))</f>
        <v>0</v>
      </c>
      <c r="AD155" s="29" t="str">
        <f ca="1"/>
        <v>Bare Metal</v>
      </c>
      <c r="AE155" s="30" t="str">
        <f ca="1"/>
        <v>Bare Metal</v>
      </c>
      <c r="AF155" s="30" t="str">
        <f ca="1"/>
        <v>Live</v>
      </c>
      <c r="AG155" s="30">
        <f ca="1"/>
        <v>6</v>
      </c>
      <c r="AH155" s="31" t="str">
        <f ca="1"/>
        <v>Unknown</v>
      </c>
      <c r="AI155" s="49">
        <f t="shared" ca="1" si="5"/>
        <v>0</v>
      </c>
      <c r="AJ155" s="71">
        <f ca="1"/>
        <v>2.8980000000000001</v>
      </c>
    </row>
    <row r="156" spans="2:36" x14ac:dyDescent="0.25">
      <c r="B156" s="29" t="str">
        <f ca="1"/>
        <v>dal10.sr01.rk145</v>
      </c>
      <c r="C156" s="10" t="s">
        <v>2070</v>
      </c>
      <c r="D156" s="2" t="b" cm="1">
        <f t="array" ref="D156:O156">_xlfn._xlws.FILTER(IF(ancillary!$E$4:$P$8="",FALSE,ancillary!$E$4:$P$8),ancillary!$B$4:$B$8=$C156)</f>
        <v>1</v>
      </c>
      <c r="E156" s="2" t="b">
        <v>1</v>
      </c>
      <c r="F156" s="2" t="b">
        <v>1</v>
      </c>
      <c r="G156" s="2" t="b">
        <v>1</v>
      </c>
      <c r="H156" s="2" t="b">
        <v>1</v>
      </c>
      <c r="I156" s="2" t="b">
        <v>1</v>
      </c>
      <c r="J156" s="2" t="b">
        <v>0</v>
      </c>
      <c r="K156" s="2" t="b">
        <v>0</v>
      </c>
      <c r="L156" s="2" t="b">
        <v>0</v>
      </c>
      <c r="M156" s="2" t="b">
        <v>0</v>
      </c>
      <c r="N156" s="2" t="b">
        <v>0</v>
      </c>
      <c r="O156" s="2" t="b">
        <v>0</v>
      </c>
      <c r="P156" s="68"/>
      <c r="R156" s="69"/>
      <c r="S156" s="68"/>
      <c r="U156" s="69"/>
      <c r="V156" s="68"/>
      <c r="X156" s="69"/>
      <c r="Y156" s="68"/>
      <c r="AA156" s="69"/>
      <c r="AB156" s="33">
        <f t="shared" si="4"/>
        <v>0</v>
      </c>
      <c r="AC156" s="45">
        <f>_xlfn.LET(_xlpm.ps_1,P156:R156, _xlpm.ps_2,S156:U156, _xlpm.ps_3,V156:X156, _xlpm.ps_4,Y156:AA156,
_xlpm.phase, MID(C156,SEARCH("-",C156)+1,256),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(_xlfn.XLOOKUP($C$7,site_assumptions[Details],site_assumptions[Volts])*SUMIFS(P156:AA156,_xlfn.ANCHORARRAY(D156),TRUE)/10*0.95)/1000,
IFERROR(IF(_xlpm.phase="3Phase", _xlpm.p3_calc, _xlpm.sp_calc),0))</f>
        <v>0</v>
      </c>
      <c r="AD156" s="29" t="str">
        <f ca="1"/>
        <v>Bare Metal</v>
      </c>
      <c r="AE156" s="30" t="str">
        <f ca="1"/>
        <v>Bare Metal</v>
      </c>
      <c r="AF156" s="30" t="str">
        <f ca="1"/>
        <v>Live</v>
      </c>
      <c r="AG156" s="30">
        <f ca="1"/>
        <v>6</v>
      </c>
      <c r="AH156" s="31" t="str">
        <f ca="1"/>
        <v>Unknown</v>
      </c>
      <c r="AI156" s="49">
        <f t="shared" ca="1" si="5"/>
        <v>0</v>
      </c>
      <c r="AJ156" s="71">
        <f ca="1"/>
        <v>0.69599999999999995</v>
      </c>
    </row>
    <row r="157" spans="2:36" x14ac:dyDescent="0.25">
      <c r="B157" s="29" t="str">
        <f ca="1"/>
        <v>dal10.sr01.rk146</v>
      </c>
      <c r="C157" s="10" t="s">
        <v>2070</v>
      </c>
      <c r="D157" s="2" t="b" cm="1">
        <f t="array" ref="D157:O157">_xlfn._xlws.FILTER(IF(ancillary!$E$4:$P$8="",FALSE,ancillary!$E$4:$P$8),ancillary!$B$4:$B$8=$C157)</f>
        <v>1</v>
      </c>
      <c r="E157" s="2" t="b">
        <v>1</v>
      </c>
      <c r="F157" s="2" t="b">
        <v>1</v>
      </c>
      <c r="G157" s="2" t="b">
        <v>1</v>
      </c>
      <c r="H157" s="2" t="b">
        <v>1</v>
      </c>
      <c r="I157" s="2" t="b">
        <v>1</v>
      </c>
      <c r="J157" s="2" t="b">
        <v>0</v>
      </c>
      <c r="K157" s="2" t="b">
        <v>0</v>
      </c>
      <c r="L157" s="2" t="b">
        <v>0</v>
      </c>
      <c r="M157" s="2" t="b">
        <v>0</v>
      </c>
      <c r="N157" s="2" t="b">
        <v>0</v>
      </c>
      <c r="O157" s="2" t="b">
        <v>0</v>
      </c>
      <c r="P157" s="68"/>
      <c r="R157" s="69"/>
      <c r="S157" s="68"/>
      <c r="U157" s="69"/>
      <c r="V157" s="68"/>
      <c r="X157" s="69"/>
      <c r="Y157" s="68"/>
      <c r="AA157" s="69"/>
      <c r="AB157" s="33">
        <f t="shared" si="4"/>
        <v>0</v>
      </c>
      <c r="AC157" s="45">
        <f>_xlfn.LET(_xlpm.ps_1,P157:R157, _xlpm.ps_2,S157:U157, _xlpm.ps_3,V157:X157, _xlpm.ps_4,Y157:AA157,
_xlpm.phase, MID(C157,SEARCH("-",C157)+1,256),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(_xlfn.XLOOKUP($C$7,site_assumptions[Details],site_assumptions[Volts])*SUMIFS(P157:AA157,_xlfn.ANCHORARRAY(D157),TRUE)/10*0.95)/1000,
IFERROR(IF(_xlpm.phase="3Phase", _xlpm.p3_calc, _xlpm.sp_calc),0))</f>
        <v>0</v>
      </c>
      <c r="AD157" s="29" t="str">
        <f ca="1"/>
        <v>Bare Metal</v>
      </c>
      <c r="AE157" s="30" t="str">
        <f ca="1"/>
        <v>Bare Metal</v>
      </c>
      <c r="AF157" s="30" t="str">
        <f ca="1"/>
        <v>Live</v>
      </c>
      <c r="AG157" s="30">
        <f ca="1"/>
        <v>6</v>
      </c>
      <c r="AH157" s="31" t="str">
        <f ca="1"/>
        <v>Unknown</v>
      </c>
      <c r="AI157" s="49">
        <f t="shared" ca="1" si="5"/>
        <v>0</v>
      </c>
      <c r="AJ157" s="71">
        <f ca="1"/>
        <v>5.8979999999999997</v>
      </c>
    </row>
    <row r="158" spans="2:36" x14ac:dyDescent="0.25">
      <c r="B158" s="29" t="str">
        <f ca="1"/>
        <v>dal10.sr01.rk147</v>
      </c>
      <c r="C158" s="10" t="s">
        <v>2070</v>
      </c>
      <c r="D158" s="2" t="b" cm="1">
        <f t="array" ref="D158:O158">_xlfn._xlws.FILTER(IF(ancillary!$E$4:$P$8="",FALSE,ancillary!$E$4:$P$8),ancillary!$B$4:$B$8=$C158)</f>
        <v>1</v>
      </c>
      <c r="E158" s="2" t="b">
        <v>1</v>
      </c>
      <c r="F158" s="2" t="b">
        <v>1</v>
      </c>
      <c r="G158" s="2" t="b">
        <v>1</v>
      </c>
      <c r="H158" s="2" t="b">
        <v>1</v>
      </c>
      <c r="I158" s="2" t="b">
        <v>1</v>
      </c>
      <c r="J158" s="2" t="b">
        <v>0</v>
      </c>
      <c r="K158" s="2" t="b">
        <v>0</v>
      </c>
      <c r="L158" s="2" t="b">
        <v>0</v>
      </c>
      <c r="M158" s="2" t="b">
        <v>0</v>
      </c>
      <c r="N158" s="2" t="b">
        <v>0</v>
      </c>
      <c r="O158" s="2" t="b">
        <v>0</v>
      </c>
      <c r="P158" s="68"/>
      <c r="R158" s="69"/>
      <c r="S158" s="68"/>
      <c r="U158" s="69"/>
      <c r="V158" s="68"/>
      <c r="X158" s="69"/>
      <c r="Y158" s="68"/>
      <c r="AA158" s="69"/>
      <c r="AB158" s="33">
        <f t="shared" si="4"/>
        <v>0</v>
      </c>
      <c r="AC158" s="45">
        <f>_xlfn.LET(_xlpm.ps_1,P158:R158, _xlpm.ps_2,S158:U158, _xlpm.ps_3,V158:X158, _xlpm.ps_4,Y158:AA158,
_xlpm.phase, MID(C158,SEARCH("-",C158)+1,256),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(_xlfn.XLOOKUP($C$7,site_assumptions[Details],site_assumptions[Volts])*SUMIFS(P158:AA158,_xlfn.ANCHORARRAY(D158),TRUE)/10*0.95)/1000,
IFERROR(IF(_xlpm.phase="3Phase", _xlpm.p3_calc, _xlpm.sp_calc),0))</f>
        <v>0</v>
      </c>
      <c r="AD158" s="29" t="str">
        <f ca="1"/>
        <v>Bare Metal</v>
      </c>
      <c r="AE158" s="30" t="str">
        <f ca="1"/>
        <v>Bare Metal</v>
      </c>
      <c r="AF158" s="30" t="str">
        <f ca="1"/>
        <v>Live</v>
      </c>
      <c r="AG158" s="30">
        <f ca="1"/>
        <v>6</v>
      </c>
      <c r="AH158" s="31" t="str">
        <f ca="1"/>
        <v>Unknown</v>
      </c>
      <c r="AI158" s="49">
        <f t="shared" ca="1" si="5"/>
        <v>0</v>
      </c>
      <c r="AJ158" s="71">
        <f ca="1"/>
        <v>8.4689999999999994</v>
      </c>
    </row>
    <row r="159" spans="2:36" x14ac:dyDescent="0.25">
      <c r="B159" s="29" t="str">
        <f ca="1"/>
        <v>dal10.sr01.rk148</v>
      </c>
      <c r="C159" s="10" t="s">
        <v>2070</v>
      </c>
      <c r="D159" s="2" t="b" cm="1">
        <f t="array" ref="D159:O159">_xlfn._xlws.FILTER(IF(ancillary!$E$4:$P$8="",FALSE,ancillary!$E$4:$P$8),ancillary!$B$4:$B$8=$C159)</f>
        <v>1</v>
      </c>
      <c r="E159" s="2" t="b">
        <v>1</v>
      </c>
      <c r="F159" s="2" t="b">
        <v>1</v>
      </c>
      <c r="G159" s="2" t="b">
        <v>1</v>
      </c>
      <c r="H159" s="2" t="b">
        <v>1</v>
      </c>
      <c r="I159" s="2" t="b">
        <v>1</v>
      </c>
      <c r="J159" s="2" t="b">
        <v>0</v>
      </c>
      <c r="K159" s="2" t="b">
        <v>0</v>
      </c>
      <c r="L159" s="2" t="b">
        <v>0</v>
      </c>
      <c r="M159" s="2" t="b">
        <v>0</v>
      </c>
      <c r="N159" s="2" t="b">
        <v>0</v>
      </c>
      <c r="O159" s="2" t="b">
        <v>0</v>
      </c>
      <c r="P159" s="68"/>
      <c r="R159" s="69"/>
      <c r="S159" s="68"/>
      <c r="U159" s="69"/>
      <c r="V159" s="68"/>
      <c r="X159" s="69"/>
      <c r="Y159" s="68"/>
      <c r="AA159" s="69"/>
      <c r="AB159" s="33">
        <f t="shared" si="4"/>
        <v>0</v>
      </c>
      <c r="AC159" s="45">
        <f>_xlfn.LET(_xlpm.ps_1,P159:R159, _xlpm.ps_2,S159:U159, _xlpm.ps_3,V159:X159, _xlpm.ps_4,Y159:AA159,
_xlpm.phase, MID(C159,SEARCH("-",C159)+1,256),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(_xlfn.XLOOKUP($C$7,site_assumptions[Details],site_assumptions[Volts])*SUMIFS(P159:AA159,_xlfn.ANCHORARRAY(D159),TRUE)/10*0.95)/1000,
IFERROR(IF(_xlpm.phase="3Phase", _xlpm.p3_calc, _xlpm.sp_calc),0))</f>
        <v>0</v>
      </c>
      <c r="AD159" s="29" t="str">
        <f ca="1"/>
        <v>Bare Metal</v>
      </c>
      <c r="AE159" s="30" t="str">
        <f ca="1"/>
        <v>Bare Metal</v>
      </c>
      <c r="AF159" s="30" t="str">
        <f ca="1"/>
        <v>Live</v>
      </c>
      <c r="AG159" s="30">
        <f ca="1"/>
        <v>6</v>
      </c>
      <c r="AH159" s="31" t="str">
        <f ca="1"/>
        <v>Unknown</v>
      </c>
      <c r="AI159" s="49">
        <f t="shared" ca="1" si="5"/>
        <v>0</v>
      </c>
      <c r="AJ159" s="71">
        <f ca="1"/>
        <v>3.6859999999999999</v>
      </c>
    </row>
    <row r="160" spans="2:36" x14ac:dyDescent="0.25">
      <c r="B160" s="29" t="str">
        <f ca="1"/>
        <v>dal10.sr01.rk149</v>
      </c>
      <c r="C160" s="10" t="s">
        <v>2070</v>
      </c>
      <c r="D160" s="2" t="b" cm="1">
        <f t="array" ref="D160:O160">_xlfn._xlws.FILTER(IF(ancillary!$E$4:$P$8="",FALSE,ancillary!$E$4:$P$8),ancillary!$B$4:$B$8=$C160)</f>
        <v>1</v>
      </c>
      <c r="E160" s="2" t="b">
        <v>1</v>
      </c>
      <c r="F160" s="2" t="b">
        <v>1</v>
      </c>
      <c r="G160" s="2" t="b">
        <v>1</v>
      </c>
      <c r="H160" s="2" t="b">
        <v>1</v>
      </c>
      <c r="I160" s="2" t="b">
        <v>1</v>
      </c>
      <c r="J160" s="2" t="b">
        <v>0</v>
      </c>
      <c r="K160" s="2" t="b">
        <v>0</v>
      </c>
      <c r="L160" s="2" t="b">
        <v>0</v>
      </c>
      <c r="M160" s="2" t="b">
        <v>0</v>
      </c>
      <c r="N160" s="2" t="b">
        <v>0</v>
      </c>
      <c r="O160" s="2" t="b">
        <v>0</v>
      </c>
      <c r="P160" s="68"/>
      <c r="R160" s="69"/>
      <c r="S160" s="68"/>
      <c r="U160" s="69"/>
      <c r="V160" s="68"/>
      <c r="X160" s="69"/>
      <c r="Y160" s="68"/>
      <c r="AA160" s="69"/>
      <c r="AB160" s="33">
        <f t="shared" si="4"/>
        <v>0</v>
      </c>
      <c r="AC160" s="45">
        <f>_xlfn.LET(_xlpm.ps_1,P160:R160, _xlpm.ps_2,S160:U160, _xlpm.ps_3,V160:X160, _xlpm.ps_4,Y160:AA160,
_xlpm.phase, MID(C160,SEARCH("-",C160)+1,256),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(_xlfn.XLOOKUP($C$7,site_assumptions[Details],site_assumptions[Volts])*SUMIFS(P160:AA160,_xlfn.ANCHORARRAY(D160),TRUE)/10*0.95)/1000,
IFERROR(IF(_xlpm.phase="3Phase", _xlpm.p3_calc, _xlpm.sp_calc),0))</f>
        <v>0</v>
      </c>
      <c r="AD160" s="29" t="str">
        <f ca="1"/>
        <v>Network</v>
      </c>
      <c r="AE160" s="30" t="str">
        <f ca="1"/>
        <v>Aggregate</v>
      </c>
      <c r="AF160" s="30" t="str">
        <f ca="1"/>
        <v>Live</v>
      </c>
      <c r="AG160" s="30">
        <f ca="1"/>
        <v>5</v>
      </c>
      <c r="AH160" s="31" t="str">
        <f ca="1"/>
        <v>Unknown</v>
      </c>
      <c r="AI160" s="49">
        <f t="shared" ca="1" si="5"/>
        <v>0</v>
      </c>
      <c r="AJ160" s="71">
        <f ca="1"/>
        <v>0</v>
      </c>
    </row>
    <row r="161" spans="2:36" x14ac:dyDescent="0.25">
      <c r="B161" s="29" t="str">
        <f ca="1"/>
        <v>dal10.sr01.rk150</v>
      </c>
      <c r="C161" s="10" t="s">
        <v>2070</v>
      </c>
      <c r="D161" s="2" t="b" cm="1">
        <f t="array" ref="D161:O161">_xlfn._xlws.FILTER(IF(ancillary!$E$4:$P$8="",FALSE,ancillary!$E$4:$P$8),ancillary!$B$4:$B$8=$C161)</f>
        <v>1</v>
      </c>
      <c r="E161" s="2" t="b">
        <v>1</v>
      </c>
      <c r="F161" s="2" t="b">
        <v>1</v>
      </c>
      <c r="G161" s="2" t="b">
        <v>1</v>
      </c>
      <c r="H161" s="2" t="b">
        <v>1</v>
      </c>
      <c r="I161" s="2" t="b">
        <v>1</v>
      </c>
      <c r="J161" s="2" t="b">
        <v>0</v>
      </c>
      <c r="K161" s="2" t="b">
        <v>0</v>
      </c>
      <c r="L161" s="2" t="b">
        <v>0</v>
      </c>
      <c r="M161" s="2" t="b">
        <v>0</v>
      </c>
      <c r="N161" s="2" t="b">
        <v>0</v>
      </c>
      <c r="O161" s="2" t="b">
        <v>0</v>
      </c>
      <c r="P161" s="68"/>
      <c r="R161" s="69"/>
      <c r="S161" s="68"/>
      <c r="U161" s="69"/>
      <c r="V161" s="68"/>
      <c r="X161" s="69"/>
      <c r="Y161" s="68"/>
      <c r="AA161" s="69"/>
      <c r="AB161" s="33">
        <f t="shared" si="4"/>
        <v>0</v>
      </c>
      <c r="AC161" s="45">
        <f>_xlfn.LET(_xlpm.ps_1,P161:R161, _xlpm.ps_2,S161:U161, _xlpm.ps_3,V161:X161, _xlpm.ps_4,Y161:AA161,
_xlpm.phase, MID(C161,SEARCH("-",C161)+1,256),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(_xlfn.XLOOKUP($C$7,site_assumptions[Details],site_assumptions[Volts])*SUMIFS(P161:AA161,_xlfn.ANCHORARRAY(D161),TRUE)/10*0.95)/1000,
IFERROR(IF(_xlpm.phase="3Phase", _xlpm.p3_calc, _xlpm.sp_calc),0))</f>
        <v>0</v>
      </c>
      <c r="AD161" s="29" t="str">
        <f ca="1"/>
        <v>Bare Metal</v>
      </c>
      <c r="AE161" s="30" t="str">
        <f ca="1"/>
        <v>Bare Metal</v>
      </c>
      <c r="AF161" s="30" t="str">
        <f ca="1"/>
        <v>Live</v>
      </c>
      <c r="AG161" s="30">
        <f ca="1"/>
        <v>6</v>
      </c>
      <c r="AH161" s="31" t="str">
        <f ca="1"/>
        <v>Unknown</v>
      </c>
      <c r="AI161" s="49">
        <f t="shared" ca="1" si="5"/>
        <v>0</v>
      </c>
      <c r="AJ161" s="71">
        <f ca="1"/>
        <v>4.7679999999999998</v>
      </c>
    </row>
    <row r="162" spans="2:36" x14ac:dyDescent="0.25">
      <c r="B162" s="29" t="str">
        <f ca="1"/>
        <v>dal10.sr01.rk151</v>
      </c>
      <c r="C162" s="10" t="s">
        <v>2070</v>
      </c>
      <c r="D162" s="2" t="b" cm="1">
        <f t="array" ref="D162:O162">_xlfn._xlws.FILTER(IF(ancillary!$E$4:$P$8="",FALSE,ancillary!$E$4:$P$8),ancillary!$B$4:$B$8=$C162)</f>
        <v>1</v>
      </c>
      <c r="E162" s="2" t="b">
        <v>1</v>
      </c>
      <c r="F162" s="2" t="b">
        <v>1</v>
      </c>
      <c r="G162" s="2" t="b">
        <v>1</v>
      </c>
      <c r="H162" s="2" t="b">
        <v>1</v>
      </c>
      <c r="I162" s="2" t="b">
        <v>1</v>
      </c>
      <c r="J162" s="2" t="b">
        <v>0</v>
      </c>
      <c r="K162" s="2" t="b">
        <v>0</v>
      </c>
      <c r="L162" s="2" t="b">
        <v>0</v>
      </c>
      <c r="M162" s="2" t="b">
        <v>0</v>
      </c>
      <c r="N162" s="2" t="b">
        <v>0</v>
      </c>
      <c r="O162" s="2" t="b">
        <v>0</v>
      </c>
      <c r="P162" s="68"/>
      <c r="R162" s="69"/>
      <c r="S162" s="68"/>
      <c r="U162" s="69"/>
      <c r="V162" s="68"/>
      <c r="X162" s="69"/>
      <c r="Y162" s="68"/>
      <c r="AA162" s="69"/>
      <c r="AB162" s="33">
        <f t="shared" si="4"/>
        <v>0</v>
      </c>
      <c r="AC162" s="45">
        <f>_xlfn.LET(_xlpm.ps_1,P162:R162, _xlpm.ps_2,S162:U162, _xlpm.ps_3,V162:X162, _xlpm.ps_4,Y162:AA162,
_xlpm.phase, MID(C162,SEARCH("-",C162)+1,256),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(_xlfn.XLOOKUP($C$7,site_assumptions[Details],site_assumptions[Volts])*SUMIFS(P162:AA162,_xlfn.ANCHORARRAY(D162),TRUE)/10*0.95)/1000,
IFERROR(IF(_xlpm.phase="3Phase", _xlpm.p3_calc, _xlpm.sp_calc),0))</f>
        <v>0</v>
      </c>
      <c r="AD162" s="29" t="str">
        <f ca="1"/>
        <v>Bare Metal</v>
      </c>
      <c r="AE162" s="30" t="str">
        <f ca="1"/>
        <v>Bare Metal</v>
      </c>
      <c r="AF162" s="30" t="str">
        <f ca="1"/>
        <v>Live</v>
      </c>
      <c r="AG162" s="30">
        <f ca="1"/>
        <v>6</v>
      </c>
      <c r="AH162" s="31" t="str">
        <f ca="1"/>
        <v>Unknown</v>
      </c>
      <c r="AI162" s="49">
        <f t="shared" ca="1" si="5"/>
        <v>0</v>
      </c>
      <c r="AJ162" s="71">
        <f ca="1"/>
        <v>6.1909999999999998</v>
      </c>
    </row>
    <row r="163" spans="2:36" x14ac:dyDescent="0.25">
      <c r="B163" s="29" t="str">
        <f ca="1"/>
        <v>dal10.sr01.rk152</v>
      </c>
      <c r="C163" s="10" t="s">
        <v>2070</v>
      </c>
      <c r="D163" s="2" t="b" cm="1">
        <f t="array" ref="D163:O163">_xlfn._xlws.FILTER(IF(ancillary!$E$4:$P$8="",FALSE,ancillary!$E$4:$P$8),ancillary!$B$4:$B$8=$C163)</f>
        <v>1</v>
      </c>
      <c r="E163" s="2" t="b">
        <v>1</v>
      </c>
      <c r="F163" s="2" t="b">
        <v>1</v>
      </c>
      <c r="G163" s="2" t="b">
        <v>1</v>
      </c>
      <c r="H163" s="2" t="b">
        <v>1</v>
      </c>
      <c r="I163" s="2" t="b">
        <v>1</v>
      </c>
      <c r="J163" s="2" t="b">
        <v>0</v>
      </c>
      <c r="K163" s="2" t="b">
        <v>0</v>
      </c>
      <c r="L163" s="2" t="b">
        <v>0</v>
      </c>
      <c r="M163" s="2" t="b">
        <v>0</v>
      </c>
      <c r="N163" s="2" t="b">
        <v>0</v>
      </c>
      <c r="O163" s="2" t="b">
        <v>0</v>
      </c>
      <c r="P163" s="68"/>
      <c r="R163" s="69"/>
      <c r="S163" s="68"/>
      <c r="U163" s="69"/>
      <c r="V163" s="68"/>
      <c r="X163" s="69"/>
      <c r="Y163" s="68"/>
      <c r="AA163" s="69"/>
      <c r="AB163" s="33">
        <f t="shared" si="4"/>
        <v>0</v>
      </c>
      <c r="AC163" s="45">
        <f>_xlfn.LET(_xlpm.ps_1,P163:R163, _xlpm.ps_2,S163:U163, _xlpm.ps_3,V163:X163, _xlpm.ps_4,Y163:AA163,
_xlpm.phase, MID(C163,SEARCH("-",C163)+1,256),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(_xlfn.XLOOKUP($C$7,site_assumptions[Details],site_assumptions[Volts])*SUMIFS(P163:AA163,_xlfn.ANCHORARRAY(D163),TRUE)/10*0.95)/1000,
IFERROR(IF(_xlpm.phase="3Phase", _xlpm.p3_calc, _xlpm.sp_calc),0))</f>
        <v>0</v>
      </c>
      <c r="AD163" s="29" t="str">
        <f ca="1"/>
        <v>Bare Metal</v>
      </c>
      <c r="AE163" s="30" t="str">
        <f ca="1"/>
        <v>Bare Metal</v>
      </c>
      <c r="AF163" s="30" t="str">
        <f ca="1"/>
        <v>Live</v>
      </c>
      <c r="AG163" s="30">
        <f ca="1"/>
        <v>6</v>
      </c>
      <c r="AH163" s="31" t="str">
        <f ca="1"/>
        <v>Unknown</v>
      </c>
      <c r="AI163" s="49">
        <f t="shared" ca="1" si="5"/>
        <v>0</v>
      </c>
      <c r="AJ163" s="71">
        <f ca="1"/>
        <v>6.1130000000000004</v>
      </c>
    </row>
    <row r="164" spans="2:36" x14ac:dyDescent="0.25">
      <c r="B164" s="29" t="str">
        <f ca="1"/>
        <v>dal10.sr01.rk153</v>
      </c>
      <c r="C164" s="10" t="s">
        <v>2070</v>
      </c>
      <c r="D164" s="2" t="b" cm="1">
        <f t="array" ref="D164:O164">_xlfn._xlws.FILTER(IF(ancillary!$E$4:$P$8="",FALSE,ancillary!$E$4:$P$8),ancillary!$B$4:$B$8=$C164)</f>
        <v>1</v>
      </c>
      <c r="E164" s="2" t="b">
        <v>1</v>
      </c>
      <c r="F164" s="2" t="b">
        <v>1</v>
      </c>
      <c r="G164" s="2" t="b">
        <v>1</v>
      </c>
      <c r="H164" s="2" t="b">
        <v>1</v>
      </c>
      <c r="I164" s="2" t="b">
        <v>1</v>
      </c>
      <c r="J164" s="2" t="b">
        <v>0</v>
      </c>
      <c r="K164" s="2" t="b">
        <v>0</v>
      </c>
      <c r="L164" s="2" t="b">
        <v>0</v>
      </c>
      <c r="M164" s="2" t="b">
        <v>0</v>
      </c>
      <c r="N164" s="2" t="b">
        <v>0</v>
      </c>
      <c r="O164" s="2" t="b">
        <v>0</v>
      </c>
      <c r="P164" s="68"/>
      <c r="R164" s="69"/>
      <c r="S164" s="68"/>
      <c r="U164" s="69"/>
      <c r="V164" s="68"/>
      <c r="X164" s="69"/>
      <c r="Y164" s="68"/>
      <c r="AA164" s="69"/>
      <c r="AB164" s="33">
        <f t="shared" si="4"/>
        <v>0</v>
      </c>
      <c r="AC164" s="45">
        <f>_xlfn.LET(_xlpm.ps_1,P164:R164, _xlpm.ps_2,S164:U164, _xlpm.ps_3,V164:X164, _xlpm.ps_4,Y164:AA164,
_xlpm.phase, MID(C164,SEARCH("-",C164)+1,256),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(_xlfn.XLOOKUP($C$7,site_assumptions[Details],site_assumptions[Volts])*SUMIFS(P164:AA164,_xlfn.ANCHORARRAY(D164),TRUE)/10*0.95)/1000,
IFERROR(IF(_xlpm.phase="3Phase", _xlpm.p3_calc, _xlpm.sp_calc),0))</f>
        <v>0</v>
      </c>
      <c r="AD164" s="29" t="str">
        <f ca="1"/>
        <v>Bare Metal</v>
      </c>
      <c r="AE164" s="30" t="str">
        <f ca="1"/>
        <v>Bare Metal</v>
      </c>
      <c r="AF164" s="30" t="str">
        <f ca="1"/>
        <v>Live</v>
      </c>
      <c r="AG164" s="30">
        <f ca="1"/>
        <v>6</v>
      </c>
      <c r="AH164" s="31" t="str">
        <f ca="1"/>
        <v>Unknown</v>
      </c>
      <c r="AI164" s="49">
        <f t="shared" ca="1" si="5"/>
        <v>0</v>
      </c>
      <c r="AJ164" s="71">
        <f ca="1"/>
        <v>6.194</v>
      </c>
    </row>
    <row r="165" spans="2:36" x14ac:dyDescent="0.25">
      <c r="B165" s="29" t="str">
        <f ca="1"/>
        <v>dal10.sr01.rk154</v>
      </c>
      <c r="C165" s="10" t="s">
        <v>2070</v>
      </c>
      <c r="D165" s="2" t="b" cm="1">
        <f t="array" ref="D165:O165">_xlfn._xlws.FILTER(IF(ancillary!$E$4:$P$8="",FALSE,ancillary!$E$4:$P$8),ancillary!$B$4:$B$8=$C165)</f>
        <v>1</v>
      </c>
      <c r="E165" s="2" t="b">
        <v>1</v>
      </c>
      <c r="F165" s="2" t="b">
        <v>1</v>
      </c>
      <c r="G165" s="2" t="b">
        <v>1</v>
      </c>
      <c r="H165" s="2" t="b">
        <v>1</v>
      </c>
      <c r="I165" s="2" t="b">
        <v>1</v>
      </c>
      <c r="J165" s="2" t="b">
        <v>0</v>
      </c>
      <c r="K165" s="2" t="b">
        <v>0</v>
      </c>
      <c r="L165" s="2" t="b">
        <v>0</v>
      </c>
      <c r="M165" s="2" t="b">
        <v>0</v>
      </c>
      <c r="N165" s="2" t="b">
        <v>0</v>
      </c>
      <c r="O165" s="2" t="b">
        <v>0</v>
      </c>
      <c r="P165" s="68"/>
      <c r="R165" s="69"/>
      <c r="S165" s="68"/>
      <c r="U165" s="69"/>
      <c r="V165" s="68"/>
      <c r="X165" s="69"/>
      <c r="Y165" s="68"/>
      <c r="AA165" s="69"/>
      <c r="AB165" s="33">
        <f t="shared" si="4"/>
        <v>0</v>
      </c>
      <c r="AC165" s="45">
        <f>_xlfn.LET(_xlpm.ps_1,P165:R165, _xlpm.ps_2,S165:U165, _xlpm.ps_3,V165:X165, _xlpm.ps_4,Y165:AA165,
_xlpm.phase, MID(C165,SEARCH("-",C165)+1,256),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(_xlfn.XLOOKUP($C$7,site_assumptions[Details],site_assumptions[Volts])*SUMIFS(P165:AA165,_xlfn.ANCHORARRAY(D165),TRUE)/10*0.95)/1000,
IFERROR(IF(_xlpm.phase="3Phase", _xlpm.p3_calc, _xlpm.sp_calc),0))</f>
        <v>0</v>
      </c>
      <c r="AD165" s="29" t="str">
        <f ca="1"/>
        <v>Bare Metal</v>
      </c>
      <c r="AE165" s="30" t="str">
        <f ca="1"/>
        <v>Bare Metal</v>
      </c>
      <c r="AF165" s="30" t="str">
        <f ca="1"/>
        <v>Live</v>
      </c>
      <c r="AG165" s="30">
        <f ca="1"/>
        <v>6</v>
      </c>
      <c r="AH165" s="31" t="str">
        <f ca="1"/>
        <v>Unknown</v>
      </c>
      <c r="AI165" s="49">
        <f t="shared" ca="1" si="5"/>
        <v>0</v>
      </c>
      <c r="AJ165" s="71">
        <f ca="1"/>
        <v>4.7190000000000003</v>
      </c>
    </row>
    <row r="166" spans="2:36" x14ac:dyDescent="0.25">
      <c r="B166" s="29" t="str">
        <f ca="1"/>
        <v>dal10.sr01.rk155</v>
      </c>
      <c r="C166" s="10" t="s">
        <v>2070</v>
      </c>
      <c r="D166" s="2" t="b" cm="1">
        <f t="array" ref="D166:O166">_xlfn._xlws.FILTER(IF(ancillary!$E$4:$P$8="",FALSE,ancillary!$E$4:$P$8),ancillary!$B$4:$B$8=$C166)</f>
        <v>1</v>
      </c>
      <c r="E166" s="2" t="b">
        <v>1</v>
      </c>
      <c r="F166" s="2" t="b">
        <v>1</v>
      </c>
      <c r="G166" s="2" t="b">
        <v>1</v>
      </c>
      <c r="H166" s="2" t="b">
        <v>1</v>
      </c>
      <c r="I166" s="2" t="b">
        <v>1</v>
      </c>
      <c r="J166" s="2" t="b">
        <v>0</v>
      </c>
      <c r="K166" s="2" t="b">
        <v>0</v>
      </c>
      <c r="L166" s="2" t="b">
        <v>0</v>
      </c>
      <c r="M166" s="2" t="b">
        <v>0</v>
      </c>
      <c r="N166" s="2" t="b">
        <v>0</v>
      </c>
      <c r="O166" s="2" t="b">
        <v>0</v>
      </c>
      <c r="P166" s="68"/>
      <c r="R166" s="69"/>
      <c r="S166" s="68"/>
      <c r="U166" s="69"/>
      <c r="V166" s="68"/>
      <c r="X166" s="69"/>
      <c r="Y166" s="68"/>
      <c r="AA166" s="69"/>
      <c r="AB166" s="33">
        <f t="shared" si="4"/>
        <v>0</v>
      </c>
      <c r="AC166" s="45">
        <f>_xlfn.LET(_xlpm.ps_1,P166:R166, _xlpm.ps_2,S166:U166, _xlpm.ps_3,V166:X166, _xlpm.ps_4,Y166:AA166,
_xlpm.phase, MID(C166,SEARCH("-",C166)+1,256),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(_xlfn.XLOOKUP($C$7,site_assumptions[Details],site_assumptions[Volts])*SUMIFS(P166:AA166,_xlfn.ANCHORARRAY(D166),TRUE)/10*0.95)/1000,
IFERROR(IF(_xlpm.phase="3Phase", _xlpm.p3_calc, _xlpm.sp_calc),0))</f>
        <v>0</v>
      </c>
      <c r="AD166" s="29" t="str">
        <f ca="1"/>
        <v>Storage</v>
      </c>
      <c r="AE166" s="30" t="str">
        <f ca="1"/>
        <v>File/Block</v>
      </c>
      <c r="AF166" s="30" t="str">
        <f ca="1"/>
        <v>Live</v>
      </c>
      <c r="AG166" s="30">
        <f ca="1"/>
        <v>6</v>
      </c>
      <c r="AH166" s="31" t="str">
        <f ca="1"/>
        <v>Unknown</v>
      </c>
      <c r="AI166" s="49">
        <f t="shared" ca="1" si="5"/>
        <v>0</v>
      </c>
      <c r="AJ166" s="71">
        <f ca="1"/>
        <v>0</v>
      </c>
    </row>
    <row r="167" spans="2:36" x14ac:dyDescent="0.25">
      <c r="B167" s="29" t="str">
        <f ca="1"/>
        <v>dal10.sr01.rk156</v>
      </c>
      <c r="C167" s="10" t="s">
        <v>2070</v>
      </c>
      <c r="D167" s="2" t="b" cm="1">
        <f t="array" ref="D167:O167">_xlfn._xlws.FILTER(IF(ancillary!$E$4:$P$8="",FALSE,ancillary!$E$4:$P$8),ancillary!$B$4:$B$8=$C167)</f>
        <v>1</v>
      </c>
      <c r="E167" s="2" t="b">
        <v>1</v>
      </c>
      <c r="F167" s="2" t="b">
        <v>1</v>
      </c>
      <c r="G167" s="2" t="b">
        <v>1</v>
      </c>
      <c r="H167" s="2" t="b">
        <v>1</v>
      </c>
      <c r="I167" s="2" t="b">
        <v>1</v>
      </c>
      <c r="J167" s="2" t="b">
        <v>0</v>
      </c>
      <c r="K167" s="2" t="b">
        <v>0</v>
      </c>
      <c r="L167" s="2" t="b">
        <v>0</v>
      </c>
      <c r="M167" s="2" t="b">
        <v>0</v>
      </c>
      <c r="N167" s="2" t="b">
        <v>0</v>
      </c>
      <c r="O167" s="2" t="b">
        <v>0</v>
      </c>
      <c r="P167" s="68"/>
      <c r="R167" s="69"/>
      <c r="S167" s="68"/>
      <c r="U167" s="69"/>
      <c r="V167" s="68"/>
      <c r="X167" s="69"/>
      <c r="Y167" s="68"/>
      <c r="AA167" s="69"/>
      <c r="AB167" s="33">
        <f t="shared" si="4"/>
        <v>0</v>
      </c>
      <c r="AC167" s="45">
        <f>_xlfn.LET(_xlpm.ps_1,P167:R167, _xlpm.ps_2,S167:U167, _xlpm.ps_3,V167:X167, _xlpm.ps_4,Y167:AA167,
_xlpm.phase, MID(C167,SEARCH("-",C167)+1,256),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(_xlfn.XLOOKUP($C$7,site_assumptions[Details],site_assumptions[Volts])*SUMIFS(P167:AA167,_xlfn.ANCHORARRAY(D167),TRUE)/10*0.95)/1000,
IFERROR(IF(_xlpm.phase="3Phase", _xlpm.p3_calc, _xlpm.sp_calc),0))</f>
        <v>0</v>
      </c>
      <c r="AD167" s="29" t="str">
        <f ca="1"/>
        <v>Storage</v>
      </c>
      <c r="AE167" s="30" t="str">
        <f ca="1"/>
        <v>File/Block</v>
      </c>
      <c r="AF167" s="30" t="str">
        <f ca="1"/>
        <v>Live</v>
      </c>
      <c r="AG167" s="30">
        <f ca="1"/>
        <v>6</v>
      </c>
      <c r="AH167" s="31" t="str">
        <f ca="1"/>
        <v>Unknown</v>
      </c>
      <c r="AI167" s="49">
        <f t="shared" ca="1" si="5"/>
        <v>0</v>
      </c>
      <c r="AJ167" s="71">
        <f ca="1"/>
        <v>0</v>
      </c>
    </row>
    <row r="168" spans="2:36" x14ac:dyDescent="0.25">
      <c r="B168" s="29" t="str">
        <f ca="1"/>
        <v>dal10.sr01.rk157</v>
      </c>
      <c r="C168" s="10" t="s">
        <v>2070</v>
      </c>
      <c r="D168" s="2" t="b" cm="1">
        <f t="array" ref="D168:O168">_xlfn._xlws.FILTER(IF(ancillary!$E$4:$P$8="",FALSE,ancillary!$E$4:$P$8),ancillary!$B$4:$B$8=$C168)</f>
        <v>1</v>
      </c>
      <c r="E168" s="2" t="b">
        <v>1</v>
      </c>
      <c r="F168" s="2" t="b">
        <v>1</v>
      </c>
      <c r="G168" s="2" t="b">
        <v>1</v>
      </c>
      <c r="H168" s="2" t="b">
        <v>1</v>
      </c>
      <c r="I168" s="2" t="b">
        <v>1</v>
      </c>
      <c r="J168" s="2" t="b">
        <v>0</v>
      </c>
      <c r="K168" s="2" t="b">
        <v>0</v>
      </c>
      <c r="L168" s="2" t="b">
        <v>0</v>
      </c>
      <c r="M168" s="2" t="b">
        <v>0</v>
      </c>
      <c r="N168" s="2" t="b">
        <v>0</v>
      </c>
      <c r="O168" s="2" t="b">
        <v>0</v>
      </c>
      <c r="P168" s="68"/>
      <c r="R168" s="69"/>
      <c r="S168" s="68"/>
      <c r="U168" s="69"/>
      <c r="V168" s="68"/>
      <c r="X168" s="69"/>
      <c r="Y168" s="68"/>
      <c r="AA168" s="69"/>
      <c r="AB168" s="33">
        <f t="shared" si="4"/>
        <v>0</v>
      </c>
      <c r="AC168" s="45">
        <f>_xlfn.LET(_xlpm.ps_1,P168:R168, _xlpm.ps_2,S168:U168, _xlpm.ps_3,V168:X168, _xlpm.ps_4,Y168:AA168,
_xlpm.phase, MID(C168,SEARCH("-",C168)+1,256),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(_xlfn.XLOOKUP($C$7,site_assumptions[Details],site_assumptions[Volts])*SUMIFS(P168:AA168,_xlfn.ANCHORARRAY(D168),TRUE)/10*0.95)/1000,
IFERROR(IF(_xlpm.phase="3Phase", _xlpm.p3_calc, _xlpm.sp_calc),0))</f>
        <v>0</v>
      </c>
      <c r="AD168" s="29" t="str">
        <f ca="1"/>
        <v>Storage</v>
      </c>
      <c r="AE168" s="30" t="str">
        <f ca="1"/>
        <v>File/Block</v>
      </c>
      <c r="AF168" s="30" t="str">
        <f ca="1"/>
        <v>Live</v>
      </c>
      <c r="AG168" s="30">
        <f ca="1"/>
        <v>6</v>
      </c>
      <c r="AH168" s="31" t="str">
        <f ca="1"/>
        <v>Unknown</v>
      </c>
      <c r="AI168" s="49">
        <f t="shared" ca="1" si="5"/>
        <v>0</v>
      </c>
      <c r="AJ168" s="71">
        <f ca="1"/>
        <v>0</v>
      </c>
    </row>
    <row r="169" spans="2:36" x14ac:dyDescent="0.25">
      <c r="B169" s="29" t="str">
        <f ca="1"/>
        <v>dal10.sr01.rk158</v>
      </c>
      <c r="C169" s="10" t="s">
        <v>2070</v>
      </c>
      <c r="D169" s="2" t="b" cm="1">
        <f t="array" ref="D169:O169">_xlfn._xlws.FILTER(IF(ancillary!$E$4:$P$8="",FALSE,ancillary!$E$4:$P$8),ancillary!$B$4:$B$8=$C169)</f>
        <v>1</v>
      </c>
      <c r="E169" s="2" t="b">
        <v>1</v>
      </c>
      <c r="F169" s="2" t="b">
        <v>1</v>
      </c>
      <c r="G169" s="2" t="b">
        <v>1</v>
      </c>
      <c r="H169" s="2" t="b">
        <v>1</v>
      </c>
      <c r="I169" s="2" t="b">
        <v>1</v>
      </c>
      <c r="J169" s="2" t="b">
        <v>0</v>
      </c>
      <c r="K169" s="2" t="b">
        <v>0</v>
      </c>
      <c r="L169" s="2" t="b">
        <v>0</v>
      </c>
      <c r="M169" s="2" t="b">
        <v>0</v>
      </c>
      <c r="N169" s="2" t="b">
        <v>0</v>
      </c>
      <c r="O169" s="2" t="b">
        <v>0</v>
      </c>
      <c r="P169" s="68"/>
      <c r="R169" s="69"/>
      <c r="S169" s="68"/>
      <c r="U169" s="69"/>
      <c r="V169" s="68"/>
      <c r="X169" s="69"/>
      <c r="Y169" s="68"/>
      <c r="AA169" s="69"/>
      <c r="AB169" s="33">
        <f t="shared" si="4"/>
        <v>0</v>
      </c>
      <c r="AC169" s="45">
        <f>_xlfn.LET(_xlpm.ps_1,P169:R169, _xlpm.ps_2,S169:U169, _xlpm.ps_3,V169:X169, _xlpm.ps_4,Y169:AA169,
_xlpm.phase, MID(C169,SEARCH("-",C169)+1,256),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(_xlfn.XLOOKUP($C$7,site_assumptions[Details],site_assumptions[Volts])*SUMIFS(P169:AA169,_xlfn.ANCHORARRAY(D169),TRUE)/10*0.95)/1000,
IFERROR(IF(_xlpm.phase="3Phase", _xlpm.p3_calc, _xlpm.sp_calc),0))</f>
        <v>0</v>
      </c>
      <c r="AD169" s="29" t="str">
        <f ca="1"/>
        <v>Storage</v>
      </c>
      <c r="AE169" s="30" t="str">
        <f ca="1"/>
        <v>File/Block</v>
      </c>
      <c r="AF169" s="30" t="str">
        <f ca="1"/>
        <v>Live</v>
      </c>
      <c r="AG169" s="30">
        <f ca="1"/>
        <v>6</v>
      </c>
      <c r="AH169" s="31" t="str">
        <f ca="1"/>
        <v>Unknown</v>
      </c>
      <c r="AI169" s="49">
        <f t="shared" ca="1" si="5"/>
        <v>0</v>
      </c>
      <c r="AJ169" s="71">
        <f ca="1"/>
        <v>0</v>
      </c>
    </row>
    <row r="170" spans="2:36" x14ac:dyDescent="0.25">
      <c r="B170" s="29" t="str">
        <f ca="1"/>
        <v>dal10.sr01.rk159</v>
      </c>
      <c r="C170" s="10" t="s">
        <v>2070</v>
      </c>
      <c r="D170" s="2" t="b" cm="1">
        <f t="array" ref="D170:O170">_xlfn._xlws.FILTER(IF(ancillary!$E$4:$P$8="",FALSE,ancillary!$E$4:$P$8),ancillary!$B$4:$B$8=$C170)</f>
        <v>1</v>
      </c>
      <c r="E170" s="2" t="b">
        <v>1</v>
      </c>
      <c r="F170" s="2" t="b">
        <v>1</v>
      </c>
      <c r="G170" s="2" t="b">
        <v>1</v>
      </c>
      <c r="H170" s="2" t="b">
        <v>1</v>
      </c>
      <c r="I170" s="2" t="b">
        <v>1</v>
      </c>
      <c r="J170" s="2" t="b">
        <v>0</v>
      </c>
      <c r="K170" s="2" t="b">
        <v>0</v>
      </c>
      <c r="L170" s="2" t="b">
        <v>0</v>
      </c>
      <c r="M170" s="2" t="b">
        <v>0</v>
      </c>
      <c r="N170" s="2" t="b">
        <v>0</v>
      </c>
      <c r="O170" s="2" t="b">
        <v>0</v>
      </c>
      <c r="P170" s="68"/>
      <c r="R170" s="69"/>
      <c r="S170" s="68"/>
      <c r="U170" s="69"/>
      <c r="V170" s="68"/>
      <c r="X170" s="69"/>
      <c r="Y170" s="68"/>
      <c r="AA170" s="69"/>
      <c r="AB170" s="33">
        <f t="shared" si="4"/>
        <v>0</v>
      </c>
      <c r="AC170" s="45">
        <f>_xlfn.LET(_xlpm.ps_1,P170:R170, _xlpm.ps_2,S170:U170, _xlpm.ps_3,V170:X170, _xlpm.ps_4,Y170:AA170,
_xlpm.phase, MID(C170,SEARCH("-",C170)+1,256),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(_xlfn.XLOOKUP($C$7,site_assumptions[Details],site_assumptions[Volts])*SUMIFS(P170:AA170,_xlfn.ANCHORARRAY(D170),TRUE)/10*0.95)/1000,
IFERROR(IF(_xlpm.phase="3Phase", _xlpm.p3_calc, _xlpm.sp_calc),0))</f>
        <v>0</v>
      </c>
      <c r="AD170" s="29" t="str">
        <f ca="1"/>
        <v>Storage</v>
      </c>
      <c r="AE170" s="30" t="str">
        <f ca="1"/>
        <v>Misc.</v>
      </c>
      <c r="AF170" s="30" t="str">
        <f ca="1"/>
        <v>Live</v>
      </c>
      <c r="AG170" s="30">
        <f ca="1"/>
        <v>6</v>
      </c>
      <c r="AH170" s="31" t="str">
        <f ca="1"/>
        <v>Unknown</v>
      </c>
      <c r="AI170" s="49">
        <f t="shared" ca="1" si="5"/>
        <v>0</v>
      </c>
      <c r="AJ170" s="71">
        <f ca="1"/>
        <v>0</v>
      </c>
    </row>
    <row r="171" spans="2:36" x14ac:dyDescent="0.25">
      <c r="B171" s="29" t="str">
        <f ca="1"/>
        <v>dal10.sr01.rk160</v>
      </c>
      <c r="C171" s="10" t="s">
        <v>2070</v>
      </c>
      <c r="D171" s="2" t="b" cm="1">
        <f t="array" ref="D171:O171">_xlfn._xlws.FILTER(IF(ancillary!$E$4:$P$8="",FALSE,ancillary!$E$4:$P$8),ancillary!$B$4:$B$8=$C171)</f>
        <v>1</v>
      </c>
      <c r="E171" s="2" t="b">
        <v>1</v>
      </c>
      <c r="F171" s="2" t="b">
        <v>1</v>
      </c>
      <c r="G171" s="2" t="b">
        <v>1</v>
      </c>
      <c r="H171" s="2" t="b">
        <v>1</v>
      </c>
      <c r="I171" s="2" t="b">
        <v>1</v>
      </c>
      <c r="J171" s="2" t="b">
        <v>0</v>
      </c>
      <c r="K171" s="2" t="b">
        <v>0</v>
      </c>
      <c r="L171" s="2" t="b">
        <v>0</v>
      </c>
      <c r="M171" s="2" t="b">
        <v>0</v>
      </c>
      <c r="N171" s="2" t="b">
        <v>0</v>
      </c>
      <c r="O171" s="2" t="b">
        <v>0</v>
      </c>
      <c r="P171" s="68"/>
      <c r="R171" s="69"/>
      <c r="S171" s="68"/>
      <c r="U171" s="69"/>
      <c r="V171" s="68"/>
      <c r="X171" s="69"/>
      <c r="Y171" s="68"/>
      <c r="AA171" s="69"/>
      <c r="AB171" s="33">
        <f t="shared" si="4"/>
        <v>0</v>
      </c>
      <c r="AC171" s="45">
        <f>_xlfn.LET(_xlpm.ps_1,P171:R171, _xlpm.ps_2,S171:U171, _xlpm.ps_3,V171:X171, _xlpm.ps_4,Y171:AA171,
_xlpm.phase, MID(C171,SEARCH("-",C171)+1,256),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(_xlfn.XLOOKUP($C$7,site_assumptions[Details],site_assumptions[Volts])*SUMIFS(P171:AA171,_xlfn.ANCHORARRAY(D171),TRUE)/10*0.95)/1000,
IFERROR(IF(_xlpm.phase="3Phase", _xlpm.p3_calc, _xlpm.sp_calc),0))</f>
        <v>0</v>
      </c>
      <c r="AD171" s="29" t="str">
        <f ca="1"/>
        <v>Storage</v>
      </c>
      <c r="AE171" s="30" t="str">
        <f ca="1"/>
        <v>Misc.</v>
      </c>
      <c r="AF171" s="30" t="str">
        <f ca="1"/>
        <v>Live</v>
      </c>
      <c r="AG171" s="30">
        <f ca="1"/>
        <v>6</v>
      </c>
      <c r="AH171" s="31" t="str">
        <f ca="1"/>
        <v>Unknown</v>
      </c>
      <c r="AI171" s="49">
        <f t="shared" ca="1" si="5"/>
        <v>0</v>
      </c>
      <c r="AJ171" s="71">
        <f ca="1"/>
        <v>0</v>
      </c>
    </row>
    <row r="172" spans="2:36" x14ac:dyDescent="0.25">
      <c r="B172" s="29" t="str">
        <f ca="1"/>
        <v>dal10.sr01.rk161</v>
      </c>
      <c r="C172" s="10" t="s">
        <v>2070</v>
      </c>
      <c r="D172" s="2" t="b" cm="1">
        <f t="array" ref="D172:O172">_xlfn._xlws.FILTER(IF(ancillary!$E$4:$P$8="",FALSE,ancillary!$E$4:$P$8),ancillary!$B$4:$B$8=$C172)</f>
        <v>1</v>
      </c>
      <c r="E172" s="2" t="b">
        <v>1</v>
      </c>
      <c r="F172" s="2" t="b">
        <v>1</v>
      </c>
      <c r="G172" s="2" t="b">
        <v>1</v>
      </c>
      <c r="H172" s="2" t="b">
        <v>1</v>
      </c>
      <c r="I172" s="2" t="b">
        <v>1</v>
      </c>
      <c r="J172" s="2" t="b">
        <v>0</v>
      </c>
      <c r="K172" s="2" t="b">
        <v>0</v>
      </c>
      <c r="L172" s="2" t="b">
        <v>0</v>
      </c>
      <c r="M172" s="2" t="b">
        <v>0</v>
      </c>
      <c r="N172" s="2" t="b">
        <v>0</v>
      </c>
      <c r="O172" s="2" t="b">
        <v>0</v>
      </c>
      <c r="P172" s="68"/>
      <c r="R172" s="69"/>
      <c r="S172" s="68"/>
      <c r="U172" s="69"/>
      <c r="V172" s="68"/>
      <c r="X172" s="69"/>
      <c r="Y172" s="68"/>
      <c r="AA172" s="69"/>
      <c r="AB172" s="33">
        <f t="shared" si="4"/>
        <v>0</v>
      </c>
      <c r="AC172" s="45">
        <f>_xlfn.LET(_xlpm.ps_1,P172:R172, _xlpm.ps_2,S172:U172, _xlpm.ps_3,V172:X172, _xlpm.ps_4,Y172:AA172,
_xlpm.phase, MID(C172,SEARCH("-",C172)+1,256),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(_xlfn.XLOOKUP($C$7,site_assumptions[Details],site_assumptions[Volts])*SUMIFS(P172:AA172,_xlfn.ANCHORARRAY(D172),TRUE)/10*0.95)/1000,
IFERROR(IF(_xlpm.phase="3Phase", _xlpm.p3_calc, _xlpm.sp_calc),0))</f>
        <v>0</v>
      </c>
      <c r="AD172" s="29" t="str">
        <f ca="1"/>
        <v>Storage</v>
      </c>
      <c r="AE172" s="30" t="str">
        <f ca="1"/>
        <v>Misc.</v>
      </c>
      <c r="AF172" s="30" t="str">
        <f ca="1"/>
        <v>Planned</v>
      </c>
      <c r="AG172" s="30">
        <f ca="1"/>
        <v>6</v>
      </c>
      <c r="AH172" s="31" t="str">
        <f ca="1"/>
        <v>Unknown</v>
      </c>
      <c r="AI172" s="49">
        <f t="shared" ca="1" si="5"/>
        <v>0</v>
      </c>
      <c r="AJ172" s="71">
        <f ca="1"/>
        <v>0</v>
      </c>
    </row>
    <row r="173" spans="2:36" x14ac:dyDescent="0.25">
      <c r="B173" s="29" t="str">
        <f ca="1"/>
        <v>dal10.sr01.rk162</v>
      </c>
      <c r="C173" s="10" t="s">
        <v>2070</v>
      </c>
      <c r="D173" s="2" t="b" cm="1">
        <f t="array" ref="D173:O173">_xlfn._xlws.FILTER(IF(ancillary!$E$4:$P$8="",FALSE,ancillary!$E$4:$P$8),ancillary!$B$4:$B$8=$C173)</f>
        <v>1</v>
      </c>
      <c r="E173" s="2" t="b">
        <v>1</v>
      </c>
      <c r="F173" s="2" t="b">
        <v>1</v>
      </c>
      <c r="G173" s="2" t="b">
        <v>1</v>
      </c>
      <c r="H173" s="2" t="b">
        <v>1</v>
      </c>
      <c r="I173" s="2" t="b">
        <v>1</v>
      </c>
      <c r="J173" s="2" t="b">
        <v>0</v>
      </c>
      <c r="K173" s="2" t="b">
        <v>0</v>
      </c>
      <c r="L173" s="2" t="b">
        <v>0</v>
      </c>
      <c r="M173" s="2" t="b">
        <v>0</v>
      </c>
      <c r="N173" s="2" t="b">
        <v>0</v>
      </c>
      <c r="O173" s="2" t="b">
        <v>0</v>
      </c>
      <c r="P173" s="68"/>
      <c r="R173" s="69"/>
      <c r="S173" s="68"/>
      <c r="U173" s="69"/>
      <c r="V173" s="68"/>
      <c r="X173" s="69"/>
      <c r="Y173" s="68"/>
      <c r="AA173" s="69"/>
      <c r="AB173" s="33">
        <f t="shared" si="4"/>
        <v>0</v>
      </c>
      <c r="AC173" s="45">
        <f>_xlfn.LET(_xlpm.ps_1,P173:R173, _xlpm.ps_2,S173:U173, _xlpm.ps_3,V173:X173, _xlpm.ps_4,Y173:AA173,
_xlpm.phase, MID(C173,SEARCH("-",C173)+1,256),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(_xlfn.XLOOKUP($C$7,site_assumptions[Details],site_assumptions[Volts])*SUMIFS(P173:AA173,_xlfn.ANCHORARRAY(D173),TRUE)/10*0.95)/1000,
IFERROR(IF(_xlpm.phase="3Phase", _xlpm.p3_calc, _xlpm.sp_calc),0))</f>
        <v>0</v>
      </c>
      <c r="AD173" s="29" t="str">
        <f ca="1"/>
        <v>Storage</v>
      </c>
      <c r="AE173" s="30" t="str">
        <f ca="1"/>
        <v>File/Block</v>
      </c>
      <c r="AF173" s="30" t="str">
        <f ca="1"/>
        <v>Planned</v>
      </c>
      <c r="AG173" s="30">
        <f ca="1"/>
        <v>6</v>
      </c>
      <c r="AH173" s="31" t="str">
        <f ca="1"/>
        <v>Unknown</v>
      </c>
      <c r="AI173" s="49">
        <f t="shared" ca="1" si="5"/>
        <v>0</v>
      </c>
      <c r="AJ173" s="71">
        <f ca="1"/>
        <v>0</v>
      </c>
    </row>
    <row r="174" spans="2:36" x14ac:dyDescent="0.25">
      <c r="B174" s="29" t="str">
        <f ca="1"/>
        <v>dal10.sr01.rk163</v>
      </c>
      <c r="C174" s="10" t="s">
        <v>2070</v>
      </c>
      <c r="D174" s="2" t="b" cm="1">
        <f t="array" ref="D174:O174">_xlfn._xlws.FILTER(IF(ancillary!$E$4:$P$8="",FALSE,ancillary!$E$4:$P$8),ancillary!$B$4:$B$8=$C174)</f>
        <v>1</v>
      </c>
      <c r="E174" s="2" t="b">
        <v>1</v>
      </c>
      <c r="F174" s="2" t="b">
        <v>1</v>
      </c>
      <c r="G174" s="2" t="b">
        <v>1</v>
      </c>
      <c r="H174" s="2" t="b">
        <v>1</v>
      </c>
      <c r="I174" s="2" t="b">
        <v>1</v>
      </c>
      <c r="J174" s="2" t="b">
        <v>0</v>
      </c>
      <c r="K174" s="2" t="b">
        <v>0</v>
      </c>
      <c r="L174" s="2" t="b">
        <v>0</v>
      </c>
      <c r="M174" s="2" t="b">
        <v>0</v>
      </c>
      <c r="N174" s="2" t="b">
        <v>0</v>
      </c>
      <c r="O174" s="2" t="b">
        <v>0</v>
      </c>
      <c r="P174" s="68"/>
      <c r="R174" s="69"/>
      <c r="S174" s="68"/>
      <c r="U174" s="69"/>
      <c r="V174" s="68"/>
      <c r="X174" s="69"/>
      <c r="Y174" s="68"/>
      <c r="AA174" s="69"/>
      <c r="AB174" s="33">
        <f t="shared" si="4"/>
        <v>0</v>
      </c>
      <c r="AC174" s="45">
        <f>_xlfn.LET(_xlpm.ps_1,P174:R174, _xlpm.ps_2,S174:U174, _xlpm.ps_3,V174:X174, _xlpm.ps_4,Y174:AA174,
_xlpm.phase, MID(C174,SEARCH("-",C174)+1,256),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(_xlfn.XLOOKUP($C$7,site_assumptions[Details],site_assumptions[Volts])*SUMIFS(P174:AA174,_xlfn.ANCHORARRAY(D174),TRUE)/10*0.95)/1000,
IFERROR(IF(_xlpm.phase="3Phase", _xlpm.p3_calc, _xlpm.sp_calc),0))</f>
        <v>0</v>
      </c>
      <c r="AD174" s="29" t="str">
        <f ca="1"/>
        <v>Storage</v>
      </c>
      <c r="AE174" s="30" t="str">
        <f ca="1"/>
        <v>File/Block</v>
      </c>
      <c r="AF174" s="30" t="str">
        <f ca="1"/>
        <v>Live</v>
      </c>
      <c r="AG174" s="30">
        <f ca="1"/>
        <v>6</v>
      </c>
      <c r="AH174" s="31" t="str">
        <f ca="1"/>
        <v>Unknown</v>
      </c>
      <c r="AI174" s="49">
        <f t="shared" ca="1" si="5"/>
        <v>0</v>
      </c>
      <c r="AJ174" s="71">
        <f ca="1"/>
        <v>0</v>
      </c>
    </row>
    <row r="175" spans="2:36" x14ac:dyDescent="0.25">
      <c r="B175" s="29" t="str">
        <f ca="1"/>
        <v>dal10.sr01.rk164</v>
      </c>
      <c r="C175" s="10" t="s">
        <v>2070</v>
      </c>
      <c r="D175" s="2" t="b" cm="1">
        <f t="array" ref="D175:O175">_xlfn._xlws.FILTER(IF(ancillary!$E$4:$P$8="",FALSE,ancillary!$E$4:$P$8),ancillary!$B$4:$B$8=$C175)</f>
        <v>1</v>
      </c>
      <c r="E175" s="2" t="b">
        <v>1</v>
      </c>
      <c r="F175" s="2" t="b">
        <v>1</v>
      </c>
      <c r="G175" s="2" t="b">
        <v>1</v>
      </c>
      <c r="H175" s="2" t="b">
        <v>1</v>
      </c>
      <c r="I175" s="2" t="b">
        <v>1</v>
      </c>
      <c r="J175" s="2" t="b">
        <v>0</v>
      </c>
      <c r="K175" s="2" t="b">
        <v>0</v>
      </c>
      <c r="L175" s="2" t="b">
        <v>0</v>
      </c>
      <c r="M175" s="2" t="b">
        <v>0</v>
      </c>
      <c r="N175" s="2" t="b">
        <v>0</v>
      </c>
      <c r="O175" s="2" t="b">
        <v>0</v>
      </c>
      <c r="P175" s="68"/>
      <c r="R175" s="69"/>
      <c r="S175" s="68"/>
      <c r="U175" s="69"/>
      <c r="V175" s="68"/>
      <c r="X175" s="69"/>
      <c r="Y175" s="68"/>
      <c r="AA175" s="69"/>
      <c r="AB175" s="33">
        <f t="shared" si="4"/>
        <v>0</v>
      </c>
      <c r="AC175" s="45">
        <f>_xlfn.LET(_xlpm.ps_1,P175:R175, _xlpm.ps_2,S175:U175, _xlpm.ps_3,V175:X175, _xlpm.ps_4,Y175:AA175,
_xlpm.phase, MID(C175,SEARCH("-",C175)+1,256),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(_xlfn.XLOOKUP($C$7,site_assumptions[Details],site_assumptions[Volts])*SUMIFS(P175:AA175,_xlfn.ANCHORARRAY(D175),TRUE)/10*0.95)/1000,
IFERROR(IF(_xlpm.phase="3Phase", _xlpm.p3_calc, _xlpm.sp_calc),0))</f>
        <v>0</v>
      </c>
      <c r="AD175" s="29" t="str">
        <f ca="1"/>
        <v>Storage</v>
      </c>
      <c r="AE175" s="30" t="str">
        <f ca="1"/>
        <v>File/Block</v>
      </c>
      <c r="AF175" s="30" t="str">
        <f ca="1"/>
        <v>Live</v>
      </c>
      <c r="AG175" s="30">
        <f ca="1"/>
        <v>6</v>
      </c>
      <c r="AH175" s="31" t="str">
        <f ca="1"/>
        <v>Unknown</v>
      </c>
      <c r="AI175" s="49">
        <f t="shared" ca="1" si="5"/>
        <v>0</v>
      </c>
      <c r="AJ175" s="71">
        <f ca="1"/>
        <v>0</v>
      </c>
    </row>
    <row r="176" spans="2:36" x14ac:dyDescent="0.25">
      <c r="B176" s="29" t="str">
        <f ca="1"/>
        <v>dal10.sr01.rk165</v>
      </c>
      <c r="C176" s="10" t="s">
        <v>2070</v>
      </c>
      <c r="D176" s="2" t="b" cm="1">
        <f t="array" ref="D176:O176">_xlfn._xlws.FILTER(IF(ancillary!$E$4:$P$8="",FALSE,ancillary!$E$4:$P$8),ancillary!$B$4:$B$8=$C176)</f>
        <v>1</v>
      </c>
      <c r="E176" s="2" t="b">
        <v>1</v>
      </c>
      <c r="F176" s="2" t="b">
        <v>1</v>
      </c>
      <c r="G176" s="2" t="b">
        <v>1</v>
      </c>
      <c r="H176" s="2" t="b">
        <v>1</v>
      </c>
      <c r="I176" s="2" t="b">
        <v>1</v>
      </c>
      <c r="J176" s="2" t="b">
        <v>0</v>
      </c>
      <c r="K176" s="2" t="b">
        <v>0</v>
      </c>
      <c r="L176" s="2" t="b">
        <v>0</v>
      </c>
      <c r="M176" s="2" t="b">
        <v>0</v>
      </c>
      <c r="N176" s="2" t="b">
        <v>0</v>
      </c>
      <c r="O176" s="2" t="b">
        <v>0</v>
      </c>
      <c r="P176" s="68"/>
      <c r="R176" s="69"/>
      <c r="S176" s="68"/>
      <c r="U176" s="69"/>
      <c r="V176" s="68"/>
      <c r="X176" s="69"/>
      <c r="Y176" s="68"/>
      <c r="AA176" s="69"/>
      <c r="AB176" s="33">
        <f t="shared" si="4"/>
        <v>0</v>
      </c>
      <c r="AC176" s="45">
        <f>_xlfn.LET(_xlpm.ps_1,P176:R176, _xlpm.ps_2,S176:U176, _xlpm.ps_3,V176:X176, _xlpm.ps_4,Y176:AA176,
_xlpm.phase, MID(C176,SEARCH("-",C176)+1,256),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(_xlfn.XLOOKUP($C$7,site_assumptions[Details],site_assumptions[Volts])*SUMIFS(P176:AA176,_xlfn.ANCHORARRAY(D176),TRUE)/10*0.95)/1000,
IFERROR(IF(_xlpm.phase="3Phase", _xlpm.p3_calc, _xlpm.sp_calc),0))</f>
        <v>0</v>
      </c>
      <c r="AD176" s="29" t="str">
        <f ca="1"/>
        <v>Storage</v>
      </c>
      <c r="AE176" s="30" t="str">
        <f ca="1"/>
        <v>File/Block</v>
      </c>
      <c r="AF176" s="30" t="str">
        <f ca="1"/>
        <v>Live</v>
      </c>
      <c r="AG176" s="30">
        <f ca="1"/>
        <v>6</v>
      </c>
      <c r="AH176" s="31" t="str">
        <f ca="1"/>
        <v>Unknown</v>
      </c>
      <c r="AI176" s="49">
        <f t="shared" ca="1" si="5"/>
        <v>0</v>
      </c>
      <c r="AJ176" s="71">
        <f ca="1"/>
        <v>0</v>
      </c>
    </row>
    <row r="177" spans="2:36" x14ac:dyDescent="0.25">
      <c r="B177" s="29" t="str">
        <f ca="1"/>
        <v>dal10.sr01.rk166</v>
      </c>
      <c r="C177" s="10" t="s">
        <v>2070</v>
      </c>
      <c r="D177" s="2" t="b" cm="1">
        <f t="array" ref="D177:O177">_xlfn._xlws.FILTER(IF(ancillary!$E$4:$P$8="",FALSE,ancillary!$E$4:$P$8),ancillary!$B$4:$B$8=$C177)</f>
        <v>1</v>
      </c>
      <c r="E177" s="2" t="b">
        <v>1</v>
      </c>
      <c r="F177" s="2" t="b">
        <v>1</v>
      </c>
      <c r="G177" s="2" t="b">
        <v>1</v>
      </c>
      <c r="H177" s="2" t="b">
        <v>1</v>
      </c>
      <c r="I177" s="2" t="b">
        <v>1</v>
      </c>
      <c r="J177" s="2" t="b">
        <v>0</v>
      </c>
      <c r="K177" s="2" t="b">
        <v>0</v>
      </c>
      <c r="L177" s="2" t="b">
        <v>0</v>
      </c>
      <c r="M177" s="2" t="b">
        <v>0</v>
      </c>
      <c r="N177" s="2" t="b">
        <v>0</v>
      </c>
      <c r="O177" s="2" t="b">
        <v>0</v>
      </c>
      <c r="P177" s="68"/>
      <c r="R177" s="69"/>
      <c r="S177" s="68"/>
      <c r="U177" s="69"/>
      <c r="V177" s="68"/>
      <c r="X177" s="69"/>
      <c r="Y177" s="68"/>
      <c r="AA177" s="69"/>
      <c r="AB177" s="33">
        <f t="shared" si="4"/>
        <v>0</v>
      </c>
      <c r="AC177" s="45">
        <f>_xlfn.LET(_xlpm.ps_1,P177:R177, _xlpm.ps_2,S177:U177, _xlpm.ps_3,V177:X177, _xlpm.ps_4,Y177:AA177,
_xlpm.phase, MID(C177,SEARCH("-",C177)+1,256),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(_xlfn.XLOOKUP($C$7,site_assumptions[Details],site_assumptions[Volts])*SUMIFS(P177:AA177,_xlfn.ANCHORARRAY(D177),TRUE)/10*0.95)/1000,
IFERROR(IF(_xlpm.phase="3Phase", _xlpm.p3_calc, _xlpm.sp_calc),0))</f>
        <v>0</v>
      </c>
      <c r="AD177" s="29" t="str">
        <f ca="1"/>
        <v>Storage</v>
      </c>
      <c r="AE177" s="30" t="str">
        <f ca="1"/>
        <v>COS</v>
      </c>
      <c r="AF177" s="30" t="str">
        <f ca="1"/>
        <v>Live</v>
      </c>
      <c r="AG177" s="30">
        <f ca="1"/>
        <v>6</v>
      </c>
      <c r="AH177" s="31" t="str">
        <f ca="1"/>
        <v>Unknown</v>
      </c>
      <c r="AI177" s="49">
        <f t="shared" ca="1" si="5"/>
        <v>0</v>
      </c>
      <c r="AJ177" s="71">
        <f ca="1"/>
        <v>0</v>
      </c>
    </row>
    <row r="178" spans="2:36" x14ac:dyDescent="0.25">
      <c r="B178" s="29" t="str">
        <f ca="1"/>
        <v>dal10.sr01.rk167</v>
      </c>
      <c r="C178" s="10" t="s">
        <v>2070</v>
      </c>
      <c r="D178" s="2" t="b" cm="1">
        <f t="array" ref="D178:O178">_xlfn._xlws.FILTER(IF(ancillary!$E$4:$P$8="",FALSE,ancillary!$E$4:$P$8),ancillary!$B$4:$B$8=$C178)</f>
        <v>1</v>
      </c>
      <c r="E178" s="2" t="b">
        <v>1</v>
      </c>
      <c r="F178" s="2" t="b">
        <v>1</v>
      </c>
      <c r="G178" s="2" t="b">
        <v>1</v>
      </c>
      <c r="H178" s="2" t="b">
        <v>1</v>
      </c>
      <c r="I178" s="2" t="b">
        <v>1</v>
      </c>
      <c r="J178" s="2" t="b">
        <v>0</v>
      </c>
      <c r="K178" s="2" t="b">
        <v>0</v>
      </c>
      <c r="L178" s="2" t="b">
        <v>0</v>
      </c>
      <c r="M178" s="2" t="b">
        <v>0</v>
      </c>
      <c r="N178" s="2" t="b">
        <v>0</v>
      </c>
      <c r="O178" s="2" t="b">
        <v>0</v>
      </c>
      <c r="P178" s="68"/>
      <c r="R178" s="69"/>
      <c r="S178" s="68"/>
      <c r="U178" s="69"/>
      <c r="V178" s="68"/>
      <c r="X178" s="69"/>
      <c r="Y178" s="68"/>
      <c r="AA178" s="69"/>
      <c r="AB178" s="33">
        <f t="shared" si="4"/>
        <v>0</v>
      </c>
      <c r="AC178" s="45">
        <f>_xlfn.LET(_xlpm.ps_1,P178:R178, _xlpm.ps_2,S178:U178, _xlpm.ps_3,V178:X178, _xlpm.ps_4,Y178:AA178,
_xlpm.phase, MID(C178,SEARCH("-",C178)+1,256),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(_xlfn.XLOOKUP($C$7,site_assumptions[Details],site_assumptions[Volts])*SUMIFS(P178:AA178,_xlfn.ANCHORARRAY(D178),TRUE)/10*0.95)/1000,
IFERROR(IF(_xlpm.phase="3Phase", _xlpm.p3_calc, _xlpm.sp_calc),0))</f>
        <v>0</v>
      </c>
      <c r="AD178" s="29" t="str">
        <f ca="1"/>
        <v>Storage</v>
      </c>
      <c r="AE178" s="30" t="str">
        <f ca="1"/>
        <v>COS</v>
      </c>
      <c r="AF178" s="30" t="str">
        <f ca="1"/>
        <v>Live</v>
      </c>
      <c r="AG178" s="30">
        <f ca="1"/>
        <v>6</v>
      </c>
      <c r="AH178" s="31" t="str">
        <f ca="1"/>
        <v>Unknown</v>
      </c>
      <c r="AI178" s="49">
        <f t="shared" ca="1" si="5"/>
        <v>0</v>
      </c>
      <c r="AJ178" s="71">
        <f ca="1"/>
        <v>0</v>
      </c>
    </row>
    <row r="179" spans="2:36" x14ac:dyDescent="0.25">
      <c r="B179" s="29" t="str">
        <f ca="1"/>
        <v>dal10.sr01.rk168</v>
      </c>
      <c r="C179" s="10" t="s">
        <v>2070</v>
      </c>
      <c r="D179" s="2" t="b" cm="1">
        <f t="array" ref="D179:O179">_xlfn._xlws.FILTER(IF(ancillary!$E$4:$P$8="",FALSE,ancillary!$E$4:$P$8),ancillary!$B$4:$B$8=$C179)</f>
        <v>1</v>
      </c>
      <c r="E179" s="2" t="b">
        <v>1</v>
      </c>
      <c r="F179" s="2" t="b">
        <v>1</v>
      </c>
      <c r="G179" s="2" t="b">
        <v>1</v>
      </c>
      <c r="H179" s="2" t="b">
        <v>1</v>
      </c>
      <c r="I179" s="2" t="b">
        <v>1</v>
      </c>
      <c r="J179" s="2" t="b">
        <v>0</v>
      </c>
      <c r="K179" s="2" t="b">
        <v>0</v>
      </c>
      <c r="L179" s="2" t="b">
        <v>0</v>
      </c>
      <c r="M179" s="2" t="b">
        <v>0</v>
      </c>
      <c r="N179" s="2" t="b">
        <v>0</v>
      </c>
      <c r="O179" s="2" t="b">
        <v>0</v>
      </c>
      <c r="P179" s="68"/>
      <c r="R179" s="69"/>
      <c r="S179" s="68"/>
      <c r="U179" s="69"/>
      <c r="V179" s="68"/>
      <c r="X179" s="69"/>
      <c r="Y179" s="68"/>
      <c r="AA179" s="69"/>
      <c r="AB179" s="33">
        <f t="shared" si="4"/>
        <v>0</v>
      </c>
      <c r="AC179" s="45">
        <f>_xlfn.LET(_xlpm.ps_1,P179:R179, _xlpm.ps_2,S179:U179, _xlpm.ps_3,V179:X179, _xlpm.ps_4,Y179:AA179,
_xlpm.phase, MID(C179,SEARCH("-",C179)+1,256),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(_xlfn.XLOOKUP($C$7,site_assumptions[Details],site_assumptions[Volts])*SUMIFS(P179:AA179,_xlfn.ANCHORARRAY(D179),TRUE)/10*0.95)/1000,
IFERROR(IF(_xlpm.phase="3Phase", _xlpm.p3_calc, _xlpm.sp_calc),0))</f>
        <v>0</v>
      </c>
      <c r="AD179" s="29" t="str">
        <f ca="1"/>
        <v>Storage</v>
      </c>
      <c r="AE179" s="30" t="str">
        <f ca="1"/>
        <v>COS</v>
      </c>
      <c r="AF179" s="30" t="str">
        <f ca="1"/>
        <v>Live</v>
      </c>
      <c r="AG179" s="30">
        <f ca="1"/>
        <v>6</v>
      </c>
      <c r="AH179" s="31" t="str">
        <f ca="1"/>
        <v>Unknown</v>
      </c>
      <c r="AI179" s="49">
        <f t="shared" ca="1" si="5"/>
        <v>0</v>
      </c>
      <c r="AJ179" s="71">
        <f ca="1"/>
        <v>0</v>
      </c>
    </row>
    <row r="180" spans="2:36" x14ac:dyDescent="0.25">
      <c r="B180" s="29" t="str">
        <f ca="1"/>
        <v>dal10.sr01.rk169</v>
      </c>
      <c r="C180" s="10" t="s">
        <v>2070</v>
      </c>
      <c r="D180" s="2" t="b" cm="1">
        <f t="array" ref="D180:O180">_xlfn._xlws.FILTER(IF(ancillary!$E$4:$P$8="",FALSE,ancillary!$E$4:$P$8),ancillary!$B$4:$B$8=$C180)</f>
        <v>1</v>
      </c>
      <c r="E180" s="2" t="b">
        <v>1</v>
      </c>
      <c r="F180" s="2" t="b">
        <v>1</v>
      </c>
      <c r="G180" s="2" t="b">
        <v>1</v>
      </c>
      <c r="H180" s="2" t="b">
        <v>1</v>
      </c>
      <c r="I180" s="2" t="b">
        <v>1</v>
      </c>
      <c r="J180" s="2" t="b">
        <v>0</v>
      </c>
      <c r="K180" s="2" t="b">
        <v>0</v>
      </c>
      <c r="L180" s="2" t="b">
        <v>0</v>
      </c>
      <c r="M180" s="2" t="b">
        <v>0</v>
      </c>
      <c r="N180" s="2" t="b">
        <v>0</v>
      </c>
      <c r="O180" s="2" t="b">
        <v>0</v>
      </c>
      <c r="P180" s="68"/>
      <c r="R180" s="69"/>
      <c r="S180" s="68"/>
      <c r="U180" s="69"/>
      <c r="V180" s="68"/>
      <c r="X180" s="69"/>
      <c r="Y180" s="68"/>
      <c r="AA180" s="69"/>
      <c r="AB180" s="33">
        <f t="shared" si="4"/>
        <v>0</v>
      </c>
      <c r="AC180" s="45">
        <f>_xlfn.LET(_xlpm.ps_1,P180:R180, _xlpm.ps_2,S180:U180, _xlpm.ps_3,V180:X180, _xlpm.ps_4,Y180:AA180,
_xlpm.phase, MID(C180,SEARCH("-",C180)+1,256),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(_xlfn.XLOOKUP($C$7,site_assumptions[Details],site_assumptions[Volts])*SUMIFS(P180:AA180,_xlfn.ANCHORARRAY(D180),TRUE)/10*0.95)/1000,
IFERROR(IF(_xlpm.phase="3Phase", _xlpm.p3_calc, _xlpm.sp_calc),0))</f>
        <v>0</v>
      </c>
      <c r="AD180" s="29" t="str">
        <f ca="1"/>
        <v>Storage</v>
      </c>
      <c r="AE180" s="30" t="str">
        <f ca="1"/>
        <v>COS</v>
      </c>
      <c r="AF180" s="30" t="str">
        <f ca="1"/>
        <v>Live</v>
      </c>
      <c r="AG180" s="30">
        <f ca="1"/>
        <v>6</v>
      </c>
      <c r="AH180" s="31" t="str">
        <f ca="1"/>
        <v>Unknown</v>
      </c>
      <c r="AI180" s="49">
        <f t="shared" ca="1" si="5"/>
        <v>0</v>
      </c>
      <c r="AJ180" s="71">
        <f ca="1"/>
        <v>0</v>
      </c>
    </row>
    <row r="181" spans="2:36" x14ac:dyDescent="0.25">
      <c r="B181" s="29" t="str">
        <f ca="1"/>
        <v>dal10.sr01.rk170</v>
      </c>
      <c r="C181" s="10" t="s">
        <v>2070</v>
      </c>
      <c r="D181" s="2" t="b" cm="1">
        <f t="array" ref="D181:O181">_xlfn._xlws.FILTER(IF(ancillary!$E$4:$P$8="",FALSE,ancillary!$E$4:$P$8),ancillary!$B$4:$B$8=$C181)</f>
        <v>1</v>
      </c>
      <c r="E181" s="2" t="b">
        <v>1</v>
      </c>
      <c r="F181" s="2" t="b">
        <v>1</v>
      </c>
      <c r="G181" s="2" t="b">
        <v>1</v>
      </c>
      <c r="H181" s="2" t="b">
        <v>1</v>
      </c>
      <c r="I181" s="2" t="b">
        <v>1</v>
      </c>
      <c r="J181" s="2" t="b">
        <v>0</v>
      </c>
      <c r="K181" s="2" t="b">
        <v>0</v>
      </c>
      <c r="L181" s="2" t="b">
        <v>0</v>
      </c>
      <c r="M181" s="2" t="b">
        <v>0</v>
      </c>
      <c r="N181" s="2" t="b">
        <v>0</v>
      </c>
      <c r="O181" s="2" t="b">
        <v>0</v>
      </c>
      <c r="P181" s="68"/>
      <c r="R181" s="69"/>
      <c r="S181" s="68"/>
      <c r="U181" s="69"/>
      <c r="V181" s="68"/>
      <c r="X181" s="69"/>
      <c r="Y181" s="68"/>
      <c r="AA181" s="69"/>
      <c r="AB181" s="33">
        <f t="shared" si="4"/>
        <v>0</v>
      </c>
      <c r="AC181" s="45">
        <f>_xlfn.LET(_xlpm.ps_1,P181:R181, _xlpm.ps_2,S181:U181, _xlpm.ps_3,V181:X181, _xlpm.ps_4,Y181:AA181,
_xlpm.phase, MID(C181,SEARCH("-",C181)+1,256),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(_xlfn.XLOOKUP($C$7,site_assumptions[Details],site_assumptions[Volts])*SUMIFS(P181:AA181,_xlfn.ANCHORARRAY(D181),TRUE)/10*0.95)/1000,
IFERROR(IF(_xlpm.phase="3Phase", _xlpm.p3_calc, _xlpm.sp_calc),0))</f>
        <v>0</v>
      </c>
      <c r="AD181" s="29" t="str">
        <f ca="1"/>
        <v>Storage</v>
      </c>
      <c r="AE181" s="30" t="str">
        <f ca="1"/>
        <v>COS</v>
      </c>
      <c r="AF181" s="30" t="str">
        <f ca="1"/>
        <v>Live</v>
      </c>
      <c r="AG181" s="30">
        <f ca="1"/>
        <v>6</v>
      </c>
      <c r="AH181" s="31" t="str">
        <f ca="1"/>
        <v>Unknown</v>
      </c>
      <c r="AI181" s="49">
        <f t="shared" ca="1" si="5"/>
        <v>0</v>
      </c>
      <c r="AJ181" s="71">
        <f ca="1"/>
        <v>0</v>
      </c>
    </row>
    <row r="182" spans="2:36" x14ac:dyDescent="0.25">
      <c r="B182" s="29" t="str">
        <f ca="1"/>
        <v>dal10.sr01.rk171</v>
      </c>
      <c r="C182" s="10" t="s">
        <v>2070</v>
      </c>
      <c r="D182" s="2" t="b" cm="1">
        <f t="array" ref="D182:O182">_xlfn._xlws.FILTER(IF(ancillary!$E$4:$P$8="",FALSE,ancillary!$E$4:$P$8),ancillary!$B$4:$B$8=$C182)</f>
        <v>1</v>
      </c>
      <c r="E182" s="2" t="b">
        <v>1</v>
      </c>
      <c r="F182" s="2" t="b">
        <v>1</v>
      </c>
      <c r="G182" s="2" t="b">
        <v>1</v>
      </c>
      <c r="H182" s="2" t="b">
        <v>1</v>
      </c>
      <c r="I182" s="2" t="b">
        <v>1</v>
      </c>
      <c r="J182" s="2" t="b">
        <v>0</v>
      </c>
      <c r="K182" s="2" t="b">
        <v>0</v>
      </c>
      <c r="L182" s="2" t="b">
        <v>0</v>
      </c>
      <c r="M182" s="2" t="b">
        <v>0</v>
      </c>
      <c r="N182" s="2" t="b">
        <v>0</v>
      </c>
      <c r="O182" s="2" t="b">
        <v>0</v>
      </c>
      <c r="P182" s="68"/>
      <c r="R182" s="69"/>
      <c r="S182" s="68"/>
      <c r="U182" s="69"/>
      <c r="V182" s="68"/>
      <c r="X182" s="69"/>
      <c r="Y182" s="68"/>
      <c r="AA182" s="69"/>
      <c r="AB182" s="33">
        <f t="shared" si="4"/>
        <v>0</v>
      </c>
      <c r="AC182" s="45">
        <f>_xlfn.LET(_xlpm.ps_1,P182:R182, _xlpm.ps_2,S182:U182, _xlpm.ps_3,V182:X182, _xlpm.ps_4,Y182:AA182,
_xlpm.phase, MID(C182,SEARCH("-",C182)+1,256),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(_xlfn.XLOOKUP($C$7,site_assumptions[Details],site_assumptions[Volts])*SUMIFS(P182:AA182,_xlfn.ANCHORARRAY(D182),TRUE)/10*0.95)/1000,
IFERROR(IF(_xlpm.phase="3Phase", _xlpm.p3_calc, _xlpm.sp_calc),0))</f>
        <v>0</v>
      </c>
      <c r="AD182" s="29" t="str">
        <f ca="1"/>
        <v>Storage</v>
      </c>
      <c r="AE182" s="30" t="str">
        <f ca="1"/>
        <v>COS</v>
      </c>
      <c r="AF182" s="30" t="str">
        <f ca="1"/>
        <v>Live</v>
      </c>
      <c r="AG182" s="30">
        <f ca="1"/>
        <v>6</v>
      </c>
      <c r="AH182" s="31" t="str">
        <f ca="1"/>
        <v>Unknown</v>
      </c>
      <c r="AI182" s="49">
        <f t="shared" ca="1" si="5"/>
        <v>0</v>
      </c>
      <c r="AJ182" s="71">
        <f ca="1"/>
        <v>0</v>
      </c>
    </row>
    <row r="183" spans="2:36" x14ac:dyDescent="0.25">
      <c r="B183" s="29" t="str">
        <f ca="1"/>
        <v>dal10.sr01.rk172</v>
      </c>
      <c r="C183" s="10" t="s">
        <v>2070</v>
      </c>
      <c r="D183" s="2" t="b" cm="1">
        <f t="array" ref="D183:O183">_xlfn._xlws.FILTER(IF(ancillary!$E$4:$P$8="",FALSE,ancillary!$E$4:$P$8),ancillary!$B$4:$B$8=$C183)</f>
        <v>1</v>
      </c>
      <c r="E183" s="2" t="b">
        <v>1</v>
      </c>
      <c r="F183" s="2" t="b">
        <v>1</v>
      </c>
      <c r="G183" s="2" t="b">
        <v>1</v>
      </c>
      <c r="H183" s="2" t="b">
        <v>1</v>
      </c>
      <c r="I183" s="2" t="b">
        <v>1</v>
      </c>
      <c r="J183" s="2" t="b">
        <v>0</v>
      </c>
      <c r="K183" s="2" t="b">
        <v>0</v>
      </c>
      <c r="L183" s="2" t="b">
        <v>0</v>
      </c>
      <c r="M183" s="2" t="b">
        <v>0</v>
      </c>
      <c r="N183" s="2" t="b">
        <v>0</v>
      </c>
      <c r="O183" s="2" t="b">
        <v>0</v>
      </c>
      <c r="P183" s="68"/>
      <c r="R183" s="69"/>
      <c r="S183" s="68"/>
      <c r="U183" s="69"/>
      <c r="V183" s="68"/>
      <c r="X183" s="69"/>
      <c r="Y183" s="68"/>
      <c r="AA183" s="69"/>
      <c r="AB183" s="33">
        <f t="shared" si="4"/>
        <v>0</v>
      </c>
      <c r="AC183" s="45">
        <f>_xlfn.LET(_xlpm.ps_1,P183:R183, _xlpm.ps_2,S183:U183, _xlpm.ps_3,V183:X183, _xlpm.ps_4,Y183:AA183,
_xlpm.phase, MID(C183,SEARCH("-",C183)+1,256),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(_xlfn.XLOOKUP($C$7,site_assumptions[Details],site_assumptions[Volts])*SUMIFS(P183:AA183,_xlfn.ANCHORARRAY(D183),TRUE)/10*0.95)/1000,
IFERROR(IF(_xlpm.phase="3Phase", _xlpm.p3_calc, _xlpm.sp_calc),0))</f>
        <v>0</v>
      </c>
      <c r="AD183" s="29" t="str">
        <f ca="1"/>
        <v>Storage</v>
      </c>
      <c r="AE183" s="30" t="str">
        <f ca="1"/>
        <v>COS</v>
      </c>
      <c r="AF183" s="30" t="str">
        <f ca="1"/>
        <v>Live</v>
      </c>
      <c r="AG183" s="30">
        <f ca="1"/>
        <v>6</v>
      </c>
      <c r="AH183" s="31" t="str">
        <f ca="1"/>
        <v>Unknown</v>
      </c>
      <c r="AI183" s="49">
        <f t="shared" ca="1" si="5"/>
        <v>0</v>
      </c>
      <c r="AJ183" s="71">
        <f ca="1"/>
        <v>0</v>
      </c>
    </row>
    <row r="184" spans="2:36" x14ac:dyDescent="0.25">
      <c r="B184" s="29" t="str">
        <f ca="1"/>
        <v>dal10.sr01.rk173</v>
      </c>
      <c r="C184" s="10" t="s">
        <v>2070</v>
      </c>
      <c r="D184" s="2" t="b" cm="1">
        <f t="array" ref="D184:O184">_xlfn._xlws.FILTER(IF(ancillary!$E$4:$P$8="",FALSE,ancillary!$E$4:$P$8),ancillary!$B$4:$B$8=$C184)</f>
        <v>1</v>
      </c>
      <c r="E184" s="2" t="b">
        <v>1</v>
      </c>
      <c r="F184" s="2" t="b">
        <v>1</v>
      </c>
      <c r="G184" s="2" t="b">
        <v>1</v>
      </c>
      <c r="H184" s="2" t="b">
        <v>1</v>
      </c>
      <c r="I184" s="2" t="b">
        <v>1</v>
      </c>
      <c r="J184" s="2" t="b">
        <v>0</v>
      </c>
      <c r="K184" s="2" t="b">
        <v>0</v>
      </c>
      <c r="L184" s="2" t="b">
        <v>0</v>
      </c>
      <c r="M184" s="2" t="b">
        <v>0</v>
      </c>
      <c r="N184" s="2" t="b">
        <v>0</v>
      </c>
      <c r="O184" s="2" t="b">
        <v>0</v>
      </c>
      <c r="P184" s="68"/>
      <c r="R184" s="69"/>
      <c r="S184" s="68"/>
      <c r="U184" s="69"/>
      <c r="V184" s="68"/>
      <c r="X184" s="69"/>
      <c r="Y184" s="68"/>
      <c r="AA184" s="69"/>
      <c r="AB184" s="33">
        <f t="shared" si="4"/>
        <v>0</v>
      </c>
      <c r="AC184" s="45">
        <f>_xlfn.LET(_xlpm.ps_1,P184:R184, _xlpm.ps_2,S184:U184, _xlpm.ps_3,V184:X184, _xlpm.ps_4,Y184:AA184,
_xlpm.phase, MID(C184,SEARCH("-",C184)+1,256),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(_xlfn.XLOOKUP($C$7,site_assumptions[Details],site_assumptions[Volts])*SUMIFS(P184:AA184,_xlfn.ANCHORARRAY(D184),TRUE)/10*0.95)/1000,
IFERROR(IF(_xlpm.phase="3Phase", _xlpm.p3_calc, _xlpm.sp_calc),0))</f>
        <v>0</v>
      </c>
      <c r="AD184" s="29" t="str">
        <f ca="1"/>
        <v>Storage</v>
      </c>
      <c r="AE184" s="30" t="str">
        <f ca="1"/>
        <v>COS</v>
      </c>
      <c r="AF184" s="30" t="str">
        <f ca="1"/>
        <v>Live</v>
      </c>
      <c r="AG184" s="30">
        <f ca="1"/>
        <v>6</v>
      </c>
      <c r="AH184" s="31" t="str">
        <f ca="1"/>
        <v>Unknown</v>
      </c>
      <c r="AI184" s="49">
        <f t="shared" ca="1" si="5"/>
        <v>0</v>
      </c>
      <c r="AJ184" s="71">
        <f ca="1"/>
        <v>0</v>
      </c>
    </row>
    <row r="185" spans="2:36" x14ac:dyDescent="0.25">
      <c r="B185" s="29" t="str">
        <f ca="1"/>
        <v>dal10.sr01.rk174</v>
      </c>
      <c r="C185" s="10" t="s">
        <v>2070</v>
      </c>
      <c r="D185" s="2" t="b" cm="1">
        <f t="array" ref="D185:O185">_xlfn._xlws.FILTER(IF(ancillary!$E$4:$P$8="",FALSE,ancillary!$E$4:$P$8),ancillary!$B$4:$B$8=$C185)</f>
        <v>1</v>
      </c>
      <c r="E185" s="2" t="b">
        <v>1</v>
      </c>
      <c r="F185" s="2" t="b">
        <v>1</v>
      </c>
      <c r="G185" s="2" t="b">
        <v>1</v>
      </c>
      <c r="H185" s="2" t="b">
        <v>1</v>
      </c>
      <c r="I185" s="2" t="b">
        <v>1</v>
      </c>
      <c r="J185" s="2" t="b">
        <v>0</v>
      </c>
      <c r="K185" s="2" t="b">
        <v>0</v>
      </c>
      <c r="L185" s="2" t="b">
        <v>0</v>
      </c>
      <c r="M185" s="2" t="b">
        <v>0</v>
      </c>
      <c r="N185" s="2" t="b">
        <v>0</v>
      </c>
      <c r="O185" s="2" t="b">
        <v>0</v>
      </c>
      <c r="P185" s="68"/>
      <c r="R185" s="69"/>
      <c r="S185" s="68"/>
      <c r="U185" s="69"/>
      <c r="V185" s="68"/>
      <c r="X185" s="69"/>
      <c r="Y185" s="68"/>
      <c r="AA185" s="69"/>
      <c r="AB185" s="33">
        <f t="shared" si="4"/>
        <v>0</v>
      </c>
      <c r="AC185" s="45">
        <f>_xlfn.LET(_xlpm.ps_1,P185:R185, _xlpm.ps_2,S185:U185, _xlpm.ps_3,V185:X185, _xlpm.ps_4,Y185:AA185,
_xlpm.phase, MID(C185,SEARCH("-",C185)+1,256),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(_xlfn.XLOOKUP($C$7,site_assumptions[Details],site_assumptions[Volts])*SUMIFS(P185:AA185,_xlfn.ANCHORARRAY(D185),TRUE)/10*0.95)/1000,
IFERROR(IF(_xlpm.phase="3Phase", _xlpm.p3_calc, _xlpm.sp_calc),0))</f>
        <v>0</v>
      </c>
      <c r="AD185" s="29" t="str">
        <f ca="1"/>
        <v>Storage</v>
      </c>
      <c r="AE185" s="30" t="str">
        <f ca="1"/>
        <v>COS</v>
      </c>
      <c r="AF185" s="30" t="str">
        <f ca="1"/>
        <v>Live</v>
      </c>
      <c r="AG185" s="30">
        <f ca="1"/>
        <v>6</v>
      </c>
      <c r="AH185" s="31" t="str">
        <f ca="1"/>
        <v>Unknown</v>
      </c>
      <c r="AI185" s="49">
        <f t="shared" ca="1" si="5"/>
        <v>0</v>
      </c>
      <c r="AJ185" s="71">
        <f ca="1"/>
        <v>0</v>
      </c>
    </row>
    <row r="186" spans="2:36" x14ac:dyDescent="0.25">
      <c r="B186" s="29" t="str">
        <f ca="1"/>
        <v>dal10.sr01.rk175</v>
      </c>
      <c r="C186" s="10" t="s">
        <v>2070</v>
      </c>
      <c r="D186" s="2" t="b" cm="1">
        <f t="array" ref="D186:O186">_xlfn._xlws.FILTER(IF(ancillary!$E$4:$P$8="",FALSE,ancillary!$E$4:$P$8),ancillary!$B$4:$B$8=$C186)</f>
        <v>1</v>
      </c>
      <c r="E186" s="2" t="b">
        <v>1</v>
      </c>
      <c r="F186" s="2" t="b">
        <v>1</v>
      </c>
      <c r="G186" s="2" t="b">
        <v>1</v>
      </c>
      <c r="H186" s="2" t="b">
        <v>1</v>
      </c>
      <c r="I186" s="2" t="b">
        <v>1</v>
      </c>
      <c r="J186" s="2" t="b">
        <v>0</v>
      </c>
      <c r="K186" s="2" t="b">
        <v>0</v>
      </c>
      <c r="L186" s="2" t="b">
        <v>0</v>
      </c>
      <c r="M186" s="2" t="b">
        <v>0</v>
      </c>
      <c r="N186" s="2" t="b">
        <v>0</v>
      </c>
      <c r="O186" s="2" t="b">
        <v>0</v>
      </c>
      <c r="P186" s="68"/>
      <c r="R186" s="69"/>
      <c r="S186" s="68"/>
      <c r="U186" s="69"/>
      <c r="V186" s="68"/>
      <c r="X186" s="69"/>
      <c r="Y186" s="68"/>
      <c r="AA186" s="69"/>
      <c r="AB186" s="33">
        <f t="shared" si="4"/>
        <v>0</v>
      </c>
      <c r="AC186" s="45">
        <f>_xlfn.LET(_xlpm.ps_1,P186:R186, _xlpm.ps_2,S186:U186, _xlpm.ps_3,V186:X186, _xlpm.ps_4,Y186:AA186,
_xlpm.phase, MID(C186,SEARCH("-",C186)+1,256),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(_xlfn.XLOOKUP($C$7,site_assumptions[Details],site_assumptions[Volts])*SUMIFS(P186:AA186,_xlfn.ANCHORARRAY(D186),TRUE)/10*0.95)/1000,
IFERROR(IF(_xlpm.phase="3Phase", _xlpm.p3_calc, _xlpm.sp_calc),0))</f>
        <v>0</v>
      </c>
      <c r="AD186" s="29" t="str">
        <f ca="1"/>
        <v>Storage</v>
      </c>
      <c r="AE186" s="30" t="str">
        <f ca="1"/>
        <v>COS</v>
      </c>
      <c r="AF186" s="30" t="str">
        <f ca="1"/>
        <v>Live</v>
      </c>
      <c r="AG186" s="30">
        <f ca="1"/>
        <v>6</v>
      </c>
      <c r="AH186" s="31" t="str">
        <f ca="1"/>
        <v>Unknown</v>
      </c>
      <c r="AI186" s="49">
        <f t="shared" ca="1" si="5"/>
        <v>0</v>
      </c>
      <c r="AJ186" s="71">
        <f ca="1"/>
        <v>0</v>
      </c>
    </row>
    <row r="187" spans="2:36" x14ac:dyDescent="0.25">
      <c r="B187" s="29" t="str">
        <f ca="1"/>
        <v>dal10.sr01.rk176</v>
      </c>
      <c r="C187" s="10" t="s">
        <v>2070</v>
      </c>
      <c r="D187" s="2" t="b" cm="1">
        <f t="array" ref="D187:O187">_xlfn._xlws.FILTER(IF(ancillary!$E$4:$P$8="",FALSE,ancillary!$E$4:$P$8),ancillary!$B$4:$B$8=$C187)</f>
        <v>1</v>
      </c>
      <c r="E187" s="2" t="b">
        <v>1</v>
      </c>
      <c r="F187" s="2" t="b">
        <v>1</v>
      </c>
      <c r="G187" s="2" t="b">
        <v>1</v>
      </c>
      <c r="H187" s="2" t="b">
        <v>1</v>
      </c>
      <c r="I187" s="2" t="b">
        <v>1</v>
      </c>
      <c r="J187" s="2" t="b">
        <v>0</v>
      </c>
      <c r="K187" s="2" t="b">
        <v>0</v>
      </c>
      <c r="L187" s="2" t="b">
        <v>0</v>
      </c>
      <c r="M187" s="2" t="b">
        <v>0</v>
      </c>
      <c r="N187" s="2" t="b">
        <v>0</v>
      </c>
      <c r="O187" s="2" t="b">
        <v>0</v>
      </c>
      <c r="P187" s="68"/>
      <c r="R187" s="69"/>
      <c r="S187" s="68"/>
      <c r="U187" s="69"/>
      <c r="V187" s="68"/>
      <c r="X187" s="69"/>
      <c r="Y187" s="68"/>
      <c r="AA187" s="69"/>
      <c r="AB187" s="33">
        <f t="shared" si="4"/>
        <v>0</v>
      </c>
      <c r="AC187" s="45">
        <f>_xlfn.LET(_xlpm.ps_1,P187:R187, _xlpm.ps_2,S187:U187, _xlpm.ps_3,V187:X187, _xlpm.ps_4,Y187:AA187,
_xlpm.phase, MID(C187,SEARCH("-",C187)+1,256),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(_xlfn.XLOOKUP($C$7,site_assumptions[Details],site_assumptions[Volts])*SUMIFS(P187:AA187,_xlfn.ANCHORARRAY(D187),TRUE)/10*0.95)/1000,
IFERROR(IF(_xlpm.phase="3Phase", _xlpm.p3_calc, _xlpm.sp_calc),0))</f>
        <v>0</v>
      </c>
      <c r="AD187" s="29" t="str">
        <f ca="1"/>
        <v>Storage</v>
      </c>
      <c r="AE187" s="30" t="str">
        <f ca="1"/>
        <v>COS</v>
      </c>
      <c r="AF187" s="30" t="str">
        <f ca="1"/>
        <v>Live</v>
      </c>
      <c r="AG187" s="30">
        <f ca="1"/>
        <v>6</v>
      </c>
      <c r="AH187" s="31" t="str">
        <f ca="1"/>
        <v>Unknown</v>
      </c>
      <c r="AI187" s="49">
        <f t="shared" ca="1" si="5"/>
        <v>0</v>
      </c>
      <c r="AJ187" s="71">
        <f ca="1"/>
        <v>0</v>
      </c>
    </row>
    <row r="188" spans="2:36" x14ac:dyDescent="0.25">
      <c r="B188" s="29" t="str">
        <f ca="1"/>
        <v>dal10.sr01.rk177</v>
      </c>
      <c r="C188" s="10" t="s">
        <v>2070</v>
      </c>
      <c r="D188" s="2" t="b" cm="1">
        <f t="array" ref="D188:O188">_xlfn._xlws.FILTER(IF(ancillary!$E$4:$P$8="",FALSE,ancillary!$E$4:$P$8),ancillary!$B$4:$B$8=$C188)</f>
        <v>1</v>
      </c>
      <c r="E188" s="2" t="b">
        <v>1</v>
      </c>
      <c r="F188" s="2" t="b">
        <v>1</v>
      </c>
      <c r="G188" s="2" t="b">
        <v>1</v>
      </c>
      <c r="H188" s="2" t="b">
        <v>1</v>
      </c>
      <c r="I188" s="2" t="b">
        <v>1</v>
      </c>
      <c r="J188" s="2" t="b">
        <v>0</v>
      </c>
      <c r="K188" s="2" t="b">
        <v>0</v>
      </c>
      <c r="L188" s="2" t="b">
        <v>0</v>
      </c>
      <c r="M188" s="2" t="b">
        <v>0</v>
      </c>
      <c r="N188" s="2" t="b">
        <v>0</v>
      </c>
      <c r="O188" s="2" t="b">
        <v>0</v>
      </c>
      <c r="P188" s="68"/>
      <c r="R188" s="69"/>
      <c r="S188" s="68"/>
      <c r="U188" s="69"/>
      <c r="V188" s="68"/>
      <c r="X188" s="69"/>
      <c r="Y188" s="68"/>
      <c r="AA188" s="69"/>
      <c r="AB188" s="33">
        <f t="shared" si="4"/>
        <v>0</v>
      </c>
      <c r="AC188" s="45">
        <f>_xlfn.LET(_xlpm.ps_1,P188:R188, _xlpm.ps_2,S188:U188, _xlpm.ps_3,V188:X188, _xlpm.ps_4,Y188:AA188,
_xlpm.phase, MID(C188,SEARCH("-",C188)+1,256),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(_xlfn.XLOOKUP($C$7,site_assumptions[Details],site_assumptions[Volts])*SUMIFS(P188:AA188,_xlfn.ANCHORARRAY(D188),TRUE)/10*0.95)/1000,
IFERROR(IF(_xlpm.phase="3Phase", _xlpm.p3_calc, _xlpm.sp_calc),0))</f>
        <v>0</v>
      </c>
      <c r="AD188" s="29" t="str">
        <f ca="1"/>
        <v>Fabric</v>
      </c>
      <c r="AE188" s="30" t="str">
        <f ca="1"/>
        <v>Misc.</v>
      </c>
      <c r="AF188" s="30" t="str">
        <f ca="1"/>
        <v>Live</v>
      </c>
      <c r="AG188" s="30">
        <f ca="1"/>
        <v>4.5999999999999996</v>
      </c>
      <c r="AH188" s="31" t="str">
        <f ca="1"/>
        <v>Unknown</v>
      </c>
      <c r="AI188" s="49">
        <f t="shared" ca="1" si="5"/>
        <v>0</v>
      </c>
      <c r="AJ188" s="71">
        <f ca="1"/>
        <v>0</v>
      </c>
    </row>
    <row r="189" spans="2:36" x14ac:dyDescent="0.25">
      <c r="B189" s="29" t="str">
        <f ca="1"/>
        <v>dal10.sr01.rk178</v>
      </c>
      <c r="C189" s="10" t="s">
        <v>2070</v>
      </c>
      <c r="D189" s="2" t="b" cm="1">
        <f t="array" ref="D189:O189">_xlfn._xlws.FILTER(IF(ancillary!$E$4:$P$8="",FALSE,ancillary!$E$4:$P$8),ancillary!$B$4:$B$8=$C189)</f>
        <v>1</v>
      </c>
      <c r="E189" s="2" t="b">
        <v>1</v>
      </c>
      <c r="F189" s="2" t="b">
        <v>1</v>
      </c>
      <c r="G189" s="2" t="b">
        <v>1</v>
      </c>
      <c r="H189" s="2" t="b">
        <v>1</v>
      </c>
      <c r="I189" s="2" t="b">
        <v>1</v>
      </c>
      <c r="J189" s="2" t="b">
        <v>0</v>
      </c>
      <c r="K189" s="2" t="b">
        <v>0</v>
      </c>
      <c r="L189" s="2" t="b">
        <v>0</v>
      </c>
      <c r="M189" s="2" t="b">
        <v>0</v>
      </c>
      <c r="N189" s="2" t="b">
        <v>0</v>
      </c>
      <c r="O189" s="2" t="b">
        <v>0</v>
      </c>
      <c r="P189" s="68"/>
      <c r="R189" s="69"/>
      <c r="S189" s="68"/>
      <c r="U189" s="69"/>
      <c r="V189" s="68"/>
      <c r="X189" s="69"/>
      <c r="Y189" s="68"/>
      <c r="AA189" s="69"/>
      <c r="AB189" s="33">
        <f t="shared" si="4"/>
        <v>0</v>
      </c>
      <c r="AC189" s="45">
        <f>_xlfn.LET(_xlpm.ps_1,P189:R189, _xlpm.ps_2,S189:U189, _xlpm.ps_3,V189:X189, _xlpm.ps_4,Y189:AA189,
_xlpm.phase, MID(C189,SEARCH("-",C189)+1,256),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(_xlfn.XLOOKUP($C$7,site_assumptions[Details],site_assumptions[Volts])*SUMIFS(P189:AA189,_xlfn.ANCHORARRAY(D189),TRUE)/10*0.95)/1000,
IFERROR(IF(_xlpm.phase="3Phase", _xlpm.p3_calc, _xlpm.sp_calc),0))</f>
        <v>0</v>
      </c>
      <c r="AD189" s="29" t="str">
        <f ca="1"/>
        <v>Network</v>
      </c>
      <c r="AE189" s="30" t="str">
        <f ca="1"/>
        <v>Router</v>
      </c>
      <c r="AF189" s="30" t="str">
        <f ca="1"/>
        <v>Live</v>
      </c>
      <c r="AG189" s="30">
        <f ca="1"/>
        <v>9.1</v>
      </c>
      <c r="AH189" s="31" t="str">
        <f ca="1"/>
        <v>Unknown</v>
      </c>
      <c r="AI189" s="49">
        <f t="shared" ca="1" si="5"/>
        <v>0</v>
      </c>
      <c r="AJ189" s="71">
        <f ca="1"/>
        <v>0</v>
      </c>
    </row>
    <row r="190" spans="2:36" x14ac:dyDescent="0.25">
      <c r="B190" s="29" t="str">
        <f ca="1"/>
        <v>dal10.sr01.rk179</v>
      </c>
      <c r="C190" s="10" t="s">
        <v>2070</v>
      </c>
      <c r="D190" s="2" t="b" cm="1">
        <f t="array" ref="D190:O190">_xlfn._xlws.FILTER(IF(ancillary!$E$4:$P$8="",FALSE,ancillary!$E$4:$P$8),ancillary!$B$4:$B$8=$C190)</f>
        <v>1</v>
      </c>
      <c r="E190" s="2" t="b">
        <v>1</v>
      </c>
      <c r="F190" s="2" t="b">
        <v>1</v>
      </c>
      <c r="G190" s="2" t="b">
        <v>1</v>
      </c>
      <c r="H190" s="2" t="b">
        <v>1</v>
      </c>
      <c r="I190" s="2" t="b">
        <v>1</v>
      </c>
      <c r="J190" s="2" t="b">
        <v>0</v>
      </c>
      <c r="K190" s="2" t="b">
        <v>0</v>
      </c>
      <c r="L190" s="2" t="b">
        <v>0</v>
      </c>
      <c r="M190" s="2" t="b">
        <v>0</v>
      </c>
      <c r="N190" s="2" t="b">
        <v>0</v>
      </c>
      <c r="O190" s="2" t="b">
        <v>0</v>
      </c>
      <c r="P190" s="68"/>
      <c r="R190" s="69"/>
      <c r="S190" s="68"/>
      <c r="U190" s="69"/>
      <c r="V190" s="68"/>
      <c r="X190" s="69"/>
      <c r="Y190" s="68"/>
      <c r="AA190" s="69"/>
      <c r="AB190" s="33">
        <f t="shared" si="4"/>
        <v>0</v>
      </c>
      <c r="AC190" s="45">
        <f>_xlfn.LET(_xlpm.ps_1,P190:R190, _xlpm.ps_2,S190:U190, _xlpm.ps_3,V190:X190, _xlpm.ps_4,Y190:AA190,
_xlpm.phase, MID(C190,SEARCH("-",C190)+1,256),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(_xlfn.XLOOKUP($C$7,site_assumptions[Details],site_assumptions[Volts])*SUMIFS(P190:AA190,_xlfn.ANCHORARRAY(D190),TRUE)/10*0.95)/1000,
IFERROR(IF(_xlpm.phase="3Phase", _xlpm.p3_calc, _xlpm.sp_calc),0))</f>
        <v>0</v>
      </c>
      <c r="AD190" s="29" t="str">
        <f ca="1"/>
        <v>Network</v>
      </c>
      <c r="AE190" s="30" t="str">
        <f ca="1"/>
        <v>Router</v>
      </c>
      <c r="AF190" s="30" t="str">
        <f ca="1"/>
        <v>Live</v>
      </c>
      <c r="AG190" s="30">
        <f ca="1"/>
        <v>9.1</v>
      </c>
      <c r="AH190" s="31" t="str">
        <f ca="1"/>
        <v>Unknown</v>
      </c>
      <c r="AI190" s="49">
        <f t="shared" ca="1" si="5"/>
        <v>0</v>
      </c>
      <c r="AJ190" s="71">
        <f ca="1"/>
        <v>0</v>
      </c>
    </row>
    <row r="191" spans="2:36" x14ac:dyDescent="0.25">
      <c r="B191" s="29" t="str">
        <f ca="1"/>
        <v>dal10.sr01.rk180</v>
      </c>
      <c r="C191" s="10" t="s">
        <v>2070</v>
      </c>
      <c r="D191" s="2" t="b" cm="1">
        <f t="array" ref="D191:O191">_xlfn._xlws.FILTER(IF(ancillary!$E$4:$P$8="",FALSE,ancillary!$E$4:$P$8),ancillary!$B$4:$B$8=$C191)</f>
        <v>1</v>
      </c>
      <c r="E191" s="2" t="b">
        <v>1</v>
      </c>
      <c r="F191" s="2" t="b">
        <v>1</v>
      </c>
      <c r="G191" s="2" t="b">
        <v>1</v>
      </c>
      <c r="H191" s="2" t="b">
        <v>1</v>
      </c>
      <c r="I191" s="2" t="b">
        <v>1</v>
      </c>
      <c r="J191" s="2" t="b">
        <v>0</v>
      </c>
      <c r="K191" s="2" t="b">
        <v>0</v>
      </c>
      <c r="L191" s="2" t="b">
        <v>0</v>
      </c>
      <c r="M191" s="2" t="b">
        <v>0</v>
      </c>
      <c r="N191" s="2" t="b">
        <v>0</v>
      </c>
      <c r="O191" s="2" t="b">
        <v>0</v>
      </c>
      <c r="P191" s="68"/>
      <c r="R191" s="69"/>
      <c r="S191" s="68"/>
      <c r="U191" s="69"/>
      <c r="V191" s="68"/>
      <c r="X191" s="69"/>
      <c r="Y191" s="68"/>
      <c r="AA191" s="69"/>
      <c r="AB191" s="33">
        <f t="shared" si="4"/>
        <v>0</v>
      </c>
      <c r="AC191" s="45">
        <f>_xlfn.LET(_xlpm.ps_1,P191:R191, _xlpm.ps_2,S191:U191, _xlpm.ps_3,V191:X191, _xlpm.ps_4,Y191:AA191,
_xlpm.phase, MID(C191,SEARCH("-",C191)+1,256),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(_xlfn.XLOOKUP($C$7,site_assumptions[Details],site_assumptions[Volts])*SUMIFS(P191:AA191,_xlfn.ANCHORARRAY(D191),TRUE)/10*0.95)/1000,
IFERROR(IF(_xlpm.phase="3Phase", _xlpm.p3_calc, _xlpm.sp_calc),0))</f>
        <v>0</v>
      </c>
      <c r="AD191" s="29" t="str">
        <f ca="1"/>
        <v>Storage</v>
      </c>
      <c r="AE191" s="30" t="str">
        <f ca="1"/>
        <v>Swift</v>
      </c>
      <c r="AF191" s="30" t="str">
        <f ca="1"/>
        <v>Live</v>
      </c>
      <c r="AG191" s="30">
        <f ca="1"/>
        <v>6</v>
      </c>
      <c r="AH191" s="31" t="str">
        <f ca="1"/>
        <v>Unknown</v>
      </c>
      <c r="AI191" s="49">
        <f t="shared" ca="1" si="5"/>
        <v>0</v>
      </c>
      <c r="AJ191" s="71">
        <f ca="1"/>
        <v>0</v>
      </c>
    </row>
    <row r="192" spans="2:36" x14ac:dyDescent="0.25">
      <c r="B192" s="29" t="str">
        <f ca="1"/>
        <v>dal10.sr01.rk181</v>
      </c>
      <c r="C192" s="10" t="s">
        <v>2070</v>
      </c>
      <c r="D192" s="2" t="b" cm="1">
        <f t="array" ref="D192:O192">_xlfn._xlws.FILTER(IF(ancillary!$E$4:$P$8="",FALSE,ancillary!$E$4:$P$8),ancillary!$B$4:$B$8=$C192)</f>
        <v>1</v>
      </c>
      <c r="E192" s="2" t="b">
        <v>1</v>
      </c>
      <c r="F192" s="2" t="b">
        <v>1</v>
      </c>
      <c r="G192" s="2" t="b">
        <v>1</v>
      </c>
      <c r="H192" s="2" t="b">
        <v>1</v>
      </c>
      <c r="I192" s="2" t="b">
        <v>1</v>
      </c>
      <c r="J192" s="2" t="b">
        <v>0</v>
      </c>
      <c r="K192" s="2" t="b">
        <v>0</v>
      </c>
      <c r="L192" s="2" t="b">
        <v>0</v>
      </c>
      <c r="M192" s="2" t="b">
        <v>0</v>
      </c>
      <c r="N192" s="2" t="b">
        <v>0</v>
      </c>
      <c r="O192" s="2" t="b">
        <v>0</v>
      </c>
      <c r="P192" s="68"/>
      <c r="R192" s="69"/>
      <c r="S192" s="68"/>
      <c r="U192" s="69"/>
      <c r="V192" s="68"/>
      <c r="X192" s="69"/>
      <c r="Y192" s="68"/>
      <c r="AA192" s="69"/>
      <c r="AB192" s="33">
        <f t="shared" si="4"/>
        <v>0</v>
      </c>
      <c r="AC192" s="45">
        <f>_xlfn.LET(_xlpm.ps_1,P192:R192, _xlpm.ps_2,S192:U192, _xlpm.ps_3,V192:X192, _xlpm.ps_4,Y192:AA192,
_xlpm.phase, MID(C192,SEARCH("-",C192)+1,256),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(_xlfn.XLOOKUP($C$7,site_assumptions[Details],site_assumptions[Volts])*SUMIFS(P192:AA192,_xlfn.ANCHORARRAY(D192),TRUE)/10*0.95)/1000,
IFERROR(IF(_xlpm.phase="3Phase", _xlpm.p3_calc, _xlpm.sp_calc),0))</f>
        <v>0</v>
      </c>
      <c r="AD192" s="29" t="str">
        <f ca="1"/>
        <v>Storage</v>
      </c>
      <c r="AE192" s="30" t="str">
        <f ca="1"/>
        <v>Swift</v>
      </c>
      <c r="AF192" s="30" t="str">
        <f ca="1"/>
        <v>Live</v>
      </c>
      <c r="AG192" s="30">
        <f ca="1"/>
        <v>6</v>
      </c>
      <c r="AH192" s="31" t="str">
        <f ca="1"/>
        <v>Unknown</v>
      </c>
      <c r="AI192" s="49">
        <f t="shared" ca="1" si="5"/>
        <v>0</v>
      </c>
      <c r="AJ192" s="71">
        <f ca="1"/>
        <v>0</v>
      </c>
    </row>
    <row r="193" spans="2:36" x14ac:dyDescent="0.25">
      <c r="B193" s="29" t="str">
        <f ca="1"/>
        <v>dal10.sr01.rk182</v>
      </c>
      <c r="C193" s="10" t="s">
        <v>2070</v>
      </c>
      <c r="D193" s="2" t="b" cm="1">
        <f t="array" ref="D193:O193">_xlfn._xlws.FILTER(IF(ancillary!$E$4:$P$8="",FALSE,ancillary!$E$4:$P$8),ancillary!$B$4:$B$8=$C193)</f>
        <v>1</v>
      </c>
      <c r="E193" s="2" t="b">
        <v>1</v>
      </c>
      <c r="F193" s="2" t="b">
        <v>1</v>
      </c>
      <c r="G193" s="2" t="b">
        <v>1</v>
      </c>
      <c r="H193" s="2" t="b">
        <v>1</v>
      </c>
      <c r="I193" s="2" t="b">
        <v>1</v>
      </c>
      <c r="J193" s="2" t="b">
        <v>0</v>
      </c>
      <c r="K193" s="2" t="b">
        <v>0</v>
      </c>
      <c r="L193" s="2" t="b">
        <v>0</v>
      </c>
      <c r="M193" s="2" t="b">
        <v>0</v>
      </c>
      <c r="N193" s="2" t="b">
        <v>0</v>
      </c>
      <c r="O193" s="2" t="b">
        <v>0</v>
      </c>
      <c r="P193" s="68"/>
      <c r="R193" s="69"/>
      <c r="S193" s="68"/>
      <c r="U193" s="69"/>
      <c r="V193" s="68"/>
      <c r="X193" s="69"/>
      <c r="Y193" s="68"/>
      <c r="AA193" s="69"/>
      <c r="AB193" s="33">
        <f t="shared" si="4"/>
        <v>0</v>
      </c>
      <c r="AC193" s="45">
        <f>_xlfn.LET(_xlpm.ps_1,P193:R193, _xlpm.ps_2,S193:U193, _xlpm.ps_3,V193:X193, _xlpm.ps_4,Y193:AA193,
_xlpm.phase, MID(C193,SEARCH("-",C193)+1,256),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(_xlfn.XLOOKUP($C$7,site_assumptions[Details],site_assumptions[Volts])*SUMIFS(P193:AA193,_xlfn.ANCHORARRAY(D193),TRUE)/10*0.95)/1000,
IFERROR(IF(_xlpm.phase="3Phase", _xlpm.p3_calc, _xlpm.sp_calc),0))</f>
        <v>0</v>
      </c>
      <c r="AD193" s="29" t="str">
        <f ca="1"/>
        <v>Fabric</v>
      </c>
      <c r="AE193" s="30" t="str">
        <f ca="1"/>
        <v>Server</v>
      </c>
      <c r="AF193" s="30" t="str">
        <f ca="1"/>
        <v>Live</v>
      </c>
      <c r="AG193" s="30">
        <f ca="1"/>
        <v>4.5999999999999996</v>
      </c>
      <c r="AH193" s="31" t="str">
        <f ca="1"/>
        <v>Unknown</v>
      </c>
      <c r="AI193" s="49">
        <f t="shared" ca="1" si="5"/>
        <v>0</v>
      </c>
      <c r="AJ193" s="71">
        <f ca="1"/>
        <v>0</v>
      </c>
    </row>
    <row r="194" spans="2:36" x14ac:dyDescent="0.25">
      <c r="B194" s="29" t="str">
        <f ca="1"/>
        <v>dal10.sr01.rk183</v>
      </c>
      <c r="C194" s="10" t="s">
        <v>2070</v>
      </c>
      <c r="D194" s="2" t="b" cm="1">
        <f t="array" ref="D194:O194">_xlfn._xlws.FILTER(IF(ancillary!$E$4:$P$8="",FALSE,ancillary!$E$4:$P$8),ancillary!$B$4:$B$8=$C194)</f>
        <v>1</v>
      </c>
      <c r="E194" s="2" t="b">
        <v>1</v>
      </c>
      <c r="F194" s="2" t="b">
        <v>1</v>
      </c>
      <c r="G194" s="2" t="b">
        <v>1</v>
      </c>
      <c r="H194" s="2" t="b">
        <v>1</v>
      </c>
      <c r="I194" s="2" t="b">
        <v>1</v>
      </c>
      <c r="J194" s="2" t="b">
        <v>0</v>
      </c>
      <c r="K194" s="2" t="b">
        <v>0</v>
      </c>
      <c r="L194" s="2" t="b">
        <v>0</v>
      </c>
      <c r="M194" s="2" t="b">
        <v>0</v>
      </c>
      <c r="N194" s="2" t="b">
        <v>0</v>
      </c>
      <c r="O194" s="2" t="b">
        <v>0</v>
      </c>
      <c r="P194" s="68"/>
      <c r="R194" s="69"/>
      <c r="S194" s="68"/>
      <c r="U194" s="69"/>
      <c r="V194" s="68"/>
      <c r="X194" s="69"/>
      <c r="Y194" s="68"/>
      <c r="AA194" s="69"/>
      <c r="AB194" s="33">
        <f t="shared" si="4"/>
        <v>0</v>
      </c>
      <c r="AC194" s="45">
        <f>_xlfn.LET(_xlpm.ps_1,P194:R194, _xlpm.ps_2,S194:U194, _xlpm.ps_3,V194:X194, _xlpm.ps_4,Y194:AA194,
_xlpm.phase, MID(C194,SEARCH("-",C194)+1,256),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(_xlfn.XLOOKUP($C$7,site_assumptions[Details],site_assumptions[Volts])*SUMIFS(P194:AA194,_xlfn.ANCHORARRAY(D194),TRUE)/10*0.95)/1000,
IFERROR(IF(_xlpm.phase="3Phase", _xlpm.p3_calc, _xlpm.sp_calc),0))</f>
        <v>0</v>
      </c>
      <c r="AD194" s="29" t="str">
        <f ca="1"/>
        <v>Network</v>
      </c>
      <c r="AE194" s="30" t="str">
        <f ca="1"/>
        <v>Firewall</v>
      </c>
      <c r="AF194" s="30" t="str">
        <f ca="1"/>
        <v>Decom</v>
      </c>
      <c r="AG194" s="30">
        <f ca="1"/>
        <v>0</v>
      </c>
      <c r="AH194" s="31" t="str">
        <f ca="1"/>
        <v>Unknown</v>
      </c>
      <c r="AI194" s="49">
        <f t="shared" ca="1" si="5"/>
        <v>0</v>
      </c>
      <c r="AJ194" s="71">
        <f ca="1"/>
        <v>0</v>
      </c>
    </row>
    <row r="195" spans="2:36" x14ac:dyDescent="0.25">
      <c r="B195" s="29" t="str">
        <f ca="1"/>
        <v>dal10.sr01.rk184</v>
      </c>
      <c r="C195" s="10" t="s">
        <v>2070</v>
      </c>
      <c r="D195" s="2" t="b" cm="1">
        <f t="array" ref="D195:O195">_xlfn._xlws.FILTER(IF(ancillary!$E$4:$P$8="",FALSE,ancillary!$E$4:$P$8),ancillary!$B$4:$B$8=$C195)</f>
        <v>1</v>
      </c>
      <c r="E195" s="2" t="b">
        <v>1</v>
      </c>
      <c r="F195" s="2" t="b">
        <v>1</v>
      </c>
      <c r="G195" s="2" t="b">
        <v>1</v>
      </c>
      <c r="H195" s="2" t="b">
        <v>1</v>
      </c>
      <c r="I195" s="2" t="b">
        <v>1</v>
      </c>
      <c r="J195" s="2" t="b">
        <v>0</v>
      </c>
      <c r="K195" s="2" t="b">
        <v>0</v>
      </c>
      <c r="L195" s="2" t="b">
        <v>0</v>
      </c>
      <c r="M195" s="2" t="b">
        <v>0</v>
      </c>
      <c r="N195" s="2" t="b">
        <v>0</v>
      </c>
      <c r="O195" s="2" t="b">
        <v>0</v>
      </c>
      <c r="P195" s="68"/>
      <c r="R195" s="69"/>
      <c r="S195" s="68"/>
      <c r="U195" s="69"/>
      <c r="V195" s="68"/>
      <c r="X195" s="69"/>
      <c r="Y195" s="68"/>
      <c r="AA195" s="69"/>
      <c r="AB195" s="33">
        <f t="shared" si="4"/>
        <v>0</v>
      </c>
      <c r="AC195" s="45">
        <f>_xlfn.LET(_xlpm.ps_1,P195:R195, _xlpm.ps_2,S195:U195, _xlpm.ps_3,V195:X195, _xlpm.ps_4,Y195:AA195,
_xlpm.phase, MID(C195,SEARCH("-",C195)+1,256),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(_xlfn.XLOOKUP($C$7,site_assumptions[Details],site_assumptions[Volts])*SUMIFS(P195:AA195,_xlfn.ANCHORARRAY(D195),TRUE)/10*0.95)/1000,
IFERROR(IF(_xlpm.phase="3Phase", _xlpm.p3_calc, _xlpm.sp_calc),0))</f>
        <v>0</v>
      </c>
      <c r="AD195" s="29" t="str">
        <f ca="1"/>
        <v>Fabric</v>
      </c>
      <c r="AE195" s="30" t="str">
        <f ca="1"/>
        <v>Unallocated</v>
      </c>
      <c r="AF195" s="30" t="str">
        <f ca="1"/>
        <v>Decom</v>
      </c>
      <c r="AG195" s="30">
        <f ca="1"/>
        <v>0</v>
      </c>
      <c r="AH195" s="31" t="str">
        <f ca="1"/>
        <v>Unknown</v>
      </c>
      <c r="AI195" s="49">
        <f t="shared" ca="1" si="5"/>
        <v>0</v>
      </c>
      <c r="AJ195" s="71">
        <f ca="1"/>
        <v>0</v>
      </c>
    </row>
    <row r="196" spans="2:36" x14ac:dyDescent="0.25">
      <c r="B196" s="29" t="str">
        <f ca="1"/>
        <v>dal10.sr01.rk185</v>
      </c>
      <c r="C196" s="10" t="s">
        <v>2070</v>
      </c>
      <c r="D196" s="2" t="b" cm="1">
        <f t="array" ref="D196:O196">_xlfn._xlws.FILTER(IF(ancillary!$E$4:$P$8="",FALSE,ancillary!$E$4:$P$8),ancillary!$B$4:$B$8=$C196)</f>
        <v>1</v>
      </c>
      <c r="E196" s="2" t="b">
        <v>1</v>
      </c>
      <c r="F196" s="2" t="b">
        <v>1</v>
      </c>
      <c r="G196" s="2" t="b">
        <v>1</v>
      </c>
      <c r="H196" s="2" t="b">
        <v>1</v>
      </c>
      <c r="I196" s="2" t="b">
        <v>1</v>
      </c>
      <c r="J196" s="2" t="b">
        <v>0</v>
      </c>
      <c r="K196" s="2" t="b">
        <v>0</v>
      </c>
      <c r="L196" s="2" t="b">
        <v>0</v>
      </c>
      <c r="M196" s="2" t="b">
        <v>0</v>
      </c>
      <c r="N196" s="2" t="b">
        <v>0</v>
      </c>
      <c r="O196" s="2" t="b">
        <v>0</v>
      </c>
      <c r="P196" s="68"/>
      <c r="R196" s="69"/>
      <c r="S196" s="68"/>
      <c r="U196" s="69"/>
      <c r="V196" s="68"/>
      <c r="X196" s="69"/>
      <c r="Y196" s="68"/>
      <c r="AA196" s="69"/>
      <c r="AB196" s="33">
        <f t="shared" si="4"/>
        <v>0</v>
      </c>
      <c r="AC196" s="45">
        <f>_xlfn.LET(_xlpm.ps_1,P196:R196, _xlpm.ps_2,S196:U196, _xlpm.ps_3,V196:X196, _xlpm.ps_4,Y196:AA196,
_xlpm.phase, MID(C196,SEARCH("-",C196)+1,256),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(_xlfn.XLOOKUP($C$7,site_assumptions[Details],site_assumptions[Volts])*SUMIFS(P196:AA196,_xlfn.ANCHORARRAY(D196),TRUE)/10*0.95)/1000,
IFERROR(IF(_xlpm.phase="3Phase", _xlpm.p3_calc, _xlpm.sp_calc),0))</f>
        <v>0</v>
      </c>
      <c r="AD196" s="29" t="str">
        <f ca="1"/>
        <v>Network</v>
      </c>
      <c r="AE196" s="30" t="str">
        <f ca="1"/>
        <v>Load Balancer</v>
      </c>
      <c r="AF196" s="30" t="str">
        <f ca="1"/>
        <v>Live</v>
      </c>
      <c r="AG196" s="30">
        <f ca="1"/>
        <v>6</v>
      </c>
      <c r="AH196" s="31" t="str">
        <f ca="1"/>
        <v>Unknown</v>
      </c>
      <c r="AI196" s="49">
        <f t="shared" ca="1" si="5"/>
        <v>0</v>
      </c>
      <c r="AJ196" s="71">
        <f ca="1"/>
        <v>0</v>
      </c>
    </row>
    <row r="197" spans="2:36" x14ac:dyDescent="0.25">
      <c r="B197" s="29" t="str">
        <f ca="1"/>
        <v>dal10.sr01.rk186</v>
      </c>
      <c r="C197" s="10" t="s">
        <v>2070</v>
      </c>
      <c r="D197" s="2" t="b" cm="1">
        <f t="array" ref="D197:O197">_xlfn._xlws.FILTER(IF(ancillary!$E$4:$P$8="",FALSE,ancillary!$E$4:$P$8),ancillary!$B$4:$B$8=$C197)</f>
        <v>1</v>
      </c>
      <c r="E197" s="2" t="b">
        <v>1</v>
      </c>
      <c r="F197" s="2" t="b">
        <v>1</v>
      </c>
      <c r="G197" s="2" t="b">
        <v>1</v>
      </c>
      <c r="H197" s="2" t="b">
        <v>1</v>
      </c>
      <c r="I197" s="2" t="b">
        <v>1</v>
      </c>
      <c r="J197" s="2" t="b">
        <v>0</v>
      </c>
      <c r="K197" s="2" t="b">
        <v>0</v>
      </c>
      <c r="L197" s="2" t="b">
        <v>0</v>
      </c>
      <c r="M197" s="2" t="b">
        <v>0</v>
      </c>
      <c r="N197" s="2" t="b">
        <v>0</v>
      </c>
      <c r="O197" s="2" t="b">
        <v>0</v>
      </c>
      <c r="P197" s="68"/>
      <c r="R197" s="69"/>
      <c r="S197" s="68"/>
      <c r="U197" s="69"/>
      <c r="V197" s="68"/>
      <c r="X197" s="69"/>
      <c r="Y197" s="68"/>
      <c r="AA197" s="69"/>
      <c r="AB197" s="33">
        <f t="shared" si="4"/>
        <v>0</v>
      </c>
      <c r="AC197" s="45">
        <f>_xlfn.LET(_xlpm.ps_1,P197:R197, _xlpm.ps_2,S197:U197, _xlpm.ps_3,V197:X197, _xlpm.ps_4,Y197:AA197,
_xlpm.phase, MID(C197,SEARCH("-",C197)+1,256),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(_xlfn.XLOOKUP($C$7,site_assumptions[Details],site_assumptions[Volts])*SUMIFS(P197:AA197,_xlfn.ANCHORARRAY(D197),TRUE)/10*0.95)/1000,
IFERROR(IF(_xlpm.phase="3Phase", _xlpm.p3_calc, _xlpm.sp_calc),0))</f>
        <v>0</v>
      </c>
      <c r="AD197" s="29" t="str">
        <f ca="1"/>
        <v>Network</v>
      </c>
      <c r="AE197" s="30" t="str">
        <f ca="1"/>
        <v>Firewall</v>
      </c>
      <c r="AF197" s="30" t="str">
        <f ca="1"/>
        <v>Live</v>
      </c>
      <c r="AG197" s="30">
        <f ca="1"/>
        <v>6</v>
      </c>
      <c r="AH197" s="31" t="str">
        <f ca="1"/>
        <v>Unknown</v>
      </c>
      <c r="AI197" s="49">
        <f t="shared" ca="1" si="5"/>
        <v>0</v>
      </c>
      <c r="AJ197" s="71">
        <f ca="1"/>
        <v>0</v>
      </c>
    </row>
    <row r="198" spans="2:36" x14ac:dyDescent="0.25">
      <c r="B198" s="29" t="str">
        <f ca="1"/>
        <v>dal10.sr01.rk187</v>
      </c>
      <c r="C198" s="10" t="s">
        <v>2070</v>
      </c>
      <c r="D198" s="2" t="b" cm="1">
        <f t="array" ref="D198:O198">_xlfn._xlws.FILTER(IF(ancillary!$E$4:$P$8="",FALSE,ancillary!$E$4:$P$8),ancillary!$B$4:$B$8=$C198)</f>
        <v>1</v>
      </c>
      <c r="E198" s="2" t="b">
        <v>1</v>
      </c>
      <c r="F198" s="2" t="b">
        <v>1</v>
      </c>
      <c r="G198" s="2" t="b">
        <v>1</v>
      </c>
      <c r="H198" s="2" t="b">
        <v>1</v>
      </c>
      <c r="I198" s="2" t="b">
        <v>1</v>
      </c>
      <c r="J198" s="2" t="b">
        <v>0</v>
      </c>
      <c r="K198" s="2" t="b">
        <v>0</v>
      </c>
      <c r="L198" s="2" t="b">
        <v>0</v>
      </c>
      <c r="M198" s="2" t="b">
        <v>0</v>
      </c>
      <c r="N198" s="2" t="b">
        <v>0</v>
      </c>
      <c r="O198" s="2" t="b">
        <v>0</v>
      </c>
      <c r="P198" s="68"/>
      <c r="R198" s="69"/>
      <c r="S198" s="68"/>
      <c r="U198" s="69"/>
      <c r="V198" s="68"/>
      <c r="X198" s="69"/>
      <c r="Y198" s="68"/>
      <c r="AA198" s="69"/>
      <c r="AB198" s="33">
        <f t="shared" si="4"/>
        <v>0</v>
      </c>
      <c r="AC198" s="45">
        <f>_xlfn.LET(_xlpm.ps_1,P198:R198, _xlpm.ps_2,S198:U198, _xlpm.ps_3,V198:X198, _xlpm.ps_4,Y198:AA198,
_xlpm.phase, MID(C198,SEARCH("-",C198)+1,256),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(_xlfn.XLOOKUP($C$7,site_assumptions[Details],site_assumptions[Volts])*SUMIFS(P198:AA198,_xlfn.ANCHORARRAY(D198),TRUE)/10*0.95)/1000,
IFERROR(IF(_xlpm.phase="3Phase", _xlpm.p3_calc, _xlpm.sp_calc),0))</f>
        <v>0</v>
      </c>
      <c r="AD198" s="29" t="str">
        <f ca="1"/>
        <v>Network</v>
      </c>
      <c r="AE198" s="30" t="str">
        <f ca="1"/>
        <v>Firewall</v>
      </c>
      <c r="AF198" s="30" t="str">
        <f ca="1"/>
        <v>Live</v>
      </c>
      <c r="AG198" s="30">
        <f ca="1"/>
        <v>6</v>
      </c>
      <c r="AH198" s="31" t="str">
        <f ca="1"/>
        <v>Unknown</v>
      </c>
      <c r="AI198" s="49">
        <f t="shared" ca="1" si="5"/>
        <v>0</v>
      </c>
      <c r="AJ198" s="71">
        <f ca="1"/>
        <v>0</v>
      </c>
    </row>
    <row r="199" spans="2:36" x14ac:dyDescent="0.25">
      <c r="B199" s="29" t="str">
        <f ca="1"/>
        <v>dal10.sr01.rk188</v>
      </c>
      <c r="C199" s="10" t="s">
        <v>2070</v>
      </c>
      <c r="D199" s="2" t="b" cm="1">
        <f t="array" ref="D199:O199">_xlfn._xlws.FILTER(IF(ancillary!$E$4:$P$8="",FALSE,ancillary!$E$4:$P$8),ancillary!$B$4:$B$8=$C199)</f>
        <v>1</v>
      </c>
      <c r="E199" s="2" t="b">
        <v>1</v>
      </c>
      <c r="F199" s="2" t="b">
        <v>1</v>
      </c>
      <c r="G199" s="2" t="b">
        <v>1</v>
      </c>
      <c r="H199" s="2" t="b">
        <v>1</v>
      </c>
      <c r="I199" s="2" t="b">
        <v>1</v>
      </c>
      <c r="J199" s="2" t="b">
        <v>0</v>
      </c>
      <c r="K199" s="2" t="b">
        <v>0</v>
      </c>
      <c r="L199" s="2" t="b">
        <v>0</v>
      </c>
      <c r="M199" s="2" t="b">
        <v>0</v>
      </c>
      <c r="N199" s="2" t="b">
        <v>0</v>
      </c>
      <c r="O199" s="2" t="b">
        <v>0</v>
      </c>
      <c r="P199" s="68"/>
      <c r="R199" s="69"/>
      <c r="S199" s="68"/>
      <c r="U199" s="69"/>
      <c r="V199" s="68"/>
      <c r="X199" s="69"/>
      <c r="Y199" s="68"/>
      <c r="AA199" s="69"/>
      <c r="AB199" s="33">
        <f t="shared" si="4"/>
        <v>0</v>
      </c>
      <c r="AC199" s="45">
        <f>_xlfn.LET(_xlpm.ps_1,P199:R199, _xlpm.ps_2,S199:U199, _xlpm.ps_3,V199:X199, _xlpm.ps_4,Y199:AA199,
_xlpm.phase, MID(C199,SEARCH("-",C199)+1,256),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(_xlfn.XLOOKUP($C$7,site_assumptions[Details],site_assumptions[Volts])*SUMIFS(P199:AA199,_xlfn.ANCHORARRAY(D199),TRUE)/10*0.95)/1000,
IFERROR(IF(_xlpm.phase="3Phase", _xlpm.p3_calc, _xlpm.sp_calc),0))</f>
        <v>0</v>
      </c>
      <c r="AD199" s="29" t="str">
        <f ca="1"/>
        <v>Bare Metal</v>
      </c>
      <c r="AE199" s="30" t="str">
        <f ca="1"/>
        <v>Bare Metal</v>
      </c>
      <c r="AF199" s="30" t="str">
        <f ca="1"/>
        <v>Live</v>
      </c>
      <c r="AG199" s="30">
        <f ca="1"/>
        <v>6</v>
      </c>
      <c r="AH199" s="31" t="str">
        <f ca="1"/>
        <v>Unknown</v>
      </c>
      <c r="AI199" s="49">
        <f t="shared" ca="1" si="5"/>
        <v>0</v>
      </c>
      <c r="AJ199" s="71">
        <f ca="1"/>
        <v>8.8190000000000008</v>
      </c>
    </row>
    <row r="200" spans="2:36" x14ac:dyDescent="0.25">
      <c r="B200" s="29" t="str">
        <f ca="1"/>
        <v>dal10.sr01.rk189</v>
      </c>
      <c r="C200" s="10" t="s">
        <v>2070</v>
      </c>
      <c r="D200" s="2" t="b" cm="1">
        <f t="array" ref="D200:O200">_xlfn._xlws.FILTER(IF(ancillary!$E$4:$P$8="",FALSE,ancillary!$E$4:$P$8),ancillary!$B$4:$B$8=$C200)</f>
        <v>1</v>
      </c>
      <c r="E200" s="2" t="b">
        <v>1</v>
      </c>
      <c r="F200" s="2" t="b">
        <v>1</v>
      </c>
      <c r="G200" s="2" t="b">
        <v>1</v>
      </c>
      <c r="H200" s="2" t="b">
        <v>1</v>
      </c>
      <c r="I200" s="2" t="b">
        <v>1</v>
      </c>
      <c r="J200" s="2" t="b">
        <v>0</v>
      </c>
      <c r="K200" s="2" t="b">
        <v>0</v>
      </c>
      <c r="L200" s="2" t="b">
        <v>0</v>
      </c>
      <c r="M200" s="2" t="b">
        <v>0</v>
      </c>
      <c r="N200" s="2" t="b">
        <v>0</v>
      </c>
      <c r="O200" s="2" t="b">
        <v>0</v>
      </c>
      <c r="P200" s="68"/>
      <c r="R200" s="69"/>
      <c r="S200" s="68"/>
      <c r="U200" s="69"/>
      <c r="V200" s="68"/>
      <c r="X200" s="69"/>
      <c r="Y200" s="68"/>
      <c r="AA200" s="69"/>
      <c r="AB200" s="33">
        <f t="shared" si="4"/>
        <v>0</v>
      </c>
      <c r="AC200" s="45">
        <f>_xlfn.LET(_xlpm.ps_1,P200:R200, _xlpm.ps_2,S200:U200, _xlpm.ps_3,V200:X200, _xlpm.ps_4,Y200:AA200,
_xlpm.phase, MID(C200,SEARCH("-",C200)+1,256),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(_xlfn.XLOOKUP($C$7,site_assumptions[Details],site_assumptions[Volts])*SUMIFS(P200:AA200,_xlfn.ANCHORARRAY(D200),TRUE)/10*0.95)/1000,
IFERROR(IF(_xlpm.phase="3Phase", _xlpm.p3_calc, _xlpm.sp_calc),0))</f>
        <v>0</v>
      </c>
      <c r="AD200" s="29" t="str">
        <f ca="1"/>
        <v>Bare Metal</v>
      </c>
      <c r="AE200" s="30" t="str">
        <f ca="1"/>
        <v>Bare Metal</v>
      </c>
      <c r="AF200" s="30" t="str">
        <f ca="1"/>
        <v>Live</v>
      </c>
      <c r="AG200" s="30">
        <f ca="1"/>
        <v>6</v>
      </c>
      <c r="AH200" s="31" t="str">
        <f ca="1"/>
        <v>Unknown</v>
      </c>
      <c r="AI200" s="49">
        <f t="shared" ca="1" si="5"/>
        <v>0</v>
      </c>
      <c r="AJ200" s="71">
        <f ca="1"/>
        <v>2.5070000000000001</v>
      </c>
    </row>
    <row r="201" spans="2:36" x14ac:dyDescent="0.25">
      <c r="B201" s="29" t="str">
        <f ca="1"/>
        <v>dal10.sr01.rk190</v>
      </c>
      <c r="C201" s="10" t="s">
        <v>2070</v>
      </c>
      <c r="D201" s="2" t="b" cm="1">
        <f t="array" ref="D201:O201">_xlfn._xlws.FILTER(IF(ancillary!$E$4:$P$8="",FALSE,ancillary!$E$4:$P$8),ancillary!$B$4:$B$8=$C201)</f>
        <v>1</v>
      </c>
      <c r="E201" s="2" t="b">
        <v>1</v>
      </c>
      <c r="F201" s="2" t="b">
        <v>1</v>
      </c>
      <c r="G201" s="2" t="b">
        <v>1</v>
      </c>
      <c r="H201" s="2" t="b">
        <v>1</v>
      </c>
      <c r="I201" s="2" t="b">
        <v>1</v>
      </c>
      <c r="J201" s="2" t="b">
        <v>0</v>
      </c>
      <c r="K201" s="2" t="b">
        <v>0</v>
      </c>
      <c r="L201" s="2" t="b">
        <v>0</v>
      </c>
      <c r="M201" s="2" t="b">
        <v>0</v>
      </c>
      <c r="N201" s="2" t="b">
        <v>0</v>
      </c>
      <c r="O201" s="2" t="b">
        <v>0</v>
      </c>
      <c r="P201" s="68"/>
      <c r="R201" s="69"/>
      <c r="S201" s="68"/>
      <c r="U201" s="69"/>
      <c r="V201" s="68"/>
      <c r="X201" s="69"/>
      <c r="Y201" s="68"/>
      <c r="AA201" s="69"/>
      <c r="AB201" s="33">
        <f t="shared" si="4"/>
        <v>0</v>
      </c>
      <c r="AC201" s="45">
        <f>_xlfn.LET(_xlpm.ps_1,P201:R201, _xlpm.ps_2,S201:U201, _xlpm.ps_3,V201:X201, _xlpm.ps_4,Y201:AA201,
_xlpm.phase, MID(C201,SEARCH("-",C201)+1,256),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(_xlfn.XLOOKUP($C$7,site_assumptions[Details],site_assumptions[Volts])*SUMIFS(P201:AA201,_xlfn.ANCHORARRAY(D201),TRUE)/10*0.95)/1000,
IFERROR(IF(_xlpm.phase="3Phase", _xlpm.p3_calc, _xlpm.sp_calc),0))</f>
        <v>0</v>
      </c>
      <c r="AD201" s="29" t="str">
        <f ca="1"/>
        <v>Bare Metal</v>
      </c>
      <c r="AE201" s="30" t="str">
        <f ca="1"/>
        <v>Bare Metal</v>
      </c>
      <c r="AF201" s="30" t="str">
        <f ca="1"/>
        <v>Live</v>
      </c>
      <c r="AG201" s="30">
        <f ca="1"/>
        <v>6</v>
      </c>
      <c r="AH201" s="31" t="str">
        <f ca="1"/>
        <v>Unknown</v>
      </c>
      <c r="AI201" s="49">
        <f t="shared" ca="1" si="5"/>
        <v>0</v>
      </c>
      <c r="AJ201" s="71">
        <f ca="1"/>
        <v>4.3230000000000004</v>
      </c>
    </row>
    <row r="202" spans="2:36" x14ac:dyDescent="0.25">
      <c r="B202" s="29" t="str">
        <f ca="1"/>
        <v>dal10.sr01.rk191</v>
      </c>
      <c r="C202" s="10" t="s">
        <v>2070</v>
      </c>
      <c r="D202" s="2" t="b" cm="1">
        <f t="array" ref="D202:O202">_xlfn._xlws.FILTER(IF(ancillary!$E$4:$P$8="",FALSE,ancillary!$E$4:$P$8),ancillary!$B$4:$B$8=$C202)</f>
        <v>1</v>
      </c>
      <c r="E202" s="2" t="b">
        <v>1</v>
      </c>
      <c r="F202" s="2" t="b">
        <v>1</v>
      </c>
      <c r="G202" s="2" t="b">
        <v>1</v>
      </c>
      <c r="H202" s="2" t="b">
        <v>1</v>
      </c>
      <c r="I202" s="2" t="b">
        <v>1</v>
      </c>
      <c r="J202" s="2" t="b">
        <v>0</v>
      </c>
      <c r="K202" s="2" t="b">
        <v>0</v>
      </c>
      <c r="L202" s="2" t="b">
        <v>0</v>
      </c>
      <c r="M202" s="2" t="b">
        <v>0</v>
      </c>
      <c r="N202" s="2" t="b">
        <v>0</v>
      </c>
      <c r="O202" s="2" t="b">
        <v>0</v>
      </c>
      <c r="P202" s="68"/>
      <c r="R202" s="69"/>
      <c r="S202" s="68"/>
      <c r="U202" s="69"/>
      <c r="V202" s="68"/>
      <c r="X202" s="69"/>
      <c r="Y202" s="68"/>
      <c r="AA202" s="69"/>
      <c r="AB202" s="33">
        <f t="shared" si="4"/>
        <v>0</v>
      </c>
      <c r="AC202" s="45">
        <f>_xlfn.LET(_xlpm.ps_1,P202:R202, _xlpm.ps_2,S202:U202, _xlpm.ps_3,V202:X202, _xlpm.ps_4,Y202:AA202,
_xlpm.phase, MID(C202,SEARCH("-",C202)+1,256),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(_xlfn.XLOOKUP($C$7,site_assumptions[Details],site_assumptions[Volts])*SUMIFS(P202:AA202,_xlfn.ANCHORARRAY(D202),TRUE)/10*0.95)/1000,
IFERROR(IF(_xlpm.phase="3Phase", _xlpm.p3_calc, _xlpm.sp_calc),0))</f>
        <v>0</v>
      </c>
      <c r="AD202" s="29" t="str">
        <f ca="1"/>
        <v>Bare Metal</v>
      </c>
      <c r="AE202" s="30" t="str">
        <f ca="1"/>
        <v>Bare Metal</v>
      </c>
      <c r="AF202" s="30" t="str">
        <f ca="1"/>
        <v>Live</v>
      </c>
      <c r="AG202" s="30">
        <f ca="1"/>
        <v>6</v>
      </c>
      <c r="AH202" s="31" t="str">
        <f ca="1"/>
        <v>Unknown</v>
      </c>
      <c r="AI202" s="49">
        <f t="shared" ca="1" si="5"/>
        <v>0</v>
      </c>
      <c r="AJ202" s="71">
        <f ca="1"/>
        <v>3.1230000000000002</v>
      </c>
    </row>
    <row r="203" spans="2:36" x14ac:dyDescent="0.25">
      <c r="B203" s="29" t="str">
        <f ca="1"/>
        <v>dal10.sr01.rk192</v>
      </c>
      <c r="C203" s="10" t="s">
        <v>2070</v>
      </c>
      <c r="D203" s="2" t="b" cm="1">
        <f t="array" ref="D203:O203">_xlfn._xlws.FILTER(IF(ancillary!$E$4:$P$8="",FALSE,ancillary!$E$4:$P$8),ancillary!$B$4:$B$8=$C203)</f>
        <v>1</v>
      </c>
      <c r="E203" s="2" t="b">
        <v>1</v>
      </c>
      <c r="F203" s="2" t="b">
        <v>1</v>
      </c>
      <c r="G203" s="2" t="b">
        <v>1</v>
      </c>
      <c r="H203" s="2" t="b">
        <v>1</v>
      </c>
      <c r="I203" s="2" t="b">
        <v>1</v>
      </c>
      <c r="J203" s="2" t="b">
        <v>0</v>
      </c>
      <c r="K203" s="2" t="b">
        <v>0</v>
      </c>
      <c r="L203" s="2" t="b">
        <v>0</v>
      </c>
      <c r="M203" s="2" t="b">
        <v>0</v>
      </c>
      <c r="N203" s="2" t="b">
        <v>0</v>
      </c>
      <c r="O203" s="2" t="b">
        <v>0</v>
      </c>
      <c r="P203" s="68"/>
      <c r="R203" s="69"/>
      <c r="S203" s="68"/>
      <c r="U203" s="69"/>
      <c r="V203" s="68"/>
      <c r="X203" s="69"/>
      <c r="Y203" s="68"/>
      <c r="AA203" s="69"/>
      <c r="AB203" s="33">
        <f t="shared" si="4"/>
        <v>0</v>
      </c>
      <c r="AC203" s="45">
        <f>_xlfn.LET(_xlpm.ps_1,P203:R203, _xlpm.ps_2,S203:U203, _xlpm.ps_3,V203:X203, _xlpm.ps_4,Y203:AA203,
_xlpm.phase, MID(C203,SEARCH("-",C203)+1,256),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(_xlfn.XLOOKUP($C$7,site_assumptions[Details],site_assumptions[Volts])*SUMIFS(P203:AA203,_xlfn.ANCHORARRAY(D203),TRUE)/10*0.95)/1000,
IFERROR(IF(_xlpm.phase="3Phase", _xlpm.p3_calc, _xlpm.sp_calc),0))</f>
        <v>0</v>
      </c>
      <c r="AD203" s="29" t="str">
        <f ca="1"/>
        <v>Bare Metal</v>
      </c>
      <c r="AE203" s="30" t="str">
        <f ca="1"/>
        <v>Bare Metal</v>
      </c>
      <c r="AF203" s="30" t="str">
        <f ca="1"/>
        <v>Live</v>
      </c>
      <c r="AG203" s="30">
        <f ca="1"/>
        <v>6</v>
      </c>
      <c r="AH203" s="31" t="str">
        <f ca="1"/>
        <v>Unknown</v>
      </c>
      <c r="AI203" s="49">
        <f t="shared" ca="1" si="5"/>
        <v>0</v>
      </c>
      <c r="AJ203" s="71">
        <f ca="1"/>
        <v>2.718</v>
      </c>
    </row>
    <row r="204" spans="2:36" x14ac:dyDescent="0.25">
      <c r="B204" s="29" t="str">
        <f ca="1"/>
        <v>dal10.sr01.rk193</v>
      </c>
      <c r="C204" s="10" t="s">
        <v>2070</v>
      </c>
      <c r="D204" s="2" t="b" cm="1">
        <f t="array" ref="D204:O204">_xlfn._xlws.FILTER(IF(ancillary!$E$4:$P$8="",FALSE,ancillary!$E$4:$P$8),ancillary!$B$4:$B$8=$C204)</f>
        <v>1</v>
      </c>
      <c r="E204" s="2" t="b">
        <v>1</v>
      </c>
      <c r="F204" s="2" t="b">
        <v>1</v>
      </c>
      <c r="G204" s="2" t="b">
        <v>1</v>
      </c>
      <c r="H204" s="2" t="b">
        <v>1</v>
      </c>
      <c r="I204" s="2" t="b">
        <v>1</v>
      </c>
      <c r="J204" s="2" t="b">
        <v>0</v>
      </c>
      <c r="K204" s="2" t="b">
        <v>0</v>
      </c>
      <c r="L204" s="2" t="b">
        <v>0</v>
      </c>
      <c r="M204" s="2" t="b">
        <v>0</v>
      </c>
      <c r="N204" s="2" t="b">
        <v>0</v>
      </c>
      <c r="O204" s="2" t="b">
        <v>0</v>
      </c>
      <c r="P204" s="68"/>
      <c r="R204" s="69"/>
      <c r="S204" s="68"/>
      <c r="U204" s="69"/>
      <c r="V204" s="68"/>
      <c r="X204" s="69"/>
      <c r="Y204" s="68"/>
      <c r="AA204" s="69"/>
      <c r="AB204" s="33">
        <f t="shared" si="4"/>
        <v>0</v>
      </c>
      <c r="AC204" s="45">
        <f>_xlfn.LET(_xlpm.ps_1,P204:R204, _xlpm.ps_2,S204:U204, _xlpm.ps_3,V204:X204, _xlpm.ps_4,Y204:AA204,
_xlpm.phase, MID(C204,SEARCH("-",C204)+1,256),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(_xlfn.XLOOKUP($C$7,site_assumptions[Details],site_assumptions[Volts])*SUMIFS(P204:AA204,_xlfn.ANCHORARRAY(D204),TRUE)/10*0.95)/1000,
IFERROR(IF(_xlpm.phase="3Phase", _xlpm.p3_calc, _xlpm.sp_calc),0))</f>
        <v>0</v>
      </c>
      <c r="AD204" s="29" t="str">
        <f ca="1"/>
        <v>Network</v>
      </c>
      <c r="AE204" s="30" t="str">
        <f ca="1"/>
        <v>Aggregate</v>
      </c>
      <c r="AF204" s="30" t="str">
        <f ca="1"/>
        <v>Live</v>
      </c>
      <c r="AG204" s="30">
        <f ca="1"/>
        <v>5</v>
      </c>
      <c r="AH204" s="31" t="str">
        <f ca="1"/>
        <v>Unknown</v>
      </c>
      <c r="AI204" s="49">
        <f t="shared" ca="1" si="5"/>
        <v>0</v>
      </c>
      <c r="AJ204" s="71">
        <f ca="1"/>
        <v>0</v>
      </c>
    </row>
    <row r="205" spans="2:36" x14ac:dyDescent="0.25">
      <c r="B205" s="29" t="str">
        <f ca="1"/>
        <v>dal10.sr01.rk194</v>
      </c>
      <c r="C205" s="10" t="s">
        <v>2070</v>
      </c>
      <c r="D205" s="2" t="b" cm="1">
        <f t="array" ref="D205:O205">_xlfn._xlws.FILTER(IF(ancillary!$E$4:$P$8="",FALSE,ancillary!$E$4:$P$8),ancillary!$B$4:$B$8=$C205)</f>
        <v>1</v>
      </c>
      <c r="E205" s="2" t="b">
        <v>1</v>
      </c>
      <c r="F205" s="2" t="b">
        <v>1</v>
      </c>
      <c r="G205" s="2" t="b">
        <v>1</v>
      </c>
      <c r="H205" s="2" t="b">
        <v>1</v>
      </c>
      <c r="I205" s="2" t="b">
        <v>1</v>
      </c>
      <c r="J205" s="2" t="b">
        <v>0</v>
      </c>
      <c r="K205" s="2" t="b">
        <v>0</v>
      </c>
      <c r="L205" s="2" t="b">
        <v>0</v>
      </c>
      <c r="M205" s="2" t="b">
        <v>0</v>
      </c>
      <c r="N205" s="2" t="b">
        <v>0</v>
      </c>
      <c r="O205" s="2" t="b">
        <v>0</v>
      </c>
      <c r="P205" s="68"/>
      <c r="R205" s="69"/>
      <c r="S205" s="68"/>
      <c r="U205" s="69"/>
      <c r="V205" s="68"/>
      <c r="X205" s="69"/>
      <c r="Y205" s="68"/>
      <c r="AA205" s="69"/>
      <c r="AB205" s="33">
        <f t="shared" si="4"/>
        <v>0</v>
      </c>
      <c r="AC205" s="45">
        <f>_xlfn.LET(_xlpm.ps_1,P205:R205, _xlpm.ps_2,S205:U205, _xlpm.ps_3,V205:X205, _xlpm.ps_4,Y205:AA205,
_xlpm.phase, MID(C205,SEARCH("-",C205)+1,256),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(_xlfn.XLOOKUP($C$7,site_assumptions[Details],site_assumptions[Volts])*SUMIFS(P205:AA205,_xlfn.ANCHORARRAY(D205),TRUE)/10*0.95)/1000,
IFERROR(IF(_xlpm.phase="3Phase", _xlpm.p3_calc, _xlpm.sp_calc),0))</f>
        <v>0</v>
      </c>
      <c r="AD205" s="29" t="str">
        <f ca="1"/>
        <v>Bare Metal</v>
      </c>
      <c r="AE205" s="30" t="str">
        <f ca="1"/>
        <v>Bare Metal</v>
      </c>
      <c r="AF205" s="30" t="str">
        <f ca="1"/>
        <v>Live</v>
      </c>
      <c r="AG205" s="30">
        <f ca="1"/>
        <v>6</v>
      </c>
      <c r="AH205" s="31" t="str">
        <f ca="1"/>
        <v>Unknown</v>
      </c>
      <c r="AI205" s="49">
        <f t="shared" ca="1" si="5"/>
        <v>0</v>
      </c>
      <c r="AJ205" s="71">
        <f ca="1"/>
        <v>1.446</v>
      </c>
    </row>
    <row r="206" spans="2:36" x14ac:dyDescent="0.25">
      <c r="B206" s="29" t="str">
        <f ca="1"/>
        <v>dal10.sr01.rk195</v>
      </c>
      <c r="C206" s="10" t="s">
        <v>2070</v>
      </c>
      <c r="D206" s="2" t="b" cm="1">
        <f t="array" ref="D206:O206">_xlfn._xlws.FILTER(IF(ancillary!$E$4:$P$8="",FALSE,ancillary!$E$4:$P$8),ancillary!$B$4:$B$8=$C206)</f>
        <v>1</v>
      </c>
      <c r="E206" s="2" t="b">
        <v>1</v>
      </c>
      <c r="F206" s="2" t="b">
        <v>1</v>
      </c>
      <c r="G206" s="2" t="b">
        <v>1</v>
      </c>
      <c r="H206" s="2" t="b">
        <v>1</v>
      </c>
      <c r="I206" s="2" t="b">
        <v>1</v>
      </c>
      <c r="J206" s="2" t="b">
        <v>0</v>
      </c>
      <c r="K206" s="2" t="b">
        <v>0</v>
      </c>
      <c r="L206" s="2" t="b">
        <v>0</v>
      </c>
      <c r="M206" s="2" t="b">
        <v>0</v>
      </c>
      <c r="N206" s="2" t="b">
        <v>0</v>
      </c>
      <c r="O206" s="2" t="b">
        <v>0</v>
      </c>
      <c r="P206" s="68"/>
      <c r="R206" s="69"/>
      <c r="S206" s="68"/>
      <c r="U206" s="69"/>
      <c r="V206" s="68"/>
      <c r="X206" s="69"/>
      <c r="Y206" s="68"/>
      <c r="AA206" s="69"/>
      <c r="AB206" s="33">
        <f t="shared" ref="AB206:AB269" si="6">IFERROR(AVERAGEIFS(P206:AA206,_xlfn.ANCHORARRAY(D206),TRUE),0)/10</f>
        <v>0</v>
      </c>
      <c r="AC206" s="45">
        <f>_xlfn.LET(_xlpm.ps_1,P206:R206, _xlpm.ps_2,S206:U206, _xlpm.ps_3,V206:X206, _xlpm.ps_4,Y206:AA206,
_xlpm.phase, MID(C206,SEARCH("-",C206)+1,256),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(_xlfn.XLOOKUP($C$7,site_assumptions[Details],site_assumptions[Volts])*SUMIFS(P206:AA206,_xlfn.ANCHORARRAY(D206),TRUE)/10*0.95)/1000,
IFERROR(IF(_xlpm.phase="3Phase", _xlpm.p3_calc, _xlpm.sp_calc),0))</f>
        <v>0</v>
      </c>
      <c r="AD206" s="29" t="str">
        <f ca="1"/>
        <v>Bare Metal</v>
      </c>
      <c r="AE206" s="30" t="str">
        <f ca="1"/>
        <v>Bare Metal</v>
      </c>
      <c r="AF206" s="30" t="str">
        <f ca="1"/>
        <v>Live</v>
      </c>
      <c r="AG206" s="30">
        <f ca="1"/>
        <v>6</v>
      </c>
      <c r="AH206" s="31" t="str">
        <f ca="1"/>
        <v>Unknown</v>
      </c>
      <c r="AI206" s="49">
        <f t="shared" ref="AI206:AI269" ca="1" si="7">IFERROR(AC206/AG206,0)</f>
        <v>0</v>
      </c>
      <c r="AJ206" s="71">
        <f ca="1"/>
        <v>3.9390000000000001</v>
      </c>
    </row>
    <row r="207" spans="2:36" x14ac:dyDescent="0.25">
      <c r="B207" s="29" t="str">
        <f ca="1"/>
        <v>dal10.sr01.rk196</v>
      </c>
      <c r="C207" s="10" t="s">
        <v>2070</v>
      </c>
      <c r="D207" s="2" t="b" cm="1">
        <f t="array" ref="D207:O207">_xlfn._xlws.FILTER(IF(ancillary!$E$4:$P$8="",FALSE,ancillary!$E$4:$P$8),ancillary!$B$4:$B$8=$C207)</f>
        <v>1</v>
      </c>
      <c r="E207" s="2" t="b">
        <v>1</v>
      </c>
      <c r="F207" s="2" t="b">
        <v>1</v>
      </c>
      <c r="G207" s="2" t="b">
        <v>1</v>
      </c>
      <c r="H207" s="2" t="b">
        <v>1</v>
      </c>
      <c r="I207" s="2" t="b">
        <v>1</v>
      </c>
      <c r="J207" s="2" t="b">
        <v>0</v>
      </c>
      <c r="K207" s="2" t="b">
        <v>0</v>
      </c>
      <c r="L207" s="2" t="b">
        <v>0</v>
      </c>
      <c r="M207" s="2" t="b">
        <v>0</v>
      </c>
      <c r="N207" s="2" t="b">
        <v>0</v>
      </c>
      <c r="O207" s="2" t="b">
        <v>0</v>
      </c>
      <c r="P207" s="68"/>
      <c r="R207" s="69"/>
      <c r="S207" s="68"/>
      <c r="U207" s="69"/>
      <c r="V207" s="68"/>
      <c r="X207" s="69"/>
      <c r="Y207" s="68"/>
      <c r="AA207" s="69"/>
      <c r="AB207" s="33">
        <f t="shared" si="6"/>
        <v>0</v>
      </c>
      <c r="AC207" s="45">
        <f>_xlfn.LET(_xlpm.ps_1,P207:R207, _xlpm.ps_2,S207:U207, _xlpm.ps_3,V207:X207, _xlpm.ps_4,Y207:AA207,
_xlpm.phase, MID(C207,SEARCH("-",C207)+1,256),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(_xlfn.XLOOKUP($C$7,site_assumptions[Details],site_assumptions[Volts])*SUMIFS(P207:AA207,_xlfn.ANCHORARRAY(D207),TRUE)/10*0.95)/1000,
IFERROR(IF(_xlpm.phase="3Phase", _xlpm.p3_calc, _xlpm.sp_calc),0))</f>
        <v>0</v>
      </c>
      <c r="AD207" s="29" t="str">
        <f ca="1"/>
        <v>Bare Metal</v>
      </c>
      <c r="AE207" s="30" t="str">
        <f ca="1"/>
        <v>Bare Metal</v>
      </c>
      <c r="AF207" s="30" t="str">
        <f ca="1"/>
        <v>Live</v>
      </c>
      <c r="AG207" s="30">
        <f ca="1"/>
        <v>6</v>
      </c>
      <c r="AH207" s="31" t="str">
        <f ca="1"/>
        <v>Unknown</v>
      </c>
      <c r="AI207" s="49">
        <f t="shared" ca="1" si="7"/>
        <v>0</v>
      </c>
      <c r="AJ207" s="71">
        <f ca="1"/>
        <v>4.2699999999999996</v>
      </c>
    </row>
    <row r="208" spans="2:36" x14ac:dyDescent="0.25">
      <c r="B208" s="29" t="str">
        <f ca="1"/>
        <v>dal10.sr01.rk197</v>
      </c>
      <c r="C208" s="10" t="s">
        <v>2070</v>
      </c>
      <c r="D208" s="2" t="b" cm="1">
        <f t="array" ref="D208:O208">_xlfn._xlws.FILTER(IF(ancillary!$E$4:$P$8="",FALSE,ancillary!$E$4:$P$8),ancillary!$B$4:$B$8=$C208)</f>
        <v>1</v>
      </c>
      <c r="E208" s="2" t="b">
        <v>1</v>
      </c>
      <c r="F208" s="2" t="b">
        <v>1</v>
      </c>
      <c r="G208" s="2" t="b">
        <v>1</v>
      </c>
      <c r="H208" s="2" t="b">
        <v>1</v>
      </c>
      <c r="I208" s="2" t="b">
        <v>1</v>
      </c>
      <c r="J208" s="2" t="b">
        <v>0</v>
      </c>
      <c r="K208" s="2" t="b">
        <v>0</v>
      </c>
      <c r="L208" s="2" t="b">
        <v>0</v>
      </c>
      <c r="M208" s="2" t="b">
        <v>0</v>
      </c>
      <c r="N208" s="2" t="b">
        <v>0</v>
      </c>
      <c r="O208" s="2" t="b">
        <v>0</v>
      </c>
      <c r="P208" s="68"/>
      <c r="R208" s="69"/>
      <c r="S208" s="68"/>
      <c r="U208" s="69"/>
      <c r="V208" s="68"/>
      <c r="X208" s="69"/>
      <c r="Y208" s="68"/>
      <c r="AA208" s="69"/>
      <c r="AB208" s="33">
        <f t="shared" si="6"/>
        <v>0</v>
      </c>
      <c r="AC208" s="45">
        <f>_xlfn.LET(_xlpm.ps_1,P208:R208, _xlpm.ps_2,S208:U208, _xlpm.ps_3,V208:X208, _xlpm.ps_4,Y208:AA208,
_xlpm.phase, MID(C208,SEARCH("-",C208)+1,256),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(_xlfn.XLOOKUP($C$7,site_assumptions[Details],site_assumptions[Volts])*SUMIFS(P208:AA208,_xlfn.ANCHORARRAY(D208),TRUE)/10*0.95)/1000,
IFERROR(IF(_xlpm.phase="3Phase", _xlpm.p3_calc, _xlpm.sp_calc),0))</f>
        <v>0</v>
      </c>
      <c r="AD208" s="29" t="str">
        <f ca="1"/>
        <v>Bare Metal</v>
      </c>
      <c r="AE208" s="30" t="str">
        <f ca="1"/>
        <v>Bare Metal</v>
      </c>
      <c r="AF208" s="30" t="str">
        <f ca="1"/>
        <v>Live</v>
      </c>
      <c r="AG208" s="30">
        <f ca="1"/>
        <v>6</v>
      </c>
      <c r="AH208" s="31" t="str">
        <f ca="1"/>
        <v>Unknown</v>
      </c>
      <c r="AI208" s="49">
        <f t="shared" ca="1" si="7"/>
        <v>0</v>
      </c>
      <c r="AJ208" s="71">
        <f ca="1"/>
        <v>3.5089999999999999</v>
      </c>
    </row>
    <row r="209" spans="2:36" x14ac:dyDescent="0.25">
      <c r="B209" s="29" t="str">
        <f ca="1"/>
        <v>dal10.sr01.rk198</v>
      </c>
      <c r="C209" s="10" t="s">
        <v>2070</v>
      </c>
      <c r="D209" s="2" t="b" cm="1">
        <f t="array" ref="D209:O209">_xlfn._xlws.FILTER(IF(ancillary!$E$4:$P$8="",FALSE,ancillary!$E$4:$P$8),ancillary!$B$4:$B$8=$C209)</f>
        <v>1</v>
      </c>
      <c r="E209" s="2" t="b">
        <v>1</v>
      </c>
      <c r="F209" s="2" t="b">
        <v>1</v>
      </c>
      <c r="G209" s="2" t="b">
        <v>1</v>
      </c>
      <c r="H209" s="2" t="b">
        <v>1</v>
      </c>
      <c r="I209" s="2" t="b">
        <v>1</v>
      </c>
      <c r="J209" s="2" t="b">
        <v>0</v>
      </c>
      <c r="K209" s="2" t="b">
        <v>0</v>
      </c>
      <c r="L209" s="2" t="b">
        <v>0</v>
      </c>
      <c r="M209" s="2" t="b">
        <v>0</v>
      </c>
      <c r="N209" s="2" t="b">
        <v>0</v>
      </c>
      <c r="O209" s="2" t="b">
        <v>0</v>
      </c>
      <c r="P209" s="68"/>
      <c r="R209" s="69"/>
      <c r="S209" s="68"/>
      <c r="U209" s="69"/>
      <c r="V209" s="68"/>
      <c r="X209" s="69"/>
      <c r="Y209" s="68"/>
      <c r="AA209" s="69"/>
      <c r="AB209" s="33">
        <f t="shared" si="6"/>
        <v>0</v>
      </c>
      <c r="AC209" s="45">
        <f>_xlfn.LET(_xlpm.ps_1,P209:R209, _xlpm.ps_2,S209:U209, _xlpm.ps_3,V209:X209, _xlpm.ps_4,Y209:AA209,
_xlpm.phase, MID(C209,SEARCH("-",C209)+1,256),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(_xlfn.XLOOKUP($C$7,site_assumptions[Details],site_assumptions[Volts])*SUMIFS(P209:AA209,_xlfn.ANCHORARRAY(D209),TRUE)/10*0.95)/1000,
IFERROR(IF(_xlpm.phase="3Phase", _xlpm.p3_calc, _xlpm.sp_calc),0))</f>
        <v>0</v>
      </c>
      <c r="AD209" s="29" t="str">
        <f ca="1"/>
        <v>Bare Metal</v>
      </c>
      <c r="AE209" s="30" t="str">
        <f ca="1"/>
        <v>Bare Metal</v>
      </c>
      <c r="AF209" s="30" t="str">
        <f ca="1"/>
        <v>Live</v>
      </c>
      <c r="AG209" s="30">
        <f ca="1"/>
        <v>6</v>
      </c>
      <c r="AH209" s="31" t="str">
        <f ca="1"/>
        <v>Unknown</v>
      </c>
      <c r="AI209" s="49">
        <f t="shared" ca="1" si="7"/>
        <v>0</v>
      </c>
      <c r="AJ209" s="71">
        <f ca="1"/>
        <v>2.996</v>
      </c>
    </row>
    <row r="210" spans="2:36" x14ac:dyDescent="0.25">
      <c r="B210" s="29" t="str">
        <f ca="1"/>
        <v>dal10.sr01.rk199</v>
      </c>
      <c r="C210" s="10" t="s">
        <v>2070</v>
      </c>
      <c r="D210" s="2" t="b" cm="1">
        <f t="array" ref="D210:O210">_xlfn._xlws.FILTER(IF(ancillary!$E$4:$P$8="",FALSE,ancillary!$E$4:$P$8),ancillary!$B$4:$B$8=$C210)</f>
        <v>1</v>
      </c>
      <c r="E210" s="2" t="b">
        <v>1</v>
      </c>
      <c r="F210" s="2" t="b">
        <v>1</v>
      </c>
      <c r="G210" s="2" t="b">
        <v>1</v>
      </c>
      <c r="H210" s="2" t="b">
        <v>1</v>
      </c>
      <c r="I210" s="2" t="b">
        <v>1</v>
      </c>
      <c r="J210" s="2" t="b">
        <v>0</v>
      </c>
      <c r="K210" s="2" t="b">
        <v>0</v>
      </c>
      <c r="L210" s="2" t="b">
        <v>0</v>
      </c>
      <c r="M210" s="2" t="b">
        <v>0</v>
      </c>
      <c r="N210" s="2" t="b">
        <v>0</v>
      </c>
      <c r="O210" s="2" t="b">
        <v>0</v>
      </c>
      <c r="P210" s="68"/>
      <c r="R210" s="69"/>
      <c r="S210" s="68"/>
      <c r="U210" s="69"/>
      <c r="V210" s="68"/>
      <c r="X210" s="69"/>
      <c r="Y210" s="68"/>
      <c r="AA210" s="69"/>
      <c r="AB210" s="33">
        <f t="shared" si="6"/>
        <v>0</v>
      </c>
      <c r="AC210" s="45">
        <f>_xlfn.LET(_xlpm.ps_1,P210:R210, _xlpm.ps_2,S210:U210, _xlpm.ps_3,V210:X210, _xlpm.ps_4,Y210:AA210,
_xlpm.phase, MID(C210,SEARCH("-",C210)+1,256),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(_xlfn.XLOOKUP($C$7,site_assumptions[Details],site_assumptions[Volts])*SUMIFS(P210:AA210,_xlfn.ANCHORARRAY(D210),TRUE)/10*0.95)/1000,
IFERROR(IF(_xlpm.phase="3Phase", _xlpm.p3_calc, _xlpm.sp_calc),0))</f>
        <v>0</v>
      </c>
      <c r="AD210" s="29" t="str">
        <f ca="1"/>
        <v>Network</v>
      </c>
      <c r="AE210" s="30" t="str">
        <f ca="1"/>
        <v>Ded. Firewall</v>
      </c>
      <c r="AF210" s="30" t="str">
        <f ca="1"/>
        <v>Live</v>
      </c>
      <c r="AG210" s="30">
        <f ca="1"/>
        <v>6</v>
      </c>
      <c r="AH210" s="31" t="str">
        <f ca="1"/>
        <v>Unknown</v>
      </c>
      <c r="AI210" s="49">
        <f t="shared" ca="1" si="7"/>
        <v>0</v>
      </c>
      <c r="AJ210" s="71">
        <f ca="1"/>
        <v>4.46</v>
      </c>
    </row>
    <row r="211" spans="2:36" x14ac:dyDescent="0.25">
      <c r="B211" s="29" t="str">
        <f ca="1"/>
        <v>dal10.sr01.rk200</v>
      </c>
      <c r="C211" s="10" t="s">
        <v>2070</v>
      </c>
      <c r="D211" s="2" t="b" cm="1">
        <f t="array" ref="D211:O211">_xlfn._xlws.FILTER(IF(ancillary!$E$4:$P$8="",FALSE,ancillary!$E$4:$P$8),ancillary!$B$4:$B$8=$C211)</f>
        <v>1</v>
      </c>
      <c r="E211" s="2" t="b">
        <v>1</v>
      </c>
      <c r="F211" s="2" t="b">
        <v>1</v>
      </c>
      <c r="G211" s="2" t="b">
        <v>1</v>
      </c>
      <c r="H211" s="2" t="b">
        <v>1</v>
      </c>
      <c r="I211" s="2" t="b">
        <v>1</v>
      </c>
      <c r="J211" s="2" t="b">
        <v>0</v>
      </c>
      <c r="K211" s="2" t="b">
        <v>0</v>
      </c>
      <c r="L211" s="2" t="b">
        <v>0</v>
      </c>
      <c r="M211" s="2" t="b">
        <v>0</v>
      </c>
      <c r="N211" s="2" t="b">
        <v>0</v>
      </c>
      <c r="O211" s="2" t="b">
        <v>0</v>
      </c>
      <c r="P211" s="68"/>
      <c r="R211" s="69"/>
      <c r="S211" s="68"/>
      <c r="U211" s="69"/>
      <c r="V211" s="68"/>
      <c r="X211" s="69"/>
      <c r="Y211" s="68"/>
      <c r="AA211" s="69"/>
      <c r="AB211" s="33">
        <f t="shared" si="6"/>
        <v>0</v>
      </c>
      <c r="AC211" s="45">
        <f>_xlfn.LET(_xlpm.ps_1,P211:R211, _xlpm.ps_2,S211:U211, _xlpm.ps_3,V211:X211, _xlpm.ps_4,Y211:AA211,
_xlpm.phase, MID(C211,SEARCH("-",C211)+1,256),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(_xlfn.XLOOKUP($C$7,site_assumptions[Details],site_assumptions[Volts])*SUMIFS(P211:AA211,_xlfn.ANCHORARRAY(D211),TRUE)/10*0.95)/1000,
IFERROR(IF(_xlpm.phase="3Phase", _xlpm.p3_calc, _xlpm.sp_calc),0))</f>
        <v>0</v>
      </c>
      <c r="AD211" s="29" t="str">
        <f ca="1"/>
        <v>Bare Metal</v>
      </c>
      <c r="AE211" s="30" t="str">
        <f ca="1"/>
        <v>VDC</v>
      </c>
      <c r="AF211" s="30" t="str">
        <f ca="1"/>
        <v>Live</v>
      </c>
      <c r="AG211" s="30">
        <f ca="1"/>
        <v>6</v>
      </c>
      <c r="AH211" s="31" t="str">
        <f ca="1"/>
        <v>Unknown</v>
      </c>
      <c r="AI211" s="49">
        <f t="shared" ca="1" si="7"/>
        <v>0</v>
      </c>
      <c r="AJ211" s="71">
        <f ca="1"/>
        <v>1.726</v>
      </c>
    </row>
    <row r="212" spans="2:36" x14ac:dyDescent="0.25">
      <c r="B212" s="29" t="str">
        <f ca="1"/>
        <v>dal10.sr01.rk201</v>
      </c>
      <c r="C212" s="10" t="s">
        <v>2070</v>
      </c>
      <c r="D212" s="2" t="b" cm="1">
        <f t="array" ref="D212:O212">_xlfn._xlws.FILTER(IF(ancillary!$E$4:$P$8="",FALSE,ancillary!$E$4:$P$8),ancillary!$B$4:$B$8=$C212)</f>
        <v>1</v>
      </c>
      <c r="E212" s="2" t="b">
        <v>1</v>
      </c>
      <c r="F212" s="2" t="b">
        <v>1</v>
      </c>
      <c r="G212" s="2" t="b">
        <v>1</v>
      </c>
      <c r="H212" s="2" t="b">
        <v>1</v>
      </c>
      <c r="I212" s="2" t="b">
        <v>1</v>
      </c>
      <c r="J212" s="2" t="b">
        <v>0</v>
      </c>
      <c r="K212" s="2" t="b">
        <v>0</v>
      </c>
      <c r="L212" s="2" t="b">
        <v>0</v>
      </c>
      <c r="M212" s="2" t="b">
        <v>0</v>
      </c>
      <c r="N212" s="2" t="b">
        <v>0</v>
      </c>
      <c r="O212" s="2" t="b">
        <v>0</v>
      </c>
      <c r="P212" s="68"/>
      <c r="R212" s="69"/>
      <c r="S212" s="68"/>
      <c r="U212" s="69"/>
      <c r="V212" s="68"/>
      <c r="X212" s="69"/>
      <c r="Y212" s="68"/>
      <c r="AA212" s="69"/>
      <c r="AB212" s="33">
        <f t="shared" si="6"/>
        <v>0</v>
      </c>
      <c r="AC212" s="45">
        <f>_xlfn.LET(_xlpm.ps_1,P212:R212, _xlpm.ps_2,S212:U212, _xlpm.ps_3,V212:X212, _xlpm.ps_4,Y212:AA212,
_xlpm.phase, MID(C212,SEARCH("-",C212)+1,256),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(_xlfn.XLOOKUP($C$7,site_assumptions[Details],site_assumptions[Volts])*SUMIFS(P212:AA212,_xlfn.ANCHORARRAY(D212),TRUE)/10*0.95)/1000,
IFERROR(IF(_xlpm.phase="3Phase", _xlpm.p3_calc, _xlpm.sp_calc),0))</f>
        <v>0</v>
      </c>
      <c r="AD212" s="29" t="str">
        <f ca="1"/>
        <v>Bare Metal</v>
      </c>
      <c r="AE212" s="30" t="str">
        <f ca="1"/>
        <v>VDC</v>
      </c>
      <c r="AF212" s="30" t="str">
        <f ca="1"/>
        <v>Live</v>
      </c>
      <c r="AG212" s="30">
        <f ca="1"/>
        <v>6</v>
      </c>
      <c r="AH212" s="31" t="str">
        <f ca="1"/>
        <v>Unknown</v>
      </c>
      <c r="AI212" s="49">
        <f t="shared" ca="1" si="7"/>
        <v>0</v>
      </c>
      <c r="AJ212" s="71">
        <f ca="1"/>
        <v>3.5670000000000002</v>
      </c>
    </row>
    <row r="213" spans="2:36" x14ac:dyDescent="0.25">
      <c r="B213" s="29" t="str">
        <f ca="1"/>
        <v>dal10.sr01.rk202</v>
      </c>
      <c r="C213" s="10" t="s">
        <v>2070</v>
      </c>
      <c r="D213" s="2" t="b" cm="1">
        <f t="array" ref="D213:O213">_xlfn._xlws.FILTER(IF(ancillary!$E$4:$P$8="",FALSE,ancillary!$E$4:$P$8),ancillary!$B$4:$B$8=$C213)</f>
        <v>1</v>
      </c>
      <c r="E213" s="2" t="b">
        <v>1</v>
      </c>
      <c r="F213" s="2" t="b">
        <v>1</v>
      </c>
      <c r="G213" s="2" t="b">
        <v>1</v>
      </c>
      <c r="H213" s="2" t="b">
        <v>1</v>
      </c>
      <c r="I213" s="2" t="b">
        <v>1</v>
      </c>
      <c r="J213" s="2" t="b">
        <v>0</v>
      </c>
      <c r="K213" s="2" t="b">
        <v>0</v>
      </c>
      <c r="L213" s="2" t="b">
        <v>0</v>
      </c>
      <c r="M213" s="2" t="b">
        <v>0</v>
      </c>
      <c r="N213" s="2" t="b">
        <v>0</v>
      </c>
      <c r="O213" s="2" t="b">
        <v>0</v>
      </c>
      <c r="P213" s="68"/>
      <c r="R213" s="69"/>
      <c r="S213" s="68"/>
      <c r="U213" s="69"/>
      <c r="V213" s="68"/>
      <c r="X213" s="69"/>
      <c r="Y213" s="68"/>
      <c r="AA213" s="69"/>
      <c r="AB213" s="33">
        <f t="shared" si="6"/>
        <v>0</v>
      </c>
      <c r="AC213" s="45">
        <f>_xlfn.LET(_xlpm.ps_1,P213:R213, _xlpm.ps_2,S213:U213, _xlpm.ps_3,V213:X213, _xlpm.ps_4,Y213:AA213,
_xlpm.phase, MID(C213,SEARCH("-",C213)+1,256),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(_xlfn.XLOOKUP($C$7,site_assumptions[Details],site_assumptions[Volts])*SUMIFS(P213:AA213,_xlfn.ANCHORARRAY(D213),TRUE)/10*0.95)/1000,
IFERROR(IF(_xlpm.phase="3Phase", _xlpm.p3_calc, _xlpm.sp_calc),0))</f>
        <v>0</v>
      </c>
      <c r="AD213" s="29" t="str">
        <f ca="1"/>
        <v>Bare Metal</v>
      </c>
      <c r="AE213" s="30" t="str">
        <f ca="1"/>
        <v>VDC</v>
      </c>
      <c r="AF213" s="30" t="str">
        <f ca="1"/>
        <v>Live</v>
      </c>
      <c r="AG213" s="30">
        <f ca="1"/>
        <v>6</v>
      </c>
      <c r="AH213" s="31" t="str">
        <f ca="1"/>
        <v>Unknown</v>
      </c>
      <c r="AI213" s="49">
        <f t="shared" ca="1" si="7"/>
        <v>0</v>
      </c>
      <c r="AJ213" s="71">
        <f ca="1"/>
        <v>3.0190000000000001</v>
      </c>
    </row>
    <row r="214" spans="2:36" x14ac:dyDescent="0.25">
      <c r="B214" s="29" t="str">
        <f ca="1"/>
        <v>dal10.sr01.rk203</v>
      </c>
      <c r="C214" s="10" t="s">
        <v>2070</v>
      </c>
      <c r="D214" s="2" t="b" cm="1">
        <f t="array" ref="D214:O214">_xlfn._xlws.FILTER(IF(ancillary!$E$4:$P$8="",FALSE,ancillary!$E$4:$P$8),ancillary!$B$4:$B$8=$C214)</f>
        <v>1</v>
      </c>
      <c r="E214" s="2" t="b">
        <v>1</v>
      </c>
      <c r="F214" s="2" t="b">
        <v>1</v>
      </c>
      <c r="G214" s="2" t="b">
        <v>1</v>
      </c>
      <c r="H214" s="2" t="b">
        <v>1</v>
      </c>
      <c r="I214" s="2" t="b">
        <v>1</v>
      </c>
      <c r="J214" s="2" t="b">
        <v>0</v>
      </c>
      <c r="K214" s="2" t="b">
        <v>0</v>
      </c>
      <c r="L214" s="2" t="b">
        <v>0</v>
      </c>
      <c r="M214" s="2" t="b">
        <v>0</v>
      </c>
      <c r="N214" s="2" t="b">
        <v>0</v>
      </c>
      <c r="O214" s="2" t="b">
        <v>0</v>
      </c>
      <c r="P214" s="68"/>
      <c r="R214" s="69"/>
      <c r="S214" s="68"/>
      <c r="U214" s="69"/>
      <c r="V214" s="68"/>
      <c r="X214" s="69"/>
      <c r="Y214" s="68"/>
      <c r="AA214" s="69"/>
      <c r="AB214" s="33">
        <f t="shared" si="6"/>
        <v>0</v>
      </c>
      <c r="AC214" s="45">
        <f>_xlfn.LET(_xlpm.ps_1,P214:R214, _xlpm.ps_2,S214:U214, _xlpm.ps_3,V214:X214, _xlpm.ps_4,Y214:AA214,
_xlpm.phase, MID(C214,SEARCH("-",C214)+1,256),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(_xlfn.XLOOKUP($C$7,site_assumptions[Details],site_assumptions[Volts])*SUMIFS(P214:AA214,_xlfn.ANCHORARRAY(D214),TRUE)/10*0.95)/1000,
IFERROR(IF(_xlpm.phase="3Phase", _xlpm.p3_calc, _xlpm.sp_calc),0))</f>
        <v>0</v>
      </c>
      <c r="AD214" s="29" t="str">
        <f ca="1"/>
        <v>Bare Metal</v>
      </c>
      <c r="AE214" s="30" t="str">
        <f ca="1"/>
        <v>VDC</v>
      </c>
      <c r="AF214" s="30" t="str">
        <f ca="1"/>
        <v>Live</v>
      </c>
      <c r="AG214" s="30">
        <f ca="1"/>
        <v>6</v>
      </c>
      <c r="AH214" s="31" t="str">
        <f ca="1"/>
        <v>Unknown</v>
      </c>
      <c r="AI214" s="49">
        <f t="shared" ca="1" si="7"/>
        <v>0</v>
      </c>
      <c r="AJ214" s="71">
        <f ca="1"/>
        <v>3.1989999999999998</v>
      </c>
    </row>
    <row r="215" spans="2:36" x14ac:dyDescent="0.25">
      <c r="B215" s="29" t="str">
        <f ca="1"/>
        <v>dal10.sr01.rk204</v>
      </c>
      <c r="C215" s="10" t="s">
        <v>2070</v>
      </c>
      <c r="D215" s="2" t="b" cm="1">
        <f t="array" ref="D215:O215">_xlfn._xlws.FILTER(IF(ancillary!$E$4:$P$8="",FALSE,ancillary!$E$4:$P$8),ancillary!$B$4:$B$8=$C215)</f>
        <v>1</v>
      </c>
      <c r="E215" s="2" t="b">
        <v>1</v>
      </c>
      <c r="F215" s="2" t="b">
        <v>1</v>
      </c>
      <c r="G215" s="2" t="b">
        <v>1</v>
      </c>
      <c r="H215" s="2" t="b">
        <v>1</v>
      </c>
      <c r="I215" s="2" t="b">
        <v>1</v>
      </c>
      <c r="J215" s="2" t="b">
        <v>0</v>
      </c>
      <c r="K215" s="2" t="b">
        <v>0</v>
      </c>
      <c r="L215" s="2" t="b">
        <v>0</v>
      </c>
      <c r="M215" s="2" t="b">
        <v>0</v>
      </c>
      <c r="N215" s="2" t="b">
        <v>0</v>
      </c>
      <c r="O215" s="2" t="b">
        <v>0</v>
      </c>
      <c r="P215" s="68"/>
      <c r="R215" s="69"/>
      <c r="S215" s="68"/>
      <c r="U215" s="69"/>
      <c r="V215" s="68"/>
      <c r="X215" s="69"/>
      <c r="Y215" s="68"/>
      <c r="AA215" s="69"/>
      <c r="AB215" s="33">
        <f t="shared" si="6"/>
        <v>0</v>
      </c>
      <c r="AC215" s="45">
        <f>_xlfn.LET(_xlpm.ps_1,P215:R215, _xlpm.ps_2,S215:U215, _xlpm.ps_3,V215:X215, _xlpm.ps_4,Y215:AA215,
_xlpm.phase, MID(C215,SEARCH("-",C215)+1,256),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(_xlfn.XLOOKUP($C$7,site_assumptions[Details],site_assumptions[Volts])*SUMIFS(P215:AA215,_xlfn.ANCHORARRAY(D215),TRUE)/10*0.95)/1000,
IFERROR(IF(_xlpm.phase="3Phase", _xlpm.p3_calc, _xlpm.sp_calc),0))</f>
        <v>0</v>
      </c>
      <c r="AD215" s="29" t="str">
        <f ca="1"/>
        <v>Network</v>
      </c>
      <c r="AE215" s="30" t="str">
        <f ca="1"/>
        <v>Aggregate</v>
      </c>
      <c r="AF215" s="30" t="str">
        <f ca="1"/>
        <v>Live</v>
      </c>
      <c r="AG215" s="30">
        <f ca="1"/>
        <v>5</v>
      </c>
      <c r="AH215" s="31" t="str">
        <f ca="1"/>
        <v>Unknown</v>
      </c>
      <c r="AI215" s="49">
        <f t="shared" ca="1" si="7"/>
        <v>0</v>
      </c>
      <c r="AJ215" s="71">
        <f ca="1"/>
        <v>0</v>
      </c>
    </row>
    <row r="216" spans="2:36" x14ac:dyDescent="0.25">
      <c r="B216" s="29" t="str">
        <f ca="1"/>
        <v>dal10.sr01.rk205</v>
      </c>
      <c r="C216" s="10" t="s">
        <v>2070</v>
      </c>
      <c r="D216" s="2" t="b" cm="1">
        <f t="array" ref="D216:O216">_xlfn._xlws.FILTER(IF(ancillary!$E$4:$P$8="",FALSE,ancillary!$E$4:$P$8),ancillary!$B$4:$B$8=$C216)</f>
        <v>1</v>
      </c>
      <c r="E216" s="2" t="b">
        <v>1</v>
      </c>
      <c r="F216" s="2" t="b">
        <v>1</v>
      </c>
      <c r="G216" s="2" t="b">
        <v>1</v>
      </c>
      <c r="H216" s="2" t="b">
        <v>1</v>
      </c>
      <c r="I216" s="2" t="b">
        <v>1</v>
      </c>
      <c r="J216" s="2" t="b">
        <v>0</v>
      </c>
      <c r="K216" s="2" t="b">
        <v>0</v>
      </c>
      <c r="L216" s="2" t="b">
        <v>0</v>
      </c>
      <c r="M216" s="2" t="b">
        <v>0</v>
      </c>
      <c r="N216" s="2" t="b">
        <v>0</v>
      </c>
      <c r="O216" s="2" t="b">
        <v>0</v>
      </c>
      <c r="P216" s="68"/>
      <c r="R216" s="69"/>
      <c r="S216" s="68"/>
      <c r="U216" s="69"/>
      <c r="V216" s="68"/>
      <c r="X216" s="69"/>
      <c r="Y216" s="68"/>
      <c r="AA216" s="69"/>
      <c r="AB216" s="33">
        <f t="shared" si="6"/>
        <v>0</v>
      </c>
      <c r="AC216" s="45">
        <f>_xlfn.LET(_xlpm.ps_1,P216:R216, _xlpm.ps_2,S216:U216, _xlpm.ps_3,V216:X216, _xlpm.ps_4,Y216:AA216,
_xlpm.phase, MID(C216,SEARCH("-",C216)+1,256),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(_xlfn.XLOOKUP($C$7,site_assumptions[Details],site_assumptions[Volts])*SUMIFS(P216:AA216,_xlfn.ANCHORARRAY(D216),TRUE)/10*0.95)/1000,
IFERROR(IF(_xlpm.phase="3Phase", _xlpm.p3_calc, _xlpm.sp_calc),0))</f>
        <v>0</v>
      </c>
      <c r="AD216" s="29" t="str">
        <f ca="1"/>
        <v>Bare Metal</v>
      </c>
      <c r="AE216" s="30" t="str">
        <f ca="1"/>
        <v>Bare Metal</v>
      </c>
      <c r="AF216" s="30" t="str">
        <f ca="1"/>
        <v>Live</v>
      </c>
      <c r="AG216" s="30">
        <f ca="1"/>
        <v>6</v>
      </c>
      <c r="AH216" s="31" t="str">
        <f ca="1"/>
        <v>Unknown</v>
      </c>
      <c r="AI216" s="49">
        <f t="shared" ca="1" si="7"/>
        <v>0</v>
      </c>
      <c r="AJ216" s="71">
        <f ca="1"/>
        <v>1.6519999999999999</v>
      </c>
    </row>
    <row r="217" spans="2:36" x14ac:dyDescent="0.25">
      <c r="B217" s="29" t="str">
        <f ca="1"/>
        <v>dal10.sr01.rk206</v>
      </c>
      <c r="C217" s="10" t="s">
        <v>2070</v>
      </c>
      <c r="D217" s="2" t="b" cm="1">
        <f t="array" ref="D217:O217">_xlfn._xlws.FILTER(IF(ancillary!$E$4:$P$8="",FALSE,ancillary!$E$4:$P$8),ancillary!$B$4:$B$8=$C217)</f>
        <v>1</v>
      </c>
      <c r="E217" s="2" t="b">
        <v>1</v>
      </c>
      <c r="F217" s="2" t="b">
        <v>1</v>
      </c>
      <c r="G217" s="2" t="b">
        <v>1</v>
      </c>
      <c r="H217" s="2" t="b">
        <v>1</v>
      </c>
      <c r="I217" s="2" t="b">
        <v>1</v>
      </c>
      <c r="J217" s="2" t="b">
        <v>0</v>
      </c>
      <c r="K217" s="2" t="b">
        <v>0</v>
      </c>
      <c r="L217" s="2" t="b">
        <v>0</v>
      </c>
      <c r="M217" s="2" t="b">
        <v>0</v>
      </c>
      <c r="N217" s="2" t="b">
        <v>0</v>
      </c>
      <c r="O217" s="2" t="b">
        <v>0</v>
      </c>
      <c r="P217" s="68"/>
      <c r="R217" s="69"/>
      <c r="S217" s="68"/>
      <c r="U217" s="69"/>
      <c r="V217" s="68"/>
      <c r="X217" s="69"/>
      <c r="Y217" s="68"/>
      <c r="AA217" s="69"/>
      <c r="AB217" s="33">
        <f t="shared" si="6"/>
        <v>0</v>
      </c>
      <c r="AC217" s="45">
        <f>_xlfn.LET(_xlpm.ps_1,P217:R217, _xlpm.ps_2,S217:U217, _xlpm.ps_3,V217:X217, _xlpm.ps_4,Y217:AA217,
_xlpm.phase, MID(C217,SEARCH("-",C217)+1,256),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(_xlfn.XLOOKUP($C$7,site_assumptions[Details],site_assumptions[Volts])*SUMIFS(P217:AA217,_xlfn.ANCHORARRAY(D217),TRUE)/10*0.95)/1000,
IFERROR(IF(_xlpm.phase="3Phase", _xlpm.p3_calc, _xlpm.sp_calc),0))</f>
        <v>0</v>
      </c>
      <c r="AD217" s="29" t="str">
        <f ca="1"/>
        <v>Bare Metal</v>
      </c>
      <c r="AE217" s="30" t="str">
        <f ca="1"/>
        <v>Bare Metal</v>
      </c>
      <c r="AF217" s="30" t="str">
        <f ca="1"/>
        <v>Live</v>
      </c>
      <c r="AG217" s="30">
        <f ca="1"/>
        <v>6</v>
      </c>
      <c r="AH217" s="31" t="str">
        <f ca="1"/>
        <v>Unknown</v>
      </c>
      <c r="AI217" s="49">
        <f t="shared" ca="1" si="7"/>
        <v>0</v>
      </c>
      <c r="AJ217" s="71">
        <f ca="1"/>
        <v>5.0110000000000001</v>
      </c>
    </row>
    <row r="218" spans="2:36" x14ac:dyDescent="0.25">
      <c r="B218" s="29" t="str">
        <f ca="1"/>
        <v>dal10.sr01.rk207</v>
      </c>
      <c r="C218" s="10" t="s">
        <v>2070</v>
      </c>
      <c r="D218" s="2" t="b" cm="1">
        <f t="array" ref="D218:O218">_xlfn._xlws.FILTER(IF(ancillary!$E$4:$P$8="",FALSE,ancillary!$E$4:$P$8),ancillary!$B$4:$B$8=$C218)</f>
        <v>1</v>
      </c>
      <c r="E218" s="2" t="b">
        <v>1</v>
      </c>
      <c r="F218" s="2" t="b">
        <v>1</v>
      </c>
      <c r="G218" s="2" t="b">
        <v>1</v>
      </c>
      <c r="H218" s="2" t="b">
        <v>1</v>
      </c>
      <c r="I218" s="2" t="b">
        <v>1</v>
      </c>
      <c r="J218" s="2" t="b">
        <v>0</v>
      </c>
      <c r="K218" s="2" t="b">
        <v>0</v>
      </c>
      <c r="L218" s="2" t="b">
        <v>0</v>
      </c>
      <c r="M218" s="2" t="b">
        <v>0</v>
      </c>
      <c r="N218" s="2" t="b">
        <v>0</v>
      </c>
      <c r="O218" s="2" t="b">
        <v>0</v>
      </c>
      <c r="P218" s="68"/>
      <c r="R218" s="69"/>
      <c r="S218" s="68"/>
      <c r="U218" s="69"/>
      <c r="V218" s="68"/>
      <c r="X218" s="69"/>
      <c r="Y218" s="68"/>
      <c r="AA218" s="69"/>
      <c r="AB218" s="33">
        <f t="shared" si="6"/>
        <v>0</v>
      </c>
      <c r="AC218" s="45">
        <f>_xlfn.LET(_xlpm.ps_1,P218:R218, _xlpm.ps_2,S218:U218, _xlpm.ps_3,V218:X218, _xlpm.ps_4,Y218:AA218,
_xlpm.phase, MID(C218,SEARCH("-",C218)+1,256),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(_xlfn.XLOOKUP($C$7,site_assumptions[Details],site_assumptions[Volts])*SUMIFS(P218:AA218,_xlfn.ANCHORARRAY(D218),TRUE)/10*0.95)/1000,
IFERROR(IF(_xlpm.phase="3Phase", _xlpm.p3_calc, _xlpm.sp_calc),0))</f>
        <v>0</v>
      </c>
      <c r="AD218" s="29" t="str">
        <f ca="1"/>
        <v>Bare Metal</v>
      </c>
      <c r="AE218" s="30" t="str">
        <f ca="1"/>
        <v>Bare Metal</v>
      </c>
      <c r="AF218" s="30" t="str">
        <f ca="1"/>
        <v>Live</v>
      </c>
      <c r="AG218" s="30">
        <f ca="1"/>
        <v>6</v>
      </c>
      <c r="AH218" s="31" t="str">
        <f ca="1"/>
        <v>Unknown</v>
      </c>
      <c r="AI218" s="49">
        <f t="shared" ca="1" si="7"/>
        <v>0</v>
      </c>
      <c r="AJ218" s="71">
        <f ca="1"/>
        <v>1.9359999999999999</v>
      </c>
    </row>
    <row r="219" spans="2:36" x14ac:dyDescent="0.25">
      <c r="B219" s="29" t="str">
        <f ca="1"/>
        <v>dal10.sr01.rk208</v>
      </c>
      <c r="C219" s="10" t="s">
        <v>2070</v>
      </c>
      <c r="D219" s="2" t="b" cm="1">
        <f t="array" ref="D219:O219">_xlfn._xlws.FILTER(IF(ancillary!$E$4:$P$8="",FALSE,ancillary!$E$4:$P$8),ancillary!$B$4:$B$8=$C219)</f>
        <v>1</v>
      </c>
      <c r="E219" s="2" t="b">
        <v>1</v>
      </c>
      <c r="F219" s="2" t="b">
        <v>1</v>
      </c>
      <c r="G219" s="2" t="b">
        <v>1</v>
      </c>
      <c r="H219" s="2" t="b">
        <v>1</v>
      </c>
      <c r="I219" s="2" t="b">
        <v>1</v>
      </c>
      <c r="J219" s="2" t="b">
        <v>0</v>
      </c>
      <c r="K219" s="2" t="b">
        <v>0</v>
      </c>
      <c r="L219" s="2" t="b">
        <v>0</v>
      </c>
      <c r="M219" s="2" t="b">
        <v>0</v>
      </c>
      <c r="N219" s="2" t="b">
        <v>0</v>
      </c>
      <c r="O219" s="2" t="b">
        <v>0</v>
      </c>
      <c r="P219" s="68"/>
      <c r="R219" s="69"/>
      <c r="S219" s="68"/>
      <c r="U219" s="69"/>
      <c r="V219" s="68"/>
      <c r="X219" s="69"/>
      <c r="Y219" s="68"/>
      <c r="AA219" s="69"/>
      <c r="AB219" s="33">
        <f t="shared" si="6"/>
        <v>0</v>
      </c>
      <c r="AC219" s="45">
        <f>_xlfn.LET(_xlpm.ps_1,P219:R219, _xlpm.ps_2,S219:U219, _xlpm.ps_3,V219:X219, _xlpm.ps_4,Y219:AA219,
_xlpm.phase, MID(C219,SEARCH("-",C219)+1,256),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(_xlfn.XLOOKUP($C$7,site_assumptions[Details],site_assumptions[Volts])*SUMIFS(P219:AA219,_xlfn.ANCHORARRAY(D219),TRUE)/10*0.95)/1000,
IFERROR(IF(_xlpm.phase="3Phase", _xlpm.p3_calc, _xlpm.sp_calc),0))</f>
        <v>0</v>
      </c>
      <c r="AD219" s="29" t="str">
        <f ca="1"/>
        <v>Bare Metal</v>
      </c>
      <c r="AE219" s="30" t="str">
        <f ca="1"/>
        <v>Bare Metal</v>
      </c>
      <c r="AF219" s="30" t="str">
        <f ca="1"/>
        <v>Live</v>
      </c>
      <c r="AG219" s="30">
        <f ca="1"/>
        <v>6</v>
      </c>
      <c r="AH219" s="31" t="str">
        <f ca="1"/>
        <v>Unknown</v>
      </c>
      <c r="AI219" s="49">
        <f t="shared" ca="1" si="7"/>
        <v>0</v>
      </c>
      <c r="AJ219" s="71">
        <f ca="1"/>
        <v>2.6389999999999998</v>
      </c>
    </row>
    <row r="220" spans="2:36" x14ac:dyDescent="0.25">
      <c r="B220" s="29" t="str">
        <f ca="1"/>
        <v>dal10.sr01.rk209</v>
      </c>
      <c r="C220" s="10" t="s">
        <v>2070</v>
      </c>
      <c r="D220" s="2" t="b" cm="1">
        <f t="array" ref="D220:O220">_xlfn._xlws.FILTER(IF(ancillary!$E$4:$P$8="",FALSE,ancillary!$E$4:$P$8),ancillary!$B$4:$B$8=$C220)</f>
        <v>1</v>
      </c>
      <c r="E220" s="2" t="b">
        <v>1</v>
      </c>
      <c r="F220" s="2" t="b">
        <v>1</v>
      </c>
      <c r="G220" s="2" t="b">
        <v>1</v>
      </c>
      <c r="H220" s="2" t="b">
        <v>1</v>
      </c>
      <c r="I220" s="2" t="b">
        <v>1</v>
      </c>
      <c r="J220" s="2" t="b">
        <v>0</v>
      </c>
      <c r="K220" s="2" t="b">
        <v>0</v>
      </c>
      <c r="L220" s="2" t="b">
        <v>0</v>
      </c>
      <c r="M220" s="2" t="b">
        <v>0</v>
      </c>
      <c r="N220" s="2" t="b">
        <v>0</v>
      </c>
      <c r="O220" s="2" t="b">
        <v>0</v>
      </c>
      <c r="P220" s="68"/>
      <c r="R220" s="69"/>
      <c r="S220" s="68"/>
      <c r="U220" s="69"/>
      <c r="V220" s="68"/>
      <c r="X220" s="69"/>
      <c r="Y220" s="68"/>
      <c r="AA220" s="69"/>
      <c r="AB220" s="33">
        <f t="shared" si="6"/>
        <v>0</v>
      </c>
      <c r="AC220" s="45">
        <f>_xlfn.LET(_xlpm.ps_1,P220:R220, _xlpm.ps_2,S220:U220, _xlpm.ps_3,V220:X220, _xlpm.ps_4,Y220:AA220,
_xlpm.phase, MID(C220,SEARCH("-",C220)+1,256),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(_xlfn.XLOOKUP($C$7,site_assumptions[Details],site_assumptions[Volts])*SUMIFS(P220:AA220,_xlfn.ANCHORARRAY(D220),TRUE)/10*0.95)/1000,
IFERROR(IF(_xlpm.phase="3Phase", _xlpm.p3_calc, _xlpm.sp_calc),0))</f>
        <v>0</v>
      </c>
      <c r="AD220" s="29" t="str">
        <f ca="1"/>
        <v>Bare Metal</v>
      </c>
      <c r="AE220" s="30" t="str">
        <f ca="1"/>
        <v>Bare Metal</v>
      </c>
      <c r="AF220" s="30" t="str">
        <f ca="1"/>
        <v>Live</v>
      </c>
      <c r="AG220" s="30">
        <f ca="1"/>
        <v>6</v>
      </c>
      <c r="AH220" s="31" t="str">
        <f ca="1"/>
        <v>Unknown</v>
      </c>
      <c r="AI220" s="49">
        <f t="shared" ca="1" si="7"/>
        <v>0</v>
      </c>
      <c r="AJ220" s="71">
        <f ca="1"/>
        <v>1.7569999999999999</v>
      </c>
    </row>
    <row r="221" spans="2:36" x14ac:dyDescent="0.25">
      <c r="B221" s="29" t="str">
        <f ca="1"/>
        <v>dal10.sr01.rk210</v>
      </c>
      <c r="C221" s="10" t="s">
        <v>2070</v>
      </c>
      <c r="D221" s="2" t="b" cm="1">
        <f t="array" ref="D221:O221">_xlfn._xlws.FILTER(IF(ancillary!$E$4:$P$8="",FALSE,ancillary!$E$4:$P$8),ancillary!$B$4:$B$8=$C221)</f>
        <v>1</v>
      </c>
      <c r="E221" s="2" t="b">
        <v>1</v>
      </c>
      <c r="F221" s="2" t="b">
        <v>1</v>
      </c>
      <c r="G221" s="2" t="b">
        <v>1</v>
      </c>
      <c r="H221" s="2" t="b">
        <v>1</v>
      </c>
      <c r="I221" s="2" t="b">
        <v>1</v>
      </c>
      <c r="J221" s="2" t="b">
        <v>0</v>
      </c>
      <c r="K221" s="2" t="b">
        <v>0</v>
      </c>
      <c r="L221" s="2" t="b">
        <v>0</v>
      </c>
      <c r="M221" s="2" t="b">
        <v>0</v>
      </c>
      <c r="N221" s="2" t="b">
        <v>0</v>
      </c>
      <c r="O221" s="2" t="b">
        <v>0</v>
      </c>
      <c r="P221" s="68"/>
      <c r="R221" s="69"/>
      <c r="S221" s="68"/>
      <c r="U221" s="69"/>
      <c r="V221" s="68"/>
      <c r="X221" s="69"/>
      <c r="Y221" s="68"/>
      <c r="AA221" s="69"/>
      <c r="AB221" s="33">
        <f t="shared" si="6"/>
        <v>0</v>
      </c>
      <c r="AC221" s="45">
        <f>_xlfn.LET(_xlpm.ps_1,P221:R221, _xlpm.ps_2,S221:U221, _xlpm.ps_3,V221:X221, _xlpm.ps_4,Y221:AA221,
_xlpm.phase, MID(C221,SEARCH("-",C221)+1,256),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(_xlfn.XLOOKUP($C$7,site_assumptions[Details],site_assumptions[Volts])*SUMIFS(P221:AA221,_xlfn.ANCHORARRAY(D221),TRUE)/10*0.95)/1000,
IFERROR(IF(_xlpm.phase="3Phase", _xlpm.p3_calc, _xlpm.sp_calc),0))</f>
        <v>0</v>
      </c>
      <c r="AD221" s="29" t="str">
        <f ca="1"/>
        <v>Bare Metal</v>
      </c>
      <c r="AE221" s="30" t="str">
        <f ca="1"/>
        <v>Bare Metal</v>
      </c>
      <c r="AF221" s="30" t="str">
        <f ca="1"/>
        <v>Live</v>
      </c>
      <c r="AG221" s="30">
        <f ca="1"/>
        <v>6</v>
      </c>
      <c r="AH221" s="31" t="str">
        <f ca="1"/>
        <v>Unknown</v>
      </c>
      <c r="AI221" s="49">
        <f t="shared" ca="1" si="7"/>
        <v>0</v>
      </c>
      <c r="AJ221" s="71">
        <f ca="1"/>
        <v>2.621</v>
      </c>
    </row>
    <row r="222" spans="2:36" x14ac:dyDescent="0.25">
      <c r="B222" s="29" t="str">
        <f ca="1"/>
        <v>dal10.sr01.rk211</v>
      </c>
      <c r="C222" s="10" t="s">
        <v>2070</v>
      </c>
      <c r="D222" s="2" t="b" cm="1">
        <f t="array" ref="D222:O222">_xlfn._xlws.FILTER(IF(ancillary!$E$4:$P$8="",FALSE,ancillary!$E$4:$P$8),ancillary!$B$4:$B$8=$C222)</f>
        <v>1</v>
      </c>
      <c r="E222" s="2" t="b">
        <v>1</v>
      </c>
      <c r="F222" s="2" t="b">
        <v>1</v>
      </c>
      <c r="G222" s="2" t="b">
        <v>1</v>
      </c>
      <c r="H222" s="2" t="b">
        <v>1</v>
      </c>
      <c r="I222" s="2" t="b">
        <v>1</v>
      </c>
      <c r="J222" s="2" t="b">
        <v>0</v>
      </c>
      <c r="K222" s="2" t="b">
        <v>0</v>
      </c>
      <c r="L222" s="2" t="b">
        <v>0</v>
      </c>
      <c r="M222" s="2" t="b">
        <v>0</v>
      </c>
      <c r="N222" s="2" t="b">
        <v>0</v>
      </c>
      <c r="O222" s="2" t="b">
        <v>0</v>
      </c>
      <c r="P222" s="68"/>
      <c r="R222" s="69"/>
      <c r="S222" s="68"/>
      <c r="U222" s="69"/>
      <c r="V222" s="68"/>
      <c r="X222" s="69"/>
      <c r="Y222" s="68"/>
      <c r="AA222" s="69"/>
      <c r="AB222" s="33">
        <f t="shared" si="6"/>
        <v>0</v>
      </c>
      <c r="AC222" s="45">
        <f>_xlfn.LET(_xlpm.ps_1,P222:R222, _xlpm.ps_2,S222:U222, _xlpm.ps_3,V222:X222, _xlpm.ps_4,Y222:AA222,
_xlpm.phase, MID(C222,SEARCH("-",C222)+1,256),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(_xlfn.XLOOKUP($C$7,site_assumptions[Details],site_assumptions[Volts])*SUMIFS(P222:AA222,_xlfn.ANCHORARRAY(D222),TRUE)/10*0.95)/1000,
IFERROR(IF(_xlpm.phase="3Phase", _xlpm.p3_calc, _xlpm.sp_calc),0))</f>
        <v>0</v>
      </c>
      <c r="AD222" s="29" t="str">
        <f ca="1"/>
        <v>Bare Metal</v>
      </c>
      <c r="AE222" s="30" t="str">
        <f ca="1"/>
        <v>Bare Metal</v>
      </c>
      <c r="AF222" s="30" t="str">
        <f ca="1"/>
        <v>Live</v>
      </c>
      <c r="AG222" s="30">
        <f ca="1"/>
        <v>6</v>
      </c>
      <c r="AH222" s="31" t="str">
        <f ca="1"/>
        <v>Unknown</v>
      </c>
      <c r="AI222" s="49">
        <f t="shared" ca="1" si="7"/>
        <v>0</v>
      </c>
      <c r="AJ222" s="71">
        <f ca="1"/>
        <v>2.698</v>
      </c>
    </row>
    <row r="223" spans="2:36" x14ac:dyDescent="0.25">
      <c r="B223" s="29" t="str">
        <f ca="1"/>
        <v>dal10.sr01.rk212</v>
      </c>
      <c r="C223" s="10" t="s">
        <v>2070</v>
      </c>
      <c r="D223" s="2" t="b" cm="1">
        <f t="array" ref="D223:O223">_xlfn._xlws.FILTER(IF(ancillary!$E$4:$P$8="",FALSE,ancillary!$E$4:$P$8),ancillary!$B$4:$B$8=$C223)</f>
        <v>1</v>
      </c>
      <c r="E223" s="2" t="b">
        <v>1</v>
      </c>
      <c r="F223" s="2" t="b">
        <v>1</v>
      </c>
      <c r="G223" s="2" t="b">
        <v>1</v>
      </c>
      <c r="H223" s="2" t="b">
        <v>1</v>
      </c>
      <c r="I223" s="2" t="b">
        <v>1</v>
      </c>
      <c r="J223" s="2" t="b">
        <v>0</v>
      </c>
      <c r="K223" s="2" t="b">
        <v>0</v>
      </c>
      <c r="L223" s="2" t="b">
        <v>0</v>
      </c>
      <c r="M223" s="2" t="b">
        <v>0</v>
      </c>
      <c r="N223" s="2" t="b">
        <v>0</v>
      </c>
      <c r="O223" s="2" t="b">
        <v>0</v>
      </c>
      <c r="P223" s="68"/>
      <c r="R223" s="69"/>
      <c r="S223" s="68"/>
      <c r="U223" s="69"/>
      <c r="V223" s="68"/>
      <c r="X223" s="69"/>
      <c r="Y223" s="68"/>
      <c r="AA223" s="69"/>
      <c r="AB223" s="33">
        <f t="shared" si="6"/>
        <v>0</v>
      </c>
      <c r="AC223" s="45">
        <f>_xlfn.LET(_xlpm.ps_1,P223:R223, _xlpm.ps_2,S223:U223, _xlpm.ps_3,V223:X223, _xlpm.ps_4,Y223:AA223,
_xlpm.phase, MID(C223,SEARCH("-",C223)+1,256),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(_xlfn.XLOOKUP($C$7,site_assumptions[Details],site_assumptions[Volts])*SUMIFS(P223:AA223,_xlfn.ANCHORARRAY(D223),TRUE)/10*0.95)/1000,
IFERROR(IF(_xlpm.phase="3Phase", _xlpm.p3_calc, _xlpm.sp_calc),0))</f>
        <v>0</v>
      </c>
      <c r="AD223" s="29" t="str">
        <f ca="1"/>
        <v>Bare Metal</v>
      </c>
      <c r="AE223" s="30" t="str">
        <f ca="1"/>
        <v>Bare Metal</v>
      </c>
      <c r="AF223" s="30" t="str">
        <f ca="1"/>
        <v>Live</v>
      </c>
      <c r="AG223" s="30">
        <f ca="1"/>
        <v>6</v>
      </c>
      <c r="AH223" s="31" t="str">
        <f ca="1"/>
        <v>Unknown</v>
      </c>
      <c r="AI223" s="49">
        <f t="shared" ca="1" si="7"/>
        <v>0</v>
      </c>
      <c r="AJ223" s="71">
        <f ca="1"/>
        <v>1.91</v>
      </c>
    </row>
    <row r="224" spans="2:36" x14ac:dyDescent="0.25">
      <c r="B224" s="29" t="str">
        <f ca="1"/>
        <v>dal10.sr01.rk213</v>
      </c>
      <c r="C224" s="10" t="s">
        <v>2070</v>
      </c>
      <c r="D224" s="2" t="b" cm="1">
        <f t="array" ref="D224:O224">_xlfn._xlws.FILTER(IF(ancillary!$E$4:$P$8="",FALSE,ancillary!$E$4:$P$8),ancillary!$B$4:$B$8=$C224)</f>
        <v>1</v>
      </c>
      <c r="E224" s="2" t="b">
        <v>1</v>
      </c>
      <c r="F224" s="2" t="b">
        <v>1</v>
      </c>
      <c r="G224" s="2" t="b">
        <v>1</v>
      </c>
      <c r="H224" s="2" t="b">
        <v>1</v>
      </c>
      <c r="I224" s="2" t="b">
        <v>1</v>
      </c>
      <c r="J224" s="2" t="b">
        <v>0</v>
      </c>
      <c r="K224" s="2" t="b">
        <v>0</v>
      </c>
      <c r="L224" s="2" t="b">
        <v>0</v>
      </c>
      <c r="M224" s="2" t="b">
        <v>0</v>
      </c>
      <c r="N224" s="2" t="b">
        <v>0</v>
      </c>
      <c r="O224" s="2" t="b">
        <v>0</v>
      </c>
      <c r="P224" s="68"/>
      <c r="R224" s="69"/>
      <c r="S224" s="68"/>
      <c r="U224" s="69"/>
      <c r="V224" s="68"/>
      <c r="X224" s="69"/>
      <c r="Y224" s="68"/>
      <c r="AA224" s="69"/>
      <c r="AB224" s="33">
        <f t="shared" si="6"/>
        <v>0</v>
      </c>
      <c r="AC224" s="45">
        <f>_xlfn.LET(_xlpm.ps_1,P224:R224, _xlpm.ps_2,S224:U224, _xlpm.ps_3,V224:X224, _xlpm.ps_4,Y224:AA224,
_xlpm.phase, MID(C224,SEARCH("-",C224)+1,256),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(_xlfn.XLOOKUP($C$7,site_assumptions[Details],site_assumptions[Volts])*SUMIFS(P224:AA224,_xlfn.ANCHORARRAY(D224),TRUE)/10*0.95)/1000,
IFERROR(IF(_xlpm.phase="3Phase", _xlpm.p3_calc, _xlpm.sp_calc),0))</f>
        <v>0</v>
      </c>
      <c r="AD224" s="29" t="str">
        <f ca="1"/>
        <v>Bare Metal</v>
      </c>
      <c r="AE224" s="30" t="str">
        <f ca="1"/>
        <v>Bare Metal</v>
      </c>
      <c r="AF224" s="30" t="str">
        <f ca="1"/>
        <v>Live</v>
      </c>
      <c r="AG224" s="30">
        <f ca="1"/>
        <v>6</v>
      </c>
      <c r="AH224" s="31" t="str">
        <f ca="1"/>
        <v>Unknown</v>
      </c>
      <c r="AI224" s="49">
        <f t="shared" ca="1" si="7"/>
        <v>0</v>
      </c>
      <c r="AJ224" s="71">
        <f ca="1"/>
        <v>1.97</v>
      </c>
    </row>
    <row r="225" spans="2:36" x14ac:dyDescent="0.25">
      <c r="B225" s="29" t="str">
        <f ca="1"/>
        <v>dal10.sr01.rk214</v>
      </c>
      <c r="C225" s="10" t="s">
        <v>2070</v>
      </c>
      <c r="D225" s="2" t="b" cm="1">
        <f t="array" ref="D225:O225">_xlfn._xlws.FILTER(IF(ancillary!$E$4:$P$8="",FALSE,ancillary!$E$4:$P$8),ancillary!$B$4:$B$8=$C225)</f>
        <v>1</v>
      </c>
      <c r="E225" s="2" t="b">
        <v>1</v>
      </c>
      <c r="F225" s="2" t="b">
        <v>1</v>
      </c>
      <c r="G225" s="2" t="b">
        <v>1</v>
      </c>
      <c r="H225" s="2" t="b">
        <v>1</v>
      </c>
      <c r="I225" s="2" t="b">
        <v>1</v>
      </c>
      <c r="J225" s="2" t="b">
        <v>0</v>
      </c>
      <c r="K225" s="2" t="b">
        <v>0</v>
      </c>
      <c r="L225" s="2" t="b">
        <v>0</v>
      </c>
      <c r="M225" s="2" t="b">
        <v>0</v>
      </c>
      <c r="N225" s="2" t="b">
        <v>0</v>
      </c>
      <c r="O225" s="2" t="b">
        <v>0</v>
      </c>
      <c r="P225" s="68"/>
      <c r="R225" s="69"/>
      <c r="S225" s="68"/>
      <c r="U225" s="69"/>
      <c r="V225" s="68"/>
      <c r="X225" s="69"/>
      <c r="Y225" s="68"/>
      <c r="AA225" s="69"/>
      <c r="AB225" s="33">
        <f t="shared" si="6"/>
        <v>0</v>
      </c>
      <c r="AC225" s="45">
        <f>_xlfn.LET(_xlpm.ps_1,P225:R225, _xlpm.ps_2,S225:U225, _xlpm.ps_3,V225:X225, _xlpm.ps_4,Y225:AA225,
_xlpm.phase, MID(C225,SEARCH("-",C225)+1,256),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(_xlfn.XLOOKUP($C$7,site_assumptions[Details],site_assumptions[Volts])*SUMIFS(P225:AA225,_xlfn.ANCHORARRAY(D225),TRUE)/10*0.95)/1000,
IFERROR(IF(_xlpm.phase="3Phase", _xlpm.p3_calc, _xlpm.sp_calc),0))</f>
        <v>0</v>
      </c>
      <c r="AD225" s="29" t="str">
        <f ca="1"/>
        <v>Bare Metal</v>
      </c>
      <c r="AE225" s="30" t="str">
        <f ca="1"/>
        <v>Bare Metal</v>
      </c>
      <c r="AF225" s="30" t="str">
        <f ca="1"/>
        <v>Live</v>
      </c>
      <c r="AG225" s="30">
        <f ca="1"/>
        <v>6</v>
      </c>
      <c r="AH225" s="31" t="str">
        <f ca="1"/>
        <v>Unknown</v>
      </c>
      <c r="AI225" s="49">
        <f t="shared" ca="1" si="7"/>
        <v>0</v>
      </c>
      <c r="AJ225" s="71">
        <f ca="1"/>
        <v>3.8660000000000001</v>
      </c>
    </row>
    <row r="226" spans="2:36" x14ac:dyDescent="0.25">
      <c r="B226" s="29" t="str">
        <f ca="1"/>
        <v>dal10.sr01.rk215</v>
      </c>
      <c r="C226" s="10" t="s">
        <v>2070</v>
      </c>
      <c r="D226" s="2" t="b" cm="1">
        <f t="array" ref="D226:O226">_xlfn._xlws.FILTER(IF(ancillary!$E$4:$P$8="",FALSE,ancillary!$E$4:$P$8),ancillary!$B$4:$B$8=$C226)</f>
        <v>1</v>
      </c>
      <c r="E226" s="2" t="b">
        <v>1</v>
      </c>
      <c r="F226" s="2" t="b">
        <v>1</v>
      </c>
      <c r="G226" s="2" t="b">
        <v>1</v>
      </c>
      <c r="H226" s="2" t="b">
        <v>1</v>
      </c>
      <c r="I226" s="2" t="b">
        <v>1</v>
      </c>
      <c r="J226" s="2" t="b">
        <v>0</v>
      </c>
      <c r="K226" s="2" t="b">
        <v>0</v>
      </c>
      <c r="L226" s="2" t="b">
        <v>0</v>
      </c>
      <c r="M226" s="2" t="b">
        <v>0</v>
      </c>
      <c r="N226" s="2" t="b">
        <v>0</v>
      </c>
      <c r="O226" s="2" t="b">
        <v>0</v>
      </c>
      <c r="P226" s="68"/>
      <c r="R226" s="69"/>
      <c r="S226" s="68"/>
      <c r="U226" s="69"/>
      <c r="V226" s="68"/>
      <c r="X226" s="69"/>
      <c r="Y226" s="68"/>
      <c r="AA226" s="69"/>
      <c r="AB226" s="33">
        <f t="shared" si="6"/>
        <v>0</v>
      </c>
      <c r="AC226" s="45">
        <f>_xlfn.LET(_xlpm.ps_1,P226:R226, _xlpm.ps_2,S226:U226, _xlpm.ps_3,V226:X226, _xlpm.ps_4,Y226:AA226,
_xlpm.phase, MID(C226,SEARCH("-",C226)+1,256),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(_xlfn.XLOOKUP($C$7,site_assumptions[Details],site_assumptions[Volts])*SUMIFS(P226:AA226,_xlfn.ANCHORARRAY(D226),TRUE)/10*0.95)/1000,
IFERROR(IF(_xlpm.phase="3Phase", _xlpm.p3_calc, _xlpm.sp_calc),0))</f>
        <v>0</v>
      </c>
      <c r="AD226" s="29" t="str">
        <f ca="1"/>
        <v>Network</v>
      </c>
      <c r="AE226" s="30" t="str">
        <f ca="1"/>
        <v>Aggregate</v>
      </c>
      <c r="AF226" s="30" t="str">
        <f ca="1"/>
        <v>Live</v>
      </c>
      <c r="AG226" s="30">
        <f ca="1"/>
        <v>5</v>
      </c>
      <c r="AH226" s="31" t="str">
        <f ca="1"/>
        <v>Unknown</v>
      </c>
      <c r="AI226" s="49">
        <f t="shared" ca="1" si="7"/>
        <v>0</v>
      </c>
      <c r="AJ226" s="71">
        <f ca="1"/>
        <v>0</v>
      </c>
    </row>
    <row r="227" spans="2:36" x14ac:dyDescent="0.25">
      <c r="B227" s="29" t="str">
        <f ca="1"/>
        <v>dal10.sr01.rk216</v>
      </c>
      <c r="C227" s="10" t="s">
        <v>2070</v>
      </c>
      <c r="D227" s="2" t="b" cm="1">
        <f t="array" ref="D227:O227">_xlfn._xlws.FILTER(IF(ancillary!$E$4:$P$8="",FALSE,ancillary!$E$4:$P$8),ancillary!$B$4:$B$8=$C227)</f>
        <v>1</v>
      </c>
      <c r="E227" s="2" t="b">
        <v>1</v>
      </c>
      <c r="F227" s="2" t="b">
        <v>1</v>
      </c>
      <c r="G227" s="2" t="b">
        <v>1</v>
      </c>
      <c r="H227" s="2" t="b">
        <v>1</v>
      </c>
      <c r="I227" s="2" t="b">
        <v>1</v>
      </c>
      <c r="J227" s="2" t="b">
        <v>0</v>
      </c>
      <c r="K227" s="2" t="b">
        <v>0</v>
      </c>
      <c r="L227" s="2" t="b">
        <v>0</v>
      </c>
      <c r="M227" s="2" t="b">
        <v>0</v>
      </c>
      <c r="N227" s="2" t="b">
        <v>0</v>
      </c>
      <c r="O227" s="2" t="b">
        <v>0</v>
      </c>
      <c r="P227" s="68"/>
      <c r="R227" s="69"/>
      <c r="S227" s="68"/>
      <c r="U227" s="69"/>
      <c r="V227" s="68"/>
      <c r="X227" s="69"/>
      <c r="Y227" s="68"/>
      <c r="AA227" s="69"/>
      <c r="AB227" s="33">
        <f t="shared" si="6"/>
        <v>0</v>
      </c>
      <c r="AC227" s="45">
        <f>_xlfn.LET(_xlpm.ps_1,P227:R227, _xlpm.ps_2,S227:U227, _xlpm.ps_3,V227:X227, _xlpm.ps_4,Y227:AA227,
_xlpm.phase, MID(C227,SEARCH("-",C227)+1,256),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(_xlfn.XLOOKUP($C$7,site_assumptions[Details],site_assumptions[Volts])*SUMIFS(P227:AA227,_xlfn.ANCHORARRAY(D227),TRUE)/10*0.95)/1000,
IFERROR(IF(_xlpm.phase="3Phase", _xlpm.p3_calc, _xlpm.sp_calc),0))</f>
        <v>0</v>
      </c>
      <c r="AD227" s="29" t="str">
        <f ca="1"/>
        <v>Bare Metal</v>
      </c>
      <c r="AE227" s="30" t="str">
        <f ca="1"/>
        <v>Bare Metal</v>
      </c>
      <c r="AF227" s="30" t="str">
        <f ca="1"/>
        <v>Live</v>
      </c>
      <c r="AG227" s="30">
        <f ca="1"/>
        <v>6</v>
      </c>
      <c r="AH227" s="31" t="str">
        <f ca="1"/>
        <v>Unknown</v>
      </c>
      <c r="AI227" s="49">
        <f t="shared" ca="1" si="7"/>
        <v>0</v>
      </c>
      <c r="AJ227" s="71">
        <f ca="1"/>
        <v>2.802</v>
      </c>
    </row>
    <row r="228" spans="2:36" x14ac:dyDescent="0.25">
      <c r="B228" s="29" t="str">
        <f ca="1"/>
        <v>dal10.sr01.rk217</v>
      </c>
      <c r="C228" s="10" t="s">
        <v>2070</v>
      </c>
      <c r="D228" s="2" t="b" cm="1">
        <f t="array" ref="D228:O228">_xlfn._xlws.FILTER(IF(ancillary!$E$4:$P$8="",FALSE,ancillary!$E$4:$P$8),ancillary!$B$4:$B$8=$C228)</f>
        <v>1</v>
      </c>
      <c r="E228" s="2" t="b">
        <v>1</v>
      </c>
      <c r="F228" s="2" t="b">
        <v>1</v>
      </c>
      <c r="G228" s="2" t="b">
        <v>1</v>
      </c>
      <c r="H228" s="2" t="b">
        <v>1</v>
      </c>
      <c r="I228" s="2" t="b">
        <v>1</v>
      </c>
      <c r="J228" s="2" t="b">
        <v>0</v>
      </c>
      <c r="K228" s="2" t="b">
        <v>0</v>
      </c>
      <c r="L228" s="2" t="b">
        <v>0</v>
      </c>
      <c r="M228" s="2" t="b">
        <v>0</v>
      </c>
      <c r="N228" s="2" t="b">
        <v>0</v>
      </c>
      <c r="O228" s="2" t="b">
        <v>0</v>
      </c>
      <c r="P228" s="68"/>
      <c r="R228" s="69"/>
      <c r="S228" s="68"/>
      <c r="U228" s="69"/>
      <c r="V228" s="68"/>
      <c r="X228" s="69"/>
      <c r="Y228" s="68"/>
      <c r="AA228" s="69"/>
      <c r="AB228" s="33">
        <f t="shared" si="6"/>
        <v>0</v>
      </c>
      <c r="AC228" s="45">
        <f>_xlfn.LET(_xlpm.ps_1,P228:R228, _xlpm.ps_2,S228:U228, _xlpm.ps_3,V228:X228, _xlpm.ps_4,Y228:AA228,
_xlpm.phase, MID(C228,SEARCH("-",C228)+1,256),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(_xlfn.XLOOKUP($C$7,site_assumptions[Details],site_assumptions[Volts])*SUMIFS(P228:AA228,_xlfn.ANCHORARRAY(D228),TRUE)/10*0.95)/1000,
IFERROR(IF(_xlpm.phase="3Phase", _xlpm.p3_calc, _xlpm.sp_calc),0))</f>
        <v>0</v>
      </c>
      <c r="AD228" s="29" t="str">
        <f ca="1"/>
        <v>Bare Metal</v>
      </c>
      <c r="AE228" s="30" t="str">
        <f ca="1"/>
        <v>Bare Metal</v>
      </c>
      <c r="AF228" s="30" t="str">
        <f ca="1"/>
        <v>Live</v>
      </c>
      <c r="AG228" s="30">
        <f ca="1"/>
        <v>6</v>
      </c>
      <c r="AH228" s="31" t="str">
        <f ca="1"/>
        <v>Unknown</v>
      </c>
      <c r="AI228" s="49">
        <f t="shared" ca="1" si="7"/>
        <v>0</v>
      </c>
      <c r="AJ228" s="71">
        <f ca="1"/>
        <v>2.5619999999999998</v>
      </c>
    </row>
    <row r="229" spans="2:36" x14ac:dyDescent="0.25">
      <c r="B229" s="29" t="str">
        <f ca="1"/>
        <v>dal10.sr01.rk218</v>
      </c>
      <c r="C229" s="10" t="s">
        <v>2070</v>
      </c>
      <c r="D229" s="2" t="b" cm="1">
        <f t="array" ref="D229:O229">_xlfn._xlws.FILTER(IF(ancillary!$E$4:$P$8="",FALSE,ancillary!$E$4:$P$8),ancillary!$B$4:$B$8=$C229)</f>
        <v>1</v>
      </c>
      <c r="E229" s="2" t="b">
        <v>1</v>
      </c>
      <c r="F229" s="2" t="b">
        <v>1</v>
      </c>
      <c r="G229" s="2" t="b">
        <v>1</v>
      </c>
      <c r="H229" s="2" t="b">
        <v>1</v>
      </c>
      <c r="I229" s="2" t="b">
        <v>1</v>
      </c>
      <c r="J229" s="2" t="b">
        <v>0</v>
      </c>
      <c r="K229" s="2" t="b">
        <v>0</v>
      </c>
      <c r="L229" s="2" t="b">
        <v>0</v>
      </c>
      <c r="M229" s="2" t="b">
        <v>0</v>
      </c>
      <c r="N229" s="2" t="b">
        <v>0</v>
      </c>
      <c r="O229" s="2" t="b">
        <v>0</v>
      </c>
      <c r="P229" s="68"/>
      <c r="R229" s="69"/>
      <c r="S229" s="68"/>
      <c r="U229" s="69"/>
      <c r="V229" s="68"/>
      <c r="X229" s="69"/>
      <c r="Y229" s="68"/>
      <c r="AA229" s="69"/>
      <c r="AB229" s="33">
        <f t="shared" si="6"/>
        <v>0</v>
      </c>
      <c r="AC229" s="45">
        <f>_xlfn.LET(_xlpm.ps_1,P229:R229, _xlpm.ps_2,S229:U229, _xlpm.ps_3,V229:X229, _xlpm.ps_4,Y229:AA229,
_xlpm.phase, MID(C229,SEARCH("-",C229)+1,256),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(_xlfn.XLOOKUP($C$7,site_assumptions[Details],site_assumptions[Volts])*SUMIFS(P229:AA229,_xlfn.ANCHORARRAY(D229),TRUE)/10*0.95)/1000,
IFERROR(IF(_xlpm.phase="3Phase", _xlpm.p3_calc, _xlpm.sp_calc),0))</f>
        <v>0</v>
      </c>
      <c r="AD229" s="29" t="str">
        <f ca="1"/>
        <v>Bare Metal</v>
      </c>
      <c r="AE229" s="30" t="str">
        <f ca="1"/>
        <v>Bare Metal</v>
      </c>
      <c r="AF229" s="30" t="str">
        <f ca="1"/>
        <v>Live</v>
      </c>
      <c r="AG229" s="30">
        <f ca="1"/>
        <v>6</v>
      </c>
      <c r="AH229" s="31" t="str">
        <f ca="1"/>
        <v>Unknown</v>
      </c>
      <c r="AI229" s="49">
        <f t="shared" ca="1" si="7"/>
        <v>0</v>
      </c>
      <c r="AJ229" s="71">
        <f ca="1"/>
        <v>3.3769999999999998</v>
      </c>
    </row>
    <row r="230" spans="2:36" x14ac:dyDescent="0.25">
      <c r="B230" s="29" t="str">
        <f ca="1"/>
        <v>dal10.sr01.rk219</v>
      </c>
      <c r="C230" s="10" t="s">
        <v>2070</v>
      </c>
      <c r="D230" s="2" t="b" cm="1">
        <f t="array" ref="D230:O230">_xlfn._xlws.FILTER(IF(ancillary!$E$4:$P$8="",FALSE,ancillary!$E$4:$P$8),ancillary!$B$4:$B$8=$C230)</f>
        <v>1</v>
      </c>
      <c r="E230" s="2" t="b">
        <v>1</v>
      </c>
      <c r="F230" s="2" t="b">
        <v>1</v>
      </c>
      <c r="G230" s="2" t="b">
        <v>1</v>
      </c>
      <c r="H230" s="2" t="b">
        <v>1</v>
      </c>
      <c r="I230" s="2" t="b">
        <v>1</v>
      </c>
      <c r="J230" s="2" t="b">
        <v>0</v>
      </c>
      <c r="K230" s="2" t="b">
        <v>0</v>
      </c>
      <c r="L230" s="2" t="b">
        <v>0</v>
      </c>
      <c r="M230" s="2" t="b">
        <v>0</v>
      </c>
      <c r="N230" s="2" t="b">
        <v>0</v>
      </c>
      <c r="O230" s="2" t="b">
        <v>0</v>
      </c>
      <c r="P230" s="68"/>
      <c r="R230" s="69"/>
      <c r="S230" s="68"/>
      <c r="U230" s="69"/>
      <c r="V230" s="68"/>
      <c r="X230" s="69"/>
      <c r="Y230" s="68"/>
      <c r="AA230" s="69"/>
      <c r="AB230" s="33">
        <f t="shared" si="6"/>
        <v>0</v>
      </c>
      <c r="AC230" s="45">
        <f>_xlfn.LET(_xlpm.ps_1,P230:R230, _xlpm.ps_2,S230:U230, _xlpm.ps_3,V230:X230, _xlpm.ps_4,Y230:AA230,
_xlpm.phase, MID(C230,SEARCH("-",C230)+1,256),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(_xlfn.XLOOKUP($C$7,site_assumptions[Details],site_assumptions[Volts])*SUMIFS(P230:AA230,_xlfn.ANCHORARRAY(D230),TRUE)/10*0.95)/1000,
IFERROR(IF(_xlpm.phase="3Phase", _xlpm.p3_calc, _xlpm.sp_calc),0))</f>
        <v>0</v>
      </c>
      <c r="AD230" s="29" t="str">
        <f ca="1"/>
        <v>Bare Metal</v>
      </c>
      <c r="AE230" s="30" t="str">
        <f ca="1"/>
        <v>Bare Metal</v>
      </c>
      <c r="AF230" s="30" t="str">
        <f ca="1"/>
        <v>Live</v>
      </c>
      <c r="AG230" s="30">
        <f ca="1"/>
        <v>6</v>
      </c>
      <c r="AH230" s="31" t="str">
        <f ca="1"/>
        <v>Unknown</v>
      </c>
      <c r="AI230" s="49">
        <f t="shared" ca="1" si="7"/>
        <v>0</v>
      </c>
      <c r="AJ230" s="71">
        <f ca="1"/>
        <v>3.4950000000000001</v>
      </c>
    </row>
    <row r="231" spans="2:36" x14ac:dyDescent="0.25">
      <c r="B231" s="29" t="str">
        <f ca="1"/>
        <v>dal10.sr01.rk220</v>
      </c>
      <c r="C231" s="10" t="s">
        <v>2070</v>
      </c>
      <c r="D231" s="2" t="b" cm="1">
        <f t="array" ref="D231:O231">_xlfn._xlws.FILTER(IF(ancillary!$E$4:$P$8="",FALSE,ancillary!$E$4:$P$8),ancillary!$B$4:$B$8=$C231)</f>
        <v>1</v>
      </c>
      <c r="E231" s="2" t="b">
        <v>1</v>
      </c>
      <c r="F231" s="2" t="b">
        <v>1</v>
      </c>
      <c r="G231" s="2" t="b">
        <v>1</v>
      </c>
      <c r="H231" s="2" t="b">
        <v>1</v>
      </c>
      <c r="I231" s="2" t="b">
        <v>1</v>
      </c>
      <c r="J231" s="2" t="b">
        <v>0</v>
      </c>
      <c r="K231" s="2" t="b">
        <v>0</v>
      </c>
      <c r="L231" s="2" t="b">
        <v>0</v>
      </c>
      <c r="M231" s="2" t="b">
        <v>0</v>
      </c>
      <c r="N231" s="2" t="b">
        <v>0</v>
      </c>
      <c r="O231" s="2" t="b">
        <v>0</v>
      </c>
      <c r="P231" s="68"/>
      <c r="R231" s="69"/>
      <c r="S231" s="68"/>
      <c r="U231" s="69"/>
      <c r="V231" s="68"/>
      <c r="X231" s="69"/>
      <c r="Y231" s="68"/>
      <c r="AA231" s="69"/>
      <c r="AB231" s="33">
        <f t="shared" si="6"/>
        <v>0</v>
      </c>
      <c r="AC231" s="45">
        <f>_xlfn.LET(_xlpm.ps_1,P231:R231, _xlpm.ps_2,S231:U231, _xlpm.ps_3,V231:X231, _xlpm.ps_4,Y231:AA231,
_xlpm.phase, MID(C231,SEARCH("-",C231)+1,256),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(_xlfn.XLOOKUP($C$7,site_assumptions[Details],site_assumptions[Volts])*SUMIFS(P231:AA231,_xlfn.ANCHORARRAY(D231),TRUE)/10*0.95)/1000,
IFERROR(IF(_xlpm.phase="3Phase", _xlpm.p3_calc, _xlpm.sp_calc),0))</f>
        <v>0</v>
      </c>
      <c r="AD231" s="29" t="str">
        <f ca="1"/>
        <v>Bare Metal</v>
      </c>
      <c r="AE231" s="30" t="str">
        <f ca="1"/>
        <v>Bare Metal</v>
      </c>
      <c r="AF231" s="30" t="str">
        <f ca="1"/>
        <v>Live</v>
      </c>
      <c r="AG231" s="30">
        <f ca="1"/>
        <v>6</v>
      </c>
      <c r="AH231" s="31" t="str">
        <f ca="1"/>
        <v>Unknown</v>
      </c>
      <c r="AI231" s="49">
        <f t="shared" ca="1" si="7"/>
        <v>0</v>
      </c>
      <c r="AJ231" s="71">
        <f ca="1"/>
        <v>1.9590000000000001</v>
      </c>
    </row>
    <row r="232" spans="2:36" x14ac:dyDescent="0.25">
      <c r="B232" s="29" t="str">
        <f ca="1"/>
        <v>dal10.sr01.rk221</v>
      </c>
      <c r="C232" s="10" t="s">
        <v>2070</v>
      </c>
      <c r="D232" s="2" t="b" cm="1">
        <f t="array" ref="D232:O232">_xlfn._xlws.FILTER(IF(ancillary!$E$4:$P$8="",FALSE,ancillary!$E$4:$P$8),ancillary!$B$4:$B$8=$C232)</f>
        <v>1</v>
      </c>
      <c r="E232" s="2" t="b">
        <v>1</v>
      </c>
      <c r="F232" s="2" t="b">
        <v>1</v>
      </c>
      <c r="G232" s="2" t="b">
        <v>1</v>
      </c>
      <c r="H232" s="2" t="b">
        <v>1</v>
      </c>
      <c r="I232" s="2" t="b">
        <v>1</v>
      </c>
      <c r="J232" s="2" t="b">
        <v>0</v>
      </c>
      <c r="K232" s="2" t="b">
        <v>0</v>
      </c>
      <c r="L232" s="2" t="b">
        <v>0</v>
      </c>
      <c r="M232" s="2" t="b">
        <v>0</v>
      </c>
      <c r="N232" s="2" t="b">
        <v>0</v>
      </c>
      <c r="O232" s="2" t="b">
        <v>0</v>
      </c>
      <c r="P232" s="68"/>
      <c r="R232" s="69"/>
      <c r="S232" s="68"/>
      <c r="U232" s="69"/>
      <c r="V232" s="68"/>
      <c r="X232" s="69"/>
      <c r="Y232" s="68"/>
      <c r="AA232" s="69"/>
      <c r="AB232" s="33">
        <f t="shared" si="6"/>
        <v>0</v>
      </c>
      <c r="AC232" s="45">
        <f>_xlfn.LET(_xlpm.ps_1,P232:R232, _xlpm.ps_2,S232:U232, _xlpm.ps_3,V232:X232, _xlpm.ps_4,Y232:AA232,
_xlpm.phase, MID(C232,SEARCH("-",C232)+1,256),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(_xlfn.XLOOKUP($C$7,site_assumptions[Details],site_assumptions[Volts])*SUMIFS(P232:AA232,_xlfn.ANCHORARRAY(D232),TRUE)/10*0.95)/1000,
IFERROR(IF(_xlpm.phase="3Phase", _xlpm.p3_calc, _xlpm.sp_calc),0))</f>
        <v>0</v>
      </c>
      <c r="AD232" s="29" t="str">
        <f ca="1"/>
        <v>Bare Metal</v>
      </c>
      <c r="AE232" s="30" t="str">
        <f ca="1"/>
        <v>Bare Metal</v>
      </c>
      <c r="AF232" s="30" t="str">
        <f ca="1"/>
        <v>Live</v>
      </c>
      <c r="AG232" s="30">
        <f ca="1"/>
        <v>6</v>
      </c>
      <c r="AH232" s="31" t="str">
        <f ca="1"/>
        <v>Unknown</v>
      </c>
      <c r="AI232" s="49">
        <f t="shared" ca="1" si="7"/>
        <v>0</v>
      </c>
      <c r="AJ232" s="71">
        <f ca="1"/>
        <v>7.3650000000000002</v>
      </c>
    </row>
    <row r="233" spans="2:36" x14ac:dyDescent="0.25">
      <c r="B233" s="29" t="str">
        <f ca="1"/>
        <v>dal10.sr01.rk222</v>
      </c>
      <c r="C233" s="10" t="s">
        <v>2070</v>
      </c>
      <c r="D233" s="2" t="b" cm="1">
        <f t="array" ref="D233:O233">_xlfn._xlws.FILTER(IF(ancillary!$E$4:$P$8="",FALSE,ancillary!$E$4:$P$8),ancillary!$B$4:$B$8=$C233)</f>
        <v>1</v>
      </c>
      <c r="E233" s="2" t="b">
        <v>1</v>
      </c>
      <c r="F233" s="2" t="b">
        <v>1</v>
      </c>
      <c r="G233" s="2" t="b">
        <v>1</v>
      </c>
      <c r="H233" s="2" t="b">
        <v>1</v>
      </c>
      <c r="I233" s="2" t="b">
        <v>1</v>
      </c>
      <c r="J233" s="2" t="b">
        <v>0</v>
      </c>
      <c r="K233" s="2" t="b">
        <v>0</v>
      </c>
      <c r="L233" s="2" t="b">
        <v>0</v>
      </c>
      <c r="M233" s="2" t="b">
        <v>0</v>
      </c>
      <c r="N233" s="2" t="b">
        <v>0</v>
      </c>
      <c r="O233" s="2" t="b">
        <v>0</v>
      </c>
      <c r="P233" s="68"/>
      <c r="R233" s="69"/>
      <c r="S233" s="68"/>
      <c r="U233" s="69"/>
      <c r="V233" s="68"/>
      <c r="X233" s="69"/>
      <c r="Y233" s="68"/>
      <c r="AA233" s="69"/>
      <c r="AB233" s="33">
        <f t="shared" si="6"/>
        <v>0</v>
      </c>
      <c r="AC233" s="45">
        <f>_xlfn.LET(_xlpm.ps_1,P233:R233, _xlpm.ps_2,S233:U233, _xlpm.ps_3,V233:X233, _xlpm.ps_4,Y233:AA233,
_xlpm.phase, MID(C233,SEARCH("-",C233)+1,256),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(_xlfn.XLOOKUP($C$7,site_assumptions[Details],site_assumptions[Volts])*SUMIFS(P233:AA233,_xlfn.ANCHORARRAY(D233),TRUE)/10*0.95)/1000,
IFERROR(IF(_xlpm.phase="3Phase", _xlpm.p3_calc, _xlpm.sp_calc),0))</f>
        <v>0</v>
      </c>
      <c r="AD233" s="29" t="str">
        <f ca="1"/>
        <v>Bare Metal</v>
      </c>
      <c r="AE233" s="30" t="str">
        <f ca="1"/>
        <v>Bare Metal</v>
      </c>
      <c r="AF233" s="30" t="str">
        <f ca="1"/>
        <v>Live</v>
      </c>
      <c r="AG233" s="30">
        <f ca="1"/>
        <v>6</v>
      </c>
      <c r="AH233" s="31" t="str">
        <f ca="1"/>
        <v>Unknown</v>
      </c>
      <c r="AI233" s="49">
        <f t="shared" ca="1" si="7"/>
        <v>0</v>
      </c>
      <c r="AJ233" s="71">
        <f ca="1"/>
        <v>8.5690000000000008</v>
      </c>
    </row>
    <row r="234" spans="2:36" x14ac:dyDescent="0.25">
      <c r="B234" s="29" t="str">
        <f ca="1"/>
        <v>dal10.sr01.rk223</v>
      </c>
      <c r="C234" s="10" t="s">
        <v>2070</v>
      </c>
      <c r="D234" s="2" t="b" cm="1">
        <f t="array" ref="D234:O234">_xlfn._xlws.FILTER(IF(ancillary!$E$4:$P$8="",FALSE,ancillary!$E$4:$P$8),ancillary!$B$4:$B$8=$C234)</f>
        <v>1</v>
      </c>
      <c r="E234" s="2" t="b">
        <v>1</v>
      </c>
      <c r="F234" s="2" t="b">
        <v>1</v>
      </c>
      <c r="G234" s="2" t="b">
        <v>1</v>
      </c>
      <c r="H234" s="2" t="b">
        <v>1</v>
      </c>
      <c r="I234" s="2" t="b">
        <v>1</v>
      </c>
      <c r="J234" s="2" t="b">
        <v>0</v>
      </c>
      <c r="K234" s="2" t="b">
        <v>0</v>
      </c>
      <c r="L234" s="2" t="b">
        <v>0</v>
      </c>
      <c r="M234" s="2" t="b">
        <v>0</v>
      </c>
      <c r="N234" s="2" t="b">
        <v>0</v>
      </c>
      <c r="O234" s="2" t="b">
        <v>0</v>
      </c>
      <c r="P234" s="68"/>
      <c r="R234" s="69"/>
      <c r="S234" s="68"/>
      <c r="U234" s="69"/>
      <c r="V234" s="68"/>
      <c r="X234" s="69"/>
      <c r="Y234" s="68"/>
      <c r="AA234" s="69"/>
      <c r="AB234" s="33">
        <f t="shared" si="6"/>
        <v>0</v>
      </c>
      <c r="AC234" s="45">
        <f>_xlfn.LET(_xlpm.ps_1,P234:R234, _xlpm.ps_2,S234:U234, _xlpm.ps_3,V234:X234, _xlpm.ps_4,Y234:AA234,
_xlpm.phase, MID(C234,SEARCH("-",C234)+1,256),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(_xlfn.XLOOKUP($C$7,site_assumptions[Details],site_assumptions[Volts])*SUMIFS(P234:AA234,_xlfn.ANCHORARRAY(D234),TRUE)/10*0.95)/1000,
IFERROR(IF(_xlpm.phase="3Phase", _xlpm.p3_calc, _xlpm.sp_calc),0))</f>
        <v>0</v>
      </c>
      <c r="AD234" s="29" t="str">
        <f ca="1"/>
        <v>Bare Metal</v>
      </c>
      <c r="AE234" s="30" t="str">
        <f ca="1"/>
        <v>Bare Metal</v>
      </c>
      <c r="AF234" s="30" t="str">
        <f ca="1"/>
        <v>Live</v>
      </c>
      <c r="AG234" s="30">
        <f ca="1"/>
        <v>6</v>
      </c>
      <c r="AH234" s="31" t="str">
        <f ca="1"/>
        <v>Unknown</v>
      </c>
      <c r="AI234" s="49">
        <f t="shared" ca="1" si="7"/>
        <v>0</v>
      </c>
      <c r="AJ234" s="71">
        <f ca="1"/>
        <v>7.8250000000000002</v>
      </c>
    </row>
    <row r="235" spans="2:36" x14ac:dyDescent="0.25">
      <c r="B235" s="29" t="str">
        <f ca="1"/>
        <v>dal10.sr01.rk224</v>
      </c>
      <c r="C235" s="10" t="s">
        <v>2070</v>
      </c>
      <c r="D235" s="2" t="b" cm="1">
        <f t="array" ref="D235:O235">_xlfn._xlws.FILTER(IF(ancillary!$E$4:$P$8="",FALSE,ancillary!$E$4:$P$8),ancillary!$B$4:$B$8=$C235)</f>
        <v>1</v>
      </c>
      <c r="E235" s="2" t="b">
        <v>1</v>
      </c>
      <c r="F235" s="2" t="b">
        <v>1</v>
      </c>
      <c r="G235" s="2" t="b">
        <v>1</v>
      </c>
      <c r="H235" s="2" t="b">
        <v>1</v>
      </c>
      <c r="I235" s="2" t="b">
        <v>1</v>
      </c>
      <c r="J235" s="2" t="b">
        <v>0</v>
      </c>
      <c r="K235" s="2" t="b">
        <v>0</v>
      </c>
      <c r="L235" s="2" t="b">
        <v>0</v>
      </c>
      <c r="M235" s="2" t="b">
        <v>0</v>
      </c>
      <c r="N235" s="2" t="b">
        <v>0</v>
      </c>
      <c r="O235" s="2" t="b">
        <v>0</v>
      </c>
      <c r="P235" s="68"/>
      <c r="R235" s="69"/>
      <c r="S235" s="68"/>
      <c r="U235" s="69"/>
      <c r="V235" s="68"/>
      <c r="X235" s="69"/>
      <c r="Y235" s="68"/>
      <c r="AA235" s="69"/>
      <c r="AB235" s="33">
        <f t="shared" si="6"/>
        <v>0</v>
      </c>
      <c r="AC235" s="45">
        <f>_xlfn.LET(_xlpm.ps_1,P235:R235, _xlpm.ps_2,S235:U235, _xlpm.ps_3,V235:X235, _xlpm.ps_4,Y235:AA235,
_xlpm.phase, MID(C235,SEARCH("-",C235)+1,256),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(_xlfn.XLOOKUP($C$7,site_assumptions[Details],site_assumptions[Volts])*SUMIFS(P235:AA235,_xlfn.ANCHORARRAY(D235),TRUE)/10*0.95)/1000,
IFERROR(IF(_xlpm.phase="3Phase", _xlpm.p3_calc, _xlpm.sp_calc),0))</f>
        <v>0</v>
      </c>
      <c r="AD235" s="29" t="str">
        <f ca="1"/>
        <v>Bare Metal</v>
      </c>
      <c r="AE235" s="30" t="str">
        <f ca="1"/>
        <v>Bare Metal</v>
      </c>
      <c r="AF235" s="30" t="str">
        <f ca="1"/>
        <v>Live</v>
      </c>
      <c r="AG235" s="30">
        <f ca="1"/>
        <v>6</v>
      </c>
      <c r="AH235" s="31" t="str">
        <f ca="1"/>
        <v>Unknown</v>
      </c>
      <c r="AI235" s="49">
        <f t="shared" ca="1" si="7"/>
        <v>0</v>
      </c>
      <c r="AJ235" s="71">
        <f ca="1"/>
        <v>3.649</v>
      </c>
    </row>
    <row r="236" spans="2:36" x14ac:dyDescent="0.25">
      <c r="B236" s="29" t="str">
        <f ca="1"/>
        <v>dal10.sr01.rk225</v>
      </c>
      <c r="C236" s="10" t="s">
        <v>2070</v>
      </c>
      <c r="D236" s="2" t="b" cm="1">
        <f t="array" ref="D236:O236">_xlfn._xlws.FILTER(IF(ancillary!$E$4:$P$8="",FALSE,ancillary!$E$4:$P$8),ancillary!$B$4:$B$8=$C236)</f>
        <v>1</v>
      </c>
      <c r="E236" s="2" t="b">
        <v>1</v>
      </c>
      <c r="F236" s="2" t="b">
        <v>1</v>
      </c>
      <c r="G236" s="2" t="b">
        <v>1</v>
      </c>
      <c r="H236" s="2" t="b">
        <v>1</v>
      </c>
      <c r="I236" s="2" t="b">
        <v>1</v>
      </c>
      <c r="J236" s="2" t="b">
        <v>0</v>
      </c>
      <c r="K236" s="2" t="b">
        <v>0</v>
      </c>
      <c r="L236" s="2" t="b">
        <v>0</v>
      </c>
      <c r="M236" s="2" t="b">
        <v>0</v>
      </c>
      <c r="N236" s="2" t="b">
        <v>0</v>
      </c>
      <c r="O236" s="2" t="b">
        <v>0</v>
      </c>
      <c r="P236" s="68"/>
      <c r="R236" s="69"/>
      <c r="S236" s="68"/>
      <c r="U236" s="69"/>
      <c r="V236" s="68"/>
      <c r="X236" s="69"/>
      <c r="Y236" s="68"/>
      <c r="AA236" s="69"/>
      <c r="AB236" s="33">
        <f t="shared" si="6"/>
        <v>0</v>
      </c>
      <c r="AC236" s="45">
        <f>_xlfn.LET(_xlpm.ps_1,P236:R236, _xlpm.ps_2,S236:U236, _xlpm.ps_3,V236:X236, _xlpm.ps_4,Y236:AA236,
_xlpm.phase, MID(C236,SEARCH("-",C236)+1,256),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(_xlfn.XLOOKUP($C$7,site_assumptions[Details],site_assumptions[Volts])*SUMIFS(P236:AA236,_xlfn.ANCHORARRAY(D236),TRUE)/10*0.95)/1000,
IFERROR(IF(_xlpm.phase="3Phase", _xlpm.p3_calc, _xlpm.sp_calc),0))</f>
        <v>0</v>
      </c>
      <c r="AD236" s="29" t="str">
        <f ca="1"/>
        <v>Bare Metal</v>
      </c>
      <c r="AE236" s="30" t="str">
        <f ca="1"/>
        <v>Bare Metal</v>
      </c>
      <c r="AF236" s="30" t="str">
        <f ca="1"/>
        <v>Live</v>
      </c>
      <c r="AG236" s="30">
        <f ca="1"/>
        <v>6</v>
      </c>
      <c r="AH236" s="31" t="str">
        <f ca="1"/>
        <v>Unknown</v>
      </c>
      <c r="AI236" s="49">
        <f t="shared" ca="1" si="7"/>
        <v>0</v>
      </c>
      <c r="AJ236" s="71">
        <f ca="1"/>
        <v>4.32</v>
      </c>
    </row>
    <row r="237" spans="2:36" x14ac:dyDescent="0.25">
      <c r="B237" s="29" t="str">
        <f ca="1"/>
        <v>dal10.sr01.rk226</v>
      </c>
      <c r="C237" s="10" t="s">
        <v>2070</v>
      </c>
      <c r="D237" s="2" t="b" cm="1">
        <f t="array" ref="D237:O237">_xlfn._xlws.FILTER(IF(ancillary!$E$4:$P$8="",FALSE,ancillary!$E$4:$P$8),ancillary!$B$4:$B$8=$C237)</f>
        <v>1</v>
      </c>
      <c r="E237" s="2" t="b">
        <v>1</v>
      </c>
      <c r="F237" s="2" t="b">
        <v>1</v>
      </c>
      <c r="G237" s="2" t="b">
        <v>1</v>
      </c>
      <c r="H237" s="2" t="b">
        <v>1</v>
      </c>
      <c r="I237" s="2" t="b">
        <v>1</v>
      </c>
      <c r="J237" s="2" t="b">
        <v>0</v>
      </c>
      <c r="K237" s="2" t="b">
        <v>0</v>
      </c>
      <c r="L237" s="2" t="b">
        <v>0</v>
      </c>
      <c r="M237" s="2" t="b">
        <v>0</v>
      </c>
      <c r="N237" s="2" t="b">
        <v>0</v>
      </c>
      <c r="O237" s="2" t="b">
        <v>0</v>
      </c>
      <c r="P237" s="68"/>
      <c r="R237" s="69"/>
      <c r="S237" s="68"/>
      <c r="U237" s="69"/>
      <c r="V237" s="68"/>
      <c r="X237" s="69"/>
      <c r="Y237" s="68"/>
      <c r="AA237" s="69"/>
      <c r="AB237" s="33">
        <f t="shared" si="6"/>
        <v>0</v>
      </c>
      <c r="AC237" s="45">
        <f>_xlfn.LET(_xlpm.ps_1,P237:R237, _xlpm.ps_2,S237:U237, _xlpm.ps_3,V237:X237, _xlpm.ps_4,Y237:AA237,
_xlpm.phase, MID(C237,SEARCH("-",C237)+1,256),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(_xlfn.XLOOKUP($C$7,site_assumptions[Details],site_assumptions[Volts])*SUMIFS(P237:AA237,_xlfn.ANCHORARRAY(D237),TRUE)/10*0.95)/1000,
IFERROR(IF(_xlpm.phase="3Phase", _xlpm.p3_calc, _xlpm.sp_calc),0))</f>
        <v>0</v>
      </c>
      <c r="AD237" s="29" t="str">
        <f ca="1"/>
        <v>Network</v>
      </c>
      <c r="AE237" s="30" t="str">
        <f ca="1"/>
        <v>Aggregate</v>
      </c>
      <c r="AF237" s="30" t="str">
        <f ca="1"/>
        <v>Live</v>
      </c>
      <c r="AG237" s="30">
        <f ca="1"/>
        <v>5</v>
      </c>
      <c r="AH237" s="31" t="str">
        <f ca="1"/>
        <v>Unknown</v>
      </c>
      <c r="AI237" s="49">
        <f t="shared" ca="1" si="7"/>
        <v>0</v>
      </c>
      <c r="AJ237" s="71">
        <f ca="1"/>
        <v>0</v>
      </c>
    </row>
    <row r="238" spans="2:36" x14ac:dyDescent="0.25">
      <c r="B238" s="29" t="str">
        <f ca="1"/>
        <v>dal10.sr01.rk227</v>
      </c>
      <c r="C238" s="10" t="s">
        <v>2070</v>
      </c>
      <c r="D238" s="2" t="b" cm="1">
        <f t="array" ref="D238:O238">_xlfn._xlws.FILTER(IF(ancillary!$E$4:$P$8="",FALSE,ancillary!$E$4:$P$8),ancillary!$B$4:$B$8=$C238)</f>
        <v>1</v>
      </c>
      <c r="E238" s="2" t="b">
        <v>1</v>
      </c>
      <c r="F238" s="2" t="b">
        <v>1</v>
      </c>
      <c r="G238" s="2" t="b">
        <v>1</v>
      </c>
      <c r="H238" s="2" t="b">
        <v>1</v>
      </c>
      <c r="I238" s="2" t="b">
        <v>1</v>
      </c>
      <c r="J238" s="2" t="b">
        <v>0</v>
      </c>
      <c r="K238" s="2" t="b">
        <v>0</v>
      </c>
      <c r="L238" s="2" t="b">
        <v>0</v>
      </c>
      <c r="M238" s="2" t="b">
        <v>0</v>
      </c>
      <c r="N238" s="2" t="b">
        <v>0</v>
      </c>
      <c r="O238" s="2" t="b">
        <v>0</v>
      </c>
      <c r="P238" s="68"/>
      <c r="R238" s="69"/>
      <c r="S238" s="68"/>
      <c r="U238" s="69"/>
      <c r="V238" s="68"/>
      <c r="X238" s="69"/>
      <c r="Y238" s="68"/>
      <c r="AA238" s="69"/>
      <c r="AB238" s="33">
        <f t="shared" si="6"/>
        <v>0</v>
      </c>
      <c r="AC238" s="45">
        <f>_xlfn.LET(_xlpm.ps_1,P238:R238, _xlpm.ps_2,S238:U238, _xlpm.ps_3,V238:X238, _xlpm.ps_4,Y238:AA238,
_xlpm.phase, MID(C238,SEARCH("-",C238)+1,256),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(_xlfn.XLOOKUP($C$7,site_assumptions[Details],site_assumptions[Volts])*SUMIFS(P238:AA238,_xlfn.ANCHORARRAY(D238),TRUE)/10*0.95)/1000,
IFERROR(IF(_xlpm.phase="3Phase", _xlpm.p3_calc, _xlpm.sp_calc),0))</f>
        <v>0</v>
      </c>
      <c r="AD238" s="29" t="str">
        <f ca="1"/>
        <v>Bare Metal</v>
      </c>
      <c r="AE238" s="30" t="str">
        <f ca="1"/>
        <v>Bare Metal</v>
      </c>
      <c r="AF238" s="30" t="str">
        <f ca="1"/>
        <v>Live</v>
      </c>
      <c r="AG238" s="30">
        <f ca="1"/>
        <v>6</v>
      </c>
      <c r="AH238" s="31" t="str">
        <f ca="1"/>
        <v>Unknown</v>
      </c>
      <c r="AI238" s="49">
        <f t="shared" ca="1" si="7"/>
        <v>0</v>
      </c>
      <c r="AJ238" s="71">
        <f ca="1"/>
        <v>8.0109999999999992</v>
      </c>
    </row>
    <row r="239" spans="2:36" x14ac:dyDescent="0.25">
      <c r="B239" s="29" t="str">
        <f ca="1"/>
        <v>dal10.sr01.rk228</v>
      </c>
      <c r="C239" s="10" t="s">
        <v>2070</v>
      </c>
      <c r="D239" s="2" t="b" cm="1">
        <f t="array" ref="D239:O239">_xlfn._xlws.FILTER(IF(ancillary!$E$4:$P$8="",FALSE,ancillary!$E$4:$P$8),ancillary!$B$4:$B$8=$C239)</f>
        <v>1</v>
      </c>
      <c r="E239" s="2" t="b">
        <v>1</v>
      </c>
      <c r="F239" s="2" t="b">
        <v>1</v>
      </c>
      <c r="G239" s="2" t="b">
        <v>1</v>
      </c>
      <c r="H239" s="2" t="b">
        <v>1</v>
      </c>
      <c r="I239" s="2" t="b">
        <v>1</v>
      </c>
      <c r="J239" s="2" t="b">
        <v>0</v>
      </c>
      <c r="K239" s="2" t="b">
        <v>0</v>
      </c>
      <c r="L239" s="2" t="b">
        <v>0</v>
      </c>
      <c r="M239" s="2" t="b">
        <v>0</v>
      </c>
      <c r="N239" s="2" t="b">
        <v>0</v>
      </c>
      <c r="O239" s="2" t="b">
        <v>0</v>
      </c>
      <c r="P239" s="68"/>
      <c r="R239" s="69"/>
      <c r="S239" s="68"/>
      <c r="U239" s="69"/>
      <c r="V239" s="68"/>
      <c r="X239" s="69"/>
      <c r="Y239" s="68"/>
      <c r="AA239" s="69"/>
      <c r="AB239" s="33">
        <f t="shared" si="6"/>
        <v>0</v>
      </c>
      <c r="AC239" s="45">
        <f>_xlfn.LET(_xlpm.ps_1,P239:R239, _xlpm.ps_2,S239:U239, _xlpm.ps_3,V239:X239, _xlpm.ps_4,Y239:AA239,
_xlpm.phase, MID(C239,SEARCH("-",C239)+1,256),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(_xlfn.XLOOKUP($C$7,site_assumptions[Details],site_assumptions[Volts])*SUMIFS(P239:AA239,_xlfn.ANCHORARRAY(D239),TRUE)/10*0.95)/1000,
IFERROR(IF(_xlpm.phase="3Phase", _xlpm.p3_calc, _xlpm.sp_calc),0))</f>
        <v>0</v>
      </c>
      <c r="AD239" s="29" t="str">
        <f ca="1"/>
        <v>Bare Metal</v>
      </c>
      <c r="AE239" s="30" t="str">
        <f ca="1"/>
        <v>Bare Metal</v>
      </c>
      <c r="AF239" s="30" t="str">
        <f ca="1"/>
        <v>Live</v>
      </c>
      <c r="AG239" s="30">
        <f ca="1"/>
        <v>6</v>
      </c>
      <c r="AH239" s="31" t="str">
        <f ca="1"/>
        <v>Unknown</v>
      </c>
      <c r="AI239" s="49">
        <f t="shared" ca="1" si="7"/>
        <v>0</v>
      </c>
      <c r="AJ239" s="71">
        <f ca="1"/>
        <v>8.3190000000000008</v>
      </c>
    </row>
    <row r="240" spans="2:36" x14ac:dyDescent="0.25">
      <c r="B240" s="29" t="str">
        <f ca="1"/>
        <v>dal10.sr01.rk229</v>
      </c>
      <c r="C240" s="10" t="s">
        <v>2070</v>
      </c>
      <c r="D240" s="2" t="b" cm="1">
        <f t="array" ref="D240:O240">_xlfn._xlws.FILTER(IF(ancillary!$E$4:$P$8="",FALSE,ancillary!$E$4:$P$8),ancillary!$B$4:$B$8=$C240)</f>
        <v>1</v>
      </c>
      <c r="E240" s="2" t="b">
        <v>1</v>
      </c>
      <c r="F240" s="2" t="b">
        <v>1</v>
      </c>
      <c r="G240" s="2" t="b">
        <v>1</v>
      </c>
      <c r="H240" s="2" t="b">
        <v>1</v>
      </c>
      <c r="I240" s="2" t="b">
        <v>1</v>
      </c>
      <c r="J240" s="2" t="b">
        <v>0</v>
      </c>
      <c r="K240" s="2" t="b">
        <v>0</v>
      </c>
      <c r="L240" s="2" t="b">
        <v>0</v>
      </c>
      <c r="M240" s="2" t="b">
        <v>0</v>
      </c>
      <c r="N240" s="2" t="b">
        <v>0</v>
      </c>
      <c r="O240" s="2" t="b">
        <v>0</v>
      </c>
      <c r="P240" s="68"/>
      <c r="R240" s="69"/>
      <c r="S240" s="68"/>
      <c r="U240" s="69"/>
      <c r="V240" s="68"/>
      <c r="X240" s="69"/>
      <c r="Y240" s="68"/>
      <c r="AA240" s="69"/>
      <c r="AB240" s="33">
        <f t="shared" si="6"/>
        <v>0</v>
      </c>
      <c r="AC240" s="45">
        <f>_xlfn.LET(_xlpm.ps_1,P240:R240, _xlpm.ps_2,S240:U240, _xlpm.ps_3,V240:X240, _xlpm.ps_4,Y240:AA240,
_xlpm.phase, MID(C240,SEARCH("-",C240)+1,256),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(_xlfn.XLOOKUP($C$7,site_assumptions[Details],site_assumptions[Volts])*SUMIFS(P240:AA240,_xlfn.ANCHORARRAY(D240),TRUE)/10*0.95)/1000,
IFERROR(IF(_xlpm.phase="3Phase", _xlpm.p3_calc, _xlpm.sp_calc),0))</f>
        <v>0</v>
      </c>
      <c r="AD240" s="29" t="str">
        <f ca="1"/>
        <v>Bare Metal</v>
      </c>
      <c r="AE240" s="30" t="str">
        <f ca="1"/>
        <v>Bare Metal</v>
      </c>
      <c r="AF240" s="30" t="str">
        <f ca="1"/>
        <v>Live</v>
      </c>
      <c r="AG240" s="30">
        <f ca="1"/>
        <v>6</v>
      </c>
      <c r="AH240" s="31" t="str">
        <f ca="1"/>
        <v>Unknown</v>
      </c>
      <c r="AI240" s="49">
        <f t="shared" ca="1" si="7"/>
        <v>0</v>
      </c>
      <c r="AJ240" s="71">
        <f ca="1"/>
        <v>11.353999999999999</v>
      </c>
    </row>
    <row r="241" spans="2:36" x14ac:dyDescent="0.25">
      <c r="B241" s="29" t="str">
        <f ca="1"/>
        <v>dal10.sr01.rk230</v>
      </c>
      <c r="C241" s="10" t="s">
        <v>2070</v>
      </c>
      <c r="D241" s="2" t="b" cm="1">
        <f t="array" ref="D241:O241">_xlfn._xlws.FILTER(IF(ancillary!$E$4:$P$8="",FALSE,ancillary!$E$4:$P$8),ancillary!$B$4:$B$8=$C241)</f>
        <v>1</v>
      </c>
      <c r="E241" s="2" t="b">
        <v>1</v>
      </c>
      <c r="F241" s="2" t="b">
        <v>1</v>
      </c>
      <c r="G241" s="2" t="b">
        <v>1</v>
      </c>
      <c r="H241" s="2" t="b">
        <v>1</v>
      </c>
      <c r="I241" s="2" t="b">
        <v>1</v>
      </c>
      <c r="J241" s="2" t="b">
        <v>0</v>
      </c>
      <c r="K241" s="2" t="b">
        <v>0</v>
      </c>
      <c r="L241" s="2" t="b">
        <v>0</v>
      </c>
      <c r="M241" s="2" t="b">
        <v>0</v>
      </c>
      <c r="N241" s="2" t="b">
        <v>0</v>
      </c>
      <c r="O241" s="2" t="b">
        <v>0</v>
      </c>
      <c r="P241" s="68"/>
      <c r="R241" s="69"/>
      <c r="S241" s="68"/>
      <c r="U241" s="69"/>
      <c r="V241" s="68"/>
      <c r="X241" s="69"/>
      <c r="Y241" s="68"/>
      <c r="AA241" s="69"/>
      <c r="AB241" s="33">
        <f t="shared" si="6"/>
        <v>0</v>
      </c>
      <c r="AC241" s="45">
        <f>_xlfn.LET(_xlpm.ps_1,P241:R241, _xlpm.ps_2,S241:U241, _xlpm.ps_3,V241:X241, _xlpm.ps_4,Y241:AA241,
_xlpm.phase, MID(C241,SEARCH("-",C241)+1,256),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(_xlfn.XLOOKUP($C$7,site_assumptions[Details],site_assumptions[Volts])*SUMIFS(P241:AA241,_xlfn.ANCHORARRAY(D241),TRUE)/10*0.95)/1000,
IFERROR(IF(_xlpm.phase="3Phase", _xlpm.p3_calc, _xlpm.sp_calc),0))</f>
        <v>0</v>
      </c>
      <c r="AD241" s="29" t="str">
        <f ca="1"/>
        <v>Bare Metal</v>
      </c>
      <c r="AE241" s="30" t="str">
        <f ca="1"/>
        <v>Bare Metal</v>
      </c>
      <c r="AF241" s="30" t="str">
        <f ca="1"/>
        <v>Live</v>
      </c>
      <c r="AG241" s="30">
        <f ca="1"/>
        <v>6</v>
      </c>
      <c r="AH241" s="31" t="str">
        <f ca="1"/>
        <v>Unknown</v>
      </c>
      <c r="AI241" s="49">
        <f t="shared" ca="1" si="7"/>
        <v>0</v>
      </c>
      <c r="AJ241" s="71">
        <f ca="1"/>
        <v>5.3339999999999996</v>
      </c>
    </row>
    <row r="242" spans="2:36" x14ac:dyDescent="0.25">
      <c r="B242" s="29" t="str">
        <f ca="1"/>
        <v>dal10.sr01.rk231</v>
      </c>
      <c r="C242" s="10" t="s">
        <v>2070</v>
      </c>
      <c r="D242" s="2" t="b" cm="1">
        <f t="array" ref="D242:O242">_xlfn._xlws.FILTER(IF(ancillary!$E$4:$P$8="",FALSE,ancillary!$E$4:$P$8),ancillary!$B$4:$B$8=$C242)</f>
        <v>1</v>
      </c>
      <c r="E242" s="2" t="b">
        <v>1</v>
      </c>
      <c r="F242" s="2" t="b">
        <v>1</v>
      </c>
      <c r="G242" s="2" t="b">
        <v>1</v>
      </c>
      <c r="H242" s="2" t="b">
        <v>1</v>
      </c>
      <c r="I242" s="2" t="b">
        <v>1</v>
      </c>
      <c r="J242" s="2" t="b">
        <v>0</v>
      </c>
      <c r="K242" s="2" t="b">
        <v>0</v>
      </c>
      <c r="L242" s="2" t="b">
        <v>0</v>
      </c>
      <c r="M242" s="2" t="b">
        <v>0</v>
      </c>
      <c r="N242" s="2" t="b">
        <v>0</v>
      </c>
      <c r="O242" s="2" t="b">
        <v>0</v>
      </c>
      <c r="P242" s="68"/>
      <c r="R242" s="69"/>
      <c r="S242" s="68"/>
      <c r="U242" s="69"/>
      <c r="V242" s="68"/>
      <c r="X242" s="69"/>
      <c r="Y242" s="68"/>
      <c r="AA242" s="69"/>
      <c r="AB242" s="33">
        <f t="shared" si="6"/>
        <v>0</v>
      </c>
      <c r="AC242" s="45">
        <f>_xlfn.LET(_xlpm.ps_1,P242:R242, _xlpm.ps_2,S242:U242, _xlpm.ps_3,V242:X242, _xlpm.ps_4,Y242:AA242,
_xlpm.phase, MID(C242,SEARCH("-",C242)+1,256),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(_xlfn.XLOOKUP($C$7,site_assumptions[Details],site_assumptions[Volts])*SUMIFS(P242:AA242,_xlfn.ANCHORARRAY(D242),TRUE)/10*0.95)/1000,
IFERROR(IF(_xlpm.phase="3Phase", _xlpm.p3_calc, _xlpm.sp_calc),0))</f>
        <v>0</v>
      </c>
      <c r="AD242" s="29" t="str">
        <f ca="1"/>
        <v>Bare Metal</v>
      </c>
      <c r="AE242" s="30" t="str">
        <f ca="1"/>
        <v>Bare Metal</v>
      </c>
      <c r="AF242" s="30" t="str">
        <f ca="1"/>
        <v>Live</v>
      </c>
      <c r="AG242" s="30">
        <f ca="1"/>
        <v>6</v>
      </c>
      <c r="AH242" s="31" t="str">
        <f ca="1"/>
        <v>Unknown</v>
      </c>
      <c r="AI242" s="49">
        <f t="shared" ca="1" si="7"/>
        <v>0</v>
      </c>
      <c r="AJ242" s="71">
        <f ca="1"/>
        <v>6.3230000000000004</v>
      </c>
    </row>
    <row r="243" spans="2:36" x14ac:dyDescent="0.25">
      <c r="B243" s="29" t="str">
        <f ca="1"/>
        <v>dal10.sr01.rk232</v>
      </c>
      <c r="C243" s="10" t="s">
        <v>2070</v>
      </c>
      <c r="D243" s="2" t="b" cm="1">
        <f t="array" ref="D243:O243">_xlfn._xlws.FILTER(IF(ancillary!$E$4:$P$8="",FALSE,ancillary!$E$4:$P$8),ancillary!$B$4:$B$8=$C243)</f>
        <v>1</v>
      </c>
      <c r="E243" s="2" t="b">
        <v>1</v>
      </c>
      <c r="F243" s="2" t="b">
        <v>1</v>
      </c>
      <c r="G243" s="2" t="b">
        <v>1</v>
      </c>
      <c r="H243" s="2" t="b">
        <v>1</v>
      </c>
      <c r="I243" s="2" t="b">
        <v>1</v>
      </c>
      <c r="J243" s="2" t="b">
        <v>0</v>
      </c>
      <c r="K243" s="2" t="b">
        <v>0</v>
      </c>
      <c r="L243" s="2" t="b">
        <v>0</v>
      </c>
      <c r="M243" s="2" t="b">
        <v>0</v>
      </c>
      <c r="N243" s="2" t="b">
        <v>0</v>
      </c>
      <c r="O243" s="2" t="b">
        <v>0</v>
      </c>
      <c r="P243" s="68"/>
      <c r="R243" s="69"/>
      <c r="S243" s="68"/>
      <c r="U243" s="69"/>
      <c r="V243" s="68"/>
      <c r="X243" s="69"/>
      <c r="Y243" s="68"/>
      <c r="AA243" s="69"/>
      <c r="AB243" s="33">
        <f t="shared" si="6"/>
        <v>0</v>
      </c>
      <c r="AC243" s="45">
        <f>_xlfn.LET(_xlpm.ps_1,P243:R243, _xlpm.ps_2,S243:U243, _xlpm.ps_3,V243:X243, _xlpm.ps_4,Y243:AA243,
_xlpm.phase, MID(C243,SEARCH("-",C243)+1,256),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(_xlfn.XLOOKUP($C$7,site_assumptions[Details],site_assumptions[Volts])*SUMIFS(P243:AA243,_xlfn.ANCHORARRAY(D243),TRUE)/10*0.95)/1000,
IFERROR(IF(_xlpm.phase="3Phase", _xlpm.p3_calc, _xlpm.sp_calc),0))</f>
        <v>0</v>
      </c>
      <c r="AD243" s="29" t="str">
        <f ca="1"/>
        <v>Gen2</v>
      </c>
      <c r="AE243" s="30" t="str">
        <f ca="1"/>
        <v>Compute</v>
      </c>
      <c r="AF243" s="30" t="str">
        <f ca="1"/>
        <v>Live</v>
      </c>
      <c r="AG243" s="30">
        <f ca="1"/>
        <v>20</v>
      </c>
      <c r="AH243" s="31" t="str">
        <f ca="1"/>
        <v>Unknown</v>
      </c>
      <c r="AI243" s="49">
        <f t="shared" ca="1" si="7"/>
        <v>0</v>
      </c>
      <c r="AJ243" s="71">
        <f ca="1"/>
        <v>0</v>
      </c>
    </row>
    <row r="244" spans="2:36" x14ac:dyDescent="0.25">
      <c r="B244" s="29" t="str">
        <f ca="1"/>
        <v>dal10.sr01.rk233</v>
      </c>
      <c r="C244" s="10" t="s">
        <v>2070</v>
      </c>
      <c r="D244" s="2" t="b" cm="1">
        <f t="array" ref="D244:O244">_xlfn._xlws.FILTER(IF(ancillary!$E$4:$P$8="",FALSE,ancillary!$E$4:$P$8),ancillary!$B$4:$B$8=$C244)</f>
        <v>1</v>
      </c>
      <c r="E244" s="2" t="b">
        <v>1</v>
      </c>
      <c r="F244" s="2" t="b">
        <v>1</v>
      </c>
      <c r="G244" s="2" t="b">
        <v>1</v>
      </c>
      <c r="H244" s="2" t="b">
        <v>1</v>
      </c>
      <c r="I244" s="2" t="b">
        <v>1</v>
      </c>
      <c r="J244" s="2" t="b">
        <v>0</v>
      </c>
      <c r="K244" s="2" t="b">
        <v>0</v>
      </c>
      <c r="L244" s="2" t="b">
        <v>0</v>
      </c>
      <c r="M244" s="2" t="b">
        <v>0</v>
      </c>
      <c r="N244" s="2" t="b">
        <v>0</v>
      </c>
      <c r="O244" s="2" t="b">
        <v>0</v>
      </c>
      <c r="P244" s="68"/>
      <c r="R244" s="69"/>
      <c r="S244" s="68"/>
      <c r="U244" s="69"/>
      <c r="V244" s="68"/>
      <c r="X244" s="69"/>
      <c r="Y244" s="68"/>
      <c r="AA244" s="69"/>
      <c r="AB244" s="33">
        <f t="shared" si="6"/>
        <v>0</v>
      </c>
      <c r="AC244" s="45">
        <f>_xlfn.LET(_xlpm.ps_1,P244:R244, _xlpm.ps_2,S244:U244, _xlpm.ps_3,V244:X244, _xlpm.ps_4,Y244:AA244,
_xlpm.phase, MID(C244,SEARCH("-",C244)+1,256),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(_xlfn.XLOOKUP($C$7,site_assumptions[Details],site_assumptions[Volts])*SUMIFS(P244:AA244,_xlfn.ANCHORARRAY(D244),TRUE)/10*0.95)/1000,
IFERROR(IF(_xlpm.phase="3Phase", _xlpm.p3_calc, _xlpm.sp_calc),0))</f>
        <v>0</v>
      </c>
      <c r="AD244" s="29" t="str">
        <f ca="1"/>
        <v>Gen2</v>
      </c>
      <c r="AE244" s="30" t="str">
        <f ca="1"/>
        <v>Compute</v>
      </c>
      <c r="AF244" s="30" t="str">
        <f ca="1"/>
        <v>Live</v>
      </c>
      <c r="AG244" s="30">
        <f ca="1"/>
        <v>20</v>
      </c>
      <c r="AH244" s="31" t="str">
        <f ca="1"/>
        <v>Unknown</v>
      </c>
      <c r="AI244" s="49">
        <f t="shared" ca="1" si="7"/>
        <v>0</v>
      </c>
      <c r="AJ244" s="71">
        <f ca="1"/>
        <v>0</v>
      </c>
    </row>
    <row r="245" spans="2:36" x14ac:dyDescent="0.25">
      <c r="B245" s="29" t="str">
        <f ca="1"/>
        <v>dal10.sr01.rk234</v>
      </c>
      <c r="C245" s="10" t="s">
        <v>2070</v>
      </c>
      <c r="D245" s="2" t="b" cm="1">
        <f t="array" ref="D245:O245">_xlfn._xlws.FILTER(IF(ancillary!$E$4:$P$8="",FALSE,ancillary!$E$4:$P$8),ancillary!$B$4:$B$8=$C245)</f>
        <v>1</v>
      </c>
      <c r="E245" s="2" t="b">
        <v>1</v>
      </c>
      <c r="F245" s="2" t="b">
        <v>1</v>
      </c>
      <c r="G245" s="2" t="b">
        <v>1</v>
      </c>
      <c r="H245" s="2" t="b">
        <v>1</v>
      </c>
      <c r="I245" s="2" t="b">
        <v>1</v>
      </c>
      <c r="J245" s="2" t="b">
        <v>0</v>
      </c>
      <c r="K245" s="2" t="b">
        <v>0</v>
      </c>
      <c r="L245" s="2" t="b">
        <v>0</v>
      </c>
      <c r="M245" s="2" t="b">
        <v>0</v>
      </c>
      <c r="N245" s="2" t="b">
        <v>0</v>
      </c>
      <c r="O245" s="2" t="b">
        <v>0</v>
      </c>
      <c r="P245" s="68"/>
      <c r="R245" s="69"/>
      <c r="S245" s="68"/>
      <c r="U245" s="69"/>
      <c r="V245" s="68"/>
      <c r="X245" s="69"/>
      <c r="Y245" s="68"/>
      <c r="AA245" s="69"/>
      <c r="AB245" s="33">
        <f t="shared" si="6"/>
        <v>0</v>
      </c>
      <c r="AC245" s="45">
        <f>_xlfn.LET(_xlpm.ps_1,P245:R245, _xlpm.ps_2,S245:U245, _xlpm.ps_3,V245:X245, _xlpm.ps_4,Y245:AA245,
_xlpm.phase, MID(C245,SEARCH("-",C245)+1,256),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(_xlfn.XLOOKUP($C$7,site_assumptions[Details],site_assumptions[Volts])*SUMIFS(P245:AA245,_xlfn.ANCHORARRAY(D245),TRUE)/10*0.95)/1000,
IFERROR(IF(_xlpm.phase="3Phase", _xlpm.p3_calc, _xlpm.sp_calc),0))</f>
        <v>0</v>
      </c>
      <c r="AD245" s="29" t="str">
        <f ca="1"/>
        <v>Gen2</v>
      </c>
      <c r="AE245" s="30" t="str">
        <f ca="1"/>
        <v>Compute</v>
      </c>
      <c r="AF245" s="30" t="str">
        <f ca="1"/>
        <v>Live</v>
      </c>
      <c r="AG245" s="30">
        <f ca="1"/>
        <v>20</v>
      </c>
      <c r="AH245" s="31" t="str">
        <f ca="1"/>
        <v>Unknown</v>
      </c>
      <c r="AI245" s="49">
        <f t="shared" ca="1" si="7"/>
        <v>0</v>
      </c>
      <c r="AJ245" s="71">
        <f ca="1"/>
        <v>0</v>
      </c>
    </row>
    <row r="246" spans="2:36" x14ac:dyDescent="0.25">
      <c r="B246" s="29" t="str">
        <f ca="1"/>
        <v>dal10.sr01.rk235</v>
      </c>
      <c r="C246" s="10" t="s">
        <v>2070</v>
      </c>
      <c r="D246" s="2" t="b" cm="1">
        <f t="array" ref="D246:O246">_xlfn._xlws.FILTER(IF(ancillary!$E$4:$P$8="",FALSE,ancillary!$E$4:$P$8),ancillary!$B$4:$B$8=$C246)</f>
        <v>1</v>
      </c>
      <c r="E246" s="2" t="b">
        <v>1</v>
      </c>
      <c r="F246" s="2" t="b">
        <v>1</v>
      </c>
      <c r="G246" s="2" t="b">
        <v>1</v>
      </c>
      <c r="H246" s="2" t="b">
        <v>1</v>
      </c>
      <c r="I246" s="2" t="b">
        <v>1</v>
      </c>
      <c r="J246" s="2" t="b">
        <v>0</v>
      </c>
      <c r="K246" s="2" t="b">
        <v>0</v>
      </c>
      <c r="L246" s="2" t="b">
        <v>0</v>
      </c>
      <c r="M246" s="2" t="b">
        <v>0</v>
      </c>
      <c r="N246" s="2" t="b">
        <v>0</v>
      </c>
      <c r="O246" s="2" t="b">
        <v>0</v>
      </c>
      <c r="P246" s="68"/>
      <c r="R246" s="69"/>
      <c r="S246" s="68"/>
      <c r="U246" s="69"/>
      <c r="V246" s="68"/>
      <c r="X246" s="69"/>
      <c r="Y246" s="68"/>
      <c r="AA246" s="69"/>
      <c r="AB246" s="33">
        <f t="shared" si="6"/>
        <v>0</v>
      </c>
      <c r="AC246" s="45">
        <f>_xlfn.LET(_xlpm.ps_1,P246:R246, _xlpm.ps_2,S246:U246, _xlpm.ps_3,V246:X246, _xlpm.ps_4,Y246:AA246,
_xlpm.phase, MID(C246,SEARCH("-",C246)+1,256),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(_xlfn.XLOOKUP($C$7,site_assumptions[Details],site_assumptions[Volts])*SUMIFS(P246:AA246,_xlfn.ANCHORARRAY(D246),TRUE)/10*0.95)/1000,
IFERROR(IF(_xlpm.phase="3Phase", _xlpm.p3_calc, _xlpm.sp_calc),0))</f>
        <v>0</v>
      </c>
      <c r="AD246" s="29" t="str">
        <f ca="1"/>
        <v>Gen2</v>
      </c>
      <c r="AE246" s="30" t="str">
        <f ca="1"/>
        <v>Compute</v>
      </c>
      <c r="AF246" s="30" t="str">
        <f ca="1"/>
        <v>Live</v>
      </c>
      <c r="AG246" s="30">
        <f ca="1"/>
        <v>20</v>
      </c>
      <c r="AH246" s="31" t="str">
        <f ca="1"/>
        <v>Unknown</v>
      </c>
      <c r="AI246" s="49">
        <f t="shared" ca="1" si="7"/>
        <v>0</v>
      </c>
      <c r="AJ246" s="71">
        <f ca="1"/>
        <v>0</v>
      </c>
    </row>
    <row r="247" spans="2:36" x14ac:dyDescent="0.25">
      <c r="B247" s="29" t="str">
        <f ca="1"/>
        <v>dal10.sr01.rk236</v>
      </c>
      <c r="C247" s="10" t="s">
        <v>2070</v>
      </c>
      <c r="D247" s="2" t="b" cm="1">
        <f t="array" ref="D247:O247">_xlfn._xlws.FILTER(IF(ancillary!$E$4:$P$8="",FALSE,ancillary!$E$4:$P$8),ancillary!$B$4:$B$8=$C247)</f>
        <v>1</v>
      </c>
      <c r="E247" s="2" t="b">
        <v>1</v>
      </c>
      <c r="F247" s="2" t="b">
        <v>1</v>
      </c>
      <c r="G247" s="2" t="b">
        <v>1</v>
      </c>
      <c r="H247" s="2" t="b">
        <v>1</v>
      </c>
      <c r="I247" s="2" t="b">
        <v>1</v>
      </c>
      <c r="J247" s="2" t="b">
        <v>0</v>
      </c>
      <c r="K247" s="2" t="b">
        <v>0</v>
      </c>
      <c r="L247" s="2" t="b">
        <v>0</v>
      </c>
      <c r="M247" s="2" t="b">
        <v>0</v>
      </c>
      <c r="N247" s="2" t="b">
        <v>0</v>
      </c>
      <c r="O247" s="2" t="b">
        <v>0</v>
      </c>
      <c r="P247" s="68"/>
      <c r="R247" s="69"/>
      <c r="S247" s="68"/>
      <c r="U247" s="69"/>
      <c r="V247" s="68"/>
      <c r="X247" s="69"/>
      <c r="Y247" s="68"/>
      <c r="AA247" s="69"/>
      <c r="AB247" s="33">
        <f t="shared" si="6"/>
        <v>0</v>
      </c>
      <c r="AC247" s="45">
        <f>_xlfn.LET(_xlpm.ps_1,P247:R247, _xlpm.ps_2,S247:U247, _xlpm.ps_3,V247:X247, _xlpm.ps_4,Y247:AA247,
_xlpm.phase, MID(C247,SEARCH("-",C247)+1,256),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(_xlfn.XLOOKUP($C$7,site_assumptions[Details],site_assumptions[Volts])*SUMIFS(P247:AA247,_xlfn.ANCHORARRAY(D247),TRUE)/10*0.95)/1000,
IFERROR(IF(_xlpm.phase="3Phase", _xlpm.p3_calc, _xlpm.sp_calc),0))</f>
        <v>0</v>
      </c>
      <c r="AD247" s="29" t="str">
        <f ca="1"/>
        <v>Unallocated</v>
      </c>
      <c r="AE247" s="30" t="str">
        <f ca="1"/>
        <v>Unallocated</v>
      </c>
      <c r="AF247" s="30" t="str">
        <f ca="1"/>
        <v>Planned</v>
      </c>
      <c r="AG247" s="30">
        <f ca="1"/>
        <v>0</v>
      </c>
      <c r="AH247" s="31" t="str">
        <f ca="1"/>
        <v>Unknown</v>
      </c>
      <c r="AI247" s="49">
        <f t="shared" ca="1" si="7"/>
        <v>0</v>
      </c>
      <c r="AJ247" s="71">
        <f ca="1"/>
        <v>0</v>
      </c>
    </row>
    <row r="248" spans="2:36" x14ac:dyDescent="0.25">
      <c r="B248" s="29" t="str">
        <f ca="1"/>
        <v>dal10.sr01.rk237</v>
      </c>
      <c r="C248" s="10" t="s">
        <v>2070</v>
      </c>
      <c r="D248" s="2" t="b" cm="1">
        <f t="array" ref="D248:O248">_xlfn._xlws.FILTER(IF(ancillary!$E$4:$P$8="",FALSE,ancillary!$E$4:$P$8),ancillary!$B$4:$B$8=$C248)</f>
        <v>1</v>
      </c>
      <c r="E248" s="2" t="b">
        <v>1</v>
      </c>
      <c r="F248" s="2" t="b">
        <v>1</v>
      </c>
      <c r="G248" s="2" t="b">
        <v>1</v>
      </c>
      <c r="H248" s="2" t="b">
        <v>1</v>
      </c>
      <c r="I248" s="2" t="b">
        <v>1</v>
      </c>
      <c r="J248" s="2" t="b">
        <v>0</v>
      </c>
      <c r="K248" s="2" t="b">
        <v>0</v>
      </c>
      <c r="L248" s="2" t="b">
        <v>0</v>
      </c>
      <c r="M248" s="2" t="b">
        <v>0</v>
      </c>
      <c r="N248" s="2" t="b">
        <v>0</v>
      </c>
      <c r="O248" s="2" t="b">
        <v>0</v>
      </c>
      <c r="P248" s="68"/>
      <c r="R248" s="69"/>
      <c r="S248" s="68"/>
      <c r="U248" s="69"/>
      <c r="V248" s="68"/>
      <c r="X248" s="69"/>
      <c r="Y248" s="68"/>
      <c r="AA248" s="69"/>
      <c r="AB248" s="33">
        <f t="shared" si="6"/>
        <v>0</v>
      </c>
      <c r="AC248" s="45">
        <f>_xlfn.LET(_xlpm.ps_1,P248:R248, _xlpm.ps_2,S248:U248, _xlpm.ps_3,V248:X248, _xlpm.ps_4,Y248:AA248,
_xlpm.phase, MID(C248,SEARCH("-",C248)+1,256),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(_xlfn.XLOOKUP($C$7,site_assumptions[Details],site_assumptions[Volts])*SUMIFS(P248:AA248,_xlfn.ANCHORARRAY(D248),TRUE)/10*0.95)/1000,
IFERROR(IF(_xlpm.phase="3Phase", _xlpm.p3_calc, _xlpm.sp_calc),0))</f>
        <v>0</v>
      </c>
      <c r="AD248" s="29" t="str">
        <f ca="1"/>
        <v>Unallocated</v>
      </c>
      <c r="AE248" s="30" t="str">
        <f ca="1"/>
        <v>Unallocated</v>
      </c>
      <c r="AF248" s="30" t="str">
        <f ca="1"/>
        <v>Planned</v>
      </c>
      <c r="AG248" s="30">
        <f ca="1"/>
        <v>0</v>
      </c>
      <c r="AH248" s="31" t="str">
        <f ca="1"/>
        <v>Unknown</v>
      </c>
      <c r="AI248" s="49">
        <f t="shared" ca="1" si="7"/>
        <v>0</v>
      </c>
      <c r="AJ248" s="71">
        <f ca="1"/>
        <v>0</v>
      </c>
    </row>
    <row r="249" spans="2:36" x14ac:dyDescent="0.25">
      <c r="B249" s="29" t="str">
        <f ca="1"/>
        <v>dal10.sr01.rk238</v>
      </c>
      <c r="C249" s="10" t="s">
        <v>2070</v>
      </c>
      <c r="D249" s="2" t="b" cm="1">
        <f t="array" ref="D249:O249">_xlfn._xlws.FILTER(IF(ancillary!$E$4:$P$8="",FALSE,ancillary!$E$4:$P$8),ancillary!$B$4:$B$8=$C249)</f>
        <v>1</v>
      </c>
      <c r="E249" s="2" t="b">
        <v>1</v>
      </c>
      <c r="F249" s="2" t="b">
        <v>1</v>
      </c>
      <c r="G249" s="2" t="b">
        <v>1</v>
      </c>
      <c r="H249" s="2" t="b">
        <v>1</v>
      </c>
      <c r="I249" s="2" t="b">
        <v>1</v>
      </c>
      <c r="J249" s="2" t="b">
        <v>0</v>
      </c>
      <c r="K249" s="2" t="b">
        <v>0</v>
      </c>
      <c r="L249" s="2" t="b">
        <v>0</v>
      </c>
      <c r="M249" s="2" t="b">
        <v>0</v>
      </c>
      <c r="N249" s="2" t="b">
        <v>0</v>
      </c>
      <c r="O249" s="2" t="b">
        <v>0</v>
      </c>
      <c r="P249" s="68"/>
      <c r="R249" s="69"/>
      <c r="S249" s="68"/>
      <c r="U249" s="69"/>
      <c r="V249" s="68"/>
      <c r="X249" s="69"/>
      <c r="Y249" s="68"/>
      <c r="AA249" s="69"/>
      <c r="AB249" s="33">
        <f t="shared" si="6"/>
        <v>0</v>
      </c>
      <c r="AC249" s="45">
        <f>_xlfn.LET(_xlpm.ps_1,P249:R249, _xlpm.ps_2,S249:U249, _xlpm.ps_3,V249:X249, _xlpm.ps_4,Y249:AA249,
_xlpm.phase, MID(C249,SEARCH("-",C249)+1,256),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(_xlfn.XLOOKUP($C$7,site_assumptions[Details],site_assumptions[Volts])*SUMIFS(P249:AA249,_xlfn.ANCHORARRAY(D249),TRUE)/10*0.95)/1000,
IFERROR(IF(_xlpm.phase="3Phase", _xlpm.p3_calc, _xlpm.sp_calc),0))</f>
        <v>0</v>
      </c>
      <c r="AD249" s="29" t="str">
        <f ca="1"/>
        <v>Unallocated</v>
      </c>
      <c r="AE249" s="30" t="str">
        <f ca="1"/>
        <v>Unallocated</v>
      </c>
      <c r="AF249" s="30" t="str">
        <f ca="1"/>
        <v>Planned</v>
      </c>
      <c r="AG249" s="30">
        <f ca="1"/>
        <v>0</v>
      </c>
      <c r="AH249" s="31" t="str">
        <f ca="1"/>
        <v>Unknown</v>
      </c>
      <c r="AI249" s="49">
        <f t="shared" ca="1" si="7"/>
        <v>0</v>
      </c>
      <c r="AJ249" s="71">
        <f ca="1"/>
        <v>0</v>
      </c>
    </row>
    <row r="250" spans="2:36" x14ac:dyDescent="0.25">
      <c r="B250" s="29" t="str">
        <f ca="1"/>
        <v>dal10.sr01.rk239</v>
      </c>
      <c r="C250" s="10" t="s">
        <v>2070</v>
      </c>
      <c r="D250" s="2" t="b" cm="1">
        <f t="array" ref="D250:O250">_xlfn._xlws.FILTER(IF(ancillary!$E$4:$P$8="",FALSE,ancillary!$E$4:$P$8),ancillary!$B$4:$B$8=$C250)</f>
        <v>1</v>
      </c>
      <c r="E250" s="2" t="b">
        <v>1</v>
      </c>
      <c r="F250" s="2" t="b">
        <v>1</v>
      </c>
      <c r="G250" s="2" t="b">
        <v>1</v>
      </c>
      <c r="H250" s="2" t="b">
        <v>1</v>
      </c>
      <c r="I250" s="2" t="b">
        <v>1</v>
      </c>
      <c r="J250" s="2" t="b">
        <v>0</v>
      </c>
      <c r="K250" s="2" t="b">
        <v>0</v>
      </c>
      <c r="L250" s="2" t="b">
        <v>0</v>
      </c>
      <c r="M250" s="2" t="b">
        <v>0</v>
      </c>
      <c r="N250" s="2" t="b">
        <v>0</v>
      </c>
      <c r="O250" s="2" t="b">
        <v>0</v>
      </c>
      <c r="P250" s="68"/>
      <c r="R250" s="69"/>
      <c r="S250" s="68"/>
      <c r="U250" s="69"/>
      <c r="V250" s="68"/>
      <c r="X250" s="69"/>
      <c r="Y250" s="68"/>
      <c r="AA250" s="69"/>
      <c r="AB250" s="33">
        <f t="shared" si="6"/>
        <v>0</v>
      </c>
      <c r="AC250" s="45">
        <f>_xlfn.LET(_xlpm.ps_1,P250:R250, _xlpm.ps_2,S250:U250, _xlpm.ps_3,V250:X250, _xlpm.ps_4,Y250:AA250,
_xlpm.phase, MID(C250,SEARCH("-",C250)+1,256),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(_xlfn.XLOOKUP($C$7,site_assumptions[Details],site_assumptions[Volts])*SUMIFS(P250:AA250,_xlfn.ANCHORARRAY(D250),TRUE)/10*0.95)/1000,
IFERROR(IF(_xlpm.phase="3Phase", _xlpm.p3_calc, _xlpm.sp_calc),0))</f>
        <v>0</v>
      </c>
      <c r="AD250" s="29" t="str">
        <f ca="1"/>
        <v>Unallocated</v>
      </c>
      <c r="AE250" s="30" t="str">
        <f ca="1"/>
        <v>Unallocated</v>
      </c>
      <c r="AF250" s="30" t="str">
        <f ca="1"/>
        <v>Planned</v>
      </c>
      <c r="AG250" s="30">
        <f ca="1"/>
        <v>0</v>
      </c>
      <c r="AH250" s="31" t="str">
        <f ca="1"/>
        <v>Unknown</v>
      </c>
      <c r="AI250" s="49">
        <f t="shared" ca="1" si="7"/>
        <v>0</v>
      </c>
      <c r="AJ250" s="71">
        <f ca="1"/>
        <v>0</v>
      </c>
    </row>
    <row r="251" spans="2:36" x14ac:dyDescent="0.25">
      <c r="B251" s="29" t="str">
        <f ca="1"/>
        <v>dal10.sr01.rk240</v>
      </c>
      <c r="C251" s="10" t="s">
        <v>2070</v>
      </c>
      <c r="D251" s="2" t="b" cm="1">
        <f t="array" ref="D251:O251">_xlfn._xlws.FILTER(IF(ancillary!$E$4:$P$8="",FALSE,ancillary!$E$4:$P$8),ancillary!$B$4:$B$8=$C251)</f>
        <v>1</v>
      </c>
      <c r="E251" s="2" t="b">
        <v>1</v>
      </c>
      <c r="F251" s="2" t="b">
        <v>1</v>
      </c>
      <c r="G251" s="2" t="b">
        <v>1</v>
      </c>
      <c r="H251" s="2" t="b">
        <v>1</v>
      </c>
      <c r="I251" s="2" t="b">
        <v>1</v>
      </c>
      <c r="J251" s="2" t="b">
        <v>0</v>
      </c>
      <c r="K251" s="2" t="b">
        <v>0</v>
      </c>
      <c r="L251" s="2" t="b">
        <v>0</v>
      </c>
      <c r="M251" s="2" t="b">
        <v>0</v>
      </c>
      <c r="N251" s="2" t="b">
        <v>0</v>
      </c>
      <c r="O251" s="2" t="b">
        <v>0</v>
      </c>
      <c r="P251" s="68"/>
      <c r="R251" s="69"/>
      <c r="S251" s="68"/>
      <c r="U251" s="69"/>
      <c r="V251" s="68"/>
      <c r="X251" s="69"/>
      <c r="Y251" s="68"/>
      <c r="AA251" s="69"/>
      <c r="AB251" s="33">
        <f t="shared" si="6"/>
        <v>0</v>
      </c>
      <c r="AC251" s="45">
        <f>_xlfn.LET(_xlpm.ps_1,P251:R251, _xlpm.ps_2,S251:U251, _xlpm.ps_3,V251:X251, _xlpm.ps_4,Y251:AA251,
_xlpm.phase, MID(C251,SEARCH("-",C251)+1,256),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(_xlfn.XLOOKUP($C$7,site_assumptions[Details],site_assumptions[Volts])*SUMIFS(P251:AA251,_xlfn.ANCHORARRAY(D251),TRUE)/10*0.95)/1000,
IFERROR(IF(_xlpm.phase="3Phase", _xlpm.p3_calc, _xlpm.sp_calc),0))</f>
        <v>0</v>
      </c>
      <c r="AD251" s="29" t="str">
        <f ca="1"/>
        <v>Unallocated</v>
      </c>
      <c r="AE251" s="30" t="str">
        <f ca="1"/>
        <v>Unallocated</v>
      </c>
      <c r="AF251" s="30" t="str">
        <f ca="1"/>
        <v>Planned</v>
      </c>
      <c r="AG251" s="30">
        <f ca="1"/>
        <v>0</v>
      </c>
      <c r="AH251" s="31" t="str">
        <f ca="1"/>
        <v>Unknown</v>
      </c>
      <c r="AI251" s="49">
        <f t="shared" ca="1" si="7"/>
        <v>0</v>
      </c>
      <c r="AJ251" s="71">
        <f ca="1"/>
        <v>0</v>
      </c>
    </row>
    <row r="252" spans="2:36" x14ac:dyDescent="0.25">
      <c r="B252" s="29" t="str">
        <f ca="1"/>
        <v>dal10.sr01.rk241</v>
      </c>
      <c r="C252" s="10" t="s">
        <v>2070</v>
      </c>
      <c r="D252" s="2" t="b" cm="1">
        <f t="array" ref="D252:O252">_xlfn._xlws.FILTER(IF(ancillary!$E$4:$P$8="",FALSE,ancillary!$E$4:$P$8),ancillary!$B$4:$B$8=$C252)</f>
        <v>1</v>
      </c>
      <c r="E252" s="2" t="b">
        <v>1</v>
      </c>
      <c r="F252" s="2" t="b">
        <v>1</v>
      </c>
      <c r="G252" s="2" t="b">
        <v>1</v>
      </c>
      <c r="H252" s="2" t="b">
        <v>1</v>
      </c>
      <c r="I252" s="2" t="b">
        <v>1</v>
      </c>
      <c r="J252" s="2" t="b">
        <v>0</v>
      </c>
      <c r="K252" s="2" t="b">
        <v>0</v>
      </c>
      <c r="L252" s="2" t="b">
        <v>0</v>
      </c>
      <c r="M252" s="2" t="b">
        <v>0</v>
      </c>
      <c r="N252" s="2" t="b">
        <v>0</v>
      </c>
      <c r="O252" s="2" t="b">
        <v>0</v>
      </c>
      <c r="P252" s="68"/>
      <c r="R252" s="69"/>
      <c r="S252" s="68"/>
      <c r="U252" s="69"/>
      <c r="V252" s="68"/>
      <c r="X252" s="69"/>
      <c r="Y252" s="68"/>
      <c r="AA252" s="69"/>
      <c r="AB252" s="33">
        <f t="shared" si="6"/>
        <v>0</v>
      </c>
      <c r="AC252" s="45">
        <f>_xlfn.LET(_xlpm.ps_1,P252:R252, _xlpm.ps_2,S252:U252, _xlpm.ps_3,V252:X252, _xlpm.ps_4,Y252:AA252,
_xlpm.phase, MID(C252,SEARCH("-",C252)+1,256),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(_xlfn.XLOOKUP($C$7,site_assumptions[Details],site_assumptions[Volts])*SUMIFS(P252:AA252,_xlfn.ANCHORARRAY(D252),TRUE)/10*0.95)/1000,
IFERROR(IF(_xlpm.phase="3Phase", _xlpm.p3_calc, _xlpm.sp_calc),0))</f>
        <v>0</v>
      </c>
      <c r="AD252" s="29" t="str">
        <f ca="1"/>
        <v>Unallocated</v>
      </c>
      <c r="AE252" s="30" t="str">
        <f ca="1"/>
        <v>Unallocated</v>
      </c>
      <c r="AF252" s="30" t="str">
        <f ca="1"/>
        <v>Planned</v>
      </c>
      <c r="AG252" s="30">
        <f ca="1"/>
        <v>0</v>
      </c>
      <c r="AH252" s="31" t="str">
        <f ca="1"/>
        <v>Unknown</v>
      </c>
      <c r="AI252" s="49">
        <f t="shared" ca="1" si="7"/>
        <v>0</v>
      </c>
      <c r="AJ252" s="71">
        <f ca="1"/>
        <v>0</v>
      </c>
    </row>
    <row r="253" spans="2:36" x14ac:dyDescent="0.25">
      <c r="B253" s="29" t="str">
        <f ca="1"/>
        <v>dal10.sr01.rk242</v>
      </c>
      <c r="C253" s="10" t="s">
        <v>2070</v>
      </c>
      <c r="D253" s="2" t="b" cm="1">
        <f t="array" ref="D253:O253">_xlfn._xlws.FILTER(IF(ancillary!$E$4:$P$8="",FALSE,ancillary!$E$4:$P$8),ancillary!$B$4:$B$8=$C253)</f>
        <v>1</v>
      </c>
      <c r="E253" s="2" t="b">
        <v>1</v>
      </c>
      <c r="F253" s="2" t="b">
        <v>1</v>
      </c>
      <c r="G253" s="2" t="b">
        <v>1</v>
      </c>
      <c r="H253" s="2" t="b">
        <v>1</v>
      </c>
      <c r="I253" s="2" t="b">
        <v>1</v>
      </c>
      <c r="J253" s="2" t="b">
        <v>0</v>
      </c>
      <c r="K253" s="2" t="b">
        <v>0</v>
      </c>
      <c r="L253" s="2" t="b">
        <v>0</v>
      </c>
      <c r="M253" s="2" t="b">
        <v>0</v>
      </c>
      <c r="N253" s="2" t="b">
        <v>0</v>
      </c>
      <c r="O253" s="2" t="b">
        <v>0</v>
      </c>
      <c r="P253" s="68"/>
      <c r="R253" s="69"/>
      <c r="S253" s="68"/>
      <c r="U253" s="69"/>
      <c r="V253" s="68"/>
      <c r="X253" s="69"/>
      <c r="Y253" s="68"/>
      <c r="AA253" s="69"/>
      <c r="AB253" s="33">
        <f t="shared" si="6"/>
        <v>0</v>
      </c>
      <c r="AC253" s="45">
        <f>_xlfn.LET(_xlpm.ps_1,P253:R253, _xlpm.ps_2,S253:U253, _xlpm.ps_3,V253:X253, _xlpm.ps_4,Y253:AA253,
_xlpm.phase, MID(C253,SEARCH("-",C253)+1,256),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(_xlfn.XLOOKUP($C$7,site_assumptions[Details],site_assumptions[Volts])*SUMIFS(P253:AA253,_xlfn.ANCHORARRAY(D253),TRUE)/10*0.95)/1000,
IFERROR(IF(_xlpm.phase="3Phase", _xlpm.p3_calc, _xlpm.sp_calc),0))</f>
        <v>0</v>
      </c>
      <c r="AD253" s="29" t="str">
        <f ca="1"/>
        <v>Unallocated</v>
      </c>
      <c r="AE253" s="30" t="str">
        <f ca="1"/>
        <v>Unallocated</v>
      </c>
      <c r="AF253" s="30" t="str">
        <f ca="1"/>
        <v>Planned</v>
      </c>
      <c r="AG253" s="30">
        <f ca="1"/>
        <v>0</v>
      </c>
      <c r="AH253" s="31" t="str">
        <f ca="1"/>
        <v>Unknown</v>
      </c>
      <c r="AI253" s="49">
        <f t="shared" ca="1" si="7"/>
        <v>0</v>
      </c>
      <c r="AJ253" s="71">
        <f ca="1"/>
        <v>0</v>
      </c>
    </row>
    <row r="254" spans="2:36" x14ac:dyDescent="0.25">
      <c r="B254" s="29" t="str">
        <f ca="1"/>
        <v>dal10.sr01.rk243</v>
      </c>
      <c r="C254" s="10" t="s">
        <v>2070</v>
      </c>
      <c r="D254" s="2" t="b" cm="1">
        <f t="array" ref="D254:O254">_xlfn._xlws.FILTER(IF(ancillary!$E$4:$P$8="",FALSE,ancillary!$E$4:$P$8),ancillary!$B$4:$B$8=$C254)</f>
        <v>1</v>
      </c>
      <c r="E254" s="2" t="b">
        <v>1</v>
      </c>
      <c r="F254" s="2" t="b">
        <v>1</v>
      </c>
      <c r="G254" s="2" t="b">
        <v>1</v>
      </c>
      <c r="H254" s="2" t="b">
        <v>1</v>
      </c>
      <c r="I254" s="2" t="b">
        <v>1</v>
      </c>
      <c r="J254" s="2" t="b">
        <v>0</v>
      </c>
      <c r="K254" s="2" t="b">
        <v>0</v>
      </c>
      <c r="L254" s="2" t="b">
        <v>0</v>
      </c>
      <c r="M254" s="2" t="b">
        <v>0</v>
      </c>
      <c r="N254" s="2" t="b">
        <v>0</v>
      </c>
      <c r="O254" s="2" t="b">
        <v>0</v>
      </c>
      <c r="P254" s="68"/>
      <c r="R254" s="69"/>
      <c r="S254" s="68"/>
      <c r="U254" s="69"/>
      <c r="V254" s="68"/>
      <c r="X254" s="69"/>
      <c r="Y254" s="68"/>
      <c r="AA254" s="69"/>
      <c r="AB254" s="33">
        <f t="shared" si="6"/>
        <v>0</v>
      </c>
      <c r="AC254" s="45">
        <f>_xlfn.LET(_xlpm.ps_1,P254:R254, _xlpm.ps_2,S254:U254, _xlpm.ps_3,V254:X254, _xlpm.ps_4,Y254:AA254,
_xlpm.phase, MID(C254,SEARCH("-",C254)+1,256),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(_xlfn.XLOOKUP($C$7,site_assumptions[Details],site_assumptions[Volts])*SUMIFS(P254:AA254,_xlfn.ANCHORARRAY(D254),TRUE)/10*0.95)/1000,
IFERROR(IF(_xlpm.phase="3Phase", _xlpm.p3_calc, _xlpm.sp_calc),0))</f>
        <v>0</v>
      </c>
      <c r="AD254" s="29" t="str">
        <f ca="1"/>
        <v>Bare Metal</v>
      </c>
      <c r="AE254" s="30" t="str">
        <f ca="1"/>
        <v>Bare Metal</v>
      </c>
      <c r="AF254" s="30" t="str">
        <f ca="1"/>
        <v>Live</v>
      </c>
      <c r="AG254" s="30">
        <f ca="1"/>
        <v>6</v>
      </c>
      <c r="AH254" s="31" t="str">
        <f ca="1"/>
        <v>Unknown</v>
      </c>
      <c r="AI254" s="49">
        <f t="shared" ca="1" si="7"/>
        <v>0</v>
      </c>
      <c r="AJ254" s="71">
        <f ca="1"/>
        <v>6.67</v>
      </c>
    </row>
    <row r="255" spans="2:36" x14ac:dyDescent="0.25">
      <c r="B255" s="29" t="str">
        <f ca="1"/>
        <v>dal10.sr01.rk244</v>
      </c>
      <c r="C255" s="10" t="s">
        <v>2070</v>
      </c>
      <c r="D255" s="2" t="b" cm="1">
        <f t="array" ref="D255:O255">_xlfn._xlws.FILTER(IF(ancillary!$E$4:$P$8="",FALSE,ancillary!$E$4:$P$8),ancillary!$B$4:$B$8=$C255)</f>
        <v>1</v>
      </c>
      <c r="E255" s="2" t="b">
        <v>1</v>
      </c>
      <c r="F255" s="2" t="b">
        <v>1</v>
      </c>
      <c r="G255" s="2" t="b">
        <v>1</v>
      </c>
      <c r="H255" s="2" t="b">
        <v>1</v>
      </c>
      <c r="I255" s="2" t="b">
        <v>1</v>
      </c>
      <c r="J255" s="2" t="b">
        <v>0</v>
      </c>
      <c r="K255" s="2" t="b">
        <v>0</v>
      </c>
      <c r="L255" s="2" t="b">
        <v>0</v>
      </c>
      <c r="M255" s="2" t="b">
        <v>0</v>
      </c>
      <c r="N255" s="2" t="b">
        <v>0</v>
      </c>
      <c r="O255" s="2" t="b">
        <v>0</v>
      </c>
      <c r="P255" s="68"/>
      <c r="R255" s="69"/>
      <c r="S255" s="68"/>
      <c r="U255" s="69"/>
      <c r="V255" s="68"/>
      <c r="X255" s="69"/>
      <c r="Y255" s="68"/>
      <c r="AA255" s="69"/>
      <c r="AB255" s="33">
        <f t="shared" si="6"/>
        <v>0</v>
      </c>
      <c r="AC255" s="45">
        <f>_xlfn.LET(_xlpm.ps_1,P255:R255, _xlpm.ps_2,S255:U255, _xlpm.ps_3,V255:X255, _xlpm.ps_4,Y255:AA255,
_xlpm.phase, MID(C255,SEARCH("-",C255)+1,256),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(_xlfn.XLOOKUP($C$7,site_assumptions[Details],site_assumptions[Volts])*SUMIFS(P255:AA255,_xlfn.ANCHORARRAY(D255),TRUE)/10*0.95)/1000,
IFERROR(IF(_xlpm.phase="3Phase", _xlpm.p3_calc, _xlpm.sp_calc),0))</f>
        <v>0</v>
      </c>
      <c r="AD255" s="29" t="str">
        <f ca="1"/>
        <v>Bare Metal</v>
      </c>
      <c r="AE255" s="30" t="str">
        <f ca="1"/>
        <v>Bare Metal</v>
      </c>
      <c r="AF255" s="30" t="str">
        <f ca="1"/>
        <v>Live</v>
      </c>
      <c r="AG255" s="30">
        <f ca="1"/>
        <v>6</v>
      </c>
      <c r="AH255" s="31" t="str">
        <f ca="1"/>
        <v>Unknown</v>
      </c>
      <c r="AI255" s="49">
        <f t="shared" ca="1" si="7"/>
        <v>0</v>
      </c>
      <c r="AJ255" s="71">
        <f ca="1"/>
        <v>7.4429999999999996</v>
      </c>
    </row>
    <row r="256" spans="2:36" x14ac:dyDescent="0.25">
      <c r="B256" s="29" t="str">
        <f ca="1"/>
        <v>dal10.sr01.rk245</v>
      </c>
      <c r="C256" s="10" t="s">
        <v>2070</v>
      </c>
      <c r="D256" s="2" t="b" cm="1">
        <f t="array" ref="D256:O256">_xlfn._xlws.FILTER(IF(ancillary!$E$4:$P$8="",FALSE,ancillary!$E$4:$P$8),ancillary!$B$4:$B$8=$C256)</f>
        <v>1</v>
      </c>
      <c r="E256" s="2" t="b">
        <v>1</v>
      </c>
      <c r="F256" s="2" t="b">
        <v>1</v>
      </c>
      <c r="G256" s="2" t="b">
        <v>1</v>
      </c>
      <c r="H256" s="2" t="b">
        <v>1</v>
      </c>
      <c r="I256" s="2" t="b">
        <v>1</v>
      </c>
      <c r="J256" s="2" t="b">
        <v>0</v>
      </c>
      <c r="K256" s="2" t="b">
        <v>0</v>
      </c>
      <c r="L256" s="2" t="b">
        <v>0</v>
      </c>
      <c r="M256" s="2" t="b">
        <v>0</v>
      </c>
      <c r="N256" s="2" t="b">
        <v>0</v>
      </c>
      <c r="O256" s="2" t="b">
        <v>0</v>
      </c>
      <c r="P256" s="68"/>
      <c r="R256" s="69"/>
      <c r="S256" s="68"/>
      <c r="U256" s="69"/>
      <c r="V256" s="68"/>
      <c r="X256" s="69"/>
      <c r="Y256" s="68"/>
      <c r="AA256" s="69"/>
      <c r="AB256" s="33">
        <f t="shared" si="6"/>
        <v>0</v>
      </c>
      <c r="AC256" s="45">
        <f>_xlfn.LET(_xlpm.ps_1,P256:R256, _xlpm.ps_2,S256:U256, _xlpm.ps_3,V256:X256, _xlpm.ps_4,Y256:AA256,
_xlpm.phase, MID(C256,SEARCH("-",C256)+1,256),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(_xlfn.XLOOKUP($C$7,site_assumptions[Details],site_assumptions[Volts])*SUMIFS(P256:AA256,_xlfn.ANCHORARRAY(D256),TRUE)/10*0.95)/1000,
IFERROR(IF(_xlpm.phase="3Phase", _xlpm.p3_calc, _xlpm.sp_calc),0))</f>
        <v>0</v>
      </c>
      <c r="AD256" s="29" t="str">
        <f ca="1"/>
        <v>Bare Metal</v>
      </c>
      <c r="AE256" s="30" t="str">
        <f ca="1"/>
        <v>Bare Metal</v>
      </c>
      <c r="AF256" s="30" t="str">
        <f ca="1"/>
        <v>Live</v>
      </c>
      <c r="AG256" s="30">
        <f ca="1"/>
        <v>6</v>
      </c>
      <c r="AH256" s="31" t="str">
        <f ca="1"/>
        <v>Unknown</v>
      </c>
      <c r="AI256" s="49">
        <f t="shared" ca="1" si="7"/>
        <v>0</v>
      </c>
      <c r="AJ256" s="71">
        <f ca="1"/>
        <v>3.766</v>
      </c>
    </row>
    <row r="257" spans="2:36" x14ac:dyDescent="0.25">
      <c r="B257" s="29" t="str">
        <f ca="1"/>
        <v>dal10.sr01.rk246</v>
      </c>
      <c r="C257" s="10" t="s">
        <v>2070</v>
      </c>
      <c r="D257" s="2" t="b" cm="1">
        <f t="array" ref="D257:O257">_xlfn._xlws.FILTER(IF(ancillary!$E$4:$P$8="",FALSE,ancillary!$E$4:$P$8),ancillary!$B$4:$B$8=$C257)</f>
        <v>1</v>
      </c>
      <c r="E257" s="2" t="b">
        <v>1</v>
      </c>
      <c r="F257" s="2" t="b">
        <v>1</v>
      </c>
      <c r="G257" s="2" t="b">
        <v>1</v>
      </c>
      <c r="H257" s="2" t="b">
        <v>1</v>
      </c>
      <c r="I257" s="2" t="b">
        <v>1</v>
      </c>
      <c r="J257" s="2" t="b">
        <v>0</v>
      </c>
      <c r="K257" s="2" t="b">
        <v>0</v>
      </c>
      <c r="L257" s="2" t="b">
        <v>0</v>
      </c>
      <c r="M257" s="2" t="b">
        <v>0</v>
      </c>
      <c r="N257" s="2" t="b">
        <v>0</v>
      </c>
      <c r="O257" s="2" t="b">
        <v>0</v>
      </c>
      <c r="P257" s="68"/>
      <c r="R257" s="69"/>
      <c r="S257" s="68"/>
      <c r="U257" s="69"/>
      <c r="V257" s="68"/>
      <c r="X257" s="69"/>
      <c r="Y257" s="68"/>
      <c r="AA257" s="69"/>
      <c r="AB257" s="33">
        <f t="shared" si="6"/>
        <v>0</v>
      </c>
      <c r="AC257" s="45">
        <f>_xlfn.LET(_xlpm.ps_1,P257:R257, _xlpm.ps_2,S257:U257, _xlpm.ps_3,V257:X257, _xlpm.ps_4,Y257:AA257,
_xlpm.phase, MID(C257,SEARCH("-",C257)+1,256),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(_xlfn.XLOOKUP($C$7,site_assumptions[Details],site_assumptions[Volts])*SUMIFS(P257:AA257,_xlfn.ANCHORARRAY(D257),TRUE)/10*0.95)/1000,
IFERROR(IF(_xlpm.phase="3Phase", _xlpm.p3_calc, _xlpm.sp_calc),0))</f>
        <v>0</v>
      </c>
      <c r="AD257" s="29" t="str">
        <f ca="1"/>
        <v>Bare Metal</v>
      </c>
      <c r="AE257" s="30" t="str">
        <f ca="1"/>
        <v>Bare Metal</v>
      </c>
      <c r="AF257" s="30" t="str">
        <f ca="1"/>
        <v>Live</v>
      </c>
      <c r="AG257" s="30">
        <f ca="1"/>
        <v>6</v>
      </c>
      <c r="AH257" s="31" t="str">
        <f ca="1"/>
        <v>Unknown</v>
      </c>
      <c r="AI257" s="49">
        <f t="shared" ca="1" si="7"/>
        <v>0</v>
      </c>
      <c r="AJ257" s="71">
        <f ca="1"/>
        <v>5.8410000000000002</v>
      </c>
    </row>
    <row r="258" spans="2:36" x14ac:dyDescent="0.25">
      <c r="B258" s="29" t="str">
        <f ca="1"/>
        <v>dal10.sr01.rk247</v>
      </c>
      <c r="C258" s="10" t="s">
        <v>2070</v>
      </c>
      <c r="D258" s="2" t="b" cm="1">
        <f t="array" ref="D258:O258">_xlfn._xlws.FILTER(IF(ancillary!$E$4:$P$8="",FALSE,ancillary!$E$4:$P$8),ancillary!$B$4:$B$8=$C258)</f>
        <v>1</v>
      </c>
      <c r="E258" s="2" t="b">
        <v>1</v>
      </c>
      <c r="F258" s="2" t="b">
        <v>1</v>
      </c>
      <c r="G258" s="2" t="b">
        <v>1</v>
      </c>
      <c r="H258" s="2" t="b">
        <v>1</v>
      </c>
      <c r="I258" s="2" t="b">
        <v>1</v>
      </c>
      <c r="J258" s="2" t="b">
        <v>0</v>
      </c>
      <c r="K258" s="2" t="b">
        <v>0</v>
      </c>
      <c r="L258" s="2" t="b">
        <v>0</v>
      </c>
      <c r="M258" s="2" t="b">
        <v>0</v>
      </c>
      <c r="N258" s="2" t="b">
        <v>0</v>
      </c>
      <c r="O258" s="2" t="b">
        <v>0</v>
      </c>
      <c r="P258" s="68"/>
      <c r="R258" s="69"/>
      <c r="S258" s="68"/>
      <c r="U258" s="69"/>
      <c r="V258" s="68"/>
      <c r="X258" s="69"/>
      <c r="Y258" s="68"/>
      <c r="AA258" s="69"/>
      <c r="AB258" s="33">
        <f t="shared" si="6"/>
        <v>0</v>
      </c>
      <c r="AC258" s="45">
        <f>_xlfn.LET(_xlpm.ps_1,P258:R258, _xlpm.ps_2,S258:U258, _xlpm.ps_3,V258:X258, _xlpm.ps_4,Y258:AA258,
_xlpm.phase, MID(C258,SEARCH("-",C258)+1,256),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(_xlfn.XLOOKUP($C$7,site_assumptions[Details],site_assumptions[Volts])*SUMIFS(P258:AA258,_xlfn.ANCHORARRAY(D258),TRUE)/10*0.95)/1000,
IFERROR(IF(_xlpm.phase="3Phase", _xlpm.p3_calc, _xlpm.sp_calc),0))</f>
        <v>0</v>
      </c>
      <c r="AD258" s="29" t="str">
        <f ca="1"/>
        <v>Bare Metal</v>
      </c>
      <c r="AE258" s="30" t="str">
        <f ca="1"/>
        <v>Bare Metal</v>
      </c>
      <c r="AF258" s="30" t="str">
        <f ca="1"/>
        <v>Live</v>
      </c>
      <c r="AG258" s="30">
        <f ca="1"/>
        <v>6</v>
      </c>
      <c r="AH258" s="31" t="str">
        <f ca="1"/>
        <v>Unknown</v>
      </c>
      <c r="AI258" s="49">
        <f t="shared" ca="1" si="7"/>
        <v>0</v>
      </c>
      <c r="AJ258" s="71">
        <f ca="1"/>
        <v>5.9939999999999998</v>
      </c>
    </row>
    <row r="259" spans="2:36" x14ac:dyDescent="0.25">
      <c r="B259" s="29" t="str">
        <f ca="1"/>
        <v>dal10.sr01.rk248</v>
      </c>
      <c r="C259" s="10" t="s">
        <v>2070</v>
      </c>
      <c r="D259" s="2" t="b" cm="1">
        <f t="array" ref="D259:O259">_xlfn._xlws.FILTER(IF(ancillary!$E$4:$P$8="",FALSE,ancillary!$E$4:$P$8),ancillary!$B$4:$B$8=$C259)</f>
        <v>1</v>
      </c>
      <c r="E259" s="2" t="b">
        <v>1</v>
      </c>
      <c r="F259" s="2" t="b">
        <v>1</v>
      </c>
      <c r="G259" s="2" t="b">
        <v>1</v>
      </c>
      <c r="H259" s="2" t="b">
        <v>1</v>
      </c>
      <c r="I259" s="2" t="b">
        <v>1</v>
      </c>
      <c r="J259" s="2" t="b">
        <v>0</v>
      </c>
      <c r="K259" s="2" t="b">
        <v>0</v>
      </c>
      <c r="L259" s="2" t="b">
        <v>0</v>
      </c>
      <c r="M259" s="2" t="b">
        <v>0</v>
      </c>
      <c r="N259" s="2" t="b">
        <v>0</v>
      </c>
      <c r="O259" s="2" t="b">
        <v>0</v>
      </c>
      <c r="P259" s="68"/>
      <c r="R259" s="69"/>
      <c r="S259" s="68"/>
      <c r="U259" s="69"/>
      <c r="V259" s="68"/>
      <c r="X259" s="69"/>
      <c r="Y259" s="68"/>
      <c r="AA259" s="69"/>
      <c r="AB259" s="33">
        <f t="shared" si="6"/>
        <v>0</v>
      </c>
      <c r="AC259" s="45">
        <f>_xlfn.LET(_xlpm.ps_1,P259:R259, _xlpm.ps_2,S259:U259, _xlpm.ps_3,V259:X259, _xlpm.ps_4,Y259:AA259,
_xlpm.phase, MID(C259,SEARCH("-",C259)+1,256),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(_xlfn.XLOOKUP($C$7,site_assumptions[Details],site_assumptions[Volts])*SUMIFS(P259:AA259,_xlfn.ANCHORARRAY(D259),TRUE)/10*0.95)/1000,
IFERROR(IF(_xlpm.phase="3Phase", _xlpm.p3_calc, _xlpm.sp_calc),0))</f>
        <v>0</v>
      </c>
      <c r="AD259" s="29" t="str">
        <f ca="1"/>
        <v>Network</v>
      </c>
      <c r="AE259" s="30" t="str">
        <f ca="1"/>
        <v>Aggregate</v>
      </c>
      <c r="AF259" s="30" t="str">
        <f ca="1"/>
        <v>Live</v>
      </c>
      <c r="AG259" s="30">
        <f ca="1"/>
        <v>5</v>
      </c>
      <c r="AH259" s="31" t="str">
        <f ca="1"/>
        <v>Unknown</v>
      </c>
      <c r="AI259" s="49">
        <f t="shared" ca="1" si="7"/>
        <v>0</v>
      </c>
      <c r="AJ259" s="71">
        <f ca="1"/>
        <v>0</v>
      </c>
    </row>
    <row r="260" spans="2:36" x14ac:dyDescent="0.25">
      <c r="B260" s="29" t="str">
        <f ca="1"/>
        <v>dal10.sr01.rk249</v>
      </c>
      <c r="C260" s="10" t="s">
        <v>2070</v>
      </c>
      <c r="D260" s="2" t="b" cm="1">
        <f t="array" ref="D260:O260">_xlfn._xlws.FILTER(IF(ancillary!$E$4:$P$8="",FALSE,ancillary!$E$4:$P$8),ancillary!$B$4:$B$8=$C260)</f>
        <v>1</v>
      </c>
      <c r="E260" s="2" t="b">
        <v>1</v>
      </c>
      <c r="F260" s="2" t="b">
        <v>1</v>
      </c>
      <c r="G260" s="2" t="b">
        <v>1</v>
      </c>
      <c r="H260" s="2" t="b">
        <v>1</v>
      </c>
      <c r="I260" s="2" t="b">
        <v>1</v>
      </c>
      <c r="J260" s="2" t="b">
        <v>0</v>
      </c>
      <c r="K260" s="2" t="b">
        <v>0</v>
      </c>
      <c r="L260" s="2" t="b">
        <v>0</v>
      </c>
      <c r="M260" s="2" t="b">
        <v>0</v>
      </c>
      <c r="N260" s="2" t="b">
        <v>0</v>
      </c>
      <c r="O260" s="2" t="b">
        <v>0</v>
      </c>
      <c r="P260" s="68"/>
      <c r="R260" s="69"/>
      <c r="S260" s="68"/>
      <c r="U260" s="69"/>
      <c r="V260" s="68"/>
      <c r="X260" s="69"/>
      <c r="Y260" s="68"/>
      <c r="AA260" s="69"/>
      <c r="AB260" s="33">
        <f t="shared" si="6"/>
        <v>0</v>
      </c>
      <c r="AC260" s="45">
        <f>_xlfn.LET(_xlpm.ps_1,P260:R260, _xlpm.ps_2,S260:U260, _xlpm.ps_3,V260:X260, _xlpm.ps_4,Y260:AA260,
_xlpm.phase, MID(C260,SEARCH("-",C260)+1,256),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(_xlfn.XLOOKUP($C$7,site_assumptions[Details],site_assumptions[Volts])*SUMIFS(P260:AA260,_xlfn.ANCHORARRAY(D260),TRUE)/10*0.95)/1000,
IFERROR(IF(_xlpm.phase="3Phase", _xlpm.p3_calc, _xlpm.sp_calc),0))</f>
        <v>0</v>
      </c>
      <c r="AD260" s="29" t="str">
        <f ca="1"/>
        <v>Bare Metal</v>
      </c>
      <c r="AE260" s="30" t="str">
        <f ca="1"/>
        <v>Bare Metal</v>
      </c>
      <c r="AF260" s="30" t="str">
        <f ca="1"/>
        <v>Live</v>
      </c>
      <c r="AG260" s="30">
        <f ca="1"/>
        <v>6</v>
      </c>
      <c r="AH260" s="31" t="str">
        <f ca="1"/>
        <v>Unknown</v>
      </c>
      <c r="AI260" s="49">
        <f t="shared" ca="1" si="7"/>
        <v>0</v>
      </c>
      <c r="AJ260" s="71">
        <f ca="1"/>
        <v>4.9370000000000003</v>
      </c>
    </row>
    <row r="261" spans="2:36" x14ac:dyDescent="0.25">
      <c r="B261" s="29" t="str">
        <f ca="1"/>
        <v>dal10.sr01.rk250</v>
      </c>
      <c r="C261" s="10" t="s">
        <v>2070</v>
      </c>
      <c r="D261" s="2" t="b" cm="1">
        <f t="array" ref="D261:O261">_xlfn._xlws.FILTER(IF(ancillary!$E$4:$P$8="",FALSE,ancillary!$E$4:$P$8),ancillary!$B$4:$B$8=$C261)</f>
        <v>1</v>
      </c>
      <c r="E261" s="2" t="b">
        <v>1</v>
      </c>
      <c r="F261" s="2" t="b">
        <v>1</v>
      </c>
      <c r="G261" s="2" t="b">
        <v>1</v>
      </c>
      <c r="H261" s="2" t="b">
        <v>1</v>
      </c>
      <c r="I261" s="2" t="b">
        <v>1</v>
      </c>
      <c r="J261" s="2" t="b">
        <v>0</v>
      </c>
      <c r="K261" s="2" t="b">
        <v>0</v>
      </c>
      <c r="L261" s="2" t="b">
        <v>0</v>
      </c>
      <c r="M261" s="2" t="b">
        <v>0</v>
      </c>
      <c r="N261" s="2" t="b">
        <v>0</v>
      </c>
      <c r="O261" s="2" t="b">
        <v>0</v>
      </c>
      <c r="P261" s="68"/>
      <c r="R261" s="69"/>
      <c r="S261" s="68"/>
      <c r="U261" s="69"/>
      <c r="V261" s="68"/>
      <c r="X261" s="69"/>
      <c r="Y261" s="68"/>
      <c r="AA261" s="69"/>
      <c r="AB261" s="33">
        <f t="shared" si="6"/>
        <v>0</v>
      </c>
      <c r="AC261" s="45">
        <f>_xlfn.LET(_xlpm.ps_1,P261:R261, _xlpm.ps_2,S261:U261, _xlpm.ps_3,V261:X261, _xlpm.ps_4,Y261:AA261,
_xlpm.phase, MID(C261,SEARCH("-",C261)+1,256),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(_xlfn.XLOOKUP($C$7,site_assumptions[Details],site_assumptions[Volts])*SUMIFS(P261:AA261,_xlfn.ANCHORARRAY(D261),TRUE)/10*0.95)/1000,
IFERROR(IF(_xlpm.phase="3Phase", _xlpm.p3_calc, _xlpm.sp_calc),0))</f>
        <v>0</v>
      </c>
      <c r="AD261" s="29" t="str">
        <f ca="1"/>
        <v>Bare Metal</v>
      </c>
      <c r="AE261" s="30" t="str">
        <f ca="1"/>
        <v>Bare Metal</v>
      </c>
      <c r="AF261" s="30" t="str">
        <f ca="1"/>
        <v>Live</v>
      </c>
      <c r="AG261" s="30">
        <f ca="1"/>
        <v>6</v>
      </c>
      <c r="AH261" s="31" t="str">
        <f ca="1"/>
        <v>Unknown</v>
      </c>
      <c r="AI261" s="49">
        <f t="shared" ca="1" si="7"/>
        <v>0</v>
      </c>
      <c r="AJ261" s="71">
        <f ca="1"/>
        <v>4.9850000000000003</v>
      </c>
    </row>
    <row r="262" spans="2:36" x14ac:dyDescent="0.25">
      <c r="B262" s="29" t="str">
        <f ca="1"/>
        <v>dal10.sr01.rk251</v>
      </c>
      <c r="C262" s="10" t="s">
        <v>2070</v>
      </c>
      <c r="D262" s="2" t="b" cm="1">
        <f t="array" ref="D262:O262">_xlfn._xlws.FILTER(IF(ancillary!$E$4:$P$8="",FALSE,ancillary!$E$4:$P$8),ancillary!$B$4:$B$8=$C262)</f>
        <v>1</v>
      </c>
      <c r="E262" s="2" t="b">
        <v>1</v>
      </c>
      <c r="F262" s="2" t="b">
        <v>1</v>
      </c>
      <c r="G262" s="2" t="b">
        <v>1</v>
      </c>
      <c r="H262" s="2" t="b">
        <v>1</v>
      </c>
      <c r="I262" s="2" t="b">
        <v>1</v>
      </c>
      <c r="J262" s="2" t="b">
        <v>0</v>
      </c>
      <c r="K262" s="2" t="b">
        <v>0</v>
      </c>
      <c r="L262" s="2" t="b">
        <v>0</v>
      </c>
      <c r="M262" s="2" t="b">
        <v>0</v>
      </c>
      <c r="N262" s="2" t="b">
        <v>0</v>
      </c>
      <c r="O262" s="2" t="b">
        <v>0</v>
      </c>
      <c r="P262" s="68"/>
      <c r="R262" s="69"/>
      <c r="S262" s="68"/>
      <c r="U262" s="69"/>
      <c r="V262" s="68"/>
      <c r="X262" s="69"/>
      <c r="Y262" s="68"/>
      <c r="AA262" s="69"/>
      <c r="AB262" s="33">
        <f t="shared" si="6"/>
        <v>0</v>
      </c>
      <c r="AC262" s="45">
        <f>_xlfn.LET(_xlpm.ps_1,P262:R262, _xlpm.ps_2,S262:U262, _xlpm.ps_3,V262:X262, _xlpm.ps_4,Y262:AA262,
_xlpm.phase, MID(C262,SEARCH("-",C262)+1,256),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(_xlfn.XLOOKUP($C$7,site_assumptions[Details],site_assumptions[Volts])*SUMIFS(P262:AA262,_xlfn.ANCHORARRAY(D262),TRUE)/10*0.95)/1000,
IFERROR(IF(_xlpm.phase="3Phase", _xlpm.p3_calc, _xlpm.sp_calc),0))</f>
        <v>0</v>
      </c>
      <c r="AD262" s="29" t="str">
        <f ca="1"/>
        <v>Bare Metal</v>
      </c>
      <c r="AE262" s="30" t="str">
        <f ca="1"/>
        <v>Bare Metal</v>
      </c>
      <c r="AF262" s="30" t="str">
        <f ca="1"/>
        <v>Live</v>
      </c>
      <c r="AG262" s="30">
        <f ca="1"/>
        <v>6</v>
      </c>
      <c r="AH262" s="31" t="str">
        <f ca="1"/>
        <v>Unknown</v>
      </c>
      <c r="AI262" s="49">
        <f t="shared" ca="1" si="7"/>
        <v>0</v>
      </c>
      <c r="AJ262" s="71">
        <f ca="1"/>
        <v>5.492</v>
      </c>
    </row>
    <row r="263" spans="2:36" x14ac:dyDescent="0.25">
      <c r="B263" s="29" t="str">
        <f ca="1"/>
        <v>dal10.sr01.rk252</v>
      </c>
      <c r="C263" s="10" t="s">
        <v>2070</v>
      </c>
      <c r="D263" s="2" t="b" cm="1">
        <f t="array" ref="D263:O263">_xlfn._xlws.FILTER(IF(ancillary!$E$4:$P$8="",FALSE,ancillary!$E$4:$P$8),ancillary!$B$4:$B$8=$C263)</f>
        <v>1</v>
      </c>
      <c r="E263" s="2" t="b">
        <v>1</v>
      </c>
      <c r="F263" s="2" t="b">
        <v>1</v>
      </c>
      <c r="G263" s="2" t="b">
        <v>1</v>
      </c>
      <c r="H263" s="2" t="b">
        <v>1</v>
      </c>
      <c r="I263" s="2" t="b">
        <v>1</v>
      </c>
      <c r="J263" s="2" t="b">
        <v>0</v>
      </c>
      <c r="K263" s="2" t="b">
        <v>0</v>
      </c>
      <c r="L263" s="2" t="b">
        <v>0</v>
      </c>
      <c r="M263" s="2" t="b">
        <v>0</v>
      </c>
      <c r="N263" s="2" t="b">
        <v>0</v>
      </c>
      <c r="O263" s="2" t="b">
        <v>0</v>
      </c>
      <c r="P263" s="68"/>
      <c r="R263" s="69"/>
      <c r="S263" s="68"/>
      <c r="U263" s="69"/>
      <c r="V263" s="68"/>
      <c r="X263" s="69"/>
      <c r="Y263" s="68"/>
      <c r="AA263" s="69"/>
      <c r="AB263" s="33">
        <f t="shared" si="6"/>
        <v>0</v>
      </c>
      <c r="AC263" s="45">
        <f>_xlfn.LET(_xlpm.ps_1,P263:R263, _xlpm.ps_2,S263:U263, _xlpm.ps_3,V263:X263, _xlpm.ps_4,Y263:AA263,
_xlpm.phase, MID(C263,SEARCH("-",C263)+1,256),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(_xlfn.XLOOKUP($C$7,site_assumptions[Details],site_assumptions[Volts])*SUMIFS(P263:AA263,_xlfn.ANCHORARRAY(D263),TRUE)/10*0.95)/1000,
IFERROR(IF(_xlpm.phase="3Phase", _xlpm.p3_calc, _xlpm.sp_calc),0))</f>
        <v>0</v>
      </c>
      <c r="AD263" s="29" t="str">
        <f ca="1"/>
        <v>Bare Metal</v>
      </c>
      <c r="AE263" s="30" t="str">
        <f ca="1"/>
        <v>Bare Metal</v>
      </c>
      <c r="AF263" s="30" t="str">
        <f ca="1"/>
        <v>Live</v>
      </c>
      <c r="AG263" s="30">
        <f ca="1"/>
        <v>6</v>
      </c>
      <c r="AH263" s="31" t="str">
        <f ca="1"/>
        <v>Unknown</v>
      </c>
      <c r="AI263" s="49">
        <f t="shared" ca="1" si="7"/>
        <v>0</v>
      </c>
      <c r="AJ263" s="71">
        <f ca="1"/>
        <v>4.157</v>
      </c>
    </row>
    <row r="264" spans="2:36" x14ac:dyDescent="0.25">
      <c r="B264" s="29" t="str">
        <f ca="1"/>
        <v>dal10.sr01.rk253</v>
      </c>
      <c r="C264" s="10" t="s">
        <v>2070</v>
      </c>
      <c r="D264" s="2" t="b" cm="1">
        <f t="array" ref="D264:O264">_xlfn._xlws.FILTER(IF(ancillary!$E$4:$P$8="",FALSE,ancillary!$E$4:$P$8),ancillary!$B$4:$B$8=$C264)</f>
        <v>1</v>
      </c>
      <c r="E264" s="2" t="b">
        <v>1</v>
      </c>
      <c r="F264" s="2" t="b">
        <v>1</v>
      </c>
      <c r="G264" s="2" t="b">
        <v>1</v>
      </c>
      <c r="H264" s="2" t="b">
        <v>1</v>
      </c>
      <c r="I264" s="2" t="b">
        <v>1</v>
      </c>
      <c r="J264" s="2" t="b">
        <v>0</v>
      </c>
      <c r="K264" s="2" t="b">
        <v>0</v>
      </c>
      <c r="L264" s="2" t="b">
        <v>0</v>
      </c>
      <c r="M264" s="2" t="b">
        <v>0</v>
      </c>
      <c r="N264" s="2" t="b">
        <v>0</v>
      </c>
      <c r="O264" s="2" t="b">
        <v>0</v>
      </c>
      <c r="P264" s="68"/>
      <c r="R264" s="69"/>
      <c r="S264" s="68"/>
      <c r="U264" s="69"/>
      <c r="V264" s="68"/>
      <c r="X264" s="69"/>
      <c r="Y264" s="68"/>
      <c r="AA264" s="69"/>
      <c r="AB264" s="33">
        <f t="shared" si="6"/>
        <v>0</v>
      </c>
      <c r="AC264" s="45">
        <f>_xlfn.LET(_xlpm.ps_1,P264:R264, _xlpm.ps_2,S264:U264, _xlpm.ps_3,V264:X264, _xlpm.ps_4,Y264:AA264,
_xlpm.phase, MID(C264,SEARCH("-",C264)+1,256),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(_xlfn.XLOOKUP($C$7,site_assumptions[Details],site_assumptions[Volts])*SUMIFS(P264:AA264,_xlfn.ANCHORARRAY(D264),TRUE)/10*0.95)/1000,
IFERROR(IF(_xlpm.phase="3Phase", _xlpm.p3_calc, _xlpm.sp_calc),0))</f>
        <v>0</v>
      </c>
      <c r="AD264" s="29" t="str">
        <f ca="1"/>
        <v>Bare Metal</v>
      </c>
      <c r="AE264" s="30" t="str">
        <f ca="1"/>
        <v>Bare Metal</v>
      </c>
      <c r="AF264" s="30" t="str">
        <f ca="1"/>
        <v>Live</v>
      </c>
      <c r="AG264" s="30">
        <f ca="1"/>
        <v>6</v>
      </c>
      <c r="AH264" s="31" t="str">
        <f ca="1"/>
        <v>Unknown</v>
      </c>
      <c r="AI264" s="49">
        <f t="shared" ca="1" si="7"/>
        <v>0</v>
      </c>
      <c r="AJ264" s="71">
        <f ca="1"/>
        <v>3.5779999999999998</v>
      </c>
    </row>
    <row r="265" spans="2:36" x14ac:dyDescent="0.25">
      <c r="B265" s="29" t="str">
        <f ca="1"/>
        <v>dal10.sr01.rk254</v>
      </c>
      <c r="C265" s="10" t="s">
        <v>2070</v>
      </c>
      <c r="D265" s="2" t="b" cm="1">
        <f t="array" ref="D265:O265">_xlfn._xlws.FILTER(IF(ancillary!$E$4:$P$8="",FALSE,ancillary!$E$4:$P$8),ancillary!$B$4:$B$8=$C265)</f>
        <v>1</v>
      </c>
      <c r="E265" s="2" t="b">
        <v>1</v>
      </c>
      <c r="F265" s="2" t="b">
        <v>1</v>
      </c>
      <c r="G265" s="2" t="b">
        <v>1</v>
      </c>
      <c r="H265" s="2" t="b">
        <v>1</v>
      </c>
      <c r="I265" s="2" t="b">
        <v>1</v>
      </c>
      <c r="J265" s="2" t="b">
        <v>0</v>
      </c>
      <c r="K265" s="2" t="b">
        <v>0</v>
      </c>
      <c r="L265" s="2" t="b">
        <v>0</v>
      </c>
      <c r="M265" s="2" t="b">
        <v>0</v>
      </c>
      <c r="N265" s="2" t="b">
        <v>0</v>
      </c>
      <c r="O265" s="2" t="b">
        <v>0</v>
      </c>
      <c r="P265" s="68"/>
      <c r="R265" s="69"/>
      <c r="S265" s="68"/>
      <c r="U265" s="69"/>
      <c r="V265" s="68"/>
      <c r="X265" s="69"/>
      <c r="Y265" s="68"/>
      <c r="AA265" s="69"/>
      <c r="AB265" s="33">
        <f t="shared" si="6"/>
        <v>0</v>
      </c>
      <c r="AC265" s="45">
        <f>_xlfn.LET(_xlpm.ps_1,P265:R265, _xlpm.ps_2,S265:U265, _xlpm.ps_3,V265:X265, _xlpm.ps_4,Y265:AA265,
_xlpm.phase, MID(C265,SEARCH("-",C265)+1,256),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(_xlfn.XLOOKUP($C$7,site_assumptions[Details],site_assumptions[Volts])*SUMIFS(P265:AA265,_xlfn.ANCHORARRAY(D265),TRUE)/10*0.95)/1000,
IFERROR(IF(_xlpm.phase="3Phase", _xlpm.p3_calc, _xlpm.sp_calc),0))</f>
        <v>0</v>
      </c>
      <c r="AD265" s="29" t="str">
        <f ca="1"/>
        <v>Bare Metal</v>
      </c>
      <c r="AE265" s="30" t="str">
        <f ca="1"/>
        <v>Bare Metal</v>
      </c>
      <c r="AF265" s="30" t="str">
        <f ca="1"/>
        <v>Live</v>
      </c>
      <c r="AG265" s="30">
        <f ca="1"/>
        <v>6</v>
      </c>
      <c r="AH265" s="31" t="str">
        <f ca="1"/>
        <v>Unknown</v>
      </c>
      <c r="AI265" s="49">
        <f t="shared" ca="1" si="7"/>
        <v>0</v>
      </c>
      <c r="AJ265" s="71">
        <f ca="1"/>
        <v>7.4269999999999996</v>
      </c>
    </row>
    <row r="266" spans="2:36" x14ac:dyDescent="0.25">
      <c r="B266" s="29" t="str">
        <f ca="1"/>
        <v>dal10.sr01.rk255</v>
      </c>
      <c r="C266" s="10" t="s">
        <v>2070</v>
      </c>
      <c r="D266" s="2" t="b" cm="1">
        <f t="array" ref="D266:O266">_xlfn._xlws.FILTER(IF(ancillary!$E$4:$P$8="",FALSE,ancillary!$E$4:$P$8),ancillary!$B$4:$B$8=$C266)</f>
        <v>1</v>
      </c>
      <c r="E266" s="2" t="b">
        <v>1</v>
      </c>
      <c r="F266" s="2" t="b">
        <v>1</v>
      </c>
      <c r="G266" s="2" t="b">
        <v>1</v>
      </c>
      <c r="H266" s="2" t="b">
        <v>1</v>
      </c>
      <c r="I266" s="2" t="b">
        <v>1</v>
      </c>
      <c r="J266" s="2" t="b">
        <v>0</v>
      </c>
      <c r="K266" s="2" t="b">
        <v>0</v>
      </c>
      <c r="L266" s="2" t="b">
        <v>0</v>
      </c>
      <c r="M266" s="2" t="b">
        <v>0</v>
      </c>
      <c r="N266" s="2" t="b">
        <v>0</v>
      </c>
      <c r="O266" s="2" t="b">
        <v>0</v>
      </c>
      <c r="P266" s="68"/>
      <c r="R266" s="69"/>
      <c r="S266" s="68"/>
      <c r="U266" s="69"/>
      <c r="V266" s="68"/>
      <c r="X266" s="69"/>
      <c r="Y266" s="68"/>
      <c r="AA266" s="69"/>
      <c r="AB266" s="33">
        <f t="shared" si="6"/>
        <v>0</v>
      </c>
      <c r="AC266" s="45">
        <f>_xlfn.LET(_xlpm.ps_1,P266:R266, _xlpm.ps_2,S266:U266, _xlpm.ps_3,V266:X266, _xlpm.ps_4,Y266:AA266,
_xlpm.phase, MID(C266,SEARCH("-",C266)+1,256),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(_xlfn.XLOOKUP($C$7,site_assumptions[Details],site_assumptions[Volts])*SUMIFS(P266:AA266,_xlfn.ANCHORARRAY(D266),TRUE)/10*0.95)/1000,
IFERROR(IF(_xlpm.phase="3Phase", _xlpm.p3_calc, _xlpm.sp_calc),0))</f>
        <v>0</v>
      </c>
      <c r="AD266" s="29" t="str">
        <f ca="1"/>
        <v>Bare Metal</v>
      </c>
      <c r="AE266" s="30" t="str">
        <f ca="1"/>
        <v>Bare Metal</v>
      </c>
      <c r="AF266" s="30" t="str">
        <f ca="1"/>
        <v>Live</v>
      </c>
      <c r="AG266" s="30">
        <f ca="1"/>
        <v>6</v>
      </c>
      <c r="AH266" s="31" t="str">
        <f ca="1"/>
        <v>Unknown</v>
      </c>
      <c r="AI266" s="49">
        <f t="shared" ca="1" si="7"/>
        <v>0</v>
      </c>
      <c r="AJ266" s="71">
        <f ca="1"/>
        <v>2.8109999999999999</v>
      </c>
    </row>
    <row r="267" spans="2:36" x14ac:dyDescent="0.25">
      <c r="B267" s="29" t="str">
        <f ca="1"/>
        <v>dal10.sr01.rk256</v>
      </c>
      <c r="C267" s="10" t="s">
        <v>2070</v>
      </c>
      <c r="D267" s="2" t="b" cm="1">
        <f t="array" ref="D267:O267">_xlfn._xlws.FILTER(IF(ancillary!$E$4:$P$8="",FALSE,ancillary!$E$4:$P$8),ancillary!$B$4:$B$8=$C267)</f>
        <v>1</v>
      </c>
      <c r="E267" s="2" t="b">
        <v>1</v>
      </c>
      <c r="F267" s="2" t="b">
        <v>1</v>
      </c>
      <c r="G267" s="2" t="b">
        <v>1</v>
      </c>
      <c r="H267" s="2" t="b">
        <v>1</v>
      </c>
      <c r="I267" s="2" t="b">
        <v>1</v>
      </c>
      <c r="J267" s="2" t="b">
        <v>0</v>
      </c>
      <c r="K267" s="2" t="b">
        <v>0</v>
      </c>
      <c r="L267" s="2" t="b">
        <v>0</v>
      </c>
      <c r="M267" s="2" t="b">
        <v>0</v>
      </c>
      <c r="N267" s="2" t="b">
        <v>0</v>
      </c>
      <c r="O267" s="2" t="b">
        <v>0</v>
      </c>
      <c r="P267" s="68"/>
      <c r="R267" s="69"/>
      <c r="S267" s="68"/>
      <c r="U267" s="69"/>
      <c r="V267" s="68"/>
      <c r="X267" s="69"/>
      <c r="Y267" s="68"/>
      <c r="AA267" s="69"/>
      <c r="AB267" s="33">
        <f t="shared" si="6"/>
        <v>0</v>
      </c>
      <c r="AC267" s="45">
        <f>_xlfn.LET(_xlpm.ps_1,P267:R267, _xlpm.ps_2,S267:U267, _xlpm.ps_3,V267:X267, _xlpm.ps_4,Y267:AA267,
_xlpm.phase, MID(C267,SEARCH("-",C267)+1,256),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(_xlfn.XLOOKUP($C$7,site_assumptions[Details],site_assumptions[Volts])*SUMIFS(P267:AA267,_xlfn.ANCHORARRAY(D267),TRUE)/10*0.95)/1000,
IFERROR(IF(_xlpm.phase="3Phase", _xlpm.p3_calc, _xlpm.sp_calc),0))</f>
        <v>0</v>
      </c>
      <c r="AD267" s="29" t="str">
        <f ca="1"/>
        <v>Bare Metal</v>
      </c>
      <c r="AE267" s="30" t="str">
        <f ca="1"/>
        <v>Bare Metal</v>
      </c>
      <c r="AF267" s="30" t="str">
        <f ca="1"/>
        <v>Live</v>
      </c>
      <c r="AG267" s="30">
        <f ca="1"/>
        <v>6</v>
      </c>
      <c r="AH267" s="31" t="str">
        <f ca="1"/>
        <v>Unknown</v>
      </c>
      <c r="AI267" s="49">
        <f t="shared" ca="1" si="7"/>
        <v>0</v>
      </c>
      <c r="AJ267" s="71">
        <f ca="1"/>
        <v>4.5330000000000004</v>
      </c>
    </row>
    <row r="268" spans="2:36" x14ac:dyDescent="0.25">
      <c r="B268" s="29" t="str">
        <f ca="1"/>
        <v>dal10.sr01.rk257</v>
      </c>
      <c r="C268" s="10" t="s">
        <v>2070</v>
      </c>
      <c r="D268" s="2" t="b" cm="1">
        <f t="array" ref="D268:O268">_xlfn._xlws.FILTER(IF(ancillary!$E$4:$P$8="",FALSE,ancillary!$E$4:$P$8),ancillary!$B$4:$B$8=$C268)</f>
        <v>1</v>
      </c>
      <c r="E268" s="2" t="b">
        <v>1</v>
      </c>
      <c r="F268" s="2" t="b">
        <v>1</v>
      </c>
      <c r="G268" s="2" t="b">
        <v>1</v>
      </c>
      <c r="H268" s="2" t="b">
        <v>1</v>
      </c>
      <c r="I268" s="2" t="b">
        <v>1</v>
      </c>
      <c r="J268" s="2" t="b">
        <v>0</v>
      </c>
      <c r="K268" s="2" t="b">
        <v>0</v>
      </c>
      <c r="L268" s="2" t="b">
        <v>0</v>
      </c>
      <c r="M268" s="2" t="b">
        <v>0</v>
      </c>
      <c r="N268" s="2" t="b">
        <v>0</v>
      </c>
      <c r="O268" s="2" t="b">
        <v>0</v>
      </c>
      <c r="P268" s="68"/>
      <c r="R268" s="69"/>
      <c r="S268" s="68"/>
      <c r="U268" s="69"/>
      <c r="V268" s="68"/>
      <c r="X268" s="69"/>
      <c r="Y268" s="68"/>
      <c r="AA268" s="69"/>
      <c r="AB268" s="33">
        <f t="shared" si="6"/>
        <v>0</v>
      </c>
      <c r="AC268" s="45">
        <f>_xlfn.LET(_xlpm.ps_1,P268:R268, _xlpm.ps_2,S268:U268, _xlpm.ps_3,V268:X268, _xlpm.ps_4,Y268:AA268,
_xlpm.phase, MID(C268,SEARCH("-",C268)+1,256),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(_xlfn.XLOOKUP($C$7,site_assumptions[Details],site_assumptions[Volts])*SUMIFS(P268:AA268,_xlfn.ANCHORARRAY(D268),TRUE)/10*0.95)/1000,
IFERROR(IF(_xlpm.phase="3Phase", _xlpm.p3_calc, _xlpm.sp_calc),0))</f>
        <v>0</v>
      </c>
      <c r="AD268" s="29" t="str">
        <f ca="1"/>
        <v>Bare Metal</v>
      </c>
      <c r="AE268" s="30" t="str">
        <f ca="1"/>
        <v>Bare Metal</v>
      </c>
      <c r="AF268" s="30" t="str">
        <f ca="1"/>
        <v>Live</v>
      </c>
      <c r="AG268" s="30">
        <f ca="1"/>
        <v>6</v>
      </c>
      <c r="AH268" s="31" t="str">
        <f ca="1"/>
        <v>Unknown</v>
      </c>
      <c r="AI268" s="49">
        <f t="shared" ca="1" si="7"/>
        <v>0</v>
      </c>
      <c r="AJ268" s="71">
        <f ca="1"/>
        <v>3.89</v>
      </c>
    </row>
    <row r="269" spans="2:36" x14ac:dyDescent="0.25">
      <c r="B269" s="29" t="str">
        <f ca="1"/>
        <v>dal10.sr01.rk258</v>
      </c>
      <c r="C269" s="10" t="s">
        <v>2070</v>
      </c>
      <c r="D269" s="2" t="b" cm="1">
        <f t="array" ref="D269:O269">_xlfn._xlws.FILTER(IF(ancillary!$E$4:$P$8="",FALSE,ancillary!$E$4:$P$8),ancillary!$B$4:$B$8=$C269)</f>
        <v>1</v>
      </c>
      <c r="E269" s="2" t="b">
        <v>1</v>
      </c>
      <c r="F269" s="2" t="b">
        <v>1</v>
      </c>
      <c r="G269" s="2" t="b">
        <v>1</v>
      </c>
      <c r="H269" s="2" t="b">
        <v>1</v>
      </c>
      <c r="I269" s="2" t="b">
        <v>1</v>
      </c>
      <c r="J269" s="2" t="b">
        <v>0</v>
      </c>
      <c r="K269" s="2" t="b">
        <v>0</v>
      </c>
      <c r="L269" s="2" t="b">
        <v>0</v>
      </c>
      <c r="M269" s="2" t="b">
        <v>0</v>
      </c>
      <c r="N269" s="2" t="b">
        <v>0</v>
      </c>
      <c r="O269" s="2" t="b">
        <v>0</v>
      </c>
      <c r="P269" s="68"/>
      <c r="R269" s="69"/>
      <c r="S269" s="68"/>
      <c r="U269" s="69"/>
      <c r="V269" s="68"/>
      <c r="X269" s="69"/>
      <c r="Y269" s="68"/>
      <c r="AA269" s="69"/>
      <c r="AB269" s="33">
        <f t="shared" si="6"/>
        <v>0</v>
      </c>
      <c r="AC269" s="45">
        <f>_xlfn.LET(_xlpm.ps_1,P269:R269, _xlpm.ps_2,S269:U269, _xlpm.ps_3,V269:X269, _xlpm.ps_4,Y269:AA269,
_xlpm.phase, MID(C269,SEARCH("-",C269)+1,256),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(_xlfn.XLOOKUP($C$7,site_assumptions[Details],site_assumptions[Volts])*SUMIFS(P269:AA269,_xlfn.ANCHORARRAY(D269),TRUE)/10*0.95)/1000,
IFERROR(IF(_xlpm.phase="3Phase", _xlpm.p3_calc, _xlpm.sp_calc),0))</f>
        <v>0</v>
      </c>
      <c r="AD269" s="29" t="str">
        <f ca="1"/>
        <v>Bare Metal</v>
      </c>
      <c r="AE269" s="30" t="str">
        <f ca="1"/>
        <v>Bare Metal</v>
      </c>
      <c r="AF269" s="30" t="str">
        <f ca="1"/>
        <v>Live</v>
      </c>
      <c r="AG269" s="30">
        <f ca="1"/>
        <v>6</v>
      </c>
      <c r="AH269" s="31" t="str">
        <f ca="1"/>
        <v>Unknown</v>
      </c>
      <c r="AI269" s="49">
        <f t="shared" ca="1" si="7"/>
        <v>0</v>
      </c>
      <c r="AJ269" s="71">
        <f ca="1"/>
        <v>2.3479999999999999</v>
      </c>
    </row>
    <row r="270" spans="2:36" x14ac:dyDescent="0.25">
      <c r="B270" s="29" t="str">
        <f ca="1"/>
        <v>dal10.sr01.rk259</v>
      </c>
      <c r="C270" s="10" t="s">
        <v>2070</v>
      </c>
      <c r="D270" s="2" t="b" cm="1">
        <f t="array" ref="D270:O270">_xlfn._xlws.FILTER(IF(ancillary!$E$4:$P$8="",FALSE,ancillary!$E$4:$P$8),ancillary!$B$4:$B$8=$C270)</f>
        <v>1</v>
      </c>
      <c r="E270" s="2" t="b">
        <v>1</v>
      </c>
      <c r="F270" s="2" t="b">
        <v>1</v>
      </c>
      <c r="G270" s="2" t="b">
        <v>1</v>
      </c>
      <c r="H270" s="2" t="b">
        <v>1</v>
      </c>
      <c r="I270" s="2" t="b">
        <v>1</v>
      </c>
      <c r="J270" s="2" t="b">
        <v>0</v>
      </c>
      <c r="K270" s="2" t="b">
        <v>0</v>
      </c>
      <c r="L270" s="2" t="b">
        <v>0</v>
      </c>
      <c r="M270" s="2" t="b">
        <v>0</v>
      </c>
      <c r="N270" s="2" t="b">
        <v>0</v>
      </c>
      <c r="O270" s="2" t="b">
        <v>0</v>
      </c>
      <c r="P270" s="68"/>
      <c r="R270" s="69"/>
      <c r="S270" s="68"/>
      <c r="U270" s="69"/>
      <c r="V270" s="68"/>
      <c r="X270" s="69"/>
      <c r="Y270" s="68"/>
      <c r="AA270" s="69"/>
      <c r="AB270" s="33">
        <f t="shared" ref="AB270:AB333" si="8">IFERROR(AVERAGEIFS(P270:AA270,_xlfn.ANCHORARRAY(D270),TRUE),0)/10</f>
        <v>0</v>
      </c>
      <c r="AC270" s="45">
        <f>_xlfn.LET(_xlpm.ps_1,P270:R270, _xlpm.ps_2,S270:U270, _xlpm.ps_3,V270:X270, _xlpm.ps_4,Y270:AA270,
_xlpm.phase, MID(C270,SEARCH("-",C270)+1,256),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(_xlfn.XLOOKUP($C$7,site_assumptions[Details],site_assumptions[Volts])*SUMIFS(P270:AA270,_xlfn.ANCHORARRAY(D270),TRUE)/10*0.95)/1000,
IFERROR(IF(_xlpm.phase="3Phase", _xlpm.p3_calc, _xlpm.sp_calc),0))</f>
        <v>0</v>
      </c>
      <c r="AD270" s="29" t="str">
        <f ca="1"/>
        <v>Network</v>
      </c>
      <c r="AE270" s="30" t="str">
        <f ca="1"/>
        <v>Aggregate</v>
      </c>
      <c r="AF270" s="30" t="str">
        <f ca="1"/>
        <v>Live</v>
      </c>
      <c r="AG270" s="30">
        <f ca="1"/>
        <v>5</v>
      </c>
      <c r="AH270" s="31" t="str">
        <f ca="1"/>
        <v>Unknown</v>
      </c>
      <c r="AI270" s="49">
        <f t="shared" ref="AI270:AI333" ca="1" si="9">IFERROR(AC270/AG270,0)</f>
        <v>0</v>
      </c>
      <c r="AJ270" s="71">
        <f ca="1"/>
        <v>0</v>
      </c>
    </row>
    <row r="271" spans="2:36" x14ac:dyDescent="0.25">
      <c r="B271" s="29" t="str">
        <f ca="1"/>
        <v>dal10.sr01.rk260</v>
      </c>
      <c r="C271" s="10" t="s">
        <v>2070</v>
      </c>
      <c r="D271" s="2" t="b" cm="1">
        <f t="array" ref="D271:O271">_xlfn._xlws.FILTER(IF(ancillary!$E$4:$P$8="",FALSE,ancillary!$E$4:$P$8),ancillary!$B$4:$B$8=$C271)</f>
        <v>1</v>
      </c>
      <c r="E271" s="2" t="b">
        <v>1</v>
      </c>
      <c r="F271" s="2" t="b">
        <v>1</v>
      </c>
      <c r="G271" s="2" t="b">
        <v>1</v>
      </c>
      <c r="H271" s="2" t="b">
        <v>1</v>
      </c>
      <c r="I271" s="2" t="b">
        <v>1</v>
      </c>
      <c r="J271" s="2" t="b">
        <v>0</v>
      </c>
      <c r="K271" s="2" t="b">
        <v>0</v>
      </c>
      <c r="L271" s="2" t="b">
        <v>0</v>
      </c>
      <c r="M271" s="2" t="b">
        <v>0</v>
      </c>
      <c r="N271" s="2" t="b">
        <v>0</v>
      </c>
      <c r="O271" s="2" t="b">
        <v>0</v>
      </c>
      <c r="P271" s="68"/>
      <c r="R271" s="69"/>
      <c r="S271" s="68"/>
      <c r="U271" s="69"/>
      <c r="V271" s="68"/>
      <c r="X271" s="69"/>
      <c r="Y271" s="68"/>
      <c r="AA271" s="69"/>
      <c r="AB271" s="33">
        <f t="shared" si="8"/>
        <v>0</v>
      </c>
      <c r="AC271" s="45">
        <f>_xlfn.LET(_xlpm.ps_1,P271:R271, _xlpm.ps_2,S271:U271, _xlpm.ps_3,V271:X271, _xlpm.ps_4,Y271:AA271,
_xlpm.phase, MID(C271,SEARCH("-",C271)+1,256),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(_xlfn.XLOOKUP($C$7,site_assumptions[Details],site_assumptions[Volts])*SUMIFS(P271:AA271,_xlfn.ANCHORARRAY(D271),TRUE)/10*0.95)/1000,
IFERROR(IF(_xlpm.phase="3Phase", _xlpm.p3_calc, _xlpm.sp_calc),0))</f>
        <v>0</v>
      </c>
      <c r="AD271" s="29" t="str">
        <f ca="1"/>
        <v>Bare Metal</v>
      </c>
      <c r="AE271" s="30" t="str">
        <f ca="1"/>
        <v>Bare Metal</v>
      </c>
      <c r="AF271" s="30" t="str">
        <f ca="1"/>
        <v>Live</v>
      </c>
      <c r="AG271" s="30">
        <f ca="1"/>
        <v>6</v>
      </c>
      <c r="AH271" s="31" t="str">
        <f ca="1"/>
        <v>Unknown</v>
      </c>
      <c r="AI271" s="49">
        <f t="shared" ca="1" si="9"/>
        <v>0</v>
      </c>
      <c r="AJ271" s="71">
        <f ca="1"/>
        <v>2.0099999999999998</v>
      </c>
    </row>
    <row r="272" spans="2:36" x14ac:dyDescent="0.25">
      <c r="B272" s="29" t="str">
        <f ca="1"/>
        <v>dal10.sr01.rk261</v>
      </c>
      <c r="C272" s="10" t="s">
        <v>2070</v>
      </c>
      <c r="D272" s="2" t="b" cm="1">
        <f t="array" ref="D272:O272">_xlfn._xlws.FILTER(IF(ancillary!$E$4:$P$8="",FALSE,ancillary!$E$4:$P$8),ancillary!$B$4:$B$8=$C272)</f>
        <v>1</v>
      </c>
      <c r="E272" s="2" t="b">
        <v>1</v>
      </c>
      <c r="F272" s="2" t="b">
        <v>1</v>
      </c>
      <c r="G272" s="2" t="b">
        <v>1</v>
      </c>
      <c r="H272" s="2" t="b">
        <v>1</v>
      </c>
      <c r="I272" s="2" t="b">
        <v>1</v>
      </c>
      <c r="J272" s="2" t="b">
        <v>0</v>
      </c>
      <c r="K272" s="2" t="b">
        <v>0</v>
      </c>
      <c r="L272" s="2" t="b">
        <v>0</v>
      </c>
      <c r="M272" s="2" t="b">
        <v>0</v>
      </c>
      <c r="N272" s="2" t="b">
        <v>0</v>
      </c>
      <c r="O272" s="2" t="b">
        <v>0</v>
      </c>
      <c r="P272" s="68"/>
      <c r="R272" s="69"/>
      <c r="S272" s="68"/>
      <c r="U272" s="69"/>
      <c r="V272" s="68"/>
      <c r="X272" s="69"/>
      <c r="Y272" s="68"/>
      <c r="AA272" s="69"/>
      <c r="AB272" s="33">
        <f t="shared" si="8"/>
        <v>0</v>
      </c>
      <c r="AC272" s="45">
        <f>_xlfn.LET(_xlpm.ps_1,P272:R272, _xlpm.ps_2,S272:U272, _xlpm.ps_3,V272:X272, _xlpm.ps_4,Y272:AA272,
_xlpm.phase, MID(C272,SEARCH("-",C272)+1,256),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(_xlfn.XLOOKUP($C$7,site_assumptions[Details],site_assumptions[Volts])*SUMIFS(P272:AA272,_xlfn.ANCHORARRAY(D272),TRUE)/10*0.95)/1000,
IFERROR(IF(_xlpm.phase="3Phase", _xlpm.p3_calc, _xlpm.sp_calc),0))</f>
        <v>0</v>
      </c>
      <c r="AD272" s="29" t="str">
        <f ca="1"/>
        <v>Bare Metal</v>
      </c>
      <c r="AE272" s="30" t="str">
        <f ca="1"/>
        <v>Bare Metal</v>
      </c>
      <c r="AF272" s="30" t="str">
        <f ca="1"/>
        <v>Live</v>
      </c>
      <c r="AG272" s="30">
        <f ca="1"/>
        <v>6</v>
      </c>
      <c r="AH272" s="31" t="str">
        <f ca="1"/>
        <v>Unknown</v>
      </c>
      <c r="AI272" s="49">
        <f t="shared" ca="1" si="9"/>
        <v>0</v>
      </c>
      <c r="AJ272" s="71">
        <f ca="1"/>
        <v>3.7469999999999999</v>
      </c>
    </row>
    <row r="273" spans="2:36" x14ac:dyDescent="0.25">
      <c r="B273" s="29" t="str">
        <f ca="1"/>
        <v>dal10.sr01.rk262</v>
      </c>
      <c r="C273" s="10" t="s">
        <v>2070</v>
      </c>
      <c r="D273" s="2" t="b" cm="1">
        <f t="array" ref="D273:O273">_xlfn._xlws.FILTER(IF(ancillary!$E$4:$P$8="",FALSE,ancillary!$E$4:$P$8),ancillary!$B$4:$B$8=$C273)</f>
        <v>1</v>
      </c>
      <c r="E273" s="2" t="b">
        <v>1</v>
      </c>
      <c r="F273" s="2" t="b">
        <v>1</v>
      </c>
      <c r="G273" s="2" t="b">
        <v>1</v>
      </c>
      <c r="H273" s="2" t="b">
        <v>1</v>
      </c>
      <c r="I273" s="2" t="b">
        <v>1</v>
      </c>
      <c r="J273" s="2" t="b">
        <v>0</v>
      </c>
      <c r="K273" s="2" t="b">
        <v>0</v>
      </c>
      <c r="L273" s="2" t="b">
        <v>0</v>
      </c>
      <c r="M273" s="2" t="b">
        <v>0</v>
      </c>
      <c r="N273" s="2" t="b">
        <v>0</v>
      </c>
      <c r="O273" s="2" t="b">
        <v>0</v>
      </c>
      <c r="P273" s="68"/>
      <c r="R273" s="69"/>
      <c r="S273" s="68"/>
      <c r="U273" s="69"/>
      <c r="V273" s="68"/>
      <c r="X273" s="69"/>
      <c r="Y273" s="68"/>
      <c r="AA273" s="69"/>
      <c r="AB273" s="33">
        <f t="shared" si="8"/>
        <v>0</v>
      </c>
      <c r="AC273" s="45">
        <f>_xlfn.LET(_xlpm.ps_1,P273:R273, _xlpm.ps_2,S273:U273, _xlpm.ps_3,V273:X273, _xlpm.ps_4,Y273:AA273,
_xlpm.phase, MID(C273,SEARCH("-",C273)+1,256),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(_xlfn.XLOOKUP($C$7,site_assumptions[Details],site_assumptions[Volts])*SUMIFS(P273:AA273,_xlfn.ANCHORARRAY(D273),TRUE)/10*0.95)/1000,
IFERROR(IF(_xlpm.phase="3Phase", _xlpm.p3_calc, _xlpm.sp_calc),0))</f>
        <v>0</v>
      </c>
      <c r="AD273" s="29" t="str">
        <f ca="1"/>
        <v>Bare Metal</v>
      </c>
      <c r="AE273" s="30" t="str">
        <f ca="1"/>
        <v>Bare Metal</v>
      </c>
      <c r="AF273" s="30" t="str">
        <f ca="1"/>
        <v>Live</v>
      </c>
      <c r="AG273" s="30">
        <f ca="1"/>
        <v>6</v>
      </c>
      <c r="AH273" s="31" t="str">
        <f ca="1"/>
        <v>Unknown</v>
      </c>
      <c r="AI273" s="49">
        <f t="shared" ca="1" si="9"/>
        <v>0</v>
      </c>
      <c r="AJ273" s="71">
        <f ca="1"/>
        <v>3.218</v>
      </c>
    </row>
    <row r="274" spans="2:36" x14ac:dyDescent="0.25">
      <c r="B274" s="29" t="str">
        <f ca="1"/>
        <v>dal10.sr01.rk263</v>
      </c>
      <c r="C274" s="10" t="s">
        <v>2070</v>
      </c>
      <c r="D274" s="2" t="b" cm="1">
        <f t="array" ref="D274:O274">_xlfn._xlws.FILTER(IF(ancillary!$E$4:$P$8="",FALSE,ancillary!$E$4:$P$8),ancillary!$B$4:$B$8=$C274)</f>
        <v>1</v>
      </c>
      <c r="E274" s="2" t="b">
        <v>1</v>
      </c>
      <c r="F274" s="2" t="b">
        <v>1</v>
      </c>
      <c r="G274" s="2" t="b">
        <v>1</v>
      </c>
      <c r="H274" s="2" t="b">
        <v>1</v>
      </c>
      <c r="I274" s="2" t="b">
        <v>1</v>
      </c>
      <c r="J274" s="2" t="b">
        <v>0</v>
      </c>
      <c r="K274" s="2" t="b">
        <v>0</v>
      </c>
      <c r="L274" s="2" t="b">
        <v>0</v>
      </c>
      <c r="M274" s="2" t="b">
        <v>0</v>
      </c>
      <c r="N274" s="2" t="b">
        <v>0</v>
      </c>
      <c r="O274" s="2" t="b">
        <v>0</v>
      </c>
      <c r="P274" s="68"/>
      <c r="R274" s="69"/>
      <c r="S274" s="68"/>
      <c r="U274" s="69"/>
      <c r="V274" s="68"/>
      <c r="X274" s="69"/>
      <c r="Y274" s="68"/>
      <c r="AA274" s="69"/>
      <c r="AB274" s="33">
        <f t="shared" si="8"/>
        <v>0</v>
      </c>
      <c r="AC274" s="45">
        <f>_xlfn.LET(_xlpm.ps_1,P274:R274, _xlpm.ps_2,S274:U274, _xlpm.ps_3,V274:X274, _xlpm.ps_4,Y274:AA274,
_xlpm.phase, MID(C274,SEARCH("-",C274)+1,256),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(_xlfn.XLOOKUP($C$7,site_assumptions[Details],site_assumptions[Volts])*SUMIFS(P274:AA274,_xlfn.ANCHORARRAY(D274),TRUE)/10*0.95)/1000,
IFERROR(IF(_xlpm.phase="3Phase", _xlpm.p3_calc, _xlpm.sp_calc),0))</f>
        <v>0</v>
      </c>
      <c r="AD274" s="29" t="str">
        <f ca="1"/>
        <v>Bare Metal</v>
      </c>
      <c r="AE274" s="30" t="str">
        <f ca="1"/>
        <v>Bare Metal</v>
      </c>
      <c r="AF274" s="30" t="str">
        <f ca="1"/>
        <v>Live</v>
      </c>
      <c r="AG274" s="30">
        <f ca="1"/>
        <v>6</v>
      </c>
      <c r="AH274" s="31" t="str">
        <f ca="1"/>
        <v>Unknown</v>
      </c>
      <c r="AI274" s="49">
        <f t="shared" ca="1" si="9"/>
        <v>0</v>
      </c>
      <c r="AJ274" s="71">
        <f ca="1"/>
        <v>3.7879999999999998</v>
      </c>
    </row>
    <row r="275" spans="2:36" x14ac:dyDescent="0.25">
      <c r="B275" s="29" t="str">
        <f ca="1"/>
        <v>dal10.sr01.rk264</v>
      </c>
      <c r="C275" s="10" t="s">
        <v>2070</v>
      </c>
      <c r="D275" s="2" t="b" cm="1">
        <f t="array" ref="D275:O275">_xlfn._xlws.FILTER(IF(ancillary!$E$4:$P$8="",FALSE,ancillary!$E$4:$P$8),ancillary!$B$4:$B$8=$C275)</f>
        <v>1</v>
      </c>
      <c r="E275" s="2" t="b">
        <v>1</v>
      </c>
      <c r="F275" s="2" t="b">
        <v>1</v>
      </c>
      <c r="G275" s="2" t="b">
        <v>1</v>
      </c>
      <c r="H275" s="2" t="b">
        <v>1</v>
      </c>
      <c r="I275" s="2" t="b">
        <v>1</v>
      </c>
      <c r="J275" s="2" t="b">
        <v>0</v>
      </c>
      <c r="K275" s="2" t="b">
        <v>0</v>
      </c>
      <c r="L275" s="2" t="b">
        <v>0</v>
      </c>
      <c r="M275" s="2" t="b">
        <v>0</v>
      </c>
      <c r="N275" s="2" t="b">
        <v>0</v>
      </c>
      <c r="O275" s="2" t="b">
        <v>0</v>
      </c>
      <c r="P275" s="68"/>
      <c r="R275" s="69"/>
      <c r="S275" s="68"/>
      <c r="U275" s="69"/>
      <c r="V275" s="68"/>
      <c r="X275" s="69"/>
      <c r="Y275" s="68"/>
      <c r="AA275" s="69"/>
      <c r="AB275" s="33">
        <f t="shared" si="8"/>
        <v>0</v>
      </c>
      <c r="AC275" s="45">
        <f>_xlfn.LET(_xlpm.ps_1,P275:R275, _xlpm.ps_2,S275:U275, _xlpm.ps_3,V275:X275, _xlpm.ps_4,Y275:AA275,
_xlpm.phase, MID(C275,SEARCH("-",C275)+1,256),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(_xlfn.XLOOKUP($C$7,site_assumptions[Details],site_assumptions[Volts])*SUMIFS(P275:AA275,_xlfn.ANCHORARRAY(D275),TRUE)/10*0.95)/1000,
IFERROR(IF(_xlpm.phase="3Phase", _xlpm.p3_calc, _xlpm.sp_calc),0))</f>
        <v>0</v>
      </c>
      <c r="AD275" s="29" t="str">
        <f ca="1"/>
        <v>Bare Metal</v>
      </c>
      <c r="AE275" s="30" t="str">
        <f ca="1"/>
        <v>Bare Metal</v>
      </c>
      <c r="AF275" s="30" t="str">
        <f ca="1"/>
        <v>Live</v>
      </c>
      <c r="AG275" s="30">
        <f ca="1"/>
        <v>6</v>
      </c>
      <c r="AH275" s="31" t="str">
        <f ca="1"/>
        <v>Unknown</v>
      </c>
      <c r="AI275" s="49">
        <f t="shared" ca="1" si="9"/>
        <v>0</v>
      </c>
      <c r="AJ275" s="71">
        <f ca="1"/>
        <v>2.5569999999999999</v>
      </c>
    </row>
    <row r="276" spans="2:36" x14ac:dyDescent="0.25">
      <c r="B276" s="29" t="str">
        <f ca="1"/>
        <v>dal10.sr01.rk265</v>
      </c>
      <c r="C276" s="10" t="s">
        <v>2070</v>
      </c>
      <c r="D276" s="2" t="b" cm="1">
        <f t="array" ref="D276:O276">_xlfn._xlws.FILTER(IF(ancillary!$E$4:$P$8="",FALSE,ancillary!$E$4:$P$8),ancillary!$B$4:$B$8=$C276)</f>
        <v>1</v>
      </c>
      <c r="E276" s="2" t="b">
        <v>1</v>
      </c>
      <c r="F276" s="2" t="b">
        <v>1</v>
      </c>
      <c r="G276" s="2" t="b">
        <v>1</v>
      </c>
      <c r="H276" s="2" t="b">
        <v>1</v>
      </c>
      <c r="I276" s="2" t="b">
        <v>1</v>
      </c>
      <c r="J276" s="2" t="b">
        <v>0</v>
      </c>
      <c r="K276" s="2" t="b">
        <v>0</v>
      </c>
      <c r="L276" s="2" t="b">
        <v>0</v>
      </c>
      <c r="M276" s="2" t="b">
        <v>0</v>
      </c>
      <c r="N276" s="2" t="b">
        <v>0</v>
      </c>
      <c r="O276" s="2" t="b">
        <v>0</v>
      </c>
      <c r="P276" s="68"/>
      <c r="R276" s="69"/>
      <c r="S276" s="68"/>
      <c r="U276" s="69"/>
      <c r="V276" s="68"/>
      <c r="X276" s="69"/>
      <c r="Y276" s="68"/>
      <c r="AA276" s="69"/>
      <c r="AB276" s="33">
        <f t="shared" si="8"/>
        <v>0</v>
      </c>
      <c r="AC276" s="45">
        <f>_xlfn.LET(_xlpm.ps_1,P276:R276, _xlpm.ps_2,S276:U276, _xlpm.ps_3,V276:X276, _xlpm.ps_4,Y276:AA276,
_xlpm.phase, MID(C276,SEARCH("-",C276)+1,256),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(_xlfn.XLOOKUP($C$7,site_assumptions[Details],site_assumptions[Volts])*SUMIFS(P276:AA276,_xlfn.ANCHORARRAY(D276),TRUE)/10*0.95)/1000,
IFERROR(IF(_xlpm.phase="3Phase", _xlpm.p3_calc, _xlpm.sp_calc),0))</f>
        <v>0</v>
      </c>
      <c r="AD276" s="29" t="str">
        <f ca="1"/>
        <v>Gen2</v>
      </c>
      <c r="AE276" s="30" t="str">
        <f ca="1"/>
        <v>Compute</v>
      </c>
      <c r="AF276" s="30" t="str">
        <f ca="1"/>
        <v>Live</v>
      </c>
      <c r="AG276" s="30">
        <f ca="1"/>
        <v>20</v>
      </c>
      <c r="AH276" s="31" t="str">
        <f ca="1"/>
        <v>Unknown</v>
      </c>
      <c r="AI276" s="49">
        <f t="shared" ca="1" si="9"/>
        <v>0</v>
      </c>
      <c r="AJ276" s="71">
        <f ca="1"/>
        <v>0</v>
      </c>
    </row>
    <row r="277" spans="2:36" x14ac:dyDescent="0.25">
      <c r="B277" s="29" t="str">
        <f ca="1"/>
        <v>dal10.sr01.rk266</v>
      </c>
      <c r="C277" s="10" t="s">
        <v>2070</v>
      </c>
      <c r="D277" s="2" t="b" cm="1">
        <f t="array" ref="D277:O277">_xlfn._xlws.FILTER(IF(ancillary!$E$4:$P$8="",FALSE,ancillary!$E$4:$P$8),ancillary!$B$4:$B$8=$C277)</f>
        <v>1</v>
      </c>
      <c r="E277" s="2" t="b">
        <v>1</v>
      </c>
      <c r="F277" s="2" t="b">
        <v>1</v>
      </c>
      <c r="G277" s="2" t="b">
        <v>1</v>
      </c>
      <c r="H277" s="2" t="b">
        <v>1</v>
      </c>
      <c r="I277" s="2" t="b">
        <v>1</v>
      </c>
      <c r="J277" s="2" t="b">
        <v>0</v>
      </c>
      <c r="K277" s="2" t="b">
        <v>0</v>
      </c>
      <c r="L277" s="2" t="b">
        <v>0</v>
      </c>
      <c r="M277" s="2" t="b">
        <v>0</v>
      </c>
      <c r="N277" s="2" t="b">
        <v>0</v>
      </c>
      <c r="O277" s="2" t="b">
        <v>0</v>
      </c>
      <c r="P277" s="68"/>
      <c r="R277" s="69"/>
      <c r="S277" s="68"/>
      <c r="U277" s="69"/>
      <c r="V277" s="68"/>
      <c r="X277" s="69"/>
      <c r="Y277" s="68"/>
      <c r="AA277" s="69"/>
      <c r="AB277" s="33">
        <f t="shared" si="8"/>
        <v>0</v>
      </c>
      <c r="AC277" s="45">
        <f>_xlfn.LET(_xlpm.ps_1,P277:R277, _xlpm.ps_2,S277:U277, _xlpm.ps_3,V277:X277, _xlpm.ps_4,Y277:AA277,
_xlpm.phase, MID(C277,SEARCH("-",C277)+1,256),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(_xlfn.XLOOKUP($C$7,site_assumptions[Details],site_assumptions[Volts])*SUMIFS(P277:AA277,_xlfn.ANCHORARRAY(D277),TRUE)/10*0.95)/1000,
IFERROR(IF(_xlpm.phase="3Phase", _xlpm.p3_calc, _xlpm.sp_calc),0))</f>
        <v>0</v>
      </c>
      <c r="AD277" s="29" t="str">
        <f ca="1"/>
        <v>Gen2</v>
      </c>
      <c r="AE277" s="30" t="str">
        <f ca="1"/>
        <v>Compute</v>
      </c>
      <c r="AF277" s="30" t="str">
        <f ca="1"/>
        <v>Live</v>
      </c>
      <c r="AG277" s="30">
        <f ca="1"/>
        <v>20</v>
      </c>
      <c r="AH277" s="31" t="str">
        <f ca="1"/>
        <v>Unknown</v>
      </c>
      <c r="AI277" s="49">
        <f t="shared" ca="1" si="9"/>
        <v>0</v>
      </c>
      <c r="AJ277" s="71">
        <f ca="1"/>
        <v>0</v>
      </c>
    </row>
    <row r="278" spans="2:36" x14ac:dyDescent="0.25">
      <c r="B278" s="29" t="str">
        <f ca="1"/>
        <v>dal10.sr01.rk267</v>
      </c>
      <c r="C278" s="10" t="s">
        <v>2070</v>
      </c>
      <c r="D278" s="2" t="b" cm="1">
        <f t="array" ref="D278:O278">_xlfn._xlws.FILTER(IF(ancillary!$E$4:$P$8="",FALSE,ancillary!$E$4:$P$8),ancillary!$B$4:$B$8=$C278)</f>
        <v>1</v>
      </c>
      <c r="E278" s="2" t="b">
        <v>1</v>
      </c>
      <c r="F278" s="2" t="b">
        <v>1</v>
      </c>
      <c r="G278" s="2" t="b">
        <v>1</v>
      </c>
      <c r="H278" s="2" t="b">
        <v>1</v>
      </c>
      <c r="I278" s="2" t="b">
        <v>1</v>
      </c>
      <c r="J278" s="2" t="b">
        <v>0</v>
      </c>
      <c r="K278" s="2" t="b">
        <v>0</v>
      </c>
      <c r="L278" s="2" t="b">
        <v>0</v>
      </c>
      <c r="M278" s="2" t="b">
        <v>0</v>
      </c>
      <c r="N278" s="2" t="b">
        <v>0</v>
      </c>
      <c r="O278" s="2" t="b">
        <v>0</v>
      </c>
      <c r="P278" s="68"/>
      <c r="R278" s="69"/>
      <c r="S278" s="68"/>
      <c r="U278" s="69"/>
      <c r="V278" s="68"/>
      <c r="X278" s="69"/>
      <c r="Y278" s="68"/>
      <c r="AA278" s="69"/>
      <c r="AB278" s="33">
        <f t="shared" si="8"/>
        <v>0</v>
      </c>
      <c r="AC278" s="45">
        <f>_xlfn.LET(_xlpm.ps_1,P278:R278, _xlpm.ps_2,S278:U278, _xlpm.ps_3,V278:X278, _xlpm.ps_4,Y278:AA278,
_xlpm.phase, MID(C278,SEARCH("-",C278)+1,256),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(_xlfn.XLOOKUP($C$7,site_assumptions[Details],site_assumptions[Volts])*SUMIFS(P278:AA278,_xlfn.ANCHORARRAY(D278),TRUE)/10*0.95)/1000,
IFERROR(IF(_xlpm.phase="3Phase", _xlpm.p3_calc, _xlpm.sp_calc),0))</f>
        <v>0</v>
      </c>
      <c r="AD278" s="29" t="str">
        <f ca="1"/>
        <v>Gen2</v>
      </c>
      <c r="AE278" s="30" t="str">
        <f ca="1"/>
        <v>Compute</v>
      </c>
      <c r="AF278" s="30" t="str">
        <f ca="1"/>
        <v>Planned</v>
      </c>
      <c r="AG278" s="30">
        <f ca="1"/>
        <v>20</v>
      </c>
      <c r="AH278" s="31" t="str">
        <f ca="1"/>
        <v>Unknown</v>
      </c>
      <c r="AI278" s="49">
        <f t="shared" ca="1" si="9"/>
        <v>0</v>
      </c>
      <c r="AJ278" s="71">
        <f ca="1"/>
        <v>0</v>
      </c>
    </row>
    <row r="279" spans="2:36" x14ac:dyDescent="0.25">
      <c r="B279" s="29" t="str">
        <f ca="1"/>
        <v>dal10.sr01.rk268</v>
      </c>
      <c r="C279" s="10" t="s">
        <v>2070</v>
      </c>
      <c r="D279" s="2" t="b" cm="1">
        <f t="array" ref="D279:O279">_xlfn._xlws.FILTER(IF(ancillary!$E$4:$P$8="",FALSE,ancillary!$E$4:$P$8),ancillary!$B$4:$B$8=$C279)</f>
        <v>1</v>
      </c>
      <c r="E279" s="2" t="b">
        <v>1</v>
      </c>
      <c r="F279" s="2" t="b">
        <v>1</v>
      </c>
      <c r="G279" s="2" t="b">
        <v>1</v>
      </c>
      <c r="H279" s="2" t="b">
        <v>1</v>
      </c>
      <c r="I279" s="2" t="b">
        <v>1</v>
      </c>
      <c r="J279" s="2" t="b">
        <v>0</v>
      </c>
      <c r="K279" s="2" t="b">
        <v>0</v>
      </c>
      <c r="L279" s="2" t="b">
        <v>0</v>
      </c>
      <c r="M279" s="2" t="b">
        <v>0</v>
      </c>
      <c r="N279" s="2" t="b">
        <v>0</v>
      </c>
      <c r="O279" s="2" t="b">
        <v>0</v>
      </c>
      <c r="P279" s="68"/>
      <c r="R279" s="69"/>
      <c r="S279" s="68"/>
      <c r="U279" s="69"/>
      <c r="V279" s="68"/>
      <c r="X279" s="69"/>
      <c r="Y279" s="68"/>
      <c r="AA279" s="69"/>
      <c r="AB279" s="33">
        <f t="shared" si="8"/>
        <v>0</v>
      </c>
      <c r="AC279" s="45">
        <f>_xlfn.LET(_xlpm.ps_1,P279:R279, _xlpm.ps_2,S279:U279, _xlpm.ps_3,V279:X279, _xlpm.ps_4,Y279:AA279,
_xlpm.phase, MID(C279,SEARCH("-",C279)+1,256),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(_xlfn.XLOOKUP($C$7,site_assumptions[Details],site_assumptions[Volts])*SUMIFS(P279:AA279,_xlfn.ANCHORARRAY(D279),TRUE)/10*0.95)/1000,
IFERROR(IF(_xlpm.phase="3Phase", _xlpm.p3_calc, _xlpm.sp_calc),0))</f>
        <v>0</v>
      </c>
      <c r="AD279" s="29" t="str">
        <f ca="1"/>
        <v>Gen2</v>
      </c>
      <c r="AE279" s="30" t="str">
        <f ca="1"/>
        <v>Compute</v>
      </c>
      <c r="AF279" s="30" t="str">
        <f ca="1"/>
        <v>Planned</v>
      </c>
      <c r="AG279" s="30">
        <f ca="1"/>
        <v>20</v>
      </c>
      <c r="AH279" s="31" t="str">
        <f ca="1"/>
        <v>Unknown</v>
      </c>
      <c r="AI279" s="49">
        <f t="shared" ca="1" si="9"/>
        <v>0</v>
      </c>
      <c r="AJ279" s="71">
        <f ca="1"/>
        <v>0</v>
      </c>
    </row>
    <row r="280" spans="2:36" x14ac:dyDescent="0.25">
      <c r="B280" s="29" t="str">
        <f ca="1"/>
        <v>dal10.sr01.rk269</v>
      </c>
      <c r="C280" s="10" t="s">
        <v>2070</v>
      </c>
      <c r="D280" s="2" t="b" cm="1">
        <f t="array" ref="D280:O280">_xlfn._xlws.FILTER(IF(ancillary!$E$4:$P$8="",FALSE,ancillary!$E$4:$P$8),ancillary!$B$4:$B$8=$C280)</f>
        <v>1</v>
      </c>
      <c r="E280" s="2" t="b">
        <v>1</v>
      </c>
      <c r="F280" s="2" t="b">
        <v>1</v>
      </c>
      <c r="G280" s="2" t="b">
        <v>1</v>
      </c>
      <c r="H280" s="2" t="b">
        <v>1</v>
      </c>
      <c r="I280" s="2" t="b">
        <v>1</v>
      </c>
      <c r="J280" s="2" t="b">
        <v>0</v>
      </c>
      <c r="K280" s="2" t="b">
        <v>0</v>
      </c>
      <c r="L280" s="2" t="b">
        <v>0</v>
      </c>
      <c r="M280" s="2" t="b">
        <v>0</v>
      </c>
      <c r="N280" s="2" t="b">
        <v>0</v>
      </c>
      <c r="O280" s="2" t="b">
        <v>0</v>
      </c>
      <c r="P280" s="68"/>
      <c r="R280" s="69"/>
      <c r="S280" s="68"/>
      <c r="U280" s="69"/>
      <c r="V280" s="68"/>
      <c r="X280" s="69"/>
      <c r="Y280" s="68"/>
      <c r="AA280" s="69"/>
      <c r="AB280" s="33">
        <f t="shared" si="8"/>
        <v>0</v>
      </c>
      <c r="AC280" s="45">
        <f>_xlfn.LET(_xlpm.ps_1,P280:R280, _xlpm.ps_2,S280:U280, _xlpm.ps_3,V280:X280, _xlpm.ps_4,Y280:AA280,
_xlpm.phase, MID(C280,SEARCH("-",C280)+1,256),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(_xlfn.XLOOKUP($C$7,site_assumptions[Details],site_assumptions[Volts])*SUMIFS(P280:AA280,_xlfn.ANCHORARRAY(D280),TRUE)/10*0.95)/1000,
IFERROR(IF(_xlpm.phase="3Phase", _xlpm.p3_calc, _xlpm.sp_calc),0))</f>
        <v>0</v>
      </c>
      <c r="AD280" s="29" t="str">
        <f ca="1"/>
        <v>Unallocated</v>
      </c>
      <c r="AE280" s="30" t="str">
        <f ca="1"/>
        <v>Unallocated</v>
      </c>
      <c r="AF280" s="30" t="str">
        <f ca="1"/>
        <v>Power Limit</v>
      </c>
      <c r="AG280" s="30">
        <f ca="1"/>
        <v>0</v>
      </c>
      <c r="AH280" s="31" t="str">
        <f ca="1"/>
        <v>Unknown</v>
      </c>
      <c r="AI280" s="49">
        <f t="shared" ca="1" si="9"/>
        <v>0</v>
      </c>
      <c r="AJ280" s="71">
        <f ca="1"/>
        <v>0</v>
      </c>
    </row>
    <row r="281" spans="2:36" x14ac:dyDescent="0.25">
      <c r="B281" s="29" t="str">
        <f ca="1"/>
        <v>dal10.sr01.rk270</v>
      </c>
      <c r="C281" s="10" t="s">
        <v>2070</v>
      </c>
      <c r="D281" s="2" t="b" cm="1">
        <f t="array" ref="D281:O281">_xlfn._xlws.FILTER(IF(ancillary!$E$4:$P$8="",FALSE,ancillary!$E$4:$P$8),ancillary!$B$4:$B$8=$C281)</f>
        <v>1</v>
      </c>
      <c r="E281" s="2" t="b">
        <v>1</v>
      </c>
      <c r="F281" s="2" t="b">
        <v>1</v>
      </c>
      <c r="G281" s="2" t="b">
        <v>1</v>
      </c>
      <c r="H281" s="2" t="b">
        <v>1</v>
      </c>
      <c r="I281" s="2" t="b">
        <v>1</v>
      </c>
      <c r="J281" s="2" t="b">
        <v>0</v>
      </c>
      <c r="K281" s="2" t="b">
        <v>0</v>
      </c>
      <c r="L281" s="2" t="b">
        <v>0</v>
      </c>
      <c r="M281" s="2" t="b">
        <v>0</v>
      </c>
      <c r="N281" s="2" t="b">
        <v>0</v>
      </c>
      <c r="O281" s="2" t="b">
        <v>0</v>
      </c>
      <c r="P281" s="68"/>
      <c r="R281" s="69"/>
      <c r="S281" s="68"/>
      <c r="U281" s="69"/>
      <c r="V281" s="68"/>
      <c r="X281" s="69"/>
      <c r="Y281" s="68"/>
      <c r="AA281" s="69"/>
      <c r="AB281" s="33">
        <f t="shared" si="8"/>
        <v>0</v>
      </c>
      <c r="AC281" s="45">
        <f>_xlfn.LET(_xlpm.ps_1,P281:R281, _xlpm.ps_2,S281:U281, _xlpm.ps_3,V281:X281, _xlpm.ps_4,Y281:AA281,
_xlpm.phase, MID(C281,SEARCH("-",C281)+1,256),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(_xlfn.XLOOKUP($C$7,site_assumptions[Details],site_assumptions[Volts])*SUMIFS(P281:AA281,_xlfn.ANCHORARRAY(D281),TRUE)/10*0.95)/1000,
IFERROR(IF(_xlpm.phase="3Phase", _xlpm.p3_calc, _xlpm.sp_calc),0))</f>
        <v>0</v>
      </c>
      <c r="AD281" s="29" t="str">
        <f ca="1"/>
        <v>Unallocated</v>
      </c>
      <c r="AE281" s="30" t="str">
        <f ca="1"/>
        <v>Unallocated</v>
      </c>
      <c r="AF281" s="30" t="str">
        <f ca="1"/>
        <v>Power Limit</v>
      </c>
      <c r="AG281" s="30">
        <f ca="1"/>
        <v>0</v>
      </c>
      <c r="AH281" s="31" t="str">
        <f ca="1"/>
        <v>Unknown</v>
      </c>
      <c r="AI281" s="49">
        <f t="shared" ca="1" si="9"/>
        <v>0</v>
      </c>
      <c r="AJ281" s="71">
        <f ca="1"/>
        <v>0</v>
      </c>
    </row>
    <row r="282" spans="2:36" x14ac:dyDescent="0.25">
      <c r="B282" s="29" t="str">
        <f ca="1"/>
        <v>dal10.sr01.rk271</v>
      </c>
      <c r="C282" s="10" t="s">
        <v>2070</v>
      </c>
      <c r="D282" s="2" t="b" cm="1">
        <f t="array" ref="D282:O282">_xlfn._xlws.FILTER(IF(ancillary!$E$4:$P$8="",FALSE,ancillary!$E$4:$P$8),ancillary!$B$4:$B$8=$C282)</f>
        <v>1</v>
      </c>
      <c r="E282" s="2" t="b">
        <v>1</v>
      </c>
      <c r="F282" s="2" t="b">
        <v>1</v>
      </c>
      <c r="G282" s="2" t="b">
        <v>1</v>
      </c>
      <c r="H282" s="2" t="b">
        <v>1</v>
      </c>
      <c r="I282" s="2" t="b">
        <v>1</v>
      </c>
      <c r="J282" s="2" t="b">
        <v>0</v>
      </c>
      <c r="K282" s="2" t="b">
        <v>0</v>
      </c>
      <c r="L282" s="2" t="b">
        <v>0</v>
      </c>
      <c r="M282" s="2" t="b">
        <v>0</v>
      </c>
      <c r="N282" s="2" t="b">
        <v>0</v>
      </c>
      <c r="O282" s="2" t="b">
        <v>0</v>
      </c>
      <c r="P282" s="68"/>
      <c r="R282" s="69"/>
      <c r="S282" s="68"/>
      <c r="U282" s="69"/>
      <c r="V282" s="68"/>
      <c r="X282" s="69"/>
      <c r="Y282" s="68"/>
      <c r="AA282" s="69"/>
      <c r="AB282" s="33">
        <f t="shared" si="8"/>
        <v>0</v>
      </c>
      <c r="AC282" s="45">
        <f>_xlfn.LET(_xlpm.ps_1,P282:R282, _xlpm.ps_2,S282:U282, _xlpm.ps_3,V282:X282, _xlpm.ps_4,Y282:AA282,
_xlpm.phase, MID(C282,SEARCH("-",C282)+1,256),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(_xlfn.XLOOKUP($C$7,site_assumptions[Details],site_assumptions[Volts])*SUMIFS(P282:AA282,_xlfn.ANCHORARRAY(D282),TRUE)/10*0.95)/1000,
IFERROR(IF(_xlpm.phase="3Phase", _xlpm.p3_calc, _xlpm.sp_calc),0))</f>
        <v>0</v>
      </c>
      <c r="AD282" s="29" t="str">
        <f ca="1"/>
        <v>Unallocated</v>
      </c>
      <c r="AE282" s="30" t="str">
        <f ca="1"/>
        <v>Unallocated</v>
      </c>
      <c r="AF282" s="30" t="str">
        <f ca="1"/>
        <v>Power Limit</v>
      </c>
      <c r="AG282" s="30">
        <f ca="1"/>
        <v>0</v>
      </c>
      <c r="AH282" s="31" t="str">
        <f ca="1"/>
        <v>Unknown</v>
      </c>
      <c r="AI282" s="49">
        <f t="shared" ca="1" si="9"/>
        <v>0</v>
      </c>
      <c r="AJ282" s="71">
        <f ca="1"/>
        <v>0</v>
      </c>
    </row>
    <row r="283" spans="2:36" x14ac:dyDescent="0.25">
      <c r="B283" s="29" t="str">
        <f ca="1"/>
        <v>dal10.sr01.rk272</v>
      </c>
      <c r="C283" s="10" t="s">
        <v>2070</v>
      </c>
      <c r="D283" s="2" t="b" cm="1">
        <f t="array" ref="D283:O283">_xlfn._xlws.FILTER(IF(ancillary!$E$4:$P$8="",FALSE,ancillary!$E$4:$P$8),ancillary!$B$4:$B$8=$C283)</f>
        <v>1</v>
      </c>
      <c r="E283" s="2" t="b">
        <v>1</v>
      </c>
      <c r="F283" s="2" t="b">
        <v>1</v>
      </c>
      <c r="G283" s="2" t="b">
        <v>1</v>
      </c>
      <c r="H283" s="2" t="b">
        <v>1</v>
      </c>
      <c r="I283" s="2" t="b">
        <v>1</v>
      </c>
      <c r="J283" s="2" t="b">
        <v>0</v>
      </c>
      <c r="K283" s="2" t="b">
        <v>0</v>
      </c>
      <c r="L283" s="2" t="b">
        <v>0</v>
      </c>
      <c r="M283" s="2" t="b">
        <v>0</v>
      </c>
      <c r="N283" s="2" t="b">
        <v>0</v>
      </c>
      <c r="O283" s="2" t="b">
        <v>0</v>
      </c>
      <c r="P283" s="68"/>
      <c r="R283" s="69"/>
      <c r="S283" s="68"/>
      <c r="U283" s="69"/>
      <c r="V283" s="68"/>
      <c r="X283" s="69"/>
      <c r="Y283" s="68"/>
      <c r="AA283" s="69"/>
      <c r="AB283" s="33">
        <f t="shared" si="8"/>
        <v>0</v>
      </c>
      <c r="AC283" s="45">
        <f>_xlfn.LET(_xlpm.ps_1,P283:R283, _xlpm.ps_2,S283:U283, _xlpm.ps_3,V283:X283, _xlpm.ps_4,Y283:AA283,
_xlpm.phase, MID(C283,SEARCH("-",C283)+1,256),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(_xlfn.XLOOKUP($C$7,site_assumptions[Details],site_assumptions[Volts])*SUMIFS(P283:AA283,_xlfn.ANCHORARRAY(D283),TRUE)/10*0.95)/1000,
IFERROR(IF(_xlpm.phase="3Phase", _xlpm.p3_calc, _xlpm.sp_calc),0))</f>
        <v>0</v>
      </c>
      <c r="AD283" s="29" t="str">
        <f ca="1"/>
        <v>Unallocated</v>
      </c>
      <c r="AE283" s="30" t="str">
        <f ca="1"/>
        <v>Unallocated</v>
      </c>
      <c r="AF283" s="30" t="str">
        <f ca="1"/>
        <v>Power Limit</v>
      </c>
      <c r="AG283" s="30">
        <f ca="1"/>
        <v>0</v>
      </c>
      <c r="AH283" s="31" t="str">
        <f ca="1"/>
        <v>Unknown</v>
      </c>
      <c r="AI283" s="49">
        <f t="shared" ca="1" si="9"/>
        <v>0</v>
      </c>
      <c r="AJ283" s="71">
        <f ca="1"/>
        <v>0</v>
      </c>
    </row>
    <row r="284" spans="2:36" x14ac:dyDescent="0.25">
      <c r="B284" s="29" t="str">
        <f ca="1"/>
        <v>dal10.sr01.rk273</v>
      </c>
      <c r="C284" s="10" t="s">
        <v>2070</v>
      </c>
      <c r="D284" s="2" t="b" cm="1">
        <f t="array" ref="D284:O284">_xlfn._xlws.FILTER(IF(ancillary!$E$4:$P$8="",FALSE,ancillary!$E$4:$P$8),ancillary!$B$4:$B$8=$C284)</f>
        <v>1</v>
      </c>
      <c r="E284" s="2" t="b">
        <v>1</v>
      </c>
      <c r="F284" s="2" t="b">
        <v>1</v>
      </c>
      <c r="G284" s="2" t="b">
        <v>1</v>
      </c>
      <c r="H284" s="2" t="b">
        <v>1</v>
      </c>
      <c r="I284" s="2" t="b">
        <v>1</v>
      </c>
      <c r="J284" s="2" t="b">
        <v>0</v>
      </c>
      <c r="K284" s="2" t="b">
        <v>0</v>
      </c>
      <c r="L284" s="2" t="b">
        <v>0</v>
      </c>
      <c r="M284" s="2" t="b">
        <v>0</v>
      </c>
      <c r="N284" s="2" t="b">
        <v>0</v>
      </c>
      <c r="O284" s="2" t="b">
        <v>0</v>
      </c>
      <c r="P284" s="68"/>
      <c r="R284" s="69"/>
      <c r="S284" s="68"/>
      <c r="U284" s="69"/>
      <c r="V284" s="68"/>
      <c r="X284" s="69"/>
      <c r="Y284" s="68"/>
      <c r="AA284" s="69"/>
      <c r="AB284" s="33">
        <f t="shared" si="8"/>
        <v>0</v>
      </c>
      <c r="AC284" s="45">
        <f>_xlfn.LET(_xlpm.ps_1,P284:R284, _xlpm.ps_2,S284:U284, _xlpm.ps_3,V284:X284, _xlpm.ps_4,Y284:AA284,
_xlpm.phase, MID(C284,SEARCH("-",C284)+1,256),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(_xlfn.XLOOKUP($C$7,site_assumptions[Details],site_assumptions[Volts])*SUMIFS(P284:AA284,_xlfn.ANCHORARRAY(D284),TRUE)/10*0.95)/1000,
IFERROR(IF(_xlpm.phase="3Phase", _xlpm.p3_calc, _xlpm.sp_calc),0))</f>
        <v>0</v>
      </c>
      <c r="AD284" s="29" t="str">
        <f ca="1"/>
        <v>Unallocated</v>
      </c>
      <c r="AE284" s="30" t="str">
        <f ca="1"/>
        <v>Unallocated</v>
      </c>
      <c r="AF284" s="30" t="str">
        <f ca="1"/>
        <v>Power Limit</v>
      </c>
      <c r="AG284" s="30">
        <f ca="1"/>
        <v>0</v>
      </c>
      <c r="AH284" s="31" t="str">
        <f ca="1"/>
        <v>Unknown</v>
      </c>
      <c r="AI284" s="49">
        <f t="shared" ca="1" si="9"/>
        <v>0</v>
      </c>
      <c r="AJ284" s="71">
        <f ca="1"/>
        <v>0</v>
      </c>
    </row>
    <row r="285" spans="2:36" x14ac:dyDescent="0.25">
      <c r="B285" s="29" t="str">
        <f ca="1"/>
        <v>dal10.sr01.rk274</v>
      </c>
      <c r="C285" s="10" t="s">
        <v>2070</v>
      </c>
      <c r="D285" s="2" t="b" cm="1">
        <f t="array" ref="D285:O285">_xlfn._xlws.FILTER(IF(ancillary!$E$4:$P$8="",FALSE,ancillary!$E$4:$P$8),ancillary!$B$4:$B$8=$C285)</f>
        <v>1</v>
      </c>
      <c r="E285" s="2" t="b">
        <v>1</v>
      </c>
      <c r="F285" s="2" t="b">
        <v>1</v>
      </c>
      <c r="G285" s="2" t="b">
        <v>1</v>
      </c>
      <c r="H285" s="2" t="b">
        <v>1</v>
      </c>
      <c r="I285" s="2" t="b">
        <v>1</v>
      </c>
      <c r="J285" s="2" t="b">
        <v>0</v>
      </c>
      <c r="K285" s="2" t="b">
        <v>0</v>
      </c>
      <c r="L285" s="2" t="b">
        <v>0</v>
      </c>
      <c r="M285" s="2" t="b">
        <v>0</v>
      </c>
      <c r="N285" s="2" t="b">
        <v>0</v>
      </c>
      <c r="O285" s="2" t="b">
        <v>0</v>
      </c>
      <c r="P285" s="68"/>
      <c r="R285" s="69"/>
      <c r="S285" s="68"/>
      <c r="U285" s="69"/>
      <c r="V285" s="68"/>
      <c r="X285" s="69"/>
      <c r="Y285" s="68"/>
      <c r="AA285" s="69"/>
      <c r="AB285" s="33">
        <f t="shared" si="8"/>
        <v>0</v>
      </c>
      <c r="AC285" s="45">
        <f>_xlfn.LET(_xlpm.ps_1,P285:R285, _xlpm.ps_2,S285:U285, _xlpm.ps_3,V285:X285, _xlpm.ps_4,Y285:AA285,
_xlpm.phase, MID(C285,SEARCH("-",C285)+1,256),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(_xlfn.XLOOKUP($C$7,site_assumptions[Details],site_assumptions[Volts])*SUMIFS(P285:AA285,_xlfn.ANCHORARRAY(D285),TRUE)/10*0.95)/1000,
IFERROR(IF(_xlpm.phase="3Phase", _xlpm.p3_calc, _xlpm.sp_calc),0))</f>
        <v>0</v>
      </c>
      <c r="AD285" s="29" t="str">
        <f ca="1"/>
        <v>Unallocated</v>
      </c>
      <c r="AE285" s="30" t="str">
        <f ca="1"/>
        <v>Unallocated</v>
      </c>
      <c r="AF285" s="30" t="str">
        <f ca="1"/>
        <v>Power Limit</v>
      </c>
      <c r="AG285" s="30">
        <f ca="1"/>
        <v>0</v>
      </c>
      <c r="AH285" s="31" t="str">
        <f ca="1"/>
        <v>Unknown</v>
      </c>
      <c r="AI285" s="49">
        <f t="shared" ca="1" si="9"/>
        <v>0</v>
      </c>
      <c r="AJ285" s="71">
        <f ca="1"/>
        <v>0</v>
      </c>
    </row>
    <row r="286" spans="2:36" x14ac:dyDescent="0.25">
      <c r="B286" s="29" t="str">
        <f ca="1"/>
        <v>dal10.sr01.rk275</v>
      </c>
      <c r="C286" s="10" t="s">
        <v>2070</v>
      </c>
      <c r="D286" s="2" t="b" cm="1">
        <f t="array" ref="D286:O286">_xlfn._xlws.FILTER(IF(ancillary!$E$4:$P$8="",FALSE,ancillary!$E$4:$P$8),ancillary!$B$4:$B$8=$C286)</f>
        <v>1</v>
      </c>
      <c r="E286" s="2" t="b">
        <v>1</v>
      </c>
      <c r="F286" s="2" t="b">
        <v>1</v>
      </c>
      <c r="G286" s="2" t="b">
        <v>1</v>
      </c>
      <c r="H286" s="2" t="b">
        <v>1</v>
      </c>
      <c r="I286" s="2" t="b">
        <v>1</v>
      </c>
      <c r="J286" s="2" t="b">
        <v>0</v>
      </c>
      <c r="K286" s="2" t="b">
        <v>0</v>
      </c>
      <c r="L286" s="2" t="b">
        <v>0</v>
      </c>
      <c r="M286" s="2" t="b">
        <v>0</v>
      </c>
      <c r="N286" s="2" t="b">
        <v>0</v>
      </c>
      <c r="O286" s="2" t="b">
        <v>0</v>
      </c>
      <c r="P286" s="68"/>
      <c r="R286" s="69"/>
      <c r="S286" s="68"/>
      <c r="U286" s="69"/>
      <c r="V286" s="68"/>
      <c r="X286" s="69"/>
      <c r="Y286" s="68"/>
      <c r="AA286" s="69"/>
      <c r="AB286" s="33">
        <f t="shared" si="8"/>
        <v>0</v>
      </c>
      <c r="AC286" s="45">
        <f>_xlfn.LET(_xlpm.ps_1,P286:R286, _xlpm.ps_2,S286:U286, _xlpm.ps_3,V286:X286, _xlpm.ps_4,Y286:AA286,
_xlpm.phase, MID(C286,SEARCH("-",C286)+1,256),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(_xlfn.XLOOKUP($C$7,site_assumptions[Details],site_assumptions[Volts])*SUMIFS(P286:AA286,_xlfn.ANCHORARRAY(D286),TRUE)/10*0.95)/1000,
IFERROR(IF(_xlpm.phase="3Phase", _xlpm.p3_calc, _xlpm.sp_calc),0))</f>
        <v>0</v>
      </c>
      <c r="AD286" s="29" t="str">
        <f ca="1"/>
        <v>Unallocated</v>
      </c>
      <c r="AE286" s="30" t="str">
        <f ca="1"/>
        <v>Unallocated</v>
      </c>
      <c r="AF286" s="30" t="str">
        <f ca="1"/>
        <v>Power Limit</v>
      </c>
      <c r="AG286" s="30">
        <f ca="1"/>
        <v>0</v>
      </c>
      <c r="AH286" s="31" t="str">
        <f ca="1"/>
        <v>Unknown</v>
      </c>
      <c r="AI286" s="49">
        <f t="shared" ca="1" si="9"/>
        <v>0</v>
      </c>
      <c r="AJ286" s="71">
        <f ca="1"/>
        <v>0</v>
      </c>
    </row>
    <row r="287" spans="2:36" x14ac:dyDescent="0.25">
      <c r="B287" s="29" t="str">
        <f ca="1"/>
        <v>dal10.sr01.rk276</v>
      </c>
      <c r="C287" s="10" t="s">
        <v>2070</v>
      </c>
      <c r="D287" s="2" t="b" cm="1">
        <f t="array" ref="D287:O287">_xlfn._xlws.FILTER(IF(ancillary!$E$4:$P$8="",FALSE,ancillary!$E$4:$P$8),ancillary!$B$4:$B$8=$C287)</f>
        <v>1</v>
      </c>
      <c r="E287" s="2" t="b">
        <v>1</v>
      </c>
      <c r="F287" s="2" t="b">
        <v>1</v>
      </c>
      <c r="G287" s="2" t="b">
        <v>1</v>
      </c>
      <c r="H287" s="2" t="b">
        <v>1</v>
      </c>
      <c r="I287" s="2" t="b">
        <v>1</v>
      </c>
      <c r="J287" s="2" t="b">
        <v>0</v>
      </c>
      <c r="K287" s="2" t="b">
        <v>0</v>
      </c>
      <c r="L287" s="2" t="b">
        <v>0</v>
      </c>
      <c r="M287" s="2" t="b">
        <v>0</v>
      </c>
      <c r="N287" s="2" t="b">
        <v>0</v>
      </c>
      <c r="O287" s="2" t="b">
        <v>0</v>
      </c>
      <c r="P287" s="68"/>
      <c r="R287" s="69"/>
      <c r="S287" s="68"/>
      <c r="U287" s="69"/>
      <c r="V287" s="68"/>
      <c r="X287" s="69"/>
      <c r="Y287" s="68"/>
      <c r="AA287" s="69"/>
      <c r="AB287" s="33">
        <f t="shared" si="8"/>
        <v>0</v>
      </c>
      <c r="AC287" s="45">
        <f>_xlfn.LET(_xlpm.ps_1,P287:R287, _xlpm.ps_2,S287:U287, _xlpm.ps_3,V287:X287, _xlpm.ps_4,Y287:AA287,
_xlpm.phase, MID(C287,SEARCH("-",C287)+1,256),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(_xlfn.XLOOKUP($C$7,site_assumptions[Details],site_assumptions[Volts])*SUMIFS(P287:AA287,_xlfn.ANCHORARRAY(D287),TRUE)/10*0.95)/1000,
IFERROR(IF(_xlpm.phase="3Phase", _xlpm.p3_calc, _xlpm.sp_calc),0))</f>
        <v>0</v>
      </c>
      <c r="AD287" s="29" t="str">
        <f ca="1"/>
        <v>Gen2</v>
      </c>
      <c r="AE287" s="30" t="str">
        <f ca="1"/>
        <v>GPU</v>
      </c>
      <c r="AF287" s="30" t="str">
        <f ca="1"/>
        <v>Planned</v>
      </c>
      <c r="AG287" s="30">
        <f ca="1"/>
        <v>20</v>
      </c>
      <c r="AH287" s="31" t="str">
        <f ca="1"/>
        <v>Unknown</v>
      </c>
      <c r="AI287" s="49">
        <f t="shared" ca="1" si="9"/>
        <v>0</v>
      </c>
      <c r="AJ287" s="71">
        <f ca="1"/>
        <v>0</v>
      </c>
    </row>
    <row r="288" spans="2:36" x14ac:dyDescent="0.25">
      <c r="B288" s="29" t="str">
        <f ca="1"/>
        <v>dal10.sr01.rk277</v>
      </c>
      <c r="C288" s="10" t="s">
        <v>2070</v>
      </c>
      <c r="D288" s="2" t="b" cm="1">
        <f t="array" ref="D288:O288">_xlfn._xlws.FILTER(IF(ancillary!$E$4:$P$8="",FALSE,ancillary!$E$4:$P$8),ancillary!$B$4:$B$8=$C288)</f>
        <v>1</v>
      </c>
      <c r="E288" s="2" t="b">
        <v>1</v>
      </c>
      <c r="F288" s="2" t="b">
        <v>1</v>
      </c>
      <c r="G288" s="2" t="b">
        <v>1</v>
      </c>
      <c r="H288" s="2" t="b">
        <v>1</v>
      </c>
      <c r="I288" s="2" t="b">
        <v>1</v>
      </c>
      <c r="J288" s="2" t="b">
        <v>0</v>
      </c>
      <c r="K288" s="2" t="b">
        <v>0</v>
      </c>
      <c r="L288" s="2" t="b">
        <v>0</v>
      </c>
      <c r="M288" s="2" t="b">
        <v>0</v>
      </c>
      <c r="N288" s="2" t="b">
        <v>0</v>
      </c>
      <c r="O288" s="2" t="b">
        <v>0</v>
      </c>
      <c r="P288" s="68"/>
      <c r="R288" s="69"/>
      <c r="S288" s="68"/>
      <c r="U288" s="69"/>
      <c r="V288" s="68"/>
      <c r="X288" s="69"/>
      <c r="Y288" s="68"/>
      <c r="AA288" s="69"/>
      <c r="AB288" s="33">
        <f t="shared" si="8"/>
        <v>0</v>
      </c>
      <c r="AC288" s="45">
        <f>_xlfn.LET(_xlpm.ps_1,P288:R288, _xlpm.ps_2,S288:U288, _xlpm.ps_3,V288:X288, _xlpm.ps_4,Y288:AA288,
_xlpm.phase, MID(C288,SEARCH("-",C288)+1,256),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(_xlfn.XLOOKUP($C$7,site_assumptions[Details],site_assumptions[Volts])*SUMIFS(P288:AA288,_xlfn.ANCHORARRAY(D288),TRUE)/10*0.95)/1000,
IFERROR(IF(_xlpm.phase="3Phase", _xlpm.p3_calc, _xlpm.sp_calc),0))</f>
        <v>0</v>
      </c>
      <c r="AD288" s="29" t="str">
        <f ca="1"/>
        <v>Gen2</v>
      </c>
      <c r="AE288" s="30" t="str">
        <f ca="1"/>
        <v>GPU</v>
      </c>
      <c r="AF288" s="30" t="str">
        <f ca="1"/>
        <v>Planned</v>
      </c>
      <c r="AG288" s="30">
        <f ca="1"/>
        <v>20</v>
      </c>
      <c r="AH288" s="31" t="str">
        <f ca="1"/>
        <v>Unknown</v>
      </c>
      <c r="AI288" s="49">
        <f t="shared" ca="1" si="9"/>
        <v>0</v>
      </c>
      <c r="AJ288" s="71">
        <f ca="1"/>
        <v>0</v>
      </c>
    </row>
    <row r="289" spans="2:36" x14ac:dyDescent="0.25">
      <c r="B289" s="29" t="str">
        <f ca="1"/>
        <v>dal10.sr01.rk278</v>
      </c>
      <c r="C289" s="10" t="s">
        <v>2070</v>
      </c>
      <c r="D289" s="2" t="b" cm="1">
        <f t="array" ref="D289:O289">_xlfn._xlws.FILTER(IF(ancillary!$E$4:$P$8="",FALSE,ancillary!$E$4:$P$8),ancillary!$B$4:$B$8=$C289)</f>
        <v>1</v>
      </c>
      <c r="E289" s="2" t="b">
        <v>1</v>
      </c>
      <c r="F289" s="2" t="b">
        <v>1</v>
      </c>
      <c r="G289" s="2" t="b">
        <v>1</v>
      </c>
      <c r="H289" s="2" t="b">
        <v>1</v>
      </c>
      <c r="I289" s="2" t="b">
        <v>1</v>
      </c>
      <c r="J289" s="2" t="b">
        <v>0</v>
      </c>
      <c r="K289" s="2" t="b">
        <v>0</v>
      </c>
      <c r="L289" s="2" t="b">
        <v>0</v>
      </c>
      <c r="M289" s="2" t="b">
        <v>0</v>
      </c>
      <c r="N289" s="2" t="b">
        <v>0</v>
      </c>
      <c r="O289" s="2" t="b">
        <v>0</v>
      </c>
      <c r="P289" s="68"/>
      <c r="R289" s="69"/>
      <c r="S289" s="68"/>
      <c r="U289" s="69"/>
      <c r="V289" s="68"/>
      <c r="X289" s="69"/>
      <c r="Y289" s="68"/>
      <c r="AA289" s="69"/>
      <c r="AB289" s="33">
        <f t="shared" si="8"/>
        <v>0</v>
      </c>
      <c r="AC289" s="45">
        <f>_xlfn.LET(_xlpm.ps_1,P289:R289, _xlpm.ps_2,S289:U289, _xlpm.ps_3,V289:X289, _xlpm.ps_4,Y289:AA289,
_xlpm.phase, MID(C289,SEARCH("-",C289)+1,256),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(_xlfn.XLOOKUP($C$7,site_assumptions[Details],site_assumptions[Volts])*SUMIFS(P289:AA289,_xlfn.ANCHORARRAY(D289),TRUE)/10*0.95)/1000,
IFERROR(IF(_xlpm.phase="3Phase", _xlpm.p3_calc, _xlpm.sp_calc),0))</f>
        <v>0</v>
      </c>
      <c r="AD289" s="29" t="str">
        <f ca="1"/>
        <v>Gen2</v>
      </c>
      <c r="AE289" s="30" t="str">
        <f ca="1"/>
        <v>GPU</v>
      </c>
      <c r="AF289" s="30" t="str">
        <f ca="1"/>
        <v>Planned</v>
      </c>
      <c r="AG289" s="30">
        <f ca="1"/>
        <v>20</v>
      </c>
      <c r="AH289" s="31" t="str">
        <f ca="1"/>
        <v>Unknown</v>
      </c>
      <c r="AI289" s="49">
        <f t="shared" ca="1" si="9"/>
        <v>0</v>
      </c>
      <c r="AJ289" s="71">
        <f ca="1"/>
        <v>0</v>
      </c>
    </row>
    <row r="290" spans="2:36" x14ac:dyDescent="0.25">
      <c r="B290" s="29" t="str">
        <f ca="1"/>
        <v>dal10.sr01.rk279</v>
      </c>
      <c r="C290" s="10" t="s">
        <v>2070</v>
      </c>
      <c r="D290" s="2" t="b" cm="1">
        <f t="array" ref="D290:O290">_xlfn._xlws.FILTER(IF(ancillary!$E$4:$P$8="",FALSE,ancillary!$E$4:$P$8),ancillary!$B$4:$B$8=$C290)</f>
        <v>1</v>
      </c>
      <c r="E290" s="2" t="b">
        <v>1</v>
      </c>
      <c r="F290" s="2" t="b">
        <v>1</v>
      </c>
      <c r="G290" s="2" t="b">
        <v>1</v>
      </c>
      <c r="H290" s="2" t="b">
        <v>1</v>
      </c>
      <c r="I290" s="2" t="b">
        <v>1</v>
      </c>
      <c r="J290" s="2" t="b">
        <v>0</v>
      </c>
      <c r="K290" s="2" t="b">
        <v>0</v>
      </c>
      <c r="L290" s="2" t="b">
        <v>0</v>
      </c>
      <c r="M290" s="2" t="b">
        <v>0</v>
      </c>
      <c r="N290" s="2" t="b">
        <v>0</v>
      </c>
      <c r="O290" s="2" t="b">
        <v>0</v>
      </c>
      <c r="P290" s="68"/>
      <c r="R290" s="69"/>
      <c r="S290" s="68"/>
      <c r="U290" s="69"/>
      <c r="V290" s="68"/>
      <c r="X290" s="69"/>
      <c r="Y290" s="68"/>
      <c r="AA290" s="69"/>
      <c r="AB290" s="33">
        <f t="shared" si="8"/>
        <v>0</v>
      </c>
      <c r="AC290" s="45">
        <f>_xlfn.LET(_xlpm.ps_1,P290:R290, _xlpm.ps_2,S290:U290, _xlpm.ps_3,V290:X290, _xlpm.ps_4,Y290:AA290,
_xlpm.phase, MID(C290,SEARCH("-",C290)+1,256),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(_xlfn.XLOOKUP($C$7,site_assumptions[Details],site_assumptions[Volts])*SUMIFS(P290:AA290,_xlfn.ANCHORARRAY(D290),TRUE)/10*0.95)/1000,
IFERROR(IF(_xlpm.phase="3Phase", _xlpm.p3_calc, _xlpm.sp_calc),0))</f>
        <v>0</v>
      </c>
      <c r="AD290" s="29" t="str">
        <f ca="1"/>
        <v>Gen2</v>
      </c>
      <c r="AE290" s="30" t="str">
        <f ca="1"/>
        <v>GPU</v>
      </c>
      <c r="AF290" s="30" t="str">
        <f ca="1"/>
        <v>Planned</v>
      </c>
      <c r="AG290" s="30">
        <f ca="1"/>
        <v>20</v>
      </c>
      <c r="AH290" s="31" t="str">
        <f ca="1"/>
        <v>Unknown</v>
      </c>
      <c r="AI290" s="49">
        <f t="shared" ca="1" si="9"/>
        <v>0</v>
      </c>
      <c r="AJ290" s="71">
        <f ca="1"/>
        <v>0</v>
      </c>
    </row>
    <row r="291" spans="2:36" x14ac:dyDescent="0.25">
      <c r="B291" s="29" t="str">
        <f ca="1"/>
        <v>dal10.sr01.rk280</v>
      </c>
      <c r="C291" s="10" t="s">
        <v>2070</v>
      </c>
      <c r="D291" s="2" t="b" cm="1">
        <f t="array" ref="D291:O291">_xlfn._xlws.FILTER(IF(ancillary!$E$4:$P$8="",FALSE,ancillary!$E$4:$P$8),ancillary!$B$4:$B$8=$C291)</f>
        <v>1</v>
      </c>
      <c r="E291" s="2" t="b">
        <v>1</v>
      </c>
      <c r="F291" s="2" t="b">
        <v>1</v>
      </c>
      <c r="G291" s="2" t="b">
        <v>1</v>
      </c>
      <c r="H291" s="2" t="b">
        <v>1</v>
      </c>
      <c r="I291" s="2" t="b">
        <v>1</v>
      </c>
      <c r="J291" s="2" t="b">
        <v>0</v>
      </c>
      <c r="K291" s="2" t="b">
        <v>0</v>
      </c>
      <c r="L291" s="2" t="b">
        <v>0</v>
      </c>
      <c r="M291" s="2" t="b">
        <v>0</v>
      </c>
      <c r="N291" s="2" t="b">
        <v>0</v>
      </c>
      <c r="O291" s="2" t="b">
        <v>0</v>
      </c>
      <c r="P291" s="68"/>
      <c r="R291" s="69"/>
      <c r="S291" s="68"/>
      <c r="U291" s="69"/>
      <c r="V291" s="68"/>
      <c r="X291" s="69"/>
      <c r="Y291" s="68"/>
      <c r="AA291" s="69"/>
      <c r="AB291" s="33">
        <f t="shared" si="8"/>
        <v>0</v>
      </c>
      <c r="AC291" s="45">
        <f>_xlfn.LET(_xlpm.ps_1,P291:R291, _xlpm.ps_2,S291:U291, _xlpm.ps_3,V291:X291, _xlpm.ps_4,Y291:AA291,
_xlpm.phase, MID(C291,SEARCH("-",C291)+1,256),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(_xlfn.XLOOKUP($C$7,site_assumptions[Details],site_assumptions[Volts])*SUMIFS(P291:AA291,_xlfn.ANCHORARRAY(D291),TRUE)/10*0.95)/1000,
IFERROR(IF(_xlpm.phase="3Phase", _xlpm.p3_calc, _xlpm.sp_calc),0))</f>
        <v>0</v>
      </c>
      <c r="AD291" s="29" t="str">
        <f ca="1"/>
        <v>Unallocated</v>
      </c>
      <c r="AE291" s="30" t="str">
        <f ca="1"/>
        <v>Unallocated</v>
      </c>
      <c r="AF291" s="30" t="str">
        <f ca="1"/>
        <v>Planned</v>
      </c>
      <c r="AG291" s="30">
        <f ca="1"/>
        <v>0</v>
      </c>
      <c r="AH291" s="31" t="str">
        <f ca="1"/>
        <v>Unknown</v>
      </c>
      <c r="AI291" s="49">
        <f t="shared" ca="1" si="9"/>
        <v>0</v>
      </c>
      <c r="AJ291" s="71">
        <f ca="1"/>
        <v>0</v>
      </c>
    </row>
    <row r="292" spans="2:36" x14ac:dyDescent="0.25">
      <c r="B292" s="29" t="str">
        <f ca="1"/>
        <v>dal10.sr01.rk281</v>
      </c>
      <c r="C292" s="10" t="s">
        <v>2070</v>
      </c>
      <c r="D292" s="2" t="b" cm="1">
        <f t="array" ref="D292:O292">_xlfn._xlws.FILTER(IF(ancillary!$E$4:$P$8="",FALSE,ancillary!$E$4:$P$8),ancillary!$B$4:$B$8=$C292)</f>
        <v>1</v>
      </c>
      <c r="E292" s="2" t="b">
        <v>1</v>
      </c>
      <c r="F292" s="2" t="b">
        <v>1</v>
      </c>
      <c r="G292" s="2" t="b">
        <v>1</v>
      </c>
      <c r="H292" s="2" t="b">
        <v>1</v>
      </c>
      <c r="I292" s="2" t="b">
        <v>1</v>
      </c>
      <c r="J292" s="2" t="b">
        <v>0</v>
      </c>
      <c r="K292" s="2" t="b">
        <v>0</v>
      </c>
      <c r="L292" s="2" t="b">
        <v>0</v>
      </c>
      <c r="M292" s="2" t="b">
        <v>0</v>
      </c>
      <c r="N292" s="2" t="b">
        <v>0</v>
      </c>
      <c r="O292" s="2" t="b">
        <v>0</v>
      </c>
      <c r="P292" s="68"/>
      <c r="R292" s="69"/>
      <c r="S292" s="68"/>
      <c r="U292" s="69"/>
      <c r="V292" s="68"/>
      <c r="X292" s="69"/>
      <c r="Y292" s="68"/>
      <c r="AA292" s="69"/>
      <c r="AB292" s="33">
        <f t="shared" si="8"/>
        <v>0</v>
      </c>
      <c r="AC292" s="45">
        <f>_xlfn.LET(_xlpm.ps_1,P292:R292, _xlpm.ps_2,S292:U292, _xlpm.ps_3,V292:X292, _xlpm.ps_4,Y292:AA292,
_xlpm.phase, MID(C292,SEARCH("-",C292)+1,256),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(_xlfn.XLOOKUP($C$7,site_assumptions[Details],site_assumptions[Volts])*SUMIFS(P292:AA292,_xlfn.ANCHORARRAY(D292),TRUE)/10*0.95)/1000,
IFERROR(IF(_xlpm.phase="3Phase", _xlpm.p3_calc, _xlpm.sp_calc),0))</f>
        <v>0</v>
      </c>
      <c r="AD292" s="29" t="str">
        <f ca="1"/>
        <v>Unallocated</v>
      </c>
      <c r="AE292" s="30" t="str">
        <f ca="1"/>
        <v>Unallocated</v>
      </c>
      <c r="AF292" s="30" t="str">
        <f ca="1"/>
        <v>Planned</v>
      </c>
      <c r="AG292" s="30">
        <f ca="1"/>
        <v>0</v>
      </c>
      <c r="AH292" s="31" t="str">
        <f ca="1"/>
        <v>Unknown</v>
      </c>
      <c r="AI292" s="49">
        <f t="shared" ca="1" si="9"/>
        <v>0</v>
      </c>
      <c r="AJ292" s="71">
        <f ca="1"/>
        <v>0</v>
      </c>
    </row>
    <row r="293" spans="2:36" x14ac:dyDescent="0.25">
      <c r="B293" s="29" t="str">
        <f ca="1"/>
        <v>dal10.sr01.rk282</v>
      </c>
      <c r="C293" s="10" t="s">
        <v>2070</v>
      </c>
      <c r="D293" s="2" t="b" cm="1">
        <f t="array" ref="D293:O293">_xlfn._xlws.FILTER(IF(ancillary!$E$4:$P$8="",FALSE,ancillary!$E$4:$P$8),ancillary!$B$4:$B$8=$C293)</f>
        <v>1</v>
      </c>
      <c r="E293" s="2" t="b">
        <v>1</v>
      </c>
      <c r="F293" s="2" t="b">
        <v>1</v>
      </c>
      <c r="G293" s="2" t="b">
        <v>1</v>
      </c>
      <c r="H293" s="2" t="b">
        <v>1</v>
      </c>
      <c r="I293" s="2" t="b">
        <v>1</v>
      </c>
      <c r="J293" s="2" t="b">
        <v>0</v>
      </c>
      <c r="K293" s="2" t="b">
        <v>0</v>
      </c>
      <c r="L293" s="2" t="b">
        <v>0</v>
      </c>
      <c r="M293" s="2" t="b">
        <v>0</v>
      </c>
      <c r="N293" s="2" t="b">
        <v>0</v>
      </c>
      <c r="O293" s="2" t="b">
        <v>0</v>
      </c>
      <c r="P293" s="68"/>
      <c r="R293" s="69"/>
      <c r="S293" s="68"/>
      <c r="U293" s="69"/>
      <c r="V293" s="68"/>
      <c r="X293" s="69"/>
      <c r="Y293" s="68"/>
      <c r="AA293" s="69"/>
      <c r="AB293" s="33">
        <f t="shared" si="8"/>
        <v>0</v>
      </c>
      <c r="AC293" s="45">
        <f>_xlfn.LET(_xlpm.ps_1,P293:R293, _xlpm.ps_2,S293:U293, _xlpm.ps_3,V293:X293, _xlpm.ps_4,Y293:AA293,
_xlpm.phase, MID(C293,SEARCH("-",C293)+1,256),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(_xlfn.XLOOKUP($C$7,site_assumptions[Details],site_assumptions[Volts])*SUMIFS(P293:AA293,_xlfn.ANCHORARRAY(D293),TRUE)/10*0.95)/1000,
IFERROR(IF(_xlpm.phase="3Phase", _xlpm.p3_calc, _xlpm.sp_calc),0))</f>
        <v>0</v>
      </c>
      <c r="AD293" s="29" t="str">
        <f ca="1"/>
        <v>Unallocated</v>
      </c>
      <c r="AE293" s="30" t="str">
        <f ca="1"/>
        <v>Unallocated</v>
      </c>
      <c r="AF293" s="30" t="str">
        <f ca="1"/>
        <v>Planned</v>
      </c>
      <c r="AG293" s="30">
        <f ca="1"/>
        <v>0</v>
      </c>
      <c r="AH293" s="31" t="str">
        <f ca="1"/>
        <v>Unknown</v>
      </c>
      <c r="AI293" s="49">
        <f t="shared" ca="1" si="9"/>
        <v>0</v>
      </c>
      <c r="AJ293" s="71">
        <f ca="1"/>
        <v>0</v>
      </c>
    </row>
    <row r="294" spans="2:36" x14ac:dyDescent="0.25">
      <c r="B294" s="29" t="str">
        <f ca="1"/>
        <v>dal10.sr01.rk283</v>
      </c>
      <c r="C294" s="10" t="s">
        <v>2070</v>
      </c>
      <c r="D294" s="2" t="b" cm="1">
        <f t="array" ref="D294:O294">_xlfn._xlws.FILTER(IF(ancillary!$E$4:$P$8="",FALSE,ancillary!$E$4:$P$8),ancillary!$B$4:$B$8=$C294)</f>
        <v>1</v>
      </c>
      <c r="E294" s="2" t="b">
        <v>1</v>
      </c>
      <c r="F294" s="2" t="b">
        <v>1</v>
      </c>
      <c r="G294" s="2" t="b">
        <v>1</v>
      </c>
      <c r="H294" s="2" t="b">
        <v>1</v>
      </c>
      <c r="I294" s="2" t="b">
        <v>1</v>
      </c>
      <c r="J294" s="2" t="b">
        <v>0</v>
      </c>
      <c r="K294" s="2" t="b">
        <v>0</v>
      </c>
      <c r="L294" s="2" t="b">
        <v>0</v>
      </c>
      <c r="M294" s="2" t="b">
        <v>0</v>
      </c>
      <c r="N294" s="2" t="b">
        <v>0</v>
      </c>
      <c r="O294" s="2" t="b">
        <v>0</v>
      </c>
      <c r="P294" s="68"/>
      <c r="R294" s="69"/>
      <c r="S294" s="68"/>
      <c r="U294" s="69"/>
      <c r="V294" s="68"/>
      <c r="X294" s="69"/>
      <c r="Y294" s="68"/>
      <c r="AA294" s="69"/>
      <c r="AB294" s="33">
        <f t="shared" si="8"/>
        <v>0</v>
      </c>
      <c r="AC294" s="45">
        <f>_xlfn.LET(_xlpm.ps_1,P294:R294, _xlpm.ps_2,S294:U294, _xlpm.ps_3,V294:X294, _xlpm.ps_4,Y294:AA294,
_xlpm.phase, MID(C294,SEARCH("-",C294)+1,256),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(_xlfn.XLOOKUP($C$7,site_assumptions[Details],site_assumptions[Volts])*SUMIFS(P294:AA294,_xlfn.ANCHORARRAY(D294),TRUE)/10*0.95)/1000,
IFERROR(IF(_xlpm.phase="3Phase", _xlpm.p3_calc, _xlpm.sp_calc),0))</f>
        <v>0</v>
      </c>
      <c r="AD294" s="29" t="str">
        <f ca="1"/>
        <v>Unallocated</v>
      </c>
      <c r="AE294" s="30" t="str">
        <f ca="1"/>
        <v>Unallocated</v>
      </c>
      <c r="AF294" s="30" t="str">
        <f ca="1"/>
        <v>Planned</v>
      </c>
      <c r="AG294" s="30">
        <f ca="1"/>
        <v>0</v>
      </c>
      <c r="AH294" s="31" t="str">
        <f ca="1"/>
        <v>Unknown</v>
      </c>
      <c r="AI294" s="49">
        <f t="shared" ca="1" si="9"/>
        <v>0</v>
      </c>
      <c r="AJ294" s="71">
        <f ca="1"/>
        <v>0</v>
      </c>
    </row>
    <row r="295" spans="2:36" x14ac:dyDescent="0.25">
      <c r="B295" s="29" t="str">
        <f ca="1"/>
        <v>dal10.sr01.rk284</v>
      </c>
      <c r="C295" s="10" t="s">
        <v>2070</v>
      </c>
      <c r="D295" s="2" t="b" cm="1">
        <f t="array" ref="D295:O295">_xlfn._xlws.FILTER(IF(ancillary!$E$4:$P$8="",FALSE,ancillary!$E$4:$P$8),ancillary!$B$4:$B$8=$C295)</f>
        <v>1</v>
      </c>
      <c r="E295" s="2" t="b">
        <v>1</v>
      </c>
      <c r="F295" s="2" t="b">
        <v>1</v>
      </c>
      <c r="G295" s="2" t="b">
        <v>1</v>
      </c>
      <c r="H295" s="2" t="b">
        <v>1</v>
      </c>
      <c r="I295" s="2" t="b">
        <v>1</v>
      </c>
      <c r="J295" s="2" t="b">
        <v>0</v>
      </c>
      <c r="K295" s="2" t="b">
        <v>0</v>
      </c>
      <c r="L295" s="2" t="b">
        <v>0</v>
      </c>
      <c r="M295" s="2" t="b">
        <v>0</v>
      </c>
      <c r="N295" s="2" t="b">
        <v>0</v>
      </c>
      <c r="O295" s="2" t="b">
        <v>0</v>
      </c>
      <c r="P295" s="68"/>
      <c r="R295" s="69"/>
      <c r="S295" s="68"/>
      <c r="U295" s="69"/>
      <c r="V295" s="68"/>
      <c r="X295" s="69"/>
      <c r="Y295" s="68"/>
      <c r="AA295" s="69"/>
      <c r="AB295" s="33">
        <f t="shared" si="8"/>
        <v>0</v>
      </c>
      <c r="AC295" s="45">
        <f>_xlfn.LET(_xlpm.ps_1,P295:R295, _xlpm.ps_2,S295:U295, _xlpm.ps_3,V295:X295, _xlpm.ps_4,Y295:AA295,
_xlpm.phase, MID(C295,SEARCH("-",C295)+1,256),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(_xlfn.XLOOKUP($C$7,site_assumptions[Details],site_assumptions[Volts])*SUMIFS(P295:AA295,_xlfn.ANCHORARRAY(D295),TRUE)/10*0.95)/1000,
IFERROR(IF(_xlpm.phase="3Phase", _xlpm.p3_calc, _xlpm.sp_calc),0))</f>
        <v>0</v>
      </c>
      <c r="AD295" s="29" t="str">
        <f ca="1"/>
        <v>Unallocated</v>
      </c>
      <c r="AE295" s="30" t="str">
        <f ca="1"/>
        <v>Unallocated</v>
      </c>
      <c r="AF295" s="30" t="str">
        <f ca="1"/>
        <v>Planned</v>
      </c>
      <c r="AG295" s="30">
        <f ca="1"/>
        <v>0</v>
      </c>
      <c r="AH295" s="31" t="str">
        <f ca="1"/>
        <v>Unknown</v>
      </c>
      <c r="AI295" s="49">
        <f t="shared" ca="1" si="9"/>
        <v>0</v>
      </c>
      <c r="AJ295" s="71">
        <f ca="1"/>
        <v>0</v>
      </c>
    </row>
    <row r="296" spans="2:36" x14ac:dyDescent="0.25">
      <c r="B296" s="29" t="str">
        <f ca="1"/>
        <v>dal10.sr01.rk285</v>
      </c>
      <c r="C296" s="10" t="s">
        <v>2070</v>
      </c>
      <c r="D296" s="2" t="b" cm="1">
        <f t="array" ref="D296:O296">_xlfn._xlws.FILTER(IF(ancillary!$E$4:$P$8="",FALSE,ancillary!$E$4:$P$8),ancillary!$B$4:$B$8=$C296)</f>
        <v>1</v>
      </c>
      <c r="E296" s="2" t="b">
        <v>1</v>
      </c>
      <c r="F296" s="2" t="b">
        <v>1</v>
      </c>
      <c r="G296" s="2" t="b">
        <v>1</v>
      </c>
      <c r="H296" s="2" t="b">
        <v>1</v>
      </c>
      <c r="I296" s="2" t="b">
        <v>1</v>
      </c>
      <c r="J296" s="2" t="b">
        <v>0</v>
      </c>
      <c r="K296" s="2" t="b">
        <v>0</v>
      </c>
      <c r="L296" s="2" t="b">
        <v>0</v>
      </c>
      <c r="M296" s="2" t="b">
        <v>0</v>
      </c>
      <c r="N296" s="2" t="b">
        <v>0</v>
      </c>
      <c r="O296" s="2" t="b">
        <v>0</v>
      </c>
      <c r="P296" s="68"/>
      <c r="R296" s="69"/>
      <c r="S296" s="68"/>
      <c r="U296" s="69"/>
      <c r="V296" s="68"/>
      <c r="X296" s="69"/>
      <c r="Y296" s="68"/>
      <c r="AA296" s="69"/>
      <c r="AB296" s="33">
        <f t="shared" si="8"/>
        <v>0</v>
      </c>
      <c r="AC296" s="45">
        <f>_xlfn.LET(_xlpm.ps_1,P296:R296, _xlpm.ps_2,S296:U296, _xlpm.ps_3,V296:X296, _xlpm.ps_4,Y296:AA296,
_xlpm.phase, MID(C296,SEARCH("-",C296)+1,256),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(_xlfn.XLOOKUP($C$7,site_assumptions[Details],site_assumptions[Volts])*SUMIFS(P296:AA296,_xlfn.ANCHORARRAY(D296),TRUE)/10*0.95)/1000,
IFERROR(IF(_xlpm.phase="3Phase", _xlpm.p3_calc, _xlpm.sp_calc),0))</f>
        <v>0</v>
      </c>
      <c r="AD296" s="29" t="str">
        <f ca="1"/>
        <v>Unallocated</v>
      </c>
      <c r="AE296" s="30" t="str">
        <f ca="1"/>
        <v>Unallocated</v>
      </c>
      <c r="AF296" s="30" t="str">
        <f ca="1"/>
        <v>Planned</v>
      </c>
      <c r="AG296" s="30">
        <f ca="1"/>
        <v>0</v>
      </c>
      <c r="AH296" s="31" t="str">
        <f ca="1"/>
        <v>Unknown</v>
      </c>
      <c r="AI296" s="49">
        <f t="shared" ca="1" si="9"/>
        <v>0</v>
      </c>
      <c r="AJ296" s="71">
        <f ca="1"/>
        <v>0</v>
      </c>
    </row>
    <row r="297" spans="2:36" x14ac:dyDescent="0.25">
      <c r="B297" s="29" t="str">
        <f ca="1"/>
        <v>dal10.sr01.rk286</v>
      </c>
      <c r="C297" s="10" t="s">
        <v>2070</v>
      </c>
      <c r="D297" s="2" t="b" cm="1">
        <f t="array" ref="D297:O297">_xlfn._xlws.FILTER(IF(ancillary!$E$4:$P$8="",FALSE,ancillary!$E$4:$P$8),ancillary!$B$4:$B$8=$C297)</f>
        <v>1</v>
      </c>
      <c r="E297" s="2" t="b">
        <v>1</v>
      </c>
      <c r="F297" s="2" t="b">
        <v>1</v>
      </c>
      <c r="G297" s="2" t="b">
        <v>1</v>
      </c>
      <c r="H297" s="2" t="b">
        <v>1</v>
      </c>
      <c r="I297" s="2" t="b">
        <v>1</v>
      </c>
      <c r="J297" s="2" t="b">
        <v>0</v>
      </c>
      <c r="K297" s="2" t="b">
        <v>0</v>
      </c>
      <c r="L297" s="2" t="b">
        <v>0</v>
      </c>
      <c r="M297" s="2" t="b">
        <v>0</v>
      </c>
      <c r="N297" s="2" t="b">
        <v>0</v>
      </c>
      <c r="O297" s="2" t="b">
        <v>0</v>
      </c>
      <c r="P297" s="68"/>
      <c r="R297" s="69"/>
      <c r="S297" s="68"/>
      <c r="U297" s="69"/>
      <c r="V297" s="68"/>
      <c r="X297" s="69"/>
      <c r="Y297" s="68"/>
      <c r="AA297" s="69"/>
      <c r="AB297" s="33">
        <f t="shared" si="8"/>
        <v>0</v>
      </c>
      <c r="AC297" s="45">
        <f>_xlfn.LET(_xlpm.ps_1,P297:R297, _xlpm.ps_2,S297:U297, _xlpm.ps_3,V297:X297, _xlpm.ps_4,Y297:AA297,
_xlpm.phase, MID(C297,SEARCH("-",C297)+1,256),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(_xlfn.XLOOKUP($C$7,site_assumptions[Details],site_assumptions[Volts])*SUMIFS(P297:AA297,_xlfn.ANCHORARRAY(D297),TRUE)/10*0.95)/1000,
IFERROR(IF(_xlpm.phase="3Phase", _xlpm.p3_calc, _xlpm.sp_calc),0))</f>
        <v>0</v>
      </c>
      <c r="AD297" s="29" t="str">
        <f ca="1"/>
        <v>Unallocated</v>
      </c>
      <c r="AE297" s="30" t="str">
        <f ca="1"/>
        <v>Unallocated</v>
      </c>
      <c r="AF297" s="30" t="str">
        <f ca="1"/>
        <v>Planned</v>
      </c>
      <c r="AG297" s="30">
        <f ca="1"/>
        <v>0</v>
      </c>
      <c r="AH297" s="31" t="str">
        <f ca="1"/>
        <v>Unknown</v>
      </c>
      <c r="AI297" s="49">
        <f t="shared" ca="1" si="9"/>
        <v>0</v>
      </c>
      <c r="AJ297" s="71">
        <f ca="1"/>
        <v>0</v>
      </c>
    </row>
    <row r="298" spans="2:36" x14ac:dyDescent="0.25">
      <c r="B298" s="29" t="str">
        <f ca="1"/>
        <v>dal10.sr01.rk287</v>
      </c>
      <c r="C298" s="10" t="s">
        <v>2070</v>
      </c>
      <c r="D298" s="2" t="b" cm="1">
        <f t="array" ref="D298:O298">_xlfn._xlws.FILTER(IF(ancillary!$E$4:$P$8="",FALSE,ancillary!$E$4:$P$8),ancillary!$B$4:$B$8=$C298)</f>
        <v>1</v>
      </c>
      <c r="E298" s="2" t="b">
        <v>1</v>
      </c>
      <c r="F298" s="2" t="b">
        <v>1</v>
      </c>
      <c r="G298" s="2" t="b">
        <v>1</v>
      </c>
      <c r="H298" s="2" t="b">
        <v>1</v>
      </c>
      <c r="I298" s="2" t="b">
        <v>1</v>
      </c>
      <c r="J298" s="2" t="b">
        <v>0</v>
      </c>
      <c r="K298" s="2" t="b">
        <v>0</v>
      </c>
      <c r="L298" s="2" t="b">
        <v>0</v>
      </c>
      <c r="M298" s="2" t="b">
        <v>0</v>
      </c>
      <c r="N298" s="2" t="b">
        <v>0</v>
      </c>
      <c r="O298" s="2" t="b">
        <v>0</v>
      </c>
      <c r="P298" s="68"/>
      <c r="R298" s="69"/>
      <c r="S298" s="68"/>
      <c r="U298" s="69"/>
      <c r="V298" s="68"/>
      <c r="X298" s="69"/>
      <c r="Y298" s="68"/>
      <c r="AA298" s="69"/>
      <c r="AB298" s="33">
        <f t="shared" si="8"/>
        <v>0</v>
      </c>
      <c r="AC298" s="45">
        <f>_xlfn.LET(_xlpm.ps_1,P298:R298, _xlpm.ps_2,S298:U298, _xlpm.ps_3,V298:X298, _xlpm.ps_4,Y298:AA298,
_xlpm.phase, MID(C298,SEARCH("-",C298)+1,256),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(_xlfn.XLOOKUP($C$7,site_assumptions[Details],site_assumptions[Volts])*SUMIFS(P298:AA298,_xlfn.ANCHORARRAY(D298),TRUE)/10*0.95)/1000,
IFERROR(IF(_xlpm.phase="3Phase", _xlpm.p3_calc, _xlpm.sp_calc),0))</f>
        <v>0</v>
      </c>
      <c r="AD298" s="29" t="str">
        <f ca="1"/>
        <v>Compute</v>
      </c>
      <c r="AE298" s="30" t="str">
        <f ca="1"/>
        <v>Hybrid</v>
      </c>
      <c r="AF298" s="30" t="str">
        <f ca="1"/>
        <v>Live</v>
      </c>
      <c r="AG298" s="30">
        <f ca="1"/>
        <v>10</v>
      </c>
      <c r="AH298" s="31" t="str">
        <f ca="1"/>
        <v>Unknown</v>
      </c>
      <c r="AI298" s="49">
        <f t="shared" ca="1" si="9"/>
        <v>0</v>
      </c>
      <c r="AJ298" s="71">
        <f ca="1"/>
        <v>4.641</v>
      </c>
    </row>
    <row r="299" spans="2:36" x14ac:dyDescent="0.25">
      <c r="B299" s="29" t="str">
        <f ca="1"/>
        <v>dal10.sr01.rk288</v>
      </c>
      <c r="C299" s="10" t="s">
        <v>2070</v>
      </c>
      <c r="D299" s="2" t="b" cm="1">
        <f t="array" ref="D299:O299">_xlfn._xlws.FILTER(IF(ancillary!$E$4:$P$8="",FALSE,ancillary!$E$4:$P$8),ancillary!$B$4:$B$8=$C299)</f>
        <v>1</v>
      </c>
      <c r="E299" s="2" t="b">
        <v>1</v>
      </c>
      <c r="F299" s="2" t="b">
        <v>1</v>
      </c>
      <c r="G299" s="2" t="b">
        <v>1</v>
      </c>
      <c r="H299" s="2" t="b">
        <v>1</v>
      </c>
      <c r="I299" s="2" t="b">
        <v>1</v>
      </c>
      <c r="J299" s="2" t="b">
        <v>0</v>
      </c>
      <c r="K299" s="2" t="b">
        <v>0</v>
      </c>
      <c r="L299" s="2" t="b">
        <v>0</v>
      </c>
      <c r="M299" s="2" t="b">
        <v>0</v>
      </c>
      <c r="N299" s="2" t="b">
        <v>0</v>
      </c>
      <c r="O299" s="2" t="b">
        <v>0</v>
      </c>
      <c r="P299" s="68"/>
      <c r="R299" s="69"/>
      <c r="S299" s="68"/>
      <c r="U299" s="69"/>
      <c r="V299" s="68"/>
      <c r="X299" s="69"/>
      <c r="Y299" s="68"/>
      <c r="AA299" s="69"/>
      <c r="AB299" s="33">
        <f t="shared" si="8"/>
        <v>0</v>
      </c>
      <c r="AC299" s="45">
        <f>_xlfn.LET(_xlpm.ps_1,P299:R299, _xlpm.ps_2,S299:U299, _xlpm.ps_3,V299:X299, _xlpm.ps_4,Y299:AA299,
_xlpm.phase, MID(C299,SEARCH("-",C299)+1,256),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(_xlfn.XLOOKUP($C$7,site_assumptions[Details],site_assumptions[Volts])*SUMIFS(P299:AA299,_xlfn.ANCHORARRAY(D299),TRUE)/10*0.95)/1000,
IFERROR(IF(_xlpm.phase="3Phase", _xlpm.p3_calc, _xlpm.sp_calc),0))</f>
        <v>0</v>
      </c>
      <c r="AD299" s="29" t="str">
        <f ca="1"/>
        <v>Compute</v>
      </c>
      <c r="AE299" s="30" t="str">
        <f ca="1"/>
        <v>Hybrid</v>
      </c>
      <c r="AF299" s="30" t="str">
        <f ca="1"/>
        <v>Live</v>
      </c>
      <c r="AG299" s="30">
        <f ca="1"/>
        <v>10</v>
      </c>
      <c r="AH299" s="31" t="str">
        <f ca="1"/>
        <v>Unknown</v>
      </c>
      <c r="AI299" s="49">
        <f t="shared" ca="1" si="9"/>
        <v>0</v>
      </c>
      <c r="AJ299" s="71">
        <f ca="1"/>
        <v>5.069</v>
      </c>
    </row>
    <row r="300" spans="2:36" x14ac:dyDescent="0.25">
      <c r="B300" s="29" t="str">
        <f ca="1"/>
        <v>dal10.sr01.rk289</v>
      </c>
      <c r="C300" s="10" t="s">
        <v>2070</v>
      </c>
      <c r="D300" s="2" t="b" cm="1">
        <f t="array" ref="D300:O300">_xlfn._xlws.FILTER(IF(ancillary!$E$4:$P$8="",FALSE,ancillary!$E$4:$P$8),ancillary!$B$4:$B$8=$C300)</f>
        <v>1</v>
      </c>
      <c r="E300" s="2" t="b">
        <v>1</v>
      </c>
      <c r="F300" s="2" t="b">
        <v>1</v>
      </c>
      <c r="G300" s="2" t="b">
        <v>1</v>
      </c>
      <c r="H300" s="2" t="b">
        <v>1</v>
      </c>
      <c r="I300" s="2" t="b">
        <v>1</v>
      </c>
      <c r="J300" s="2" t="b">
        <v>0</v>
      </c>
      <c r="K300" s="2" t="b">
        <v>0</v>
      </c>
      <c r="L300" s="2" t="b">
        <v>0</v>
      </c>
      <c r="M300" s="2" t="b">
        <v>0</v>
      </c>
      <c r="N300" s="2" t="b">
        <v>0</v>
      </c>
      <c r="O300" s="2" t="b">
        <v>0</v>
      </c>
      <c r="P300" s="68"/>
      <c r="R300" s="69"/>
      <c r="S300" s="68"/>
      <c r="U300" s="69"/>
      <c r="V300" s="68"/>
      <c r="X300" s="69"/>
      <c r="Y300" s="68"/>
      <c r="AA300" s="69"/>
      <c r="AB300" s="33">
        <f t="shared" si="8"/>
        <v>0</v>
      </c>
      <c r="AC300" s="45">
        <f>_xlfn.LET(_xlpm.ps_1,P300:R300, _xlpm.ps_2,S300:U300, _xlpm.ps_3,V300:X300, _xlpm.ps_4,Y300:AA300,
_xlpm.phase, MID(C300,SEARCH("-",C300)+1,256),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(_xlfn.XLOOKUP($C$7,site_assumptions[Details],site_assumptions[Volts])*SUMIFS(P300:AA300,_xlfn.ANCHORARRAY(D300),TRUE)/10*0.95)/1000,
IFERROR(IF(_xlpm.phase="3Phase", _xlpm.p3_calc, _xlpm.sp_calc),0))</f>
        <v>0</v>
      </c>
      <c r="AD300" s="29" t="str">
        <f ca="1"/>
        <v>Compute</v>
      </c>
      <c r="AE300" s="30" t="str">
        <f ca="1"/>
        <v>Hybrid</v>
      </c>
      <c r="AF300" s="30" t="str">
        <f ca="1"/>
        <v>Live</v>
      </c>
      <c r="AG300" s="30">
        <f ca="1"/>
        <v>10</v>
      </c>
      <c r="AH300" s="31" t="str">
        <f ca="1"/>
        <v>Unknown</v>
      </c>
      <c r="AI300" s="49">
        <f t="shared" ca="1" si="9"/>
        <v>0</v>
      </c>
      <c r="AJ300" s="71">
        <f ca="1"/>
        <v>4.8529999999999998</v>
      </c>
    </row>
    <row r="301" spans="2:36" x14ac:dyDescent="0.25">
      <c r="B301" s="29" t="str">
        <f ca="1"/>
        <v>dal10.sr01.rk290</v>
      </c>
      <c r="C301" s="10" t="s">
        <v>2070</v>
      </c>
      <c r="D301" s="2" t="b" cm="1">
        <f t="array" ref="D301:O301">_xlfn._xlws.FILTER(IF(ancillary!$E$4:$P$8="",FALSE,ancillary!$E$4:$P$8),ancillary!$B$4:$B$8=$C301)</f>
        <v>1</v>
      </c>
      <c r="E301" s="2" t="b">
        <v>1</v>
      </c>
      <c r="F301" s="2" t="b">
        <v>1</v>
      </c>
      <c r="G301" s="2" t="b">
        <v>1</v>
      </c>
      <c r="H301" s="2" t="b">
        <v>1</v>
      </c>
      <c r="I301" s="2" t="b">
        <v>1</v>
      </c>
      <c r="J301" s="2" t="b">
        <v>0</v>
      </c>
      <c r="K301" s="2" t="b">
        <v>0</v>
      </c>
      <c r="L301" s="2" t="b">
        <v>0</v>
      </c>
      <c r="M301" s="2" t="b">
        <v>0</v>
      </c>
      <c r="N301" s="2" t="b">
        <v>0</v>
      </c>
      <c r="O301" s="2" t="b">
        <v>0</v>
      </c>
      <c r="P301" s="68"/>
      <c r="R301" s="69"/>
      <c r="S301" s="68"/>
      <c r="U301" s="69"/>
      <c r="V301" s="68"/>
      <c r="X301" s="69"/>
      <c r="Y301" s="68"/>
      <c r="AA301" s="69"/>
      <c r="AB301" s="33">
        <f t="shared" si="8"/>
        <v>0</v>
      </c>
      <c r="AC301" s="45">
        <f>_xlfn.LET(_xlpm.ps_1,P301:R301, _xlpm.ps_2,S301:U301, _xlpm.ps_3,V301:X301, _xlpm.ps_4,Y301:AA301,
_xlpm.phase, MID(C301,SEARCH("-",C301)+1,256),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(_xlfn.XLOOKUP($C$7,site_assumptions[Details],site_assumptions[Volts])*SUMIFS(P301:AA301,_xlfn.ANCHORARRAY(D301),TRUE)/10*0.95)/1000,
IFERROR(IF(_xlpm.phase="3Phase", _xlpm.p3_calc, _xlpm.sp_calc),0))</f>
        <v>0</v>
      </c>
      <c r="AD301" s="29" t="str">
        <f ca="1"/>
        <v>Compute</v>
      </c>
      <c r="AE301" s="30" t="str">
        <f ca="1"/>
        <v>Hybrid</v>
      </c>
      <c r="AF301" s="30" t="str">
        <f ca="1"/>
        <v>Live</v>
      </c>
      <c r="AG301" s="30">
        <f ca="1"/>
        <v>10</v>
      </c>
      <c r="AH301" s="31" t="str">
        <f ca="1"/>
        <v>Unknown</v>
      </c>
      <c r="AI301" s="49">
        <f t="shared" ca="1" si="9"/>
        <v>0</v>
      </c>
      <c r="AJ301" s="71">
        <f ca="1"/>
        <v>9.173</v>
      </c>
    </row>
    <row r="302" spans="2:36" x14ac:dyDescent="0.25">
      <c r="B302" s="29" t="str">
        <f ca="1"/>
        <v>dal10.sr01.rk291</v>
      </c>
      <c r="C302" s="10" t="s">
        <v>2070</v>
      </c>
      <c r="D302" s="2" t="b" cm="1">
        <f t="array" ref="D302:O302">_xlfn._xlws.FILTER(IF(ancillary!$E$4:$P$8="",FALSE,ancillary!$E$4:$P$8),ancillary!$B$4:$B$8=$C302)</f>
        <v>1</v>
      </c>
      <c r="E302" s="2" t="b">
        <v>1</v>
      </c>
      <c r="F302" s="2" t="b">
        <v>1</v>
      </c>
      <c r="G302" s="2" t="b">
        <v>1</v>
      </c>
      <c r="H302" s="2" t="b">
        <v>1</v>
      </c>
      <c r="I302" s="2" t="b">
        <v>1</v>
      </c>
      <c r="J302" s="2" t="b">
        <v>0</v>
      </c>
      <c r="K302" s="2" t="b">
        <v>0</v>
      </c>
      <c r="L302" s="2" t="b">
        <v>0</v>
      </c>
      <c r="M302" s="2" t="b">
        <v>0</v>
      </c>
      <c r="N302" s="2" t="b">
        <v>0</v>
      </c>
      <c r="O302" s="2" t="b">
        <v>0</v>
      </c>
      <c r="P302" s="68"/>
      <c r="R302" s="69"/>
      <c r="S302" s="68"/>
      <c r="U302" s="69"/>
      <c r="V302" s="68"/>
      <c r="X302" s="69"/>
      <c r="Y302" s="68"/>
      <c r="AA302" s="69"/>
      <c r="AB302" s="33">
        <f t="shared" si="8"/>
        <v>0</v>
      </c>
      <c r="AC302" s="45">
        <f>_xlfn.LET(_xlpm.ps_1,P302:R302, _xlpm.ps_2,S302:U302, _xlpm.ps_3,V302:X302, _xlpm.ps_4,Y302:AA302,
_xlpm.phase, MID(C302,SEARCH("-",C302)+1,256),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(_xlfn.XLOOKUP($C$7,site_assumptions[Details],site_assumptions[Volts])*SUMIFS(P302:AA302,_xlfn.ANCHORARRAY(D302),TRUE)/10*0.95)/1000,
IFERROR(IF(_xlpm.phase="3Phase", _xlpm.p3_calc, _xlpm.sp_calc),0))</f>
        <v>0</v>
      </c>
      <c r="AD302" s="29" t="str">
        <f ca="1"/>
        <v>Compute</v>
      </c>
      <c r="AE302" s="30" t="str">
        <f ca="1"/>
        <v>Hybrid</v>
      </c>
      <c r="AF302" s="30" t="str">
        <f ca="1"/>
        <v>Live</v>
      </c>
      <c r="AG302" s="30">
        <f ca="1"/>
        <v>10</v>
      </c>
      <c r="AH302" s="31" t="str">
        <f ca="1"/>
        <v>Unknown</v>
      </c>
      <c r="AI302" s="49">
        <f t="shared" ca="1" si="9"/>
        <v>0</v>
      </c>
      <c r="AJ302" s="71">
        <f ca="1"/>
        <v>9.77</v>
      </c>
    </row>
    <row r="303" spans="2:36" x14ac:dyDescent="0.25">
      <c r="B303" s="29" t="str">
        <f ca="1"/>
        <v>dal10.sr01.rk292</v>
      </c>
      <c r="C303" s="10" t="s">
        <v>2070</v>
      </c>
      <c r="D303" s="2" t="b" cm="1">
        <f t="array" ref="D303:O303">_xlfn._xlws.FILTER(IF(ancillary!$E$4:$P$8="",FALSE,ancillary!$E$4:$P$8),ancillary!$B$4:$B$8=$C303)</f>
        <v>1</v>
      </c>
      <c r="E303" s="2" t="b">
        <v>1</v>
      </c>
      <c r="F303" s="2" t="b">
        <v>1</v>
      </c>
      <c r="G303" s="2" t="b">
        <v>1</v>
      </c>
      <c r="H303" s="2" t="b">
        <v>1</v>
      </c>
      <c r="I303" s="2" t="b">
        <v>1</v>
      </c>
      <c r="J303" s="2" t="b">
        <v>0</v>
      </c>
      <c r="K303" s="2" t="b">
        <v>0</v>
      </c>
      <c r="L303" s="2" t="b">
        <v>0</v>
      </c>
      <c r="M303" s="2" t="b">
        <v>0</v>
      </c>
      <c r="N303" s="2" t="b">
        <v>0</v>
      </c>
      <c r="O303" s="2" t="b">
        <v>0</v>
      </c>
      <c r="P303" s="68"/>
      <c r="R303" s="69"/>
      <c r="S303" s="68"/>
      <c r="U303" s="69"/>
      <c r="V303" s="68"/>
      <c r="X303" s="69"/>
      <c r="Y303" s="68"/>
      <c r="AA303" s="69"/>
      <c r="AB303" s="33">
        <f t="shared" si="8"/>
        <v>0</v>
      </c>
      <c r="AC303" s="45">
        <f>_xlfn.LET(_xlpm.ps_1,P303:R303, _xlpm.ps_2,S303:U303, _xlpm.ps_3,V303:X303, _xlpm.ps_4,Y303:AA303,
_xlpm.phase, MID(C303,SEARCH("-",C303)+1,256),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(_xlfn.XLOOKUP($C$7,site_assumptions[Details],site_assumptions[Volts])*SUMIFS(P303:AA303,_xlfn.ANCHORARRAY(D303),TRUE)/10*0.95)/1000,
IFERROR(IF(_xlpm.phase="3Phase", _xlpm.p3_calc, _xlpm.sp_calc),0))</f>
        <v>0</v>
      </c>
      <c r="AD303" s="29" t="str">
        <f ca="1"/>
        <v>Network</v>
      </c>
      <c r="AE303" s="30" t="str">
        <f ca="1"/>
        <v>Aggregate</v>
      </c>
      <c r="AF303" s="30" t="str">
        <f ca="1"/>
        <v>Live</v>
      </c>
      <c r="AG303" s="30">
        <f ca="1"/>
        <v>5</v>
      </c>
      <c r="AH303" s="31" t="str">
        <f ca="1"/>
        <v>Unknown</v>
      </c>
      <c r="AI303" s="49">
        <f t="shared" ca="1" si="9"/>
        <v>0</v>
      </c>
      <c r="AJ303" s="71">
        <f ca="1"/>
        <v>0</v>
      </c>
    </row>
    <row r="304" spans="2:36" x14ac:dyDescent="0.25">
      <c r="B304" s="29" t="str">
        <f ca="1"/>
        <v>dal10.sr01.rk293</v>
      </c>
      <c r="C304" s="10" t="s">
        <v>2070</v>
      </c>
      <c r="D304" s="2" t="b" cm="1">
        <f t="array" ref="D304:O304">_xlfn._xlws.FILTER(IF(ancillary!$E$4:$P$8="",FALSE,ancillary!$E$4:$P$8),ancillary!$B$4:$B$8=$C304)</f>
        <v>1</v>
      </c>
      <c r="E304" s="2" t="b">
        <v>1</v>
      </c>
      <c r="F304" s="2" t="b">
        <v>1</v>
      </c>
      <c r="G304" s="2" t="b">
        <v>1</v>
      </c>
      <c r="H304" s="2" t="b">
        <v>1</v>
      </c>
      <c r="I304" s="2" t="b">
        <v>1</v>
      </c>
      <c r="J304" s="2" t="b">
        <v>0</v>
      </c>
      <c r="K304" s="2" t="b">
        <v>0</v>
      </c>
      <c r="L304" s="2" t="b">
        <v>0</v>
      </c>
      <c r="M304" s="2" t="b">
        <v>0</v>
      </c>
      <c r="N304" s="2" t="b">
        <v>0</v>
      </c>
      <c r="O304" s="2" t="b">
        <v>0</v>
      </c>
      <c r="P304" s="68"/>
      <c r="R304" s="69"/>
      <c r="S304" s="68"/>
      <c r="U304" s="69"/>
      <c r="V304" s="68"/>
      <c r="X304" s="69"/>
      <c r="Y304" s="68"/>
      <c r="AA304" s="69"/>
      <c r="AB304" s="33">
        <f t="shared" si="8"/>
        <v>0</v>
      </c>
      <c r="AC304" s="45">
        <f>_xlfn.LET(_xlpm.ps_1,P304:R304, _xlpm.ps_2,S304:U304, _xlpm.ps_3,V304:X304, _xlpm.ps_4,Y304:AA304,
_xlpm.phase, MID(C304,SEARCH("-",C304)+1,256),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(_xlfn.XLOOKUP($C$7,site_assumptions[Details],site_assumptions[Volts])*SUMIFS(P304:AA304,_xlfn.ANCHORARRAY(D304),TRUE)/10*0.95)/1000,
IFERROR(IF(_xlpm.phase="3Phase", _xlpm.p3_calc, _xlpm.sp_calc),0))</f>
        <v>0</v>
      </c>
      <c r="AD304" s="29" t="str">
        <f ca="1"/>
        <v>Compute</v>
      </c>
      <c r="AE304" s="30" t="str">
        <f ca="1"/>
        <v>Hybrid</v>
      </c>
      <c r="AF304" s="30" t="str">
        <f ca="1"/>
        <v>Live</v>
      </c>
      <c r="AG304" s="30">
        <f ca="1"/>
        <v>10</v>
      </c>
      <c r="AH304" s="31" t="str">
        <f ca="1"/>
        <v>Unknown</v>
      </c>
      <c r="AI304" s="49">
        <f t="shared" ca="1" si="9"/>
        <v>0</v>
      </c>
      <c r="AJ304" s="71">
        <f ca="1"/>
        <v>9.4420000000000002</v>
      </c>
    </row>
    <row r="305" spans="2:36" x14ac:dyDescent="0.25">
      <c r="B305" s="29" t="str">
        <f ca="1"/>
        <v>dal10.sr01.rk294</v>
      </c>
      <c r="C305" s="10" t="s">
        <v>2070</v>
      </c>
      <c r="D305" s="2" t="b" cm="1">
        <f t="array" ref="D305:O305">_xlfn._xlws.FILTER(IF(ancillary!$E$4:$P$8="",FALSE,ancillary!$E$4:$P$8),ancillary!$B$4:$B$8=$C305)</f>
        <v>1</v>
      </c>
      <c r="E305" s="2" t="b">
        <v>1</v>
      </c>
      <c r="F305" s="2" t="b">
        <v>1</v>
      </c>
      <c r="G305" s="2" t="b">
        <v>1</v>
      </c>
      <c r="H305" s="2" t="b">
        <v>1</v>
      </c>
      <c r="I305" s="2" t="b">
        <v>1</v>
      </c>
      <c r="J305" s="2" t="b">
        <v>0</v>
      </c>
      <c r="K305" s="2" t="b">
        <v>0</v>
      </c>
      <c r="L305" s="2" t="b">
        <v>0</v>
      </c>
      <c r="M305" s="2" t="b">
        <v>0</v>
      </c>
      <c r="N305" s="2" t="b">
        <v>0</v>
      </c>
      <c r="O305" s="2" t="b">
        <v>0</v>
      </c>
      <c r="P305" s="68"/>
      <c r="R305" s="69"/>
      <c r="S305" s="68"/>
      <c r="U305" s="69"/>
      <c r="V305" s="68"/>
      <c r="X305" s="69"/>
      <c r="Y305" s="68"/>
      <c r="AA305" s="69"/>
      <c r="AB305" s="33">
        <f t="shared" si="8"/>
        <v>0</v>
      </c>
      <c r="AC305" s="45">
        <f>_xlfn.LET(_xlpm.ps_1,P305:R305, _xlpm.ps_2,S305:U305, _xlpm.ps_3,V305:X305, _xlpm.ps_4,Y305:AA305,
_xlpm.phase, MID(C305,SEARCH("-",C305)+1,256),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(_xlfn.XLOOKUP($C$7,site_assumptions[Details],site_assumptions[Volts])*SUMIFS(P305:AA305,_xlfn.ANCHORARRAY(D305),TRUE)/10*0.95)/1000,
IFERROR(IF(_xlpm.phase="3Phase", _xlpm.p3_calc, _xlpm.sp_calc),0))</f>
        <v>0</v>
      </c>
      <c r="AD305" s="29" t="str">
        <f ca="1"/>
        <v>Compute</v>
      </c>
      <c r="AE305" s="30" t="str">
        <f ca="1"/>
        <v>Hybrid</v>
      </c>
      <c r="AF305" s="30" t="str">
        <f ca="1"/>
        <v>Live</v>
      </c>
      <c r="AG305" s="30">
        <f ca="1"/>
        <v>10</v>
      </c>
      <c r="AH305" s="31" t="str">
        <f ca="1"/>
        <v>Unknown</v>
      </c>
      <c r="AI305" s="49">
        <f t="shared" ca="1" si="9"/>
        <v>0</v>
      </c>
      <c r="AJ305" s="71">
        <f ca="1"/>
        <v>9.6029999999999998</v>
      </c>
    </row>
    <row r="306" spans="2:36" x14ac:dyDescent="0.25">
      <c r="B306" s="29" t="str">
        <f ca="1"/>
        <v>dal10.sr01.rk295</v>
      </c>
      <c r="C306" s="10" t="s">
        <v>2070</v>
      </c>
      <c r="D306" s="2" t="b" cm="1">
        <f t="array" ref="D306:O306">_xlfn._xlws.FILTER(IF(ancillary!$E$4:$P$8="",FALSE,ancillary!$E$4:$P$8),ancillary!$B$4:$B$8=$C306)</f>
        <v>1</v>
      </c>
      <c r="E306" s="2" t="b">
        <v>1</v>
      </c>
      <c r="F306" s="2" t="b">
        <v>1</v>
      </c>
      <c r="G306" s="2" t="b">
        <v>1</v>
      </c>
      <c r="H306" s="2" t="b">
        <v>1</v>
      </c>
      <c r="I306" s="2" t="b">
        <v>1</v>
      </c>
      <c r="J306" s="2" t="b">
        <v>0</v>
      </c>
      <c r="K306" s="2" t="b">
        <v>0</v>
      </c>
      <c r="L306" s="2" t="b">
        <v>0</v>
      </c>
      <c r="M306" s="2" t="b">
        <v>0</v>
      </c>
      <c r="N306" s="2" t="b">
        <v>0</v>
      </c>
      <c r="O306" s="2" t="b">
        <v>0</v>
      </c>
      <c r="P306" s="68"/>
      <c r="R306" s="69"/>
      <c r="S306" s="68"/>
      <c r="U306" s="69"/>
      <c r="V306" s="68"/>
      <c r="X306" s="69"/>
      <c r="Y306" s="68"/>
      <c r="AA306" s="69"/>
      <c r="AB306" s="33">
        <f t="shared" si="8"/>
        <v>0</v>
      </c>
      <c r="AC306" s="45">
        <f>_xlfn.LET(_xlpm.ps_1,P306:R306, _xlpm.ps_2,S306:U306, _xlpm.ps_3,V306:X306, _xlpm.ps_4,Y306:AA306,
_xlpm.phase, MID(C306,SEARCH("-",C306)+1,256),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(_xlfn.XLOOKUP($C$7,site_assumptions[Details],site_assumptions[Volts])*SUMIFS(P306:AA306,_xlfn.ANCHORARRAY(D306),TRUE)/10*0.95)/1000,
IFERROR(IF(_xlpm.phase="3Phase", _xlpm.p3_calc, _xlpm.sp_calc),0))</f>
        <v>0</v>
      </c>
      <c r="AD306" s="29" t="str">
        <f ca="1"/>
        <v>Compute</v>
      </c>
      <c r="AE306" s="30" t="str">
        <f ca="1"/>
        <v>Hybrid</v>
      </c>
      <c r="AF306" s="30" t="str">
        <f ca="1"/>
        <v>Live</v>
      </c>
      <c r="AG306" s="30">
        <f ca="1"/>
        <v>10</v>
      </c>
      <c r="AH306" s="31" t="str">
        <f ca="1"/>
        <v>Unknown</v>
      </c>
      <c r="AI306" s="49">
        <f t="shared" ca="1" si="9"/>
        <v>0</v>
      </c>
      <c r="AJ306" s="71">
        <f ca="1"/>
        <v>8.7409999999999997</v>
      </c>
    </row>
    <row r="307" spans="2:36" x14ac:dyDescent="0.25">
      <c r="B307" s="29" t="str">
        <f ca="1"/>
        <v>dal10.sr01.rk296</v>
      </c>
      <c r="C307" s="10" t="s">
        <v>2070</v>
      </c>
      <c r="D307" s="2" t="b" cm="1">
        <f t="array" ref="D307:O307">_xlfn._xlws.FILTER(IF(ancillary!$E$4:$P$8="",FALSE,ancillary!$E$4:$P$8),ancillary!$B$4:$B$8=$C307)</f>
        <v>1</v>
      </c>
      <c r="E307" s="2" t="b">
        <v>1</v>
      </c>
      <c r="F307" s="2" t="b">
        <v>1</v>
      </c>
      <c r="G307" s="2" t="b">
        <v>1</v>
      </c>
      <c r="H307" s="2" t="b">
        <v>1</v>
      </c>
      <c r="I307" s="2" t="b">
        <v>1</v>
      </c>
      <c r="J307" s="2" t="b">
        <v>0</v>
      </c>
      <c r="K307" s="2" t="b">
        <v>0</v>
      </c>
      <c r="L307" s="2" t="b">
        <v>0</v>
      </c>
      <c r="M307" s="2" t="b">
        <v>0</v>
      </c>
      <c r="N307" s="2" t="b">
        <v>0</v>
      </c>
      <c r="O307" s="2" t="b">
        <v>0</v>
      </c>
      <c r="P307" s="68"/>
      <c r="R307" s="69"/>
      <c r="S307" s="68"/>
      <c r="U307" s="69"/>
      <c r="V307" s="68"/>
      <c r="X307" s="69"/>
      <c r="Y307" s="68"/>
      <c r="AA307" s="69"/>
      <c r="AB307" s="33">
        <f t="shared" si="8"/>
        <v>0</v>
      </c>
      <c r="AC307" s="45">
        <f>_xlfn.LET(_xlpm.ps_1,P307:R307, _xlpm.ps_2,S307:U307, _xlpm.ps_3,V307:X307, _xlpm.ps_4,Y307:AA307,
_xlpm.phase, MID(C307,SEARCH("-",C307)+1,256),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(_xlfn.XLOOKUP($C$7,site_assumptions[Details],site_assumptions[Volts])*SUMIFS(P307:AA307,_xlfn.ANCHORARRAY(D307),TRUE)/10*0.95)/1000,
IFERROR(IF(_xlpm.phase="3Phase", _xlpm.p3_calc, _xlpm.sp_calc),0))</f>
        <v>0</v>
      </c>
      <c r="AD307" s="29" t="str">
        <f ca="1"/>
        <v>Compute</v>
      </c>
      <c r="AE307" s="30" t="str">
        <f ca="1"/>
        <v>Hybrid</v>
      </c>
      <c r="AF307" s="30" t="str">
        <f ca="1"/>
        <v>Live</v>
      </c>
      <c r="AG307" s="30">
        <f ca="1"/>
        <v>10</v>
      </c>
      <c r="AH307" s="31" t="str">
        <f ca="1"/>
        <v>Unknown</v>
      </c>
      <c r="AI307" s="49">
        <f t="shared" ca="1" si="9"/>
        <v>0</v>
      </c>
      <c r="AJ307" s="71">
        <f ca="1"/>
        <v>9.1489999999999991</v>
      </c>
    </row>
    <row r="308" spans="2:36" x14ac:dyDescent="0.25">
      <c r="B308" s="29" t="str">
        <f ca="1"/>
        <v>dal10.sr01.rk297</v>
      </c>
      <c r="C308" s="10" t="s">
        <v>2070</v>
      </c>
      <c r="D308" s="2" t="b" cm="1">
        <f t="array" ref="D308:O308">_xlfn._xlws.FILTER(IF(ancillary!$E$4:$P$8="",FALSE,ancillary!$E$4:$P$8),ancillary!$B$4:$B$8=$C308)</f>
        <v>1</v>
      </c>
      <c r="E308" s="2" t="b">
        <v>1</v>
      </c>
      <c r="F308" s="2" t="b">
        <v>1</v>
      </c>
      <c r="G308" s="2" t="b">
        <v>1</v>
      </c>
      <c r="H308" s="2" t="b">
        <v>1</v>
      </c>
      <c r="I308" s="2" t="b">
        <v>1</v>
      </c>
      <c r="J308" s="2" t="b">
        <v>0</v>
      </c>
      <c r="K308" s="2" t="b">
        <v>0</v>
      </c>
      <c r="L308" s="2" t="b">
        <v>0</v>
      </c>
      <c r="M308" s="2" t="b">
        <v>0</v>
      </c>
      <c r="N308" s="2" t="b">
        <v>0</v>
      </c>
      <c r="O308" s="2" t="b">
        <v>0</v>
      </c>
      <c r="P308" s="68"/>
      <c r="R308" s="69"/>
      <c r="S308" s="68"/>
      <c r="U308" s="69"/>
      <c r="V308" s="68"/>
      <c r="X308" s="69"/>
      <c r="Y308" s="68"/>
      <c r="AA308" s="69"/>
      <c r="AB308" s="33">
        <f t="shared" si="8"/>
        <v>0</v>
      </c>
      <c r="AC308" s="45">
        <f>_xlfn.LET(_xlpm.ps_1,P308:R308, _xlpm.ps_2,S308:U308, _xlpm.ps_3,V308:X308, _xlpm.ps_4,Y308:AA308,
_xlpm.phase, MID(C308,SEARCH("-",C308)+1,256),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(_xlfn.XLOOKUP($C$7,site_assumptions[Details],site_assumptions[Volts])*SUMIFS(P308:AA308,_xlfn.ANCHORARRAY(D308),TRUE)/10*0.95)/1000,
IFERROR(IF(_xlpm.phase="3Phase", _xlpm.p3_calc, _xlpm.sp_calc),0))</f>
        <v>0</v>
      </c>
      <c r="AD308" s="29" t="str">
        <f ca="1"/>
        <v>Compute</v>
      </c>
      <c r="AE308" s="30" t="str">
        <f ca="1"/>
        <v>Hybrid</v>
      </c>
      <c r="AF308" s="30" t="str">
        <f ca="1"/>
        <v>Live</v>
      </c>
      <c r="AG308" s="30">
        <f ca="1"/>
        <v>10</v>
      </c>
      <c r="AH308" s="31" t="str">
        <f ca="1"/>
        <v>Unknown</v>
      </c>
      <c r="AI308" s="49">
        <f t="shared" ca="1" si="9"/>
        <v>0</v>
      </c>
      <c r="AJ308" s="71">
        <f ca="1"/>
        <v>7.8239999999999998</v>
      </c>
    </row>
    <row r="309" spans="2:36" x14ac:dyDescent="0.25">
      <c r="B309" s="29" t="str">
        <f ca="1"/>
        <v>dal10.sr01.rk298</v>
      </c>
      <c r="C309" s="10" t="s">
        <v>2070</v>
      </c>
      <c r="D309" s="2" t="b" cm="1">
        <f t="array" ref="D309:O309">_xlfn._xlws.FILTER(IF(ancillary!$E$4:$P$8="",FALSE,ancillary!$E$4:$P$8),ancillary!$B$4:$B$8=$C309)</f>
        <v>1</v>
      </c>
      <c r="E309" s="2" t="b">
        <v>1</v>
      </c>
      <c r="F309" s="2" t="b">
        <v>1</v>
      </c>
      <c r="G309" s="2" t="b">
        <v>1</v>
      </c>
      <c r="H309" s="2" t="b">
        <v>1</v>
      </c>
      <c r="I309" s="2" t="b">
        <v>1</v>
      </c>
      <c r="J309" s="2" t="b">
        <v>0</v>
      </c>
      <c r="K309" s="2" t="b">
        <v>0</v>
      </c>
      <c r="L309" s="2" t="b">
        <v>0</v>
      </c>
      <c r="M309" s="2" t="b">
        <v>0</v>
      </c>
      <c r="N309" s="2" t="b">
        <v>0</v>
      </c>
      <c r="O309" s="2" t="b">
        <v>0</v>
      </c>
      <c r="P309" s="68"/>
      <c r="R309" s="69"/>
      <c r="S309" s="68"/>
      <c r="U309" s="69"/>
      <c r="V309" s="68"/>
      <c r="X309" s="69"/>
      <c r="Y309" s="68"/>
      <c r="AA309" s="69"/>
      <c r="AB309" s="33">
        <f t="shared" si="8"/>
        <v>0</v>
      </c>
      <c r="AC309" s="45">
        <f>_xlfn.LET(_xlpm.ps_1,P309:R309, _xlpm.ps_2,S309:U309, _xlpm.ps_3,V309:X309, _xlpm.ps_4,Y309:AA309,
_xlpm.phase, MID(C309,SEARCH("-",C309)+1,256),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(_xlfn.XLOOKUP($C$7,site_assumptions[Details],site_assumptions[Volts])*SUMIFS(P309:AA309,_xlfn.ANCHORARRAY(D309),TRUE)/10*0.95)/1000,
IFERROR(IF(_xlpm.phase="3Phase", _xlpm.p3_calc, _xlpm.sp_calc),0))</f>
        <v>0</v>
      </c>
      <c r="AD309" s="29" t="str">
        <f ca="1"/>
        <v>Bare Metal</v>
      </c>
      <c r="AE309" s="30" t="str">
        <f ca="1"/>
        <v>Bare Metal</v>
      </c>
      <c r="AF309" s="30" t="str">
        <f ca="1"/>
        <v>Live</v>
      </c>
      <c r="AG309" s="30">
        <f ca="1"/>
        <v>6</v>
      </c>
      <c r="AH309" s="31" t="str">
        <f ca="1"/>
        <v>Unknown</v>
      </c>
      <c r="AI309" s="49">
        <f t="shared" ca="1" si="9"/>
        <v>0</v>
      </c>
      <c r="AJ309" s="71">
        <f ca="1"/>
        <v>4.2229999999999999</v>
      </c>
    </row>
    <row r="310" spans="2:36" x14ac:dyDescent="0.25">
      <c r="B310" s="29" t="str">
        <f ca="1"/>
        <v>dal10.sr01.rk299</v>
      </c>
      <c r="C310" s="10" t="s">
        <v>2070</v>
      </c>
      <c r="D310" s="2" t="b" cm="1">
        <f t="array" ref="D310:O310">_xlfn._xlws.FILTER(IF(ancillary!$E$4:$P$8="",FALSE,ancillary!$E$4:$P$8),ancillary!$B$4:$B$8=$C310)</f>
        <v>1</v>
      </c>
      <c r="E310" s="2" t="b">
        <v>1</v>
      </c>
      <c r="F310" s="2" t="b">
        <v>1</v>
      </c>
      <c r="G310" s="2" t="b">
        <v>1</v>
      </c>
      <c r="H310" s="2" t="b">
        <v>1</v>
      </c>
      <c r="I310" s="2" t="b">
        <v>1</v>
      </c>
      <c r="J310" s="2" t="b">
        <v>0</v>
      </c>
      <c r="K310" s="2" t="b">
        <v>0</v>
      </c>
      <c r="L310" s="2" t="b">
        <v>0</v>
      </c>
      <c r="M310" s="2" t="b">
        <v>0</v>
      </c>
      <c r="N310" s="2" t="b">
        <v>0</v>
      </c>
      <c r="O310" s="2" t="b">
        <v>0</v>
      </c>
      <c r="P310" s="68"/>
      <c r="R310" s="69"/>
      <c r="S310" s="68"/>
      <c r="U310" s="69"/>
      <c r="V310" s="68"/>
      <c r="X310" s="69"/>
      <c r="Y310" s="68"/>
      <c r="AA310" s="69"/>
      <c r="AB310" s="33">
        <f t="shared" si="8"/>
        <v>0</v>
      </c>
      <c r="AC310" s="45">
        <f>_xlfn.LET(_xlpm.ps_1,P310:R310, _xlpm.ps_2,S310:U310, _xlpm.ps_3,V310:X310, _xlpm.ps_4,Y310:AA310,
_xlpm.phase, MID(C310,SEARCH("-",C310)+1,256),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(_xlfn.XLOOKUP($C$7,site_assumptions[Details],site_assumptions[Volts])*SUMIFS(P310:AA310,_xlfn.ANCHORARRAY(D310),TRUE)/10*0.95)/1000,
IFERROR(IF(_xlpm.phase="3Phase", _xlpm.p3_calc, _xlpm.sp_calc),0))</f>
        <v>0</v>
      </c>
      <c r="AD310" s="29" t="str">
        <f ca="1"/>
        <v>Bare Metal</v>
      </c>
      <c r="AE310" s="30" t="str">
        <f ca="1"/>
        <v>Bare Metal</v>
      </c>
      <c r="AF310" s="30" t="str">
        <f ca="1"/>
        <v>Live</v>
      </c>
      <c r="AG310" s="30">
        <f ca="1"/>
        <v>6</v>
      </c>
      <c r="AH310" s="31" t="str">
        <f ca="1"/>
        <v>Unknown</v>
      </c>
      <c r="AI310" s="49">
        <f t="shared" ca="1" si="9"/>
        <v>0</v>
      </c>
      <c r="AJ310" s="71">
        <f ca="1"/>
        <v>5.9610000000000003</v>
      </c>
    </row>
    <row r="311" spans="2:36" x14ac:dyDescent="0.25">
      <c r="B311" s="29" t="str">
        <f ca="1"/>
        <v>dal10.sr01.rk300</v>
      </c>
      <c r="C311" s="10" t="s">
        <v>2070</v>
      </c>
      <c r="D311" s="2" t="b" cm="1">
        <f t="array" ref="D311:O311">_xlfn._xlws.FILTER(IF(ancillary!$E$4:$P$8="",FALSE,ancillary!$E$4:$P$8),ancillary!$B$4:$B$8=$C311)</f>
        <v>1</v>
      </c>
      <c r="E311" s="2" t="b">
        <v>1</v>
      </c>
      <c r="F311" s="2" t="b">
        <v>1</v>
      </c>
      <c r="G311" s="2" t="b">
        <v>1</v>
      </c>
      <c r="H311" s="2" t="b">
        <v>1</v>
      </c>
      <c r="I311" s="2" t="b">
        <v>1</v>
      </c>
      <c r="J311" s="2" t="b">
        <v>0</v>
      </c>
      <c r="K311" s="2" t="b">
        <v>0</v>
      </c>
      <c r="L311" s="2" t="b">
        <v>0</v>
      </c>
      <c r="M311" s="2" t="b">
        <v>0</v>
      </c>
      <c r="N311" s="2" t="b">
        <v>0</v>
      </c>
      <c r="O311" s="2" t="b">
        <v>0</v>
      </c>
      <c r="P311" s="68"/>
      <c r="R311" s="69"/>
      <c r="S311" s="68"/>
      <c r="U311" s="69"/>
      <c r="V311" s="68"/>
      <c r="X311" s="69"/>
      <c r="Y311" s="68"/>
      <c r="AA311" s="69"/>
      <c r="AB311" s="33">
        <f t="shared" si="8"/>
        <v>0</v>
      </c>
      <c r="AC311" s="45">
        <f>_xlfn.LET(_xlpm.ps_1,P311:R311, _xlpm.ps_2,S311:U311, _xlpm.ps_3,V311:X311, _xlpm.ps_4,Y311:AA311,
_xlpm.phase, MID(C311,SEARCH("-",C311)+1,256),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(_xlfn.XLOOKUP($C$7,site_assumptions[Details],site_assumptions[Volts])*SUMIFS(P311:AA311,_xlfn.ANCHORARRAY(D311),TRUE)/10*0.95)/1000,
IFERROR(IF(_xlpm.phase="3Phase", _xlpm.p3_calc, _xlpm.sp_calc),0))</f>
        <v>0</v>
      </c>
      <c r="AD311" s="29" t="str">
        <f ca="1"/>
        <v>Bare Metal</v>
      </c>
      <c r="AE311" s="30" t="str">
        <f ca="1"/>
        <v>Bare Metal</v>
      </c>
      <c r="AF311" s="30" t="str">
        <f ca="1"/>
        <v>Live</v>
      </c>
      <c r="AG311" s="30">
        <f ca="1"/>
        <v>6</v>
      </c>
      <c r="AH311" s="31" t="str">
        <f ca="1"/>
        <v>Unknown</v>
      </c>
      <c r="AI311" s="49">
        <f t="shared" ca="1" si="9"/>
        <v>0</v>
      </c>
      <c r="AJ311" s="71">
        <f ca="1"/>
        <v>5.0990000000000002</v>
      </c>
    </row>
    <row r="312" spans="2:36" x14ac:dyDescent="0.25">
      <c r="B312" s="29" t="str">
        <f ca="1"/>
        <v>dal10.sr01.rk301</v>
      </c>
      <c r="C312" s="10" t="s">
        <v>2070</v>
      </c>
      <c r="D312" s="2" t="b" cm="1">
        <f t="array" ref="D312:O312">_xlfn._xlws.FILTER(IF(ancillary!$E$4:$P$8="",FALSE,ancillary!$E$4:$P$8),ancillary!$B$4:$B$8=$C312)</f>
        <v>1</v>
      </c>
      <c r="E312" s="2" t="b">
        <v>1</v>
      </c>
      <c r="F312" s="2" t="b">
        <v>1</v>
      </c>
      <c r="G312" s="2" t="b">
        <v>1</v>
      </c>
      <c r="H312" s="2" t="b">
        <v>1</v>
      </c>
      <c r="I312" s="2" t="b">
        <v>1</v>
      </c>
      <c r="J312" s="2" t="b">
        <v>0</v>
      </c>
      <c r="K312" s="2" t="b">
        <v>0</v>
      </c>
      <c r="L312" s="2" t="b">
        <v>0</v>
      </c>
      <c r="M312" s="2" t="b">
        <v>0</v>
      </c>
      <c r="N312" s="2" t="b">
        <v>0</v>
      </c>
      <c r="O312" s="2" t="b">
        <v>0</v>
      </c>
      <c r="P312" s="68"/>
      <c r="R312" s="69"/>
      <c r="S312" s="68"/>
      <c r="U312" s="69"/>
      <c r="V312" s="68"/>
      <c r="X312" s="69"/>
      <c r="Y312" s="68"/>
      <c r="AA312" s="69"/>
      <c r="AB312" s="33">
        <f t="shared" si="8"/>
        <v>0</v>
      </c>
      <c r="AC312" s="45">
        <f>_xlfn.LET(_xlpm.ps_1,P312:R312, _xlpm.ps_2,S312:U312, _xlpm.ps_3,V312:X312, _xlpm.ps_4,Y312:AA312,
_xlpm.phase, MID(C312,SEARCH("-",C312)+1,256),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(_xlfn.XLOOKUP($C$7,site_assumptions[Details],site_assumptions[Volts])*SUMIFS(P312:AA312,_xlfn.ANCHORARRAY(D312),TRUE)/10*0.95)/1000,
IFERROR(IF(_xlpm.phase="3Phase", _xlpm.p3_calc, _xlpm.sp_calc),0))</f>
        <v>0</v>
      </c>
      <c r="AD312" s="29" t="str">
        <f ca="1"/>
        <v>Bare Metal</v>
      </c>
      <c r="AE312" s="30" t="str">
        <f ca="1"/>
        <v>Bare Metal</v>
      </c>
      <c r="AF312" s="30" t="str">
        <f ca="1"/>
        <v>Live</v>
      </c>
      <c r="AG312" s="30">
        <f ca="1"/>
        <v>6</v>
      </c>
      <c r="AH312" s="31" t="str">
        <f ca="1"/>
        <v>Unknown</v>
      </c>
      <c r="AI312" s="49">
        <f t="shared" ca="1" si="9"/>
        <v>0</v>
      </c>
      <c r="AJ312" s="71">
        <f ca="1"/>
        <v>4.9379999999999997</v>
      </c>
    </row>
    <row r="313" spans="2:36" x14ac:dyDescent="0.25">
      <c r="B313" s="29" t="str">
        <f ca="1"/>
        <v>dal10.sr01.rk302</v>
      </c>
      <c r="C313" s="10" t="s">
        <v>2070</v>
      </c>
      <c r="D313" s="2" t="b" cm="1">
        <f t="array" ref="D313:O313">_xlfn._xlws.FILTER(IF(ancillary!$E$4:$P$8="",FALSE,ancillary!$E$4:$P$8),ancillary!$B$4:$B$8=$C313)</f>
        <v>1</v>
      </c>
      <c r="E313" s="2" t="b">
        <v>1</v>
      </c>
      <c r="F313" s="2" t="b">
        <v>1</v>
      </c>
      <c r="G313" s="2" t="b">
        <v>1</v>
      </c>
      <c r="H313" s="2" t="b">
        <v>1</v>
      </c>
      <c r="I313" s="2" t="b">
        <v>1</v>
      </c>
      <c r="J313" s="2" t="b">
        <v>0</v>
      </c>
      <c r="K313" s="2" t="b">
        <v>0</v>
      </c>
      <c r="L313" s="2" t="b">
        <v>0</v>
      </c>
      <c r="M313" s="2" t="b">
        <v>0</v>
      </c>
      <c r="N313" s="2" t="b">
        <v>0</v>
      </c>
      <c r="O313" s="2" t="b">
        <v>0</v>
      </c>
      <c r="P313" s="68"/>
      <c r="R313" s="69"/>
      <c r="S313" s="68"/>
      <c r="U313" s="69"/>
      <c r="V313" s="68"/>
      <c r="X313" s="69"/>
      <c r="Y313" s="68"/>
      <c r="AA313" s="69"/>
      <c r="AB313" s="33">
        <f t="shared" si="8"/>
        <v>0</v>
      </c>
      <c r="AC313" s="45">
        <f>_xlfn.LET(_xlpm.ps_1,P313:R313, _xlpm.ps_2,S313:U313, _xlpm.ps_3,V313:X313, _xlpm.ps_4,Y313:AA313,
_xlpm.phase, MID(C313,SEARCH("-",C313)+1,256),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(_xlfn.XLOOKUP($C$7,site_assumptions[Details],site_assumptions[Volts])*SUMIFS(P313:AA313,_xlfn.ANCHORARRAY(D313),TRUE)/10*0.95)/1000,
IFERROR(IF(_xlpm.phase="3Phase", _xlpm.p3_calc, _xlpm.sp_calc),0))</f>
        <v>0</v>
      </c>
      <c r="AD313" s="29" t="str">
        <f ca="1"/>
        <v>Bare Metal</v>
      </c>
      <c r="AE313" s="30" t="str">
        <f ca="1"/>
        <v>Bare Metal</v>
      </c>
      <c r="AF313" s="30" t="str">
        <f ca="1"/>
        <v>Live</v>
      </c>
      <c r="AG313" s="30">
        <f ca="1"/>
        <v>6</v>
      </c>
      <c r="AH313" s="31" t="str">
        <f ca="1"/>
        <v>Unknown</v>
      </c>
      <c r="AI313" s="49">
        <f t="shared" ca="1" si="9"/>
        <v>0</v>
      </c>
      <c r="AJ313" s="71">
        <f ca="1"/>
        <v>5.351</v>
      </c>
    </row>
    <row r="314" spans="2:36" x14ac:dyDescent="0.25">
      <c r="B314" s="29" t="str">
        <f ca="1"/>
        <v>dal10.sr01.rk303</v>
      </c>
      <c r="C314" s="10" t="s">
        <v>2070</v>
      </c>
      <c r="D314" s="2" t="b" cm="1">
        <f t="array" ref="D314:O314">_xlfn._xlws.FILTER(IF(ancillary!$E$4:$P$8="",FALSE,ancillary!$E$4:$P$8),ancillary!$B$4:$B$8=$C314)</f>
        <v>1</v>
      </c>
      <c r="E314" s="2" t="b">
        <v>1</v>
      </c>
      <c r="F314" s="2" t="b">
        <v>1</v>
      </c>
      <c r="G314" s="2" t="b">
        <v>1</v>
      </c>
      <c r="H314" s="2" t="b">
        <v>1</v>
      </c>
      <c r="I314" s="2" t="b">
        <v>1</v>
      </c>
      <c r="J314" s="2" t="b">
        <v>0</v>
      </c>
      <c r="K314" s="2" t="b">
        <v>0</v>
      </c>
      <c r="L314" s="2" t="b">
        <v>0</v>
      </c>
      <c r="M314" s="2" t="b">
        <v>0</v>
      </c>
      <c r="N314" s="2" t="b">
        <v>0</v>
      </c>
      <c r="O314" s="2" t="b">
        <v>0</v>
      </c>
      <c r="P314" s="68"/>
      <c r="R314" s="69"/>
      <c r="S314" s="68"/>
      <c r="U314" s="69"/>
      <c r="V314" s="68"/>
      <c r="X314" s="69"/>
      <c r="Y314" s="68"/>
      <c r="AA314" s="69"/>
      <c r="AB314" s="33">
        <f t="shared" si="8"/>
        <v>0</v>
      </c>
      <c r="AC314" s="45">
        <f>_xlfn.LET(_xlpm.ps_1,P314:R314, _xlpm.ps_2,S314:U314, _xlpm.ps_3,V314:X314, _xlpm.ps_4,Y314:AA314,
_xlpm.phase, MID(C314,SEARCH("-",C314)+1,256),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(_xlfn.XLOOKUP($C$7,site_assumptions[Details],site_assumptions[Volts])*SUMIFS(P314:AA314,_xlfn.ANCHORARRAY(D314),TRUE)/10*0.95)/1000,
IFERROR(IF(_xlpm.phase="3Phase", _xlpm.p3_calc, _xlpm.sp_calc),0))</f>
        <v>0</v>
      </c>
      <c r="AD314" s="29" t="str">
        <f ca="1"/>
        <v>Network</v>
      </c>
      <c r="AE314" s="30" t="str">
        <f ca="1"/>
        <v>Aggregate</v>
      </c>
      <c r="AF314" s="30" t="str">
        <f ca="1"/>
        <v>Live</v>
      </c>
      <c r="AG314" s="30">
        <f ca="1"/>
        <v>5</v>
      </c>
      <c r="AH314" s="31" t="str">
        <f ca="1"/>
        <v>Unknown</v>
      </c>
      <c r="AI314" s="49">
        <f t="shared" ca="1" si="9"/>
        <v>0</v>
      </c>
      <c r="AJ314" s="71">
        <f ca="1"/>
        <v>0</v>
      </c>
    </row>
    <row r="315" spans="2:36" x14ac:dyDescent="0.25">
      <c r="B315" s="29" t="str">
        <f ca="1"/>
        <v>dal10.sr01.rk304</v>
      </c>
      <c r="C315" s="10" t="s">
        <v>2070</v>
      </c>
      <c r="D315" s="2" t="b" cm="1">
        <f t="array" ref="D315:O315">_xlfn._xlws.FILTER(IF(ancillary!$E$4:$P$8="",FALSE,ancillary!$E$4:$P$8),ancillary!$B$4:$B$8=$C315)</f>
        <v>1</v>
      </c>
      <c r="E315" s="2" t="b">
        <v>1</v>
      </c>
      <c r="F315" s="2" t="b">
        <v>1</v>
      </c>
      <c r="G315" s="2" t="b">
        <v>1</v>
      </c>
      <c r="H315" s="2" t="b">
        <v>1</v>
      </c>
      <c r="I315" s="2" t="b">
        <v>1</v>
      </c>
      <c r="J315" s="2" t="b">
        <v>0</v>
      </c>
      <c r="K315" s="2" t="b">
        <v>0</v>
      </c>
      <c r="L315" s="2" t="b">
        <v>0</v>
      </c>
      <c r="M315" s="2" t="b">
        <v>0</v>
      </c>
      <c r="N315" s="2" t="b">
        <v>0</v>
      </c>
      <c r="O315" s="2" t="b">
        <v>0</v>
      </c>
      <c r="P315" s="68"/>
      <c r="R315" s="69"/>
      <c r="S315" s="68"/>
      <c r="U315" s="69"/>
      <c r="V315" s="68"/>
      <c r="X315" s="69"/>
      <c r="Y315" s="68"/>
      <c r="AA315" s="69"/>
      <c r="AB315" s="33">
        <f t="shared" si="8"/>
        <v>0</v>
      </c>
      <c r="AC315" s="45">
        <f>_xlfn.LET(_xlpm.ps_1,P315:R315, _xlpm.ps_2,S315:U315, _xlpm.ps_3,V315:X315, _xlpm.ps_4,Y315:AA315,
_xlpm.phase, MID(C315,SEARCH("-",C315)+1,256),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(_xlfn.XLOOKUP($C$7,site_assumptions[Details],site_assumptions[Volts])*SUMIFS(P315:AA315,_xlfn.ANCHORARRAY(D315),TRUE)/10*0.95)/1000,
IFERROR(IF(_xlpm.phase="3Phase", _xlpm.p3_calc, _xlpm.sp_calc),0))</f>
        <v>0</v>
      </c>
      <c r="AD315" s="29" t="str">
        <f ca="1"/>
        <v>Bare Metal</v>
      </c>
      <c r="AE315" s="30" t="str">
        <f ca="1"/>
        <v>Bare Metal</v>
      </c>
      <c r="AF315" s="30" t="str">
        <f ca="1"/>
        <v>Live</v>
      </c>
      <c r="AG315" s="30">
        <f ca="1"/>
        <v>6</v>
      </c>
      <c r="AH315" s="31" t="str">
        <f ca="1"/>
        <v>Unknown</v>
      </c>
      <c r="AI315" s="49">
        <f t="shared" ca="1" si="9"/>
        <v>0</v>
      </c>
      <c r="AJ315" s="71">
        <f ca="1"/>
        <v>3.0030000000000001</v>
      </c>
    </row>
    <row r="316" spans="2:36" x14ac:dyDescent="0.25">
      <c r="B316" s="29" t="str">
        <f ca="1"/>
        <v>dal10.sr01.rk305</v>
      </c>
      <c r="C316" s="10" t="s">
        <v>2070</v>
      </c>
      <c r="D316" s="2" t="b" cm="1">
        <f t="array" ref="D316:O316">_xlfn._xlws.FILTER(IF(ancillary!$E$4:$P$8="",FALSE,ancillary!$E$4:$P$8),ancillary!$B$4:$B$8=$C316)</f>
        <v>1</v>
      </c>
      <c r="E316" s="2" t="b">
        <v>1</v>
      </c>
      <c r="F316" s="2" t="b">
        <v>1</v>
      </c>
      <c r="G316" s="2" t="b">
        <v>1</v>
      </c>
      <c r="H316" s="2" t="b">
        <v>1</v>
      </c>
      <c r="I316" s="2" t="b">
        <v>1</v>
      </c>
      <c r="J316" s="2" t="b">
        <v>0</v>
      </c>
      <c r="K316" s="2" t="b">
        <v>0</v>
      </c>
      <c r="L316" s="2" t="b">
        <v>0</v>
      </c>
      <c r="M316" s="2" t="b">
        <v>0</v>
      </c>
      <c r="N316" s="2" t="b">
        <v>0</v>
      </c>
      <c r="O316" s="2" t="b">
        <v>0</v>
      </c>
      <c r="P316" s="68"/>
      <c r="R316" s="69"/>
      <c r="S316" s="68"/>
      <c r="U316" s="69"/>
      <c r="V316" s="68"/>
      <c r="X316" s="69"/>
      <c r="Y316" s="68"/>
      <c r="AA316" s="69"/>
      <c r="AB316" s="33">
        <f t="shared" si="8"/>
        <v>0</v>
      </c>
      <c r="AC316" s="45">
        <f>_xlfn.LET(_xlpm.ps_1,P316:R316, _xlpm.ps_2,S316:U316, _xlpm.ps_3,V316:X316, _xlpm.ps_4,Y316:AA316,
_xlpm.phase, MID(C316,SEARCH("-",C316)+1,256),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(_xlfn.XLOOKUP($C$7,site_assumptions[Details],site_assumptions[Volts])*SUMIFS(P316:AA316,_xlfn.ANCHORARRAY(D316),TRUE)/10*0.95)/1000,
IFERROR(IF(_xlpm.phase="3Phase", _xlpm.p3_calc, _xlpm.sp_calc),0))</f>
        <v>0</v>
      </c>
      <c r="AD316" s="29" t="str">
        <f ca="1"/>
        <v>Bare Metal</v>
      </c>
      <c r="AE316" s="30" t="str">
        <f ca="1"/>
        <v>Bare Metal</v>
      </c>
      <c r="AF316" s="30" t="str">
        <f ca="1"/>
        <v>Live</v>
      </c>
      <c r="AG316" s="30">
        <f ca="1"/>
        <v>6</v>
      </c>
      <c r="AH316" s="31" t="str">
        <f ca="1"/>
        <v>Unknown</v>
      </c>
      <c r="AI316" s="49">
        <f t="shared" ca="1" si="9"/>
        <v>0</v>
      </c>
      <c r="AJ316" s="71">
        <f ca="1"/>
        <v>11.391999999999999</v>
      </c>
    </row>
    <row r="317" spans="2:36" x14ac:dyDescent="0.25">
      <c r="B317" s="29" t="str">
        <f ca="1"/>
        <v>dal10.sr01.rk306</v>
      </c>
      <c r="C317" s="10" t="s">
        <v>2070</v>
      </c>
      <c r="D317" s="2" t="b" cm="1">
        <f t="array" ref="D317:O317">_xlfn._xlws.FILTER(IF(ancillary!$E$4:$P$8="",FALSE,ancillary!$E$4:$P$8),ancillary!$B$4:$B$8=$C317)</f>
        <v>1</v>
      </c>
      <c r="E317" s="2" t="b">
        <v>1</v>
      </c>
      <c r="F317" s="2" t="b">
        <v>1</v>
      </c>
      <c r="G317" s="2" t="b">
        <v>1</v>
      </c>
      <c r="H317" s="2" t="b">
        <v>1</v>
      </c>
      <c r="I317" s="2" t="b">
        <v>1</v>
      </c>
      <c r="J317" s="2" t="b">
        <v>0</v>
      </c>
      <c r="K317" s="2" t="b">
        <v>0</v>
      </c>
      <c r="L317" s="2" t="b">
        <v>0</v>
      </c>
      <c r="M317" s="2" t="b">
        <v>0</v>
      </c>
      <c r="N317" s="2" t="b">
        <v>0</v>
      </c>
      <c r="O317" s="2" t="b">
        <v>0</v>
      </c>
      <c r="P317" s="68"/>
      <c r="R317" s="69"/>
      <c r="S317" s="68"/>
      <c r="U317" s="69"/>
      <c r="V317" s="68"/>
      <c r="X317" s="69"/>
      <c r="Y317" s="68"/>
      <c r="AA317" s="69"/>
      <c r="AB317" s="33">
        <f t="shared" si="8"/>
        <v>0</v>
      </c>
      <c r="AC317" s="45">
        <f>_xlfn.LET(_xlpm.ps_1,P317:R317, _xlpm.ps_2,S317:U317, _xlpm.ps_3,V317:X317, _xlpm.ps_4,Y317:AA317,
_xlpm.phase, MID(C317,SEARCH("-",C317)+1,256),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(_xlfn.XLOOKUP($C$7,site_assumptions[Details],site_assumptions[Volts])*SUMIFS(P317:AA317,_xlfn.ANCHORARRAY(D317),TRUE)/10*0.95)/1000,
IFERROR(IF(_xlpm.phase="3Phase", _xlpm.p3_calc, _xlpm.sp_calc),0))</f>
        <v>0</v>
      </c>
      <c r="AD317" s="29" t="str">
        <f ca="1"/>
        <v>Bare Metal</v>
      </c>
      <c r="AE317" s="30" t="str">
        <f ca="1"/>
        <v>Bare Metal</v>
      </c>
      <c r="AF317" s="30" t="str">
        <f ca="1"/>
        <v>Live</v>
      </c>
      <c r="AG317" s="30">
        <f ca="1"/>
        <v>6</v>
      </c>
      <c r="AH317" s="31" t="str">
        <f ca="1"/>
        <v>Unknown</v>
      </c>
      <c r="AI317" s="49">
        <f t="shared" ca="1" si="9"/>
        <v>0</v>
      </c>
      <c r="AJ317" s="71">
        <f ca="1"/>
        <v>4.3220000000000001</v>
      </c>
    </row>
    <row r="318" spans="2:36" x14ac:dyDescent="0.25">
      <c r="B318" s="29" t="str">
        <f ca="1"/>
        <v>dal10.sr01.rk307</v>
      </c>
      <c r="C318" s="10" t="s">
        <v>2070</v>
      </c>
      <c r="D318" s="2" t="b" cm="1">
        <f t="array" ref="D318:O318">_xlfn._xlws.FILTER(IF(ancillary!$E$4:$P$8="",FALSE,ancillary!$E$4:$P$8),ancillary!$B$4:$B$8=$C318)</f>
        <v>1</v>
      </c>
      <c r="E318" s="2" t="b">
        <v>1</v>
      </c>
      <c r="F318" s="2" t="b">
        <v>1</v>
      </c>
      <c r="G318" s="2" t="b">
        <v>1</v>
      </c>
      <c r="H318" s="2" t="b">
        <v>1</v>
      </c>
      <c r="I318" s="2" t="b">
        <v>1</v>
      </c>
      <c r="J318" s="2" t="b">
        <v>0</v>
      </c>
      <c r="K318" s="2" t="b">
        <v>0</v>
      </c>
      <c r="L318" s="2" t="b">
        <v>0</v>
      </c>
      <c r="M318" s="2" t="b">
        <v>0</v>
      </c>
      <c r="N318" s="2" t="b">
        <v>0</v>
      </c>
      <c r="O318" s="2" t="b">
        <v>0</v>
      </c>
      <c r="P318" s="68"/>
      <c r="R318" s="69"/>
      <c r="S318" s="68"/>
      <c r="U318" s="69"/>
      <c r="V318" s="68"/>
      <c r="X318" s="69"/>
      <c r="Y318" s="68"/>
      <c r="AA318" s="69"/>
      <c r="AB318" s="33">
        <f t="shared" si="8"/>
        <v>0</v>
      </c>
      <c r="AC318" s="45">
        <f>_xlfn.LET(_xlpm.ps_1,P318:R318, _xlpm.ps_2,S318:U318, _xlpm.ps_3,V318:X318, _xlpm.ps_4,Y318:AA318,
_xlpm.phase, MID(C318,SEARCH("-",C318)+1,256),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(_xlfn.XLOOKUP($C$7,site_assumptions[Details],site_assumptions[Volts])*SUMIFS(P318:AA318,_xlfn.ANCHORARRAY(D318),TRUE)/10*0.95)/1000,
IFERROR(IF(_xlpm.phase="3Phase", _xlpm.p3_calc, _xlpm.sp_calc),0))</f>
        <v>0</v>
      </c>
      <c r="AD318" s="29" t="str">
        <f ca="1"/>
        <v>Bare Metal</v>
      </c>
      <c r="AE318" s="30" t="str">
        <f ca="1"/>
        <v>Bare Metal</v>
      </c>
      <c r="AF318" s="30" t="str">
        <f ca="1"/>
        <v>Live</v>
      </c>
      <c r="AG318" s="30">
        <f ca="1"/>
        <v>6</v>
      </c>
      <c r="AH318" s="31" t="str">
        <f ca="1"/>
        <v>Unknown</v>
      </c>
      <c r="AI318" s="49">
        <f t="shared" ca="1" si="9"/>
        <v>0</v>
      </c>
      <c r="AJ318" s="71">
        <f ca="1"/>
        <v>5.1749999999999998</v>
      </c>
    </row>
    <row r="319" spans="2:36" x14ac:dyDescent="0.25">
      <c r="B319" s="29" t="str">
        <f ca="1"/>
        <v>dal10.sr01.rk308</v>
      </c>
      <c r="C319" s="10" t="s">
        <v>2070</v>
      </c>
      <c r="D319" s="2" t="b" cm="1">
        <f t="array" ref="D319:O319">_xlfn._xlws.FILTER(IF(ancillary!$E$4:$P$8="",FALSE,ancillary!$E$4:$P$8),ancillary!$B$4:$B$8=$C319)</f>
        <v>1</v>
      </c>
      <c r="E319" s="2" t="b">
        <v>1</v>
      </c>
      <c r="F319" s="2" t="b">
        <v>1</v>
      </c>
      <c r="G319" s="2" t="b">
        <v>1</v>
      </c>
      <c r="H319" s="2" t="b">
        <v>1</v>
      </c>
      <c r="I319" s="2" t="b">
        <v>1</v>
      </c>
      <c r="J319" s="2" t="b">
        <v>0</v>
      </c>
      <c r="K319" s="2" t="b">
        <v>0</v>
      </c>
      <c r="L319" s="2" t="b">
        <v>0</v>
      </c>
      <c r="M319" s="2" t="b">
        <v>0</v>
      </c>
      <c r="N319" s="2" t="b">
        <v>0</v>
      </c>
      <c r="O319" s="2" t="b">
        <v>0</v>
      </c>
      <c r="P319" s="68"/>
      <c r="R319" s="69"/>
      <c r="S319" s="68"/>
      <c r="U319" s="69"/>
      <c r="V319" s="68"/>
      <c r="X319" s="69"/>
      <c r="Y319" s="68"/>
      <c r="AA319" s="69"/>
      <c r="AB319" s="33">
        <f t="shared" si="8"/>
        <v>0</v>
      </c>
      <c r="AC319" s="45">
        <f>_xlfn.LET(_xlpm.ps_1,P319:R319, _xlpm.ps_2,S319:U319, _xlpm.ps_3,V319:X319, _xlpm.ps_4,Y319:AA319,
_xlpm.phase, MID(C319,SEARCH("-",C319)+1,256),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(_xlfn.XLOOKUP($C$7,site_assumptions[Details],site_assumptions[Volts])*SUMIFS(P319:AA319,_xlfn.ANCHORARRAY(D319),TRUE)/10*0.95)/1000,
IFERROR(IF(_xlpm.phase="3Phase", _xlpm.p3_calc, _xlpm.sp_calc),0))</f>
        <v>0</v>
      </c>
      <c r="AD319" s="29" t="str">
        <f ca="1"/>
        <v>Bare Metal</v>
      </c>
      <c r="AE319" s="30" t="str">
        <f ca="1"/>
        <v>Bare Metal</v>
      </c>
      <c r="AF319" s="30" t="str">
        <f ca="1"/>
        <v>Live</v>
      </c>
      <c r="AG319" s="30">
        <f ca="1"/>
        <v>6</v>
      </c>
      <c r="AH319" s="31" t="str">
        <f ca="1"/>
        <v>Unknown</v>
      </c>
      <c r="AI319" s="49">
        <f t="shared" ca="1" si="9"/>
        <v>0</v>
      </c>
      <c r="AJ319" s="71">
        <f ca="1"/>
        <v>1.1339999999999999</v>
      </c>
    </row>
    <row r="320" spans="2:36" x14ac:dyDescent="0.25">
      <c r="B320" s="29" t="str">
        <f ca="1"/>
        <v>dal10.sr01.rk309</v>
      </c>
      <c r="C320" s="10" t="s">
        <v>2070</v>
      </c>
      <c r="D320" s="2" t="b" cm="1">
        <f t="array" ref="D320:O320">_xlfn._xlws.FILTER(IF(ancillary!$E$4:$P$8="",FALSE,ancillary!$E$4:$P$8),ancillary!$B$4:$B$8=$C320)</f>
        <v>1</v>
      </c>
      <c r="E320" s="2" t="b">
        <v>1</v>
      </c>
      <c r="F320" s="2" t="b">
        <v>1</v>
      </c>
      <c r="G320" s="2" t="b">
        <v>1</v>
      </c>
      <c r="H320" s="2" t="b">
        <v>1</v>
      </c>
      <c r="I320" s="2" t="b">
        <v>1</v>
      </c>
      <c r="J320" s="2" t="b">
        <v>0</v>
      </c>
      <c r="K320" s="2" t="b">
        <v>0</v>
      </c>
      <c r="L320" s="2" t="b">
        <v>0</v>
      </c>
      <c r="M320" s="2" t="b">
        <v>0</v>
      </c>
      <c r="N320" s="2" t="b">
        <v>0</v>
      </c>
      <c r="O320" s="2" t="b">
        <v>0</v>
      </c>
      <c r="P320" s="68"/>
      <c r="R320" s="69"/>
      <c r="S320" s="68"/>
      <c r="U320" s="69"/>
      <c r="V320" s="68"/>
      <c r="X320" s="69"/>
      <c r="Y320" s="68"/>
      <c r="AA320" s="69"/>
      <c r="AB320" s="33">
        <f t="shared" si="8"/>
        <v>0</v>
      </c>
      <c r="AC320" s="45">
        <f>_xlfn.LET(_xlpm.ps_1,P320:R320, _xlpm.ps_2,S320:U320, _xlpm.ps_3,V320:X320, _xlpm.ps_4,Y320:AA320,
_xlpm.phase, MID(C320,SEARCH("-",C320)+1,256),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(_xlfn.XLOOKUP($C$7,site_assumptions[Details],site_assumptions[Volts])*SUMIFS(P320:AA320,_xlfn.ANCHORARRAY(D320),TRUE)/10*0.95)/1000,
IFERROR(IF(_xlpm.phase="3Phase", _xlpm.p3_calc, _xlpm.sp_calc),0))</f>
        <v>0</v>
      </c>
      <c r="AD320" s="29" t="str">
        <f ca="1"/>
        <v>Bare Metal</v>
      </c>
      <c r="AE320" s="30" t="str">
        <f ca="1"/>
        <v>COD</v>
      </c>
      <c r="AF320" s="30" t="str">
        <f ca="1"/>
        <v>Live</v>
      </c>
      <c r="AG320" s="30">
        <f ca="1"/>
        <v>6</v>
      </c>
      <c r="AH320" s="31" t="str">
        <f ca="1"/>
        <v>Unknown</v>
      </c>
      <c r="AI320" s="49">
        <f t="shared" ca="1" si="9"/>
        <v>0</v>
      </c>
      <c r="AJ320" s="71">
        <f ca="1"/>
        <v>2.266</v>
      </c>
    </row>
    <row r="321" spans="2:36" x14ac:dyDescent="0.25">
      <c r="B321" s="29" t="str">
        <f ca="1"/>
        <v>dal10.sr01.rk310</v>
      </c>
      <c r="C321" s="10" t="s">
        <v>2070</v>
      </c>
      <c r="D321" s="2" t="b" cm="1">
        <f t="array" ref="D321:O321">_xlfn._xlws.FILTER(IF(ancillary!$E$4:$P$8="",FALSE,ancillary!$E$4:$P$8),ancillary!$B$4:$B$8=$C321)</f>
        <v>1</v>
      </c>
      <c r="E321" s="2" t="b">
        <v>1</v>
      </c>
      <c r="F321" s="2" t="b">
        <v>1</v>
      </c>
      <c r="G321" s="2" t="b">
        <v>1</v>
      </c>
      <c r="H321" s="2" t="b">
        <v>1</v>
      </c>
      <c r="I321" s="2" t="b">
        <v>1</v>
      </c>
      <c r="J321" s="2" t="b">
        <v>0</v>
      </c>
      <c r="K321" s="2" t="b">
        <v>0</v>
      </c>
      <c r="L321" s="2" t="b">
        <v>0</v>
      </c>
      <c r="M321" s="2" t="b">
        <v>0</v>
      </c>
      <c r="N321" s="2" t="b">
        <v>0</v>
      </c>
      <c r="O321" s="2" t="b">
        <v>0</v>
      </c>
      <c r="P321" s="68"/>
      <c r="R321" s="69"/>
      <c r="S321" s="68"/>
      <c r="U321" s="69"/>
      <c r="V321" s="68"/>
      <c r="X321" s="69"/>
      <c r="Y321" s="68"/>
      <c r="AA321" s="69"/>
      <c r="AB321" s="33">
        <f t="shared" si="8"/>
        <v>0</v>
      </c>
      <c r="AC321" s="45">
        <f>_xlfn.LET(_xlpm.ps_1,P321:R321, _xlpm.ps_2,S321:U321, _xlpm.ps_3,V321:X321, _xlpm.ps_4,Y321:AA321,
_xlpm.phase, MID(C321,SEARCH("-",C321)+1,256),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(_xlfn.XLOOKUP($C$7,site_assumptions[Details],site_assumptions[Volts])*SUMIFS(P321:AA321,_xlfn.ANCHORARRAY(D321),TRUE)/10*0.95)/1000,
IFERROR(IF(_xlpm.phase="3Phase", _xlpm.p3_calc, _xlpm.sp_calc),0))</f>
        <v>0</v>
      </c>
      <c r="AD321" s="29" t="str">
        <f ca="1"/>
        <v>Bare Metal</v>
      </c>
      <c r="AE321" s="30" t="str">
        <f ca="1"/>
        <v>Bare Metal</v>
      </c>
      <c r="AF321" s="30" t="str">
        <f ca="1"/>
        <v>Live</v>
      </c>
      <c r="AG321" s="30">
        <f ca="1"/>
        <v>6</v>
      </c>
      <c r="AH321" s="31" t="str">
        <f ca="1"/>
        <v>Unknown</v>
      </c>
      <c r="AI321" s="49">
        <f t="shared" ca="1" si="9"/>
        <v>0</v>
      </c>
      <c r="AJ321" s="71">
        <f ca="1"/>
        <v>2.6150000000000002</v>
      </c>
    </row>
    <row r="322" spans="2:36" x14ac:dyDescent="0.25">
      <c r="B322" s="29" t="str">
        <f ca="1"/>
        <v>dal10.sr01.rk311</v>
      </c>
      <c r="C322" s="10" t="s">
        <v>2070</v>
      </c>
      <c r="D322" s="2" t="b" cm="1">
        <f t="array" ref="D322:O322">_xlfn._xlws.FILTER(IF(ancillary!$E$4:$P$8="",FALSE,ancillary!$E$4:$P$8),ancillary!$B$4:$B$8=$C322)</f>
        <v>1</v>
      </c>
      <c r="E322" s="2" t="b">
        <v>1</v>
      </c>
      <c r="F322" s="2" t="b">
        <v>1</v>
      </c>
      <c r="G322" s="2" t="b">
        <v>1</v>
      </c>
      <c r="H322" s="2" t="b">
        <v>1</v>
      </c>
      <c r="I322" s="2" t="b">
        <v>1</v>
      </c>
      <c r="J322" s="2" t="b">
        <v>0</v>
      </c>
      <c r="K322" s="2" t="b">
        <v>0</v>
      </c>
      <c r="L322" s="2" t="b">
        <v>0</v>
      </c>
      <c r="M322" s="2" t="b">
        <v>0</v>
      </c>
      <c r="N322" s="2" t="b">
        <v>0</v>
      </c>
      <c r="O322" s="2" t="b">
        <v>0</v>
      </c>
      <c r="P322" s="68"/>
      <c r="R322" s="69"/>
      <c r="S322" s="68"/>
      <c r="U322" s="69"/>
      <c r="V322" s="68"/>
      <c r="X322" s="69"/>
      <c r="Y322" s="68"/>
      <c r="AA322" s="69"/>
      <c r="AB322" s="33">
        <f t="shared" si="8"/>
        <v>0</v>
      </c>
      <c r="AC322" s="45">
        <f>_xlfn.LET(_xlpm.ps_1,P322:R322, _xlpm.ps_2,S322:U322, _xlpm.ps_3,V322:X322, _xlpm.ps_4,Y322:AA322,
_xlpm.phase, MID(C322,SEARCH("-",C322)+1,256),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(_xlfn.XLOOKUP($C$7,site_assumptions[Details],site_assumptions[Volts])*SUMIFS(P322:AA322,_xlfn.ANCHORARRAY(D322),TRUE)/10*0.95)/1000,
IFERROR(IF(_xlpm.phase="3Phase", _xlpm.p3_calc, _xlpm.sp_calc),0))</f>
        <v>0</v>
      </c>
      <c r="AD322" s="29" t="str">
        <f ca="1"/>
        <v>Bare Metal</v>
      </c>
      <c r="AE322" s="30" t="str">
        <f ca="1"/>
        <v>Bare Metal</v>
      </c>
      <c r="AF322" s="30" t="str">
        <f ca="1"/>
        <v>Live</v>
      </c>
      <c r="AG322" s="30">
        <f ca="1"/>
        <v>6</v>
      </c>
      <c r="AH322" s="31" t="str">
        <f ca="1"/>
        <v>Unknown</v>
      </c>
      <c r="AI322" s="49">
        <f t="shared" ca="1" si="9"/>
        <v>0</v>
      </c>
      <c r="AJ322" s="71">
        <f ca="1"/>
        <v>8.0060000000000002</v>
      </c>
    </row>
    <row r="323" spans="2:36" x14ac:dyDescent="0.25">
      <c r="B323" s="29" t="str">
        <f ca="1"/>
        <v>dal10.sr01.rk312</v>
      </c>
      <c r="C323" s="10" t="s">
        <v>2070</v>
      </c>
      <c r="D323" s="2" t="b" cm="1">
        <f t="array" ref="D323:O323">_xlfn._xlws.FILTER(IF(ancillary!$E$4:$P$8="",FALSE,ancillary!$E$4:$P$8),ancillary!$B$4:$B$8=$C323)</f>
        <v>1</v>
      </c>
      <c r="E323" s="2" t="b">
        <v>1</v>
      </c>
      <c r="F323" s="2" t="b">
        <v>1</v>
      </c>
      <c r="G323" s="2" t="b">
        <v>1</v>
      </c>
      <c r="H323" s="2" t="b">
        <v>1</v>
      </c>
      <c r="I323" s="2" t="b">
        <v>1</v>
      </c>
      <c r="J323" s="2" t="b">
        <v>0</v>
      </c>
      <c r="K323" s="2" t="b">
        <v>0</v>
      </c>
      <c r="L323" s="2" t="b">
        <v>0</v>
      </c>
      <c r="M323" s="2" t="b">
        <v>0</v>
      </c>
      <c r="N323" s="2" t="b">
        <v>0</v>
      </c>
      <c r="O323" s="2" t="b">
        <v>0</v>
      </c>
      <c r="P323" s="68"/>
      <c r="R323" s="69"/>
      <c r="S323" s="68"/>
      <c r="U323" s="69"/>
      <c r="V323" s="68"/>
      <c r="X323" s="69"/>
      <c r="Y323" s="68"/>
      <c r="AA323" s="69"/>
      <c r="AB323" s="33">
        <f t="shared" si="8"/>
        <v>0</v>
      </c>
      <c r="AC323" s="45">
        <f>_xlfn.LET(_xlpm.ps_1,P323:R323, _xlpm.ps_2,S323:U323, _xlpm.ps_3,V323:X323, _xlpm.ps_4,Y323:AA323,
_xlpm.phase, MID(C323,SEARCH("-",C323)+1,256),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(_xlfn.XLOOKUP($C$7,site_assumptions[Details],site_assumptions[Volts])*SUMIFS(P323:AA323,_xlfn.ANCHORARRAY(D323),TRUE)/10*0.95)/1000,
IFERROR(IF(_xlpm.phase="3Phase", _xlpm.p3_calc, _xlpm.sp_calc),0))</f>
        <v>0</v>
      </c>
      <c r="AD323" s="29" t="str">
        <f ca="1"/>
        <v>Bare Metal</v>
      </c>
      <c r="AE323" s="30" t="str">
        <f ca="1"/>
        <v>Bare Metal</v>
      </c>
      <c r="AF323" s="30" t="str">
        <f ca="1"/>
        <v>Live</v>
      </c>
      <c r="AG323" s="30">
        <f ca="1"/>
        <v>6</v>
      </c>
      <c r="AH323" s="31" t="str">
        <f ca="1"/>
        <v>Unknown</v>
      </c>
      <c r="AI323" s="49">
        <f t="shared" ca="1" si="9"/>
        <v>0</v>
      </c>
      <c r="AJ323" s="71">
        <f ca="1"/>
        <v>5.3470000000000004</v>
      </c>
    </row>
    <row r="324" spans="2:36" x14ac:dyDescent="0.25">
      <c r="B324" s="29" t="str">
        <f ca="1"/>
        <v>dal10.sr01.rk313</v>
      </c>
      <c r="C324" s="10" t="s">
        <v>2070</v>
      </c>
      <c r="D324" s="2" t="b" cm="1">
        <f t="array" ref="D324:O324">_xlfn._xlws.FILTER(IF(ancillary!$E$4:$P$8="",FALSE,ancillary!$E$4:$P$8),ancillary!$B$4:$B$8=$C324)</f>
        <v>1</v>
      </c>
      <c r="E324" s="2" t="b">
        <v>1</v>
      </c>
      <c r="F324" s="2" t="b">
        <v>1</v>
      </c>
      <c r="G324" s="2" t="b">
        <v>1</v>
      </c>
      <c r="H324" s="2" t="b">
        <v>1</v>
      </c>
      <c r="I324" s="2" t="b">
        <v>1</v>
      </c>
      <c r="J324" s="2" t="b">
        <v>0</v>
      </c>
      <c r="K324" s="2" t="b">
        <v>0</v>
      </c>
      <c r="L324" s="2" t="b">
        <v>0</v>
      </c>
      <c r="M324" s="2" t="b">
        <v>0</v>
      </c>
      <c r="N324" s="2" t="b">
        <v>0</v>
      </c>
      <c r="O324" s="2" t="b">
        <v>0</v>
      </c>
      <c r="P324" s="68"/>
      <c r="R324" s="69"/>
      <c r="S324" s="68"/>
      <c r="U324" s="69"/>
      <c r="V324" s="68"/>
      <c r="X324" s="69"/>
      <c r="Y324" s="68"/>
      <c r="AA324" s="69"/>
      <c r="AB324" s="33">
        <f t="shared" si="8"/>
        <v>0</v>
      </c>
      <c r="AC324" s="45">
        <f>_xlfn.LET(_xlpm.ps_1,P324:R324, _xlpm.ps_2,S324:U324, _xlpm.ps_3,V324:X324, _xlpm.ps_4,Y324:AA324,
_xlpm.phase, MID(C324,SEARCH("-",C324)+1,256),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(_xlfn.XLOOKUP($C$7,site_assumptions[Details],site_assumptions[Volts])*SUMIFS(P324:AA324,_xlfn.ANCHORARRAY(D324),TRUE)/10*0.95)/1000,
IFERROR(IF(_xlpm.phase="3Phase", _xlpm.p3_calc, _xlpm.sp_calc),0))</f>
        <v>0</v>
      </c>
      <c r="AD324" s="29" t="str">
        <f ca="1"/>
        <v>Bare Metal</v>
      </c>
      <c r="AE324" s="30" t="str">
        <f ca="1"/>
        <v>Bare Metal</v>
      </c>
      <c r="AF324" s="30" t="str">
        <f ca="1"/>
        <v>Live</v>
      </c>
      <c r="AG324" s="30">
        <f ca="1"/>
        <v>6</v>
      </c>
      <c r="AH324" s="31" t="str">
        <f ca="1"/>
        <v>Unknown</v>
      </c>
      <c r="AI324" s="49">
        <f t="shared" ca="1" si="9"/>
        <v>0</v>
      </c>
      <c r="AJ324" s="71">
        <f ca="1"/>
        <v>3.327</v>
      </c>
    </row>
    <row r="325" spans="2:36" x14ac:dyDescent="0.25">
      <c r="B325" s="29" t="str">
        <f ca="1"/>
        <v>dal10.sr01.rk314</v>
      </c>
      <c r="C325" s="10" t="s">
        <v>2070</v>
      </c>
      <c r="D325" s="2" t="b" cm="1">
        <f t="array" ref="D325:O325">_xlfn._xlws.FILTER(IF(ancillary!$E$4:$P$8="",FALSE,ancillary!$E$4:$P$8),ancillary!$B$4:$B$8=$C325)</f>
        <v>1</v>
      </c>
      <c r="E325" s="2" t="b">
        <v>1</v>
      </c>
      <c r="F325" s="2" t="b">
        <v>1</v>
      </c>
      <c r="G325" s="2" t="b">
        <v>1</v>
      </c>
      <c r="H325" s="2" t="b">
        <v>1</v>
      </c>
      <c r="I325" s="2" t="b">
        <v>1</v>
      </c>
      <c r="J325" s="2" t="b">
        <v>0</v>
      </c>
      <c r="K325" s="2" t="b">
        <v>0</v>
      </c>
      <c r="L325" s="2" t="b">
        <v>0</v>
      </c>
      <c r="M325" s="2" t="b">
        <v>0</v>
      </c>
      <c r="N325" s="2" t="b">
        <v>0</v>
      </c>
      <c r="O325" s="2" t="b">
        <v>0</v>
      </c>
      <c r="P325" s="68"/>
      <c r="R325" s="69"/>
      <c r="S325" s="68"/>
      <c r="U325" s="69"/>
      <c r="V325" s="68"/>
      <c r="X325" s="69"/>
      <c r="Y325" s="68"/>
      <c r="AA325" s="69"/>
      <c r="AB325" s="33">
        <f t="shared" si="8"/>
        <v>0</v>
      </c>
      <c r="AC325" s="45">
        <f>_xlfn.LET(_xlpm.ps_1,P325:R325, _xlpm.ps_2,S325:U325, _xlpm.ps_3,V325:X325, _xlpm.ps_4,Y325:AA325,
_xlpm.phase, MID(C325,SEARCH("-",C325)+1,256),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(_xlfn.XLOOKUP($C$7,site_assumptions[Details],site_assumptions[Volts])*SUMIFS(P325:AA325,_xlfn.ANCHORARRAY(D325),TRUE)/10*0.95)/1000,
IFERROR(IF(_xlpm.phase="3Phase", _xlpm.p3_calc, _xlpm.sp_calc),0))</f>
        <v>0</v>
      </c>
      <c r="AD325" s="29" t="str">
        <f ca="1"/>
        <v>Network</v>
      </c>
      <c r="AE325" s="30" t="str">
        <f ca="1"/>
        <v>Aggregate</v>
      </c>
      <c r="AF325" s="30" t="str">
        <f ca="1"/>
        <v>Live</v>
      </c>
      <c r="AG325" s="30">
        <f ca="1"/>
        <v>5</v>
      </c>
      <c r="AH325" s="31" t="str">
        <f ca="1"/>
        <v>Unknown</v>
      </c>
      <c r="AI325" s="49">
        <f t="shared" ca="1" si="9"/>
        <v>0</v>
      </c>
      <c r="AJ325" s="71">
        <f ca="1"/>
        <v>0</v>
      </c>
    </row>
    <row r="326" spans="2:36" x14ac:dyDescent="0.25">
      <c r="B326" s="29" t="str">
        <f ca="1"/>
        <v>dal10.sr01.rk315</v>
      </c>
      <c r="C326" s="10" t="s">
        <v>2070</v>
      </c>
      <c r="D326" s="2" t="b" cm="1">
        <f t="array" ref="D326:O326">_xlfn._xlws.FILTER(IF(ancillary!$E$4:$P$8="",FALSE,ancillary!$E$4:$P$8),ancillary!$B$4:$B$8=$C326)</f>
        <v>1</v>
      </c>
      <c r="E326" s="2" t="b">
        <v>1</v>
      </c>
      <c r="F326" s="2" t="b">
        <v>1</v>
      </c>
      <c r="G326" s="2" t="b">
        <v>1</v>
      </c>
      <c r="H326" s="2" t="b">
        <v>1</v>
      </c>
      <c r="I326" s="2" t="b">
        <v>1</v>
      </c>
      <c r="J326" s="2" t="b">
        <v>0</v>
      </c>
      <c r="K326" s="2" t="b">
        <v>0</v>
      </c>
      <c r="L326" s="2" t="b">
        <v>0</v>
      </c>
      <c r="M326" s="2" t="b">
        <v>0</v>
      </c>
      <c r="N326" s="2" t="b">
        <v>0</v>
      </c>
      <c r="O326" s="2" t="b">
        <v>0</v>
      </c>
      <c r="P326" s="68"/>
      <c r="R326" s="69"/>
      <c r="S326" s="68"/>
      <c r="U326" s="69"/>
      <c r="V326" s="68"/>
      <c r="X326" s="69"/>
      <c r="Y326" s="68"/>
      <c r="AA326" s="69"/>
      <c r="AB326" s="33">
        <f t="shared" si="8"/>
        <v>0</v>
      </c>
      <c r="AC326" s="45">
        <f>_xlfn.LET(_xlpm.ps_1,P326:R326, _xlpm.ps_2,S326:U326, _xlpm.ps_3,V326:X326, _xlpm.ps_4,Y326:AA326,
_xlpm.phase, MID(C326,SEARCH("-",C326)+1,256),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(_xlfn.XLOOKUP($C$7,site_assumptions[Details],site_assumptions[Volts])*SUMIFS(P326:AA326,_xlfn.ANCHORARRAY(D326),TRUE)/10*0.95)/1000,
IFERROR(IF(_xlpm.phase="3Phase", _xlpm.p3_calc, _xlpm.sp_calc),0))</f>
        <v>0</v>
      </c>
      <c r="AD326" s="29" t="str">
        <f ca="1"/>
        <v>Bare Metal</v>
      </c>
      <c r="AE326" s="30" t="str">
        <f ca="1"/>
        <v>Bare Metal</v>
      </c>
      <c r="AF326" s="30" t="str">
        <f ca="1"/>
        <v>Live</v>
      </c>
      <c r="AG326" s="30">
        <f ca="1"/>
        <v>6</v>
      </c>
      <c r="AH326" s="31" t="str">
        <f ca="1"/>
        <v>Unknown</v>
      </c>
      <c r="AI326" s="49">
        <f t="shared" ca="1" si="9"/>
        <v>0</v>
      </c>
      <c r="AJ326" s="71">
        <f ca="1"/>
        <v>1.5009999999999999</v>
      </c>
    </row>
    <row r="327" spans="2:36" x14ac:dyDescent="0.25">
      <c r="B327" s="29" t="str">
        <f ca="1"/>
        <v>dal10.sr01.rk316</v>
      </c>
      <c r="C327" s="10" t="s">
        <v>2070</v>
      </c>
      <c r="D327" s="2" t="b" cm="1">
        <f t="array" ref="D327:O327">_xlfn._xlws.FILTER(IF(ancillary!$E$4:$P$8="",FALSE,ancillary!$E$4:$P$8),ancillary!$B$4:$B$8=$C327)</f>
        <v>1</v>
      </c>
      <c r="E327" s="2" t="b">
        <v>1</v>
      </c>
      <c r="F327" s="2" t="b">
        <v>1</v>
      </c>
      <c r="G327" s="2" t="b">
        <v>1</v>
      </c>
      <c r="H327" s="2" t="b">
        <v>1</v>
      </c>
      <c r="I327" s="2" t="b">
        <v>1</v>
      </c>
      <c r="J327" s="2" t="b">
        <v>0</v>
      </c>
      <c r="K327" s="2" t="b">
        <v>0</v>
      </c>
      <c r="L327" s="2" t="b">
        <v>0</v>
      </c>
      <c r="M327" s="2" t="b">
        <v>0</v>
      </c>
      <c r="N327" s="2" t="b">
        <v>0</v>
      </c>
      <c r="O327" s="2" t="b">
        <v>0</v>
      </c>
      <c r="P327" s="68"/>
      <c r="R327" s="69"/>
      <c r="S327" s="68"/>
      <c r="U327" s="69"/>
      <c r="V327" s="68"/>
      <c r="X327" s="69"/>
      <c r="Y327" s="68"/>
      <c r="AA327" s="69"/>
      <c r="AB327" s="33">
        <f t="shared" si="8"/>
        <v>0</v>
      </c>
      <c r="AC327" s="45">
        <f>_xlfn.LET(_xlpm.ps_1,P327:R327, _xlpm.ps_2,S327:U327, _xlpm.ps_3,V327:X327, _xlpm.ps_4,Y327:AA327,
_xlpm.phase, MID(C327,SEARCH("-",C327)+1,256),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(_xlfn.XLOOKUP($C$7,site_assumptions[Details],site_assumptions[Volts])*SUMIFS(P327:AA327,_xlfn.ANCHORARRAY(D327),TRUE)/10*0.95)/1000,
IFERROR(IF(_xlpm.phase="3Phase", _xlpm.p3_calc, _xlpm.sp_calc),0))</f>
        <v>0</v>
      </c>
      <c r="AD327" s="29" t="str">
        <f ca="1"/>
        <v>Bare Metal</v>
      </c>
      <c r="AE327" s="30" t="str">
        <f ca="1"/>
        <v>Bare Metal</v>
      </c>
      <c r="AF327" s="30" t="str">
        <f ca="1"/>
        <v>Live</v>
      </c>
      <c r="AG327" s="30">
        <f ca="1"/>
        <v>6</v>
      </c>
      <c r="AH327" s="31" t="str">
        <f ca="1"/>
        <v>Unknown</v>
      </c>
      <c r="AI327" s="49">
        <f t="shared" ca="1" si="9"/>
        <v>0</v>
      </c>
      <c r="AJ327" s="71">
        <f ca="1"/>
        <v>2.073</v>
      </c>
    </row>
    <row r="328" spans="2:36" x14ac:dyDescent="0.25">
      <c r="B328" s="29" t="str">
        <f ca="1"/>
        <v>dal10.sr01.rk317</v>
      </c>
      <c r="C328" s="10" t="s">
        <v>2070</v>
      </c>
      <c r="D328" s="2" t="b" cm="1">
        <f t="array" ref="D328:O328">_xlfn._xlws.FILTER(IF(ancillary!$E$4:$P$8="",FALSE,ancillary!$E$4:$P$8),ancillary!$B$4:$B$8=$C328)</f>
        <v>1</v>
      </c>
      <c r="E328" s="2" t="b">
        <v>1</v>
      </c>
      <c r="F328" s="2" t="b">
        <v>1</v>
      </c>
      <c r="G328" s="2" t="b">
        <v>1</v>
      </c>
      <c r="H328" s="2" t="b">
        <v>1</v>
      </c>
      <c r="I328" s="2" t="b">
        <v>1</v>
      </c>
      <c r="J328" s="2" t="b">
        <v>0</v>
      </c>
      <c r="K328" s="2" t="b">
        <v>0</v>
      </c>
      <c r="L328" s="2" t="b">
        <v>0</v>
      </c>
      <c r="M328" s="2" t="b">
        <v>0</v>
      </c>
      <c r="N328" s="2" t="b">
        <v>0</v>
      </c>
      <c r="O328" s="2" t="b">
        <v>0</v>
      </c>
      <c r="P328" s="68"/>
      <c r="R328" s="69"/>
      <c r="S328" s="68"/>
      <c r="U328" s="69"/>
      <c r="V328" s="68"/>
      <c r="X328" s="69"/>
      <c r="Y328" s="68"/>
      <c r="AA328" s="69"/>
      <c r="AB328" s="33">
        <f t="shared" si="8"/>
        <v>0</v>
      </c>
      <c r="AC328" s="45">
        <f>_xlfn.LET(_xlpm.ps_1,P328:R328, _xlpm.ps_2,S328:U328, _xlpm.ps_3,V328:X328, _xlpm.ps_4,Y328:AA328,
_xlpm.phase, MID(C328,SEARCH("-",C328)+1,256),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(_xlfn.XLOOKUP($C$7,site_assumptions[Details],site_assumptions[Volts])*SUMIFS(P328:AA328,_xlfn.ANCHORARRAY(D328),TRUE)/10*0.95)/1000,
IFERROR(IF(_xlpm.phase="3Phase", _xlpm.p3_calc, _xlpm.sp_calc),0))</f>
        <v>0</v>
      </c>
      <c r="AD328" s="29" t="str">
        <f ca="1"/>
        <v>Bare Metal</v>
      </c>
      <c r="AE328" s="30" t="str">
        <f ca="1"/>
        <v>Bare Metal</v>
      </c>
      <c r="AF328" s="30" t="str">
        <f ca="1"/>
        <v>Live</v>
      </c>
      <c r="AG328" s="30">
        <f ca="1"/>
        <v>6</v>
      </c>
      <c r="AH328" s="31" t="str">
        <f ca="1"/>
        <v>Unknown</v>
      </c>
      <c r="AI328" s="49">
        <f t="shared" ca="1" si="9"/>
        <v>0</v>
      </c>
      <c r="AJ328" s="71">
        <f ca="1"/>
        <v>0.75</v>
      </c>
    </row>
    <row r="329" spans="2:36" x14ac:dyDescent="0.25">
      <c r="B329" s="29" t="str">
        <f ca="1"/>
        <v>dal10.sr01.rk318</v>
      </c>
      <c r="C329" s="10" t="s">
        <v>2070</v>
      </c>
      <c r="D329" s="2" t="b" cm="1">
        <f t="array" ref="D329:O329">_xlfn._xlws.FILTER(IF(ancillary!$E$4:$P$8="",FALSE,ancillary!$E$4:$P$8),ancillary!$B$4:$B$8=$C329)</f>
        <v>1</v>
      </c>
      <c r="E329" s="2" t="b">
        <v>1</v>
      </c>
      <c r="F329" s="2" t="b">
        <v>1</v>
      </c>
      <c r="G329" s="2" t="b">
        <v>1</v>
      </c>
      <c r="H329" s="2" t="b">
        <v>1</v>
      </c>
      <c r="I329" s="2" t="b">
        <v>1</v>
      </c>
      <c r="J329" s="2" t="b">
        <v>0</v>
      </c>
      <c r="K329" s="2" t="b">
        <v>0</v>
      </c>
      <c r="L329" s="2" t="b">
        <v>0</v>
      </c>
      <c r="M329" s="2" t="b">
        <v>0</v>
      </c>
      <c r="N329" s="2" t="b">
        <v>0</v>
      </c>
      <c r="O329" s="2" t="b">
        <v>0</v>
      </c>
      <c r="P329" s="68"/>
      <c r="R329" s="69"/>
      <c r="S329" s="68"/>
      <c r="U329" s="69"/>
      <c r="V329" s="68"/>
      <c r="X329" s="69"/>
      <c r="Y329" s="68"/>
      <c r="AA329" s="69"/>
      <c r="AB329" s="33">
        <f t="shared" si="8"/>
        <v>0</v>
      </c>
      <c r="AC329" s="45">
        <f>_xlfn.LET(_xlpm.ps_1,P329:R329, _xlpm.ps_2,S329:U329, _xlpm.ps_3,V329:X329, _xlpm.ps_4,Y329:AA329,
_xlpm.phase, MID(C329,SEARCH("-",C329)+1,256),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(_xlfn.XLOOKUP($C$7,site_assumptions[Details],site_assumptions[Volts])*SUMIFS(P329:AA329,_xlfn.ANCHORARRAY(D329),TRUE)/10*0.95)/1000,
IFERROR(IF(_xlpm.phase="3Phase", _xlpm.p3_calc, _xlpm.sp_calc),0))</f>
        <v>0</v>
      </c>
      <c r="AD329" s="29" t="str">
        <f ca="1"/>
        <v>Bare Metal</v>
      </c>
      <c r="AE329" s="30" t="str">
        <f ca="1"/>
        <v>Bare Metal</v>
      </c>
      <c r="AF329" s="30" t="str">
        <f ca="1"/>
        <v>Live</v>
      </c>
      <c r="AG329" s="30">
        <f ca="1"/>
        <v>6</v>
      </c>
      <c r="AH329" s="31" t="str">
        <f ca="1"/>
        <v>Unknown</v>
      </c>
      <c r="AI329" s="49">
        <f t="shared" ca="1" si="9"/>
        <v>0</v>
      </c>
      <c r="AJ329" s="71">
        <f ca="1"/>
        <v>1.4019999999999999</v>
      </c>
    </row>
    <row r="330" spans="2:36" x14ac:dyDescent="0.25">
      <c r="B330" s="29" t="str">
        <f ca="1"/>
        <v>dal10.sr01.rk319</v>
      </c>
      <c r="C330" s="10" t="s">
        <v>2070</v>
      </c>
      <c r="D330" s="2" t="b" cm="1">
        <f t="array" ref="D330:O330">_xlfn._xlws.FILTER(IF(ancillary!$E$4:$P$8="",FALSE,ancillary!$E$4:$P$8),ancillary!$B$4:$B$8=$C330)</f>
        <v>1</v>
      </c>
      <c r="E330" s="2" t="b">
        <v>1</v>
      </c>
      <c r="F330" s="2" t="b">
        <v>1</v>
      </c>
      <c r="G330" s="2" t="b">
        <v>1</v>
      </c>
      <c r="H330" s="2" t="b">
        <v>1</v>
      </c>
      <c r="I330" s="2" t="b">
        <v>1</v>
      </c>
      <c r="J330" s="2" t="b">
        <v>0</v>
      </c>
      <c r="K330" s="2" t="b">
        <v>0</v>
      </c>
      <c r="L330" s="2" t="b">
        <v>0</v>
      </c>
      <c r="M330" s="2" t="b">
        <v>0</v>
      </c>
      <c r="N330" s="2" t="b">
        <v>0</v>
      </c>
      <c r="O330" s="2" t="b">
        <v>0</v>
      </c>
      <c r="P330" s="68"/>
      <c r="R330" s="69"/>
      <c r="S330" s="68"/>
      <c r="U330" s="69"/>
      <c r="V330" s="68"/>
      <c r="X330" s="69"/>
      <c r="Y330" s="68"/>
      <c r="AA330" s="69"/>
      <c r="AB330" s="33">
        <f t="shared" si="8"/>
        <v>0</v>
      </c>
      <c r="AC330" s="45">
        <f>_xlfn.LET(_xlpm.ps_1,P330:R330, _xlpm.ps_2,S330:U330, _xlpm.ps_3,V330:X330, _xlpm.ps_4,Y330:AA330,
_xlpm.phase, MID(C330,SEARCH("-",C330)+1,256),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(_xlfn.XLOOKUP($C$7,site_assumptions[Details],site_assumptions[Volts])*SUMIFS(P330:AA330,_xlfn.ANCHORARRAY(D330),TRUE)/10*0.95)/1000,
IFERROR(IF(_xlpm.phase="3Phase", _xlpm.p3_calc, _xlpm.sp_calc),0))</f>
        <v>0</v>
      </c>
      <c r="AD330" s="29" t="str">
        <f ca="1"/>
        <v>Bare Metal</v>
      </c>
      <c r="AE330" s="30" t="str">
        <f ca="1"/>
        <v>Bare Metal</v>
      </c>
      <c r="AF330" s="30" t="str">
        <f ca="1"/>
        <v>Live</v>
      </c>
      <c r="AG330" s="30">
        <f ca="1"/>
        <v>6</v>
      </c>
      <c r="AH330" s="31" t="str">
        <f ca="1"/>
        <v>Unknown</v>
      </c>
      <c r="AI330" s="49">
        <f t="shared" ca="1" si="9"/>
        <v>0</v>
      </c>
      <c r="AJ330" s="71">
        <f ca="1"/>
        <v>2.415</v>
      </c>
    </row>
    <row r="331" spans="2:36" x14ac:dyDescent="0.25">
      <c r="B331" s="29" t="str">
        <f ca="1"/>
        <v>dal10.sr01.rk320</v>
      </c>
      <c r="C331" s="10" t="s">
        <v>2070</v>
      </c>
      <c r="D331" s="2" t="b" cm="1">
        <f t="array" ref="D331:O331">_xlfn._xlws.FILTER(IF(ancillary!$E$4:$P$8="",FALSE,ancillary!$E$4:$P$8),ancillary!$B$4:$B$8=$C331)</f>
        <v>1</v>
      </c>
      <c r="E331" s="2" t="b">
        <v>1</v>
      </c>
      <c r="F331" s="2" t="b">
        <v>1</v>
      </c>
      <c r="G331" s="2" t="b">
        <v>1</v>
      </c>
      <c r="H331" s="2" t="b">
        <v>1</v>
      </c>
      <c r="I331" s="2" t="b">
        <v>1</v>
      </c>
      <c r="J331" s="2" t="b">
        <v>0</v>
      </c>
      <c r="K331" s="2" t="b">
        <v>0</v>
      </c>
      <c r="L331" s="2" t="b">
        <v>0</v>
      </c>
      <c r="M331" s="2" t="b">
        <v>0</v>
      </c>
      <c r="N331" s="2" t="b">
        <v>0</v>
      </c>
      <c r="O331" s="2" t="b">
        <v>0</v>
      </c>
      <c r="P331" s="68"/>
      <c r="R331" s="69"/>
      <c r="S331" s="68"/>
      <c r="U331" s="69"/>
      <c r="V331" s="68"/>
      <c r="X331" s="69"/>
      <c r="Y331" s="68"/>
      <c r="AA331" s="69"/>
      <c r="AB331" s="33">
        <f t="shared" si="8"/>
        <v>0</v>
      </c>
      <c r="AC331" s="45">
        <f>_xlfn.LET(_xlpm.ps_1,P331:R331, _xlpm.ps_2,S331:U331, _xlpm.ps_3,V331:X331, _xlpm.ps_4,Y331:AA331,
_xlpm.phase, MID(C331,SEARCH("-",C331)+1,256),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(_xlfn.XLOOKUP($C$7,site_assumptions[Details],site_assumptions[Volts])*SUMIFS(P331:AA331,_xlfn.ANCHORARRAY(D331),TRUE)/10*0.95)/1000,
IFERROR(IF(_xlpm.phase="3Phase", _xlpm.p3_calc, _xlpm.sp_calc),0))</f>
        <v>0</v>
      </c>
      <c r="AD331" s="29" t="str">
        <f ca="1"/>
        <v>Compute</v>
      </c>
      <c r="AE331" s="30" t="str">
        <f ca="1"/>
        <v>Hybrid</v>
      </c>
      <c r="AF331" s="30" t="str">
        <f ca="1"/>
        <v>Live</v>
      </c>
      <c r="AG331" s="30">
        <f ca="1"/>
        <v>10</v>
      </c>
      <c r="AH331" s="31" t="str">
        <f ca="1"/>
        <v>Unknown</v>
      </c>
      <c r="AI331" s="49">
        <f t="shared" ca="1" si="9"/>
        <v>0</v>
      </c>
      <c r="AJ331" s="71">
        <f ca="1"/>
        <v>0</v>
      </c>
    </row>
    <row r="332" spans="2:36" x14ac:dyDescent="0.25">
      <c r="B332" s="29" t="str">
        <f ca="1"/>
        <v>dal10.sr01.rk321</v>
      </c>
      <c r="C332" s="10" t="s">
        <v>2070</v>
      </c>
      <c r="D332" s="2" t="b" cm="1">
        <f t="array" ref="D332:O332">_xlfn._xlws.FILTER(IF(ancillary!$E$4:$P$8="",FALSE,ancillary!$E$4:$P$8),ancillary!$B$4:$B$8=$C332)</f>
        <v>1</v>
      </c>
      <c r="E332" s="2" t="b">
        <v>1</v>
      </c>
      <c r="F332" s="2" t="b">
        <v>1</v>
      </c>
      <c r="G332" s="2" t="b">
        <v>1</v>
      </c>
      <c r="H332" s="2" t="b">
        <v>1</v>
      </c>
      <c r="I332" s="2" t="b">
        <v>1</v>
      </c>
      <c r="J332" s="2" t="b">
        <v>0</v>
      </c>
      <c r="K332" s="2" t="b">
        <v>0</v>
      </c>
      <c r="L332" s="2" t="b">
        <v>0</v>
      </c>
      <c r="M332" s="2" t="b">
        <v>0</v>
      </c>
      <c r="N332" s="2" t="b">
        <v>0</v>
      </c>
      <c r="O332" s="2" t="b">
        <v>0</v>
      </c>
      <c r="P332" s="68"/>
      <c r="R332" s="69"/>
      <c r="S332" s="68"/>
      <c r="U332" s="69"/>
      <c r="V332" s="68"/>
      <c r="X332" s="69"/>
      <c r="Y332" s="68"/>
      <c r="AA332" s="69"/>
      <c r="AB332" s="33">
        <f t="shared" si="8"/>
        <v>0</v>
      </c>
      <c r="AC332" s="45">
        <f>_xlfn.LET(_xlpm.ps_1,P332:R332, _xlpm.ps_2,S332:U332, _xlpm.ps_3,V332:X332, _xlpm.ps_4,Y332:AA332,
_xlpm.phase, MID(C332,SEARCH("-",C332)+1,256),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(_xlfn.XLOOKUP($C$7,site_assumptions[Details],site_assumptions[Volts])*SUMIFS(P332:AA332,_xlfn.ANCHORARRAY(D332),TRUE)/10*0.95)/1000,
IFERROR(IF(_xlpm.phase="3Phase", _xlpm.p3_calc, _xlpm.sp_calc),0))</f>
        <v>0</v>
      </c>
      <c r="AD332" s="29" t="str">
        <f ca="1"/>
        <v>Compute</v>
      </c>
      <c r="AE332" s="30" t="str">
        <f ca="1"/>
        <v>Hybrid</v>
      </c>
      <c r="AF332" s="30" t="str">
        <f ca="1"/>
        <v>Live</v>
      </c>
      <c r="AG332" s="30">
        <f ca="1"/>
        <v>10</v>
      </c>
      <c r="AH332" s="31" t="str">
        <f ca="1"/>
        <v>Unknown</v>
      </c>
      <c r="AI332" s="49">
        <f t="shared" ca="1" si="9"/>
        <v>0</v>
      </c>
      <c r="AJ332" s="71">
        <f ca="1"/>
        <v>8.7100000000000009</v>
      </c>
    </row>
    <row r="333" spans="2:36" x14ac:dyDescent="0.25">
      <c r="B333" s="29" t="str">
        <f ca="1"/>
        <v>dal10.sr01.rk322</v>
      </c>
      <c r="C333" s="10" t="s">
        <v>2070</v>
      </c>
      <c r="D333" s="2" t="b" cm="1">
        <f t="array" ref="D333:O333">_xlfn._xlws.FILTER(IF(ancillary!$E$4:$P$8="",FALSE,ancillary!$E$4:$P$8),ancillary!$B$4:$B$8=$C333)</f>
        <v>1</v>
      </c>
      <c r="E333" s="2" t="b">
        <v>1</v>
      </c>
      <c r="F333" s="2" t="b">
        <v>1</v>
      </c>
      <c r="G333" s="2" t="b">
        <v>1</v>
      </c>
      <c r="H333" s="2" t="b">
        <v>1</v>
      </c>
      <c r="I333" s="2" t="b">
        <v>1</v>
      </c>
      <c r="J333" s="2" t="b">
        <v>0</v>
      </c>
      <c r="K333" s="2" t="b">
        <v>0</v>
      </c>
      <c r="L333" s="2" t="b">
        <v>0</v>
      </c>
      <c r="M333" s="2" t="b">
        <v>0</v>
      </c>
      <c r="N333" s="2" t="b">
        <v>0</v>
      </c>
      <c r="O333" s="2" t="b">
        <v>0</v>
      </c>
      <c r="P333" s="68"/>
      <c r="R333" s="69"/>
      <c r="S333" s="68"/>
      <c r="U333" s="69"/>
      <c r="V333" s="68"/>
      <c r="X333" s="69"/>
      <c r="Y333" s="68"/>
      <c r="AA333" s="69"/>
      <c r="AB333" s="33">
        <f t="shared" si="8"/>
        <v>0</v>
      </c>
      <c r="AC333" s="45">
        <f>_xlfn.LET(_xlpm.ps_1,P333:R333, _xlpm.ps_2,S333:U333, _xlpm.ps_3,V333:X333, _xlpm.ps_4,Y333:AA333,
_xlpm.phase, MID(C333,SEARCH("-",C333)+1,256),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(_xlfn.XLOOKUP($C$7,site_assumptions[Details],site_assumptions[Volts])*SUMIFS(P333:AA333,_xlfn.ANCHORARRAY(D333),TRUE)/10*0.95)/1000,
IFERROR(IF(_xlpm.phase="3Phase", _xlpm.p3_calc, _xlpm.sp_calc),0))</f>
        <v>0</v>
      </c>
      <c r="AD333" s="29" t="str">
        <f ca="1"/>
        <v>Compute</v>
      </c>
      <c r="AE333" s="30" t="str">
        <f ca="1"/>
        <v>Hybrid</v>
      </c>
      <c r="AF333" s="30" t="str">
        <f ca="1"/>
        <v>Live</v>
      </c>
      <c r="AG333" s="30">
        <f ca="1"/>
        <v>10</v>
      </c>
      <c r="AH333" s="31" t="str">
        <f ca="1"/>
        <v>Unknown</v>
      </c>
      <c r="AI333" s="49">
        <f t="shared" ca="1" si="9"/>
        <v>0</v>
      </c>
      <c r="AJ333" s="71">
        <f ca="1"/>
        <v>8.7149999999999999</v>
      </c>
    </row>
    <row r="334" spans="2:36" x14ac:dyDescent="0.25">
      <c r="B334" s="29" t="str">
        <f ca="1"/>
        <v>dal10.sr01.rk323</v>
      </c>
      <c r="C334" s="10" t="s">
        <v>2070</v>
      </c>
      <c r="D334" s="2" t="b" cm="1">
        <f t="array" ref="D334:O334">_xlfn._xlws.FILTER(IF(ancillary!$E$4:$P$8="",FALSE,ancillary!$E$4:$P$8),ancillary!$B$4:$B$8=$C334)</f>
        <v>1</v>
      </c>
      <c r="E334" s="2" t="b">
        <v>1</v>
      </c>
      <c r="F334" s="2" t="b">
        <v>1</v>
      </c>
      <c r="G334" s="2" t="b">
        <v>1</v>
      </c>
      <c r="H334" s="2" t="b">
        <v>1</v>
      </c>
      <c r="I334" s="2" t="b">
        <v>1</v>
      </c>
      <c r="J334" s="2" t="b">
        <v>0</v>
      </c>
      <c r="K334" s="2" t="b">
        <v>0</v>
      </c>
      <c r="L334" s="2" t="b">
        <v>0</v>
      </c>
      <c r="M334" s="2" t="b">
        <v>0</v>
      </c>
      <c r="N334" s="2" t="b">
        <v>0</v>
      </c>
      <c r="O334" s="2" t="b">
        <v>0</v>
      </c>
      <c r="P334" s="68"/>
      <c r="R334" s="69"/>
      <c r="S334" s="68"/>
      <c r="U334" s="69"/>
      <c r="V334" s="68"/>
      <c r="X334" s="69"/>
      <c r="Y334" s="68"/>
      <c r="AA334" s="69"/>
      <c r="AB334" s="33">
        <f t="shared" ref="AB334:AB397" si="10">IFERROR(AVERAGEIFS(P334:AA334,_xlfn.ANCHORARRAY(D334),TRUE),0)/10</f>
        <v>0</v>
      </c>
      <c r="AC334" s="45">
        <f>_xlfn.LET(_xlpm.ps_1,P334:R334, _xlpm.ps_2,S334:U334, _xlpm.ps_3,V334:X334, _xlpm.ps_4,Y334:AA334,
_xlpm.phase, MID(C334,SEARCH("-",C334)+1,256),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(_xlfn.XLOOKUP($C$7,site_assumptions[Details],site_assumptions[Volts])*SUMIFS(P334:AA334,_xlfn.ANCHORARRAY(D334),TRUE)/10*0.95)/1000,
IFERROR(IF(_xlpm.phase="3Phase", _xlpm.p3_calc, _xlpm.sp_calc),0))</f>
        <v>0</v>
      </c>
      <c r="AD334" s="29" t="str">
        <f ca="1"/>
        <v>Compute</v>
      </c>
      <c r="AE334" s="30" t="str">
        <f ca="1"/>
        <v>Hybrid</v>
      </c>
      <c r="AF334" s="30" t="str">
        <f ca="1"/>
        <v>Live</v>
      </c>
      <c r="AG334" s="30">
        <f ca="1"/>
        <v>10</v>
      </c>
      <c r="AH334" s="31" t="str">
        <f ca="1"/>
        <v>Unknown</v>
      </c>
      <c r="AI334" s="49">
        <f t="shared" ref="AI334:AI397" ca="1" si="11">IFERROR(AC334/AG334,0)</f>
        <v>0</v>
      </c>
      <c r="AJ334" s="71">
        <f ca="1"/>
        <v>8.6769999999999996</v>
      </c>
    </row>
    <row r="335" spans="2:36" x14ac:dyDescent="0.25">
      <c r="B335" s="29" t="str">
        <f ca="1"/>
        <v>dal10.sr01.rk324</v>
      </c>
      <c r="C335" s="10" t="s">
        <v>2070</v>
      </c>
      <c r="D335" s="2" t="b" cm="1">
        <f t="array" ref="D335:O335">_xlfn._xlws.FILTER(IF(ancillary!$E$4:$P$8="",FALSE,ancillary!$E$4:$P$8),ancillary!$B$4:$B$8=$C335)</f>
        <v>1</v>
      </c>
      <c r="E335" s="2" t="b">
        <v>1</v>
      </c>
      <c r="F335" s="2" t="b">
        <v>1</v>
      </c>
      <c r="G335" s="2" t="b">
        <v>1</v>
      </c>
      <c r="H335" s="2" t="b">
        <v>1</v>
      </c>
      <c r="I335" s="2" t="b">
        <v>1</v>
      </c>
      <c r="J335" s="2" t="b">
        <v>0</v>
      </c>
      <c r="K335" s="2" t="b">
        <v>0</v>
      </c>
      <c r="L335" s="2" t="b">
        <v>0</v>
      </c>
      <c r="M335" s="2" t="b">
        <v>0</v>
      </c>
      <c r="N335" s="2" t="b">
        <v>0</v>
      </c>
      <c r="O335" s="2" t="b">
        <v>0</v>
      </c>
      <c r="P335" s="68"/>
      <c r="R335" s="69"/>
      <c r="S335" s="68"/>
      <c r="U335" s="69"/>
      <c r="V335" s="68"/>
      <c r="X335" s="69"/>
      <c r="Y335" s="68"/>
      <c r="AA335" s="69"/>
      <c r="AB335" s="33">
        <f t="shared" si="10"/>
        <v>0</v>
      </c>
      <c r="AC335" s="45">
        <f>_xlfn.LET(_xlpm.ps_1,P335:R335, _xlpm.ps_2,S335:U335, _xlpm.ps_3,V335:X335, _xlpm.ps_4,Y335:AA335,
_xlpm.phase, MID(C335,SEARCH("-",C335)+1,256),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(_xlfn.XLOOKUP($C$7,site_assumptions[Details],site_assumptions[Volts])*SUMIFS(P335:AA335,_xlfn.ANCHORARRAY(D335),TRUE)/10*0.95)/1000,
IFERROR(IF(_xlpm.phase="3Phase", _xlpm.p3_calc, _xlpm.sp_calc),0))</f>
        <v>0</v>
      </c>
      <c r="AD335" s="29" t="str">
        <f ca="1"/>
        <v>Compute</v>
      </c>
      <c r="AE335" s="30" t="str">
        <f ca="1"/>
        <v>Hybrid</v>
      </c>
      <c r="AF335" s="30" t="str">
        <f ca="1"/>
        <v>Live</v>
      </c>
      <c r="AG335" s="30">
        <f ca="1"/>
        <v>10</v>
      </c>
      <c r="AH335" s="31" t="str">
        <f ca="1"/>
        <v>Unknown</v>
      </c>
      <c r="AI335" s="49">
        <f t="shared" ca="1" si="11"/>
        <v>0</v>
      </c>
      <c r="AJ335" s="71">
        <f ca="1"/>
        <v>9.2170000000000005</v>
      </c>
    </row>
    <row r="336" spans="2:36" x14ac:dyDescent="0.25">
      <c r="B336" s="29" t="str">
        <f ca="1"/>
        <v>dal10.sr01.rk325</v>
      </c>
      <c r="C336" s="10" t="s">
        <v>2070</v>
      </c>
      <c r="D336" s="2" t="b" cm="1">
        <f t="array" ref="D336:O336">_xlfn._xlws.FILTER(IF(ancillary!$E$4:$P$8="",FALSE,ancillary!$E$4:$P$8),ancillary!$B$4:$B$8=$C336)</f>
        <v>1</v>
      </c>
      <c r="E336" s="2" t="b">
        <v>1</v>
      </c>
      <c r="F336" s="2" t="b">
        <v>1</v>
      </c>
      <c r="G336" s="2" t="b">
        <v>1</v>
      </c>
      <c r="H336" s="2" t="b">
        <v>1</v>
      </c>
      <c r="I336" s="2" t="b">
        <v>1</v>
      </c>
      <c r="J336" s="2" t="b">
        <v>0</v>
      </c>
      <c r="K336" s="2" t="b">
        <v>0</v>
      </c>
      <c r="L336" s="2" t="b">
        <v>0</v>
      </c>
      <c r="M336" s="2" t="b">
        <v>0</v>
      </c>
      <c r="N336" s="2" t="b">
        <v>0</v>
      </c>
      <c r="O336" s="2" t="b">
        <v>0</v>
      </c>
      <c r="P336" s="68"/>
      <c r="R336" s="69"/>
      <c r="S336" s="68"/>
      <c r="U336" s="69"/>
      <c r="V336" s="68"/>
      <c r="X336" s="69"/>
      <c r="Y336" s="68"/>
      <c r="AA336" s="69"/>
      <c r="AB336" s="33">
        <f t="shared" si="10"/>
        <v>0</v>
      </c>
      <c r="AC336" s="45">
        <f>_xlfn.LET(_xlpm.ps_1,P336:R336, _xlpm.ps_2,S336:U336, _xlpm.ps_3,V336:X336, _xlpm.ps_4,Y336:AA336,
_xlpm.phase, MID(C336,SEARCH("-",C336)+1,256),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(_xlfn.XLOOKUP($C$7,site_assumptions[Details],site_assumptions[Volts])*SUMIFS(P336:AA336,_xlfn.ANCHORARRAY(D336),TRUE)/10*0.95)/1000,
IFERROR(IF(_xlpm.phase="3Phase", _xlpm.p3_calc, _xlpm.sp_calc),0))</f>
        <v>0</v>
      </c>
      <c r="AD336" s="29" t="str">
        <f ca="1"/>
        <v>Network</v>
      </c>
      <c r="AE336" s="30" t="str">
        <f ca="1"/>
        <v>Aggregate</v>
      </c>
      <c r="AF336" s="30" t="str">
        <f ca="1"/>
        <v>Live</v>
      </c>
      <c r="AG336" s="30">
        <f ca="1"/>
        <v>5</v>
      </c>
      <c r="AH336" s="31" t="str">
        <f ca="1"/>
        <v>Unknown</v>
      </c>
      <c r="AI336" s="49">
        <f t="shared" ca="1" si="11"/>
        <v>0</v>
      </c>
      <c r="AJ336" s="71">
        <f ca="1"/>
        <v>0</v>
      </c>
    </row>
    <row r="337" spans="2:36" x14ac:dyDescent="0.25">
      <c r="B337" s="29" t="str">
        <f ca="1"/>
        <v>dal10.sr01.rk326</v>
      </c>
      <c r="C337" s="10" t="s">
        <v>2070</v>
      </c>
      <c r="D337" s="2" t="b" cm="1">
        <f t="array" ref="D337:O337">_xlfn._xlws.FILTER(IF(ancillary!$E$4:$P$8="",FALSE,ancillary!$E$4:$P$8),ancillary!$B$4:$B$8=$C337)</f>
        <v>1</v>
      </c>
      <c r="E337" s="2" t="b">
        <v>1</v>
      </c>
      <c r="F337" s="2" t="b">
        <v>1</v>
      </c>
      <c r="G337" s="2" t="b">
        <v>1</v>
      </c>
      <c r="H337" s="2" t="b">
        <v>1</v>
      </c>
      <c r="I337" s="2" t="b">
        <v>1</v>
      </c>
      <c r="J337" s="2" t="b">
        <v>0</v>
      </c>
      <c r="K337" s="2" t="b">
        <v>0</v>
      </c>
      <c r="L337" s="2" t="b">
        <v>0</v>
      </c>
      <c r="M337" s="2" t="b">
        <v>0</v>
      </c>
      <c r="N337" s="2" t="b">
        <v>0</v>
      </c>
      <c r="O337" s="2" t="b">
        <v>0</v>
      </c>
      <c r="P337" s="68"/>
      <c r="R337" s="69"/>
      <c r="S337" s="68"/>
      <c r="U337" s="69"/>
      <c r="V337" s="68"/>
      <c r="X337" s="69"/>
      <c r="Y337" s="68"/>
      <c r="AA337" s="69"/>
      <c r="AB337" s="33">
        <f t="shared" si="10"/>
        <v>0</v>
      </c>
      <c r="AC337" s="45">
        <f>_xlfn.LET(_xlpm.ps_1,P337:R337, _xlpm.ps_2,S337:U337, _xlpm.ps_3,V337:X337, _xlpm.ps_4,Y337:AA337,
_xlpm.phase, MID(C337,SEARCH("-",C337)+1,256),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(_xlfn.XLOOKUP($C$7,site_assumptions[Details],site_assumptions[Volts])*SUMIFS(P337:AA337,_xlfn.ANCHORARRAY(D337),TRUE)/10*0.95)/1000,
IFERROR(IF(_xlpm.phase="3Phase", _xlpm.p3_calc, _xlpm.sp_calc),0))</f>
        <v>0</v>
      </c>
      <c r="AD337" s="29" t="str">
        <f ca="1"/>
        <v>Compute</v>
      </c>
      <c r="AE337" s="30" t="str">
        <f ca="1"/>
        <v>Hybrid</v>
      </c>
      <c r="AF337" s="30" t="str">
        <f ca="1"/>
        <v>Live</v>
      </c>
      <c r="AG337" s="30">
        <f ca="1"/>
        <v>10</v>
      </c>
      <c r="AH337" s="31" t="str">
        <f ca="1"/>
        <v>Unknown</v>
      </c>
      <c r="AI337" s="49">
        <f t="shared" ca="1" si="11"/>
        <v>0</v>
      </c>
      <c r="AJ337" s="71">
        <f ca="1"/>
        <v>9.66</v>
      </c>
    </row>
    <row r="338" spans="2:36" x14ac:dyDescent="0.25">
      <c r="B338" s="29" t="str">
        <f ca="1"/>
        <v>dal10.sr01.rk327</v>
      </c>
      <c r="C338" s="10" t="s">
        <v>2070</v>
      </c>
      <c r="D338" s="2" t="b" cm="1">
        <f t="array" ref="D338:O338">_xlfn._xlws.FILTER(IF(ancillary!$E$4:$P$8="",FALSE,ancillary!$E$4:$P$8),ancillary!$B$4:$B$8=$C338)</f>
        <v>1</v>
      </c>
      <c r="E338" s="2" t="b">
        <v>1</v>
      </c>
      <c r="F338" s="2" t="b">
        <v>1</v>
      </c>
      <c r="G338" s="2" t="b">
        <v>1</v>
      </c>
      <c r="H338" s="2" t="b">
        <v>1</v>
      </c>
      <c r="I338" s="2" t="b">
        <v>1</v>
      </c>
      <c r="J338" s="2" t="b">
        <v>0</v>
      </c>
      <c r="K338" s="2" t="b">
        <v>0</v>
      </c>
      <c r="L338" s="2" t="b">
        <v>0</v>
      </c>
      <c r="M338" s="2" t="b">
        <v>0</v>
      </c>
      <c r="N338" s="2" t="b">
        <v>0</v>
      </c>
      <c r="O338" s="2" t="b">
        <v>0</v>
      </c>
      <c r="P338" s="68"/>
      <c r="R338" s="69"/>
      <c r="S338" s="68"/>
      <c r="U338" s="69"/>
      <c r="V338" s="68"/>
      <c r="X338" s="69"/>
      <c r="Y338" s="68"/>
      <c r="AA338" s="69"/>
      <c r="AB338" s="33">
        <f t="shared" si="10"/>
        <v>0</v>
      </c>
      <c r="AC338" s="45">
        <f>_xlfn.LET(_xlpm.ps_1,P338:R338, _xlpm.ps_2,S338:U338, _xlpm.ps_3,V338:X338, _xlpm.ps_4,Y338:AA338,
_xlpm.phase, MID(C338,SEARCH("-",C338)+1,256),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(_xlfn.XLOOKUP($C$7,site_assumptions[Details],site_assumptions[Volts])*SUMIFS(P338:AA338,_xlfn.ANCHORARRAY(D338),TRUE)/10*0.95)/1000,
IFERROR(IF(_xlpm.phase="3Phase", _xlpm.p3_calc, _xlpm.sp_calc),0))</f>
        <v>0</v>
      </c>
      <c r="AD338" s="29" t="str">
        <f ca="1"/>
        <v>Compute</v>
      </c>
      <c r="AE338" s="30" t="str">
        <f ca="1"/>
        <v>Hybrid</v>
      </c>
      <c r="AF338" s="30" t="str">
        <f ca="1"/>
        <v>Live</v>
      </c>
      <c r="AG338" s="30">
        <f ca="1"/>
        <v>10</v>
      </c>
      <c r="AH338" s="31" t="str">
        <f ca="1"/>
        <v>Unknown</v>
      </c>
      <c r="AI338" s="49">
        <f t="shared" ca="1" si="11"/>
        <v>0</v>
      </c>
      <c r="AJ338" s="71">
        <f ca="1"/>
        <v>9.5289999999999999</v>
      </c>
    </row>
    <row r="339" spans="2:36" x14ac:dyDescent="0.25">
      <c r="B339" s="29" t="str">
        <f ca="1"/>
        <v>dal10.sr01.rk328</v>
      </c>
      <c r="C339" s="10" t="s">
        <v>2070</v>
      </c>
      <c r="D339" s="2" t="b" cm="1">
        <f t="array" ref="D339:O339">_xlfn._xlws.FILTER(IF(ancillary!$E$4:$P$8="",FALSE,ancillary!$E$4:$P$8),ancillary!$B$4:$B$8=$C339)</f>
        <v>1</v>
      </c>
      <c r="E339" s="2" t="b">
        <v>1</v>
      </c>
      <c r="F339" s="2" t="b">
        <v>1</v>
      </c>
      <c r="G339" s="2" t="b">
        <v>1</v>
      </c>
      <c r="H339" s="2" t="b">
        <v>1</v>
      </c>
      <c r="I339" s="2" t="b">
        <v>1</v>
      </c>
      <c r="J339" s="2" t="b">
        <v>0</v>
      </c>
      <c r="K339" s="2" t="b">
        <v>0</v>
      </c>
      <c r="L339" s="2" t="b">
        <v>0</v>
      </c>
      <c r="M339" s="2" t="b">
        <v>0</v>
      </c>
      <c r="N339" s="2" t="b">
        <v>0</v>
      </c>
      <c r="O339" s="2" t="b">
        <v>0</v>
      </c>
      <c r="P339" s="68"/>
      <c r="R339" s="69"/>
      <c r="S339" s="68"/>
      <c r="U339" s="69"/>
      <c r="V339" s="68"/>
      <c r="X339" s="69"/>
      <c r="Y339" s="68"/>
      <c r="AA339" s="69"/>
      <c r="AB339" s="33">
        <f t="shared" si="10"/>
        <v>0</v>
      </c>
      <c r="AC339" s="45">
        <f>_xlfn.LET(_xlpm.ps_1,P339:R339, _xlpm.ps_2,S339:U339, _xlpm.ps_3,V339:X339, _xlpm.ps_4,Y339:AA339,
_xlpm.phase, MID(C339,SEARCH("-",C339)+1,256),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(_xlfn.XLOOKUP($C$7,site_assumptions[Details],site_assumptions[Volts])*SUMIFS(P339:AA339,_xlfn.ANCHORARRAY(D339),TRUE)/10*0.95)/1000,
IFERROR(IF(_xlpm.phase="3Phase", _xlpm.p3_calc, _xlpm.sp_calc),0))</f>
        <v>0</v>
      </c>
      <c r="AD339" s="29" t="str">
        <f ca="1"/>
        <v>Compute</v>
      </c>
      <c r="AE339" s="30" t="str">
        <f ca="1"/>
        <v>Hybrid</v>
      </c>
      <c r="AF339" s="30" t="str">
        <f ca="1"/>
        <v>Live</v>
      </c>
      <c r="AG339" s="30">
        <f ca="1"/>
        <v>10</v>
      </c>
      <c r="AH339" s="31" t="str">
        <f ca="1"/>
        <v>Unknown</v>
      </c>
      <c r="AI339" s="49">
        <f t="shared" ca="1" si="11"/>
        <v>0</v>
      </c>
      <c r="AJ339" s="71">
        <f ca="1"/>
        <v>8.5649999999999995</v>
      </c>
    </row>
    <row r="340" spans="2:36" x14ac:dyDescent="0.25">
      <c r="B340" s="29" t="str">
        <f ca="1"/>
        <v>dal10.sr01.rk329</v>
      </c>
      <c r="C340" s="10" t="s">
        <v>2070</v>
      </c>
      <c r="D340" s="2" t="b" cm="1">
        <f t="array" ref="D340:O340">_xlfn._xlws.FILTER(IF(ancillary!$E$4:$P$8="",FALSE,ancillary!$E$4:$P$8),ancillary!$B$4:$B$8=$C340)</f>
        <v>1</v>
      </c>
      <c r="E340" s="2" t="b">
        <v>1</v>
      </c>
      <c r="F340" s="2" t="b">
        <v>1</v>
      </c>
      <c r="G340" s="2" t="b">
        <v>1</v>
      </c>
      <c r="H340" s="2" t="b">
        <v>1</v>
      </c>
      <c r="I340" s="2" t="b">
        <v>1</v>
      </c>
      <c r="J340" s="2" t="b">
        <v>0</v>
      </c>
      <c r="K340" s="2" t="b">
        <v>0</v>
      </c>
      <c r="L340" s="2" t="b">
        <v>0</v>
      </c>
      <c r="M340" s="2" t="b">
        <v>0</v>
      </c>
      <c r="N340" s="2" t="b">
        <v>0</v>
      </c>
      <c r="O340" s="2" t="b">
        <v>0</v>
      </c>
      <c r="P340" s="68"/>
      <c r="R340" s="69"/>
      <c r="S340" s="68"/>
      <c r="U340" s="69"/>
      <c r="V340" s="68"/>
      <c r="X340" s="69"/>
      <c r="Y340" s="68"/>
      <c r="AA340" s="69"/>
      <c r="AB340" s="33">
        <f t="shared" si="10"/>
        <v>0</v>
      </c>
      <c r="AC340" s="45">
        <f>_xlfn.LET(_xlpm.ps_1,P340:R340, _xlpm.ps_2,S340:U340, _xlpm.ps_3,V340:X340, _xlpm.ps_4,Y340:AA340,
_xlpm.phase, MID(C340,SEARCH("-",C340)+1,256),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(_xlfn.XLOOKUP($C$7,site_assumptions[Details],site_assumptions[Volts])*SUMIFS(P340:AA340,_xlfn.ANCHORARRAY(D340),TRUE)/10*0.95)/1000,
IFERROR(IF(_xlpm.phase="3Phase", _xlpm.p3_calc, _xlpm.sp_calc),0))</f>
        <v>0</v>
      </c>
      <c r="AD340" s="29" t="str">
        <f ca="1"/>
        <v>Compute</v>
      </c>
      <c r="AE340" s="30" t="str">
        <f ca="1"/>
        <v>Hybrid</v>
      </c>
      <c r="AF340" s="30" t="str">
        <f ca="1"/>
        <v>Live</v>
      </c>
      <c r="AG340" s="30">
        <f ca="1"/>
        <v>10</v>
      </c>
      <c r="AH340" s="31" t="str">
        <f ca="1"/>
        <v>Unknown</v>
      </c>
      <c r="AI340" s="49">
        <f t="shared" ca="1" si="11"/>
        <v>0</v>
      </c>
      <c r="AJ340" s="71">
        <f ca="1"/>
        <v>8.3179999999999996</v>
      </c>
    </row>
    <row r="341" spans="2:36" x14ac:dyDescent="0.25">
      <c r="B341" s="29" t="str">
        <f ca="1"/>
        <v>dal10.sr01.rk330</v>
      </c>
      <c r="C341" s="10" t="s">
        <v>2070</v>
      </c>
      <c r="D341" s="2" t="b" cm="1">
        <f t="array" ref="D341:O341">_xlfn._xlws.FILTER(IF(ancillary!$E$4:$P$8="",FALSE,ancillary!$E$4:$P$8),ancillary!$B$4:$B$8=$C341)</f>
        <v>1</v>
      </c>
      <c r="E341" s="2" t="b">
        <v>1</v>
      </c>
      <c r="F341" s="2" t="b">
        <v>1</v>
      </c>
      <c r="G341" s="2" t="b">
        <v>1</v>
      </c>
      <c r="H341" s="2" t="b">
        <v>1</v>
      </c>
      <c r="I341" s="2" t="b">
        <v>1</v>
      </c>
      <c r="J341" s="2" t="b">
        <v>0</v>
      </c>
      <c r="K341" s="2" t="b">
        <v>0</v>
      </c>
      <c r="L341" s="2" t="b">
        <v>0</v>
      </c>
      <c r="M341" s="2" t="b">
        <v>0</v>
      </c>
      <c r="N341" s="2" t="b">
        <v>0</v>
      </c>
      <c r="O341" s="2" t="b">
        <v>0</v>
      </c>
      <c r="P341" s="68"/>
      <c r="R341" s="69"/>
      <c r="S341" s="68"/>
      <c r="U341" s="69"/>
      <c r="V341" s="68"/>
      <c r="X341" s="69"/>
      <c r="Y341" s="68"/>
      <c r="AA341" s="69"/>
      <c r="AB341" s="33">
        <f t="shared" si="10"/>
        <v>0</v>
      </c>
      <c r="AC341" s="45">
        <f>_xlfn.LET(_xlpm.ps_1,P341:R341, _xlpm.ps_2,S341:U341, _xlpm.ps_3,V341:X341, _xlpm.ps_4,Y341:AA341,
_xlpm.phase, MID(C341,SEARCH("-",C341)+1,256),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(_xlfn.XLOOKUP($C$7,site_assumptions[Details],site_assumptions[Volts])*SUMIFS(P341:AA341,_xlfn.ANCHORARRAY(D341),TRUE)/10*0.95)/1000,
IFERROR(IF(_xlpm.phase="3Phase", _xlpm.p3_calc, _xlpm.sp_calc),0))</f>
        <v>0</v>
      </c>
      <c r="AD341" s="29" t="str">
        <f ca="1"/>
        <v>Compute</v>
      </c>
      <c r="AE341" s="30" t="str">
        <f ca="1"/>
        <v>Hybrid</v>
      </c>
      <c r="AF341" s="30" t="str">
        <f ca="1"/>
        <v>Live</v>
      </c>
      <c r="AG341" s="30">
        <f ca="1"/>
        <v>10</v>
      </c>
      <c r="AH341" s="31" t="str">
        <f ca="1"/>
        <v>Unknown</v>
      </c>
      <c r="AI341" s="49">
        <f t="shared" ca="1" si="11"/>
        <v>0</v>
      </c>
      <c r="AJ341" s="71">
        <f ca="1"/>
        <v>9.0350000000000001</v>
      </c>
    </row>
    <row r="342" spans="2:36" x14ac:dyDescent="0.25">
      <c r="B342" s="29" t="str">
        <f ca="1"/>
        <v>dal10.sr01.rk331</v>
      </c>
      <c r="C342" s="10" t="s">
        <v>2070</v>
      </c>
      <c r="D342" s="2" t="b" cm="1">
        <f t="array" ref="D342:O342">_xlfn._xlws.FILTER(IF(ancillary!$E$4:$P$8="",FALSE,ancillary!$E$4:$P$8),ancillary!$B$4:$B$8=$C342)</f>
        <v>1</v>
      </c>
      <c r="E342" s="2" t="b">
        <v>1</v>
      </c>
      <c r="F342" s="2" t="b">
        <v>1</v>
      </c>
      <c r="G342" s="2" t="b">
        <v>1</v>
      </c>
      <c r="H342" s="2" t="b">
        <v>1</v>
      </c>
      <c r="I342" s="2" t="b">
        <v>1</v>
      </c>
      <c r="J342" s="2" t="b">
        <v>0</v>
      </c>
      <c r="K342" s="2" t="b">
        <v>0</v>
      </c>
      <c r="L342" s="2" t="b">
        <v>0</v>
      </c>
      <c r="M342" s="2" t="b">
        <v>0</v>
      </c>
      <c r="N342" s="2" t="b">
        <v>0</v>
      </c>
      <c r="O342" s="2" t="b">
        <v>0</v>
      </c>
      <c r="P342" s="68"/>
      <c r="R342" s="69"/>
      <c r="S342" s="68"/>
      <c r="U342" s="69"/>
      <c r="V342" s="68"/>
      <c r="X342" s="69"/>
      <c r="Y342" s="68"/>
      <c r="AA342" s="69"/>
      <c r="AB342" s="33">
        <f t="shared" si="10"/>
        <v>0</v>
      </c>
      <c r="AC342" s="45">
        <f>_xlfn.LET(_xlpm.ps_1,P342:R342, _xlpm.ps_2,S342:U342, _xlpm.ps_3,V342:X342, _xlpm.ps_4,Y342:AA342,
_xlpm.phase, MID(C342,SEARCH("-",C342)+1,256),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(_xlfn.XLOOKUP($C$7,site_assumptions[Details],site_assumptions[Volts])*SUMIFS(P342:AA342,_xlfn.ANCHORARRAY(D342),TRUE)/10*0.95)/1000,
IFERROR(IF(_xlpm.phase="3Phase", _xlpm.p3_calc, _xlpm.sp_calc),0))</f>
        <v>0</v>
      </c>
      <c r="AD342" s="29" t="str">
        <f ca="1"/>
        <v>Gen2</v>
      </c>
      <c r="AE342" s="30" t="str">
        <f ca="1"/>
        <v>Compute</v>
      </c>
      <c r="AF342" s="30" t="str">
        <f ca="1"/>
        <v>Planned</v>
      </c>
      <c r="AG342" s="30">
        <f ca="1"/>
        <v>20</v>
      </c>
      <c r="AH342" s="31" t="str">
        <f ca="1"/>
        <v>Unknown</v>
      </c>
      <c r="AI342" s="49">
        <f t="shared" ca="1" si="11"/>
        <v>0</v>
      </c>
      <c r="AJ342" s="71">
        <f ca="1"/>
        <v>0</v>
      </c>
    </row>
    <row r="343" spans="2:36" x14ac:dyDescent="0.25">
      <c r="B343" s="29" t="str">
        <f ca="1"/>
        <v>dal10.sr01.rk332</v>
      </c>
      <c r="C343" s="10" t="s">
        <v>2070</v>
      </c>
      <c r="D343" s="2" t="b" cm="1">
        <f t="array" ref="D343:O343">_xlfn._xlws.FILTER(IF(ancillary!$E$4:$P$8="",FALSE,ancillary!$E$4:$P$8),ancillary!$B$4:$B$8=$C343)</f>
        <v>1</v>
      </c>
      <c r="E343" s="2" t="b">
        <v>1</v>
      </c>
      <c r="F343" s="2" t="b">
        <v>1</v>
      </c>
      <c r="G343" s="2" t="b">
        <v>1</v>
      </c>
      <c r="H343" s="2" t="b">
        <v>1</v>
      </c>
      <c r="I343" s="2" t="b">
        <v>1</v>
      </c>
      <c r="J343" s="2" t="b">
        <v>0</v>
      </c>
      <c r="K343" s="2" t="b">
        <v>0</v>
      </c>
      <c r="L343" s="2" t="b">
        <v>0</v>
      </c>
      <c r="M343" s="2" t="b">
        <v>0</v>
      </c>
      <c r="N343" s="2" t="b">
        <v>0</v>
      </c>
      <c r="O343" s="2" t="b">
        <v>0</v>
      </c>
      <c r="P343" s="68"/>
      <c r="R343" s="69"/>
      <c r="S343" s="68"/>
      <c r="U343" s="69"/>
      <c r="V343" s="68"/>
      <c r="X343" s="69"/>
      <c r="Y343" s="68"/>
      <c r="AA343" s="69"/>
      <c r="AB343" s="33">
        <f t="shared" si="10"/>
        <v>0</v>
      </c>
      <c r="AC343" s="45">
        <f>_xlfn.LET(_xlpm.ps_1,P343:R343, _xlpm.ps_2,S343:U343, _xlpm.ps_3,V343:X343, _xlpm.ps_4,Y343:AA343,
_xlpm.phase, MID(C343,SEARCH("-",C343)+1,256),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(_xlfn.XLOOKUP($C$7,site_assumptions[Details],site_assumptions[Volts])*SUMIFS(P343:AA343,_xlfn.ANCHORARRAY(D343),TRUE)/10*0.95)/1000,
IFERROR(IF(_xlpm.phase="3Phase", _xlpm.p3_calc, _xlpm.sp_calc),0))</f>
        <v>0</v>
      </c>
      <c r="AD343" s="29" t="str">
        <f ca="1"/>
        <v>Gen2</v>
      </c>
      <c r="AE343" s="30" t="str">
        <f ca="1"/>
        <v>Compute</v>
      </c>
      <c r="AF343" s="30" t="str">
        <f ca="1"/>
        <v>Planned</v>
      </c>
      <c r="AG343" s="30">
        <f ca="1"/>
        <v>20</v>
      </c>
      <c r="AH343" s="31" t="str">
        <f ca="1"/>
        <v>Unknown</v>
      </c>
      <c r="AI343" s="49">
        <f t="shared" ca="1" si="11"/>
        <v>0</v>
      </c>
      <c r="AJ343" s="71">
        <f ca="1"/>
        <v>0</v>
      </c>
    </row>
    <row r="344" spans="2:36" x14ac:dyDescent="0.25">
      <c r="B344" s="29" t="str">
        <f ca="1"/>
        <v>dal10.sr01.rk333</v>
      </c>
      <c r="C344" s="10" t="s">
        <v>2070</v>
      </c>
      <c r="D344" s="2" t="b" cm="1">
        <f t="array" ref="D344:O344">_xlfn._xlws.FILTER(IF(ancillary!$E$4:$P$8="",FALSE,ancillary!$E$4:$P$8),ancillary!$B$4:$B$8=$C344)</f>
        <v>1</v>
      </c>
      <c r="E344" s="2" t="b">
        <v>1</v>
      </c>
      <c r="F344" s="2" t="b">
        <v>1</v>
      </c>
      <c r="G344" s="2" t="b">
        <v>1</v>
      </c>
      <c r="H344" s="2" t="b">
        <v>1</v>
      </c>
      <c r="I344" s="2" t="b">
        <v>1</v>
      </c>
      <c r="J344" s="2" t="b">
        <v>0</v>
      </c>
      <c r="K344" s="2" t="b">
        <v>0</v>
      </c>
      <c r="L344" s="2" t="b">
        <v>0</v>
      </c>
      <c r="M344" s="2" t="b">
        <v>0</v>
      </c>
      <c r="N344" s="2" t="b">
        <v>0</v>
      </c>
      <c r="O344" s="2" t="b">
        <v>0</v>
      </c>
      <c r="P344" s="68"/>
      <c r="R344" s="69"/>
      <c r="S344" s="68"/>
      <c r="U344" s="69"/>
      <c r="V344" s="68"/>
      <c r="X344" s="69"/>
      <c r="Y344" s="68"/>
      <c r="AA344" s="69"/>
      <c r="AB344" s="33">
        <f t="shared" si="10"/>
        <v>0</v>
      </c>
      <c r="AC344" s="45">
        <f>_xlfn.LET(_xlpm.ps_1,P344:R344, _xlpm.ps_2,S344:U344, _xlpm.ps_3,V344:X344, _xlpm.ps_4,Y344:AA344,
_xlpm.phase, MID(C344,SEARCH("-",C344)+1,256),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(_xlfn.XLOOKUP($C$7,site_assumptions[Details],site_assumptions[Volts])*SUMIFS(P344:AA344,_xlfn.ANCHORARRAY(D344),TRUE)/10*0.95)/1000,
IFERROR(IF(_xlpm.phase="3Phase", _xlpm.p3_calc, _xlpm.sp_calc),0))</f>
        <v>0</v>
      </c>
      <c r="AD344" s="29" t="str">
        <f ca="1"/>
        <v>Gen2</v>
      </c>
      <c r="AE344" s="30" t="str">
        <f ca="1"/>
        <v>Compute</v>
      </c>
      <c r="AF344" s="30" t="str">
        <f ca="1"/>
        <v>Planned</v>
      </c>
      <c r="AG344" s="30">
        <f ca="1"/>
        <v>20</v>
      </c>
      <c r="AH344" s="31" t="str">
        <f ca="1"/>
        <v>Unknown</v>
      </c>
      <c r="AI344" s="49">
        <f t="shared" ca="1" si="11"/>
        <v>0</v>
      </c>
      <c r="AJ344" s="71">
        <f ca="1"/>
        <v>0</v>
      </c>
    </row>
    <row r="345" spans="2:36" x14ac:dyDescent="0.25">
      <c r="B345" s="29" t="str">
        <f ca="1"/>
        <v>dal10.sr01.rk334</v>
      </c>
      <c r="C345" s="10" t="s">
        <v>2070</v>
      </c>
      <c r="D345" s="2" t="b" cm="1">
        <f t="array" ref="D345:O345">_xlfn._xlws.FILTER(IF(ancillary!$E$4:$P$8="",FALSE,ancillary!$E$4:$P$8),ancillary!$B$4:$B$8=$C345)</f>
        <v>1</v>
      </c>
      <c r="E345" s="2" t="b">
        <v>1</v>
      </c>
      <c r="F345" s="2" t="b">
        <v>1</v>
      </c>
      <c r="G345" s="2" t="b">
        <v>1</v>
      </c>
      <c r="H345" s="2" t="b">
        <v>1</v>
      </c>
      <c r="I345" s="2" t="b">
        <v>1</v>
      </c>
      <c r="J345" s="2" t="b">
        <v>0</v>
      </c>
      <c r="K345" s="2" t="b">
        <v>0</v>
      </c>
      <c r="L345" s="2" t="b">
        <v>0</v>
      </c>
      <c r="M345" s="2" t="b">
        <v>0</v>
      </c>
      <c r="N345" s="2" t="b">
        <v>0</v>
      </c>
      <c r="O345" s="2" t="b">
        <v>0</v>
      </c>
      <c r="P345" s="68"/>
      <c r="R345" s="69"/>
      <c r="S345" s="68"/>
      <c r="U345" s="69"/>
      <c r="V345" s="68"/>
      <c r="X345" s="69"/>
      <c r="Y345" s="68"/>
      <c r="AA345" s="69"/>
      <c r="AB345" s="33">
        <f t="shared" si="10"/>
        <v>0</v>
      </c>
      <c r="AC345" s="45">
        <f>_xlfn.LET(_xlpm.ps_1,P345:R345, _xlpm.ps_2,S345:U345, _xlpm.ps_3,V345:X345, _xlpm.ps_4,Y345:AA345,
_xlpm.phase, MID(C345,SEARCH("-",C345)+1,256),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(_xlfn.XLOOKUP($C$7,site_assumptions[Details],site_assumptions[Volts])*SUMIFS(P345:AA345,_xlfn.ANCHORARRAY(D345),TRUE)/10*0.95)/1000,
IFERROR(IF(_xlpm.phase="3Phase", _xlpm.p3_calc, _xlpm.sp_calc),0))</f>
        <v>0</v>
      </c>
      <c r="AD345" s="29" t="str">
        <f ca="1"/>
        <v>Gen2</v>
      </c>
      <c r="AE345" s="30" t="str">
        <f ca="1"/>
        <v>Compute</v>
      </c>
      <c r="AF345" s="30" t="str">
        <f ca="1"/>
        <v>Planned</v>
      </c>
      <c r="AG345" s="30">
        <f ca="1"/>
        <v>20</v>
      </c>
      <c r="AH345" s="31" t="str">
        <f ca="1"/>
        <v>Unknown</v>
      </c>
      <c r="AI345" s="49">
        <f t="shared" ca="1" si="11"/>
        <v>0</v>
      </c>
      <c r="AJ345" s="71">
        <f ca="1"/>
        <v>0</v>
      </c>
    </row>
    <row r="346" spans="2:36" x14ac:dyDescent="0.25">
      <c r="B346" s="29" t="str">
        <f ca="1"/>
        <v>dal10.sr01.rk335</v>
      </c>
      <c r="C346" s="10" t="s">
        <v>2070</v>
      </c>
      <c r="D346" s="2" t="b" cm="1">
        <f t="array" ref="D346:O346">_xlfn._xlws.FILTER(IF(ancillary!$E$4:$P$8="",FALSE,ancillary!$E$4:$P$8),ancillary!$B$4:$B$8=$C346)</f>
        <v>1</v>
      </c>
      <c r="E346" s="2" t="b">
        <v>1</v>
      </c>
      <c r="F346" s="2" t="b">
        <v>1</v>
      </c>
      <c r="G346" s="2" t="b">
        <v>1</v>
      </c>
      <c r="H346" s="2" t="b">
        <v>1</v>
      </c>
      <c r="I346" s="2" t="b">
        <v>1</v>
      </c>
      <c r="J346" s="2" t="b">
        <v>0</v>
      </c>
      <c r="K346" s="2" t="b">
        <v>0</v>
      </c>
      <c r="L346" s="2" t="b">
        <v>0</v>
      </c>
      <c r="M346" s="2" t="b">
        <v>0</v>
      </c>
      <c r="N346" s="2" t="b">
        <v>0</v>
      </c>
      <c r="O346" s="2" t="b">
        <v>0</v>
      </c>
      <c r="P346" s="68"/>
      <c r="R346" s="69"/>
      <c r="S346" s="68"/>
      <c r="U346" s="69"/>
      <c r="V346" s="68"/>
      <c r="X346" s="69"/>
      <c r="Y346" s="68"/>
      <c r="AA346" s="69"/>
      <c r="AB346" s="33">
        <f t="shared" si="10"/>
        <v>0</v>
      </c>
      <c r="AC346" s="45">
        <f>_xlfn.LET(_xlpm.ps_1,P346:R346, _xlpm.ps_2,S346:U346, _xlpm.ps_3,V346:X346, _xlpm.ps_4,Y346:AA346,
_xlpm.phase, MID(C346,SEARCH("-",C346)+1,256),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(_xlfn.XLOOKUP($C$7,site_assumptions[Details],site_assumptions[Volts])*SUMIFS(P346:AA346,_xlfn.ANCHORARRAY(D346),TRUE)/10*0.95)/1000,
IFERROR(IF(_xlpm.phase="3Phase", _xlpm.p3_calc, _xlpm.sp_calc),0))</f>
        <v>0</v>
      </c>
      <c r="AD346" s="29" t="str">
        <f ca="1"/>
        <v>Unallocated</v>
      </c>
      <c r="AE346" s="30" t="str">
        <f ca="1"/>
        <v>Unallocated</v>
      </c>
      <c r="AF346" s="30" t="str">
        <f ca="1"/>
        <v>Power Limit</v>
      </c>
      <c r="AG346" s="30">
        <f ca="1"/>
        <v>0</v>
      </c>
      <c r="AH346" s="31" t="str">
        <f ca="1"/>
        <v>Unknown</v>
      </c>
      <c r="AI346" s="49">
        <f t="shared" ca="1" si="11"/>
        <v>0</v>
      </c>
      <c r="AJ346" s="71">
        <f ca="1"/>
        <v>0</v>
      </c>
    </row>
    <row r="347" spans="2:36" x14ac:dyDescent="0.25">
      <c r="B347" s="29" t="str">
        <f ca="1"/>
        <v>dal10.sr01.rk336</v>
      </c>
      <c r="C347" s="10" t="s">
        <v>2070</v>
      </c>
      <c r="D347" s="2" t="b" cm="1">
        <f t="array" ref="D347:O347">_xlfn._xlws.FILTER(IF(ancillary!$E$4:$P$8="",FALSE,ancillary!$E$4:$P$8),ancillary!$B$4:$B$8=$C347)</f>
        <v>1</v>
      </c>
      <c r="E347" s="2" t="b">
        <v>1</v>
      </c>
      <c r="F347" s="2" t="b">
        <v>1</v>
      </c>
      <c r="G347" s="2" t="b">
        <v>1</v>
      </c>
      <c r="H347" s="2" t="b">
        <v>1</v>
      </c>
      <c r="I347" s="2" t="b">
        <v>1</v>
      </c>
      <c r="J347" s="2" t="b">
        <v>0</v>
      </c>
      <c r="K347" s="2" t="b">
        <v>0</v>
      </c>
      <c r="L347" s="2" t="b">
        <v>0</v>
      </c>
      <c r="M347" s="2" t="b">
        <v>0</v>
      </c>
      <c r="N347" s="2" t="b">
        <v>0</v>
      </c>
      <c r="O347" s="2" t="b">
        <v>0</v>
      </c>
      <c r="P347" s="68"/>
      <c r="R347" s="69"/>
      <c r="S347" s="68"/>
      <c r="U347" s="69"/>
      <c r="V347" s="68"/>
      <c r="X347" s="69"/>
      <c r="Y347" s="68"/>
      <c r="AA347" s="69"/>
      <c r="AB347" s="33">
        <f t="shared" si="10"/>
        <v>0</v>
      </c>
      <c r="AC347" s="45">
        <f>_xlfn.LET(_xlpm.ps_1,P347:R347, _xlpm.ps_2,S347:U347, _xlpm.ps_3,V347:X347, _xlpm.ps_4,Y347:AA347,
_xlpm.phase, MID(C347,SEARCH("-",C347)+1,256),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(_xlfn.XLOOKUP($C$7,site_assumptions[Details],site_assumptions[Volts])*SUMIFS(P347:AA347,_xlfn.ANCHORARRAY(D347),TRUE)/10*0.95)/1000,
IFERROR(IF(_xlpm.phase="3Phase", _xlpm.p3_calc, _xlpm.sp_calc),0))</f>
        <v>0</v>
      </c>
      <c r="AD347" s="29" t="str">
        <f ca="1"/>
        <v>Unallocated</v>
      </c>
      <c r="AE347" s="30" t="str">
        <f ca="1"/>
        <v>Unallocated</v>
      </c>
      <c r="AF347" s="30" t="str">
        <f ca="1"/>
        <v>Power Limit</v>
      </c>
      <c r="AG347" s="30">
        <f ca="1"/>
        <v>0</v>
      </c>
      <c r="AH347" s="31" t="str">
        <f ca="1"/>
        <v>Unknown</v>
      </c>
      <c r="AI347" s="49">
        <f t="shared" ca="1" si="11"/>
        <v>0</v>
      </c>
      <c r="AJ347" s="71">
        <f ca="1"/>
        <v>0</v>
      </c>
    </row>
    <row r="348" spans="2:36" x14ac:dyDescent="0.25">
      <c r="B348" s="29" t="str">
        <f ca="1"/>
        <v>dal10.sr01.rk337</v>
      </c>
      <c r="C348" s="10" t="s">
        <v>2070</v>
      </c>
      <c r="D348" s="2" t="b" cm="1">
        <f t="array" ref="D348:O348">_xlfn._xlws.FILTER(IF(ancillary!$E$4:$P$8="",FALSE,ancillary!$E$4:$P$8),ancillary!$B$4:$B$8=$C348)</f>
        <v>1</v>
      </c>
      <c r="E348" s="2" t="b">
        <v>1</v>
      </c>
      <c r="F348" s="2" t="b">
        <v>1</v>
      </c>
      <c r="G348" s="2" t="b">
        <v>1</v>
      </c>
      <c r="H348" s="2" t="b">
        <v>1</v>
      </c>
      <c r="I348" s="2" t="b">
        <v>1</v>
      </c>
      <c r="J348" s="2" t="b">
        <v>0</v>
      </c>
      <c r="K348" s="2" t="b">
        <v>0</v>
      </c>
      <c r="L348" s="2" t="b">
        <v>0</v>
      </c>
      <c r="M348" s="2" t="b">
        <v>0</v>
      </c>
      <c r="N348" s="2" t="b">
        <v>0</v>
      </c>
      <c r="O348" s="2" t="b">
        <v>0</v>
      </c>
      <c r="P348" s="68"/>
      <c r="R348" s="69"/>
      <c r="S348" s="68"/>
      <c r="U348" s="69"/>
      <c r="V348" s="68"/>
      <c r="X348" s="69"/>
      <c r="Y348" s="68"/>
      <c r="AA348" s="69"/>
      <c r="AB348" s="33">
        <f t="shared" si="10"/>
        <v>0</v>
      </c>
      <c r="AC348" s="45">
        <f>_xlfn.LET(_xlpm.ps_1,P348:R348, _xlpm.ps_2,S348:U348, _xlpm.ps_3,V348:X348, _xlpm.ps_4,Y348:AA348,
_xlpm.phase, MID(C348,SEARCH("-",C348)+1,256),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(_xlfn.XLOOKUP($C$7,site_assumptions[Details],site_assumptions[Volts])*SUMIFS(P348:AA348,_xlfn.ANCHORARRAY(D348),TRUE)/10*0.95)/1000,
IFERROR(IF(_xlpm.phase="3Phase", _xlpm.p3_calc, _xlpm.sp_calc),0))</f>
        <v>0</v>
      </c>
      <c r="AD348" s="29" t="str">
        <f ca="1"/>
        <v>Unallocated</v>
      </c>
      <c r="AE348" s="30" t="str">
        <f ca="1"/>
        <v>Unallocated</v>
      </c>
      <c r="AF348" s="30" t="str">
        <f ca="1"/>
        <v>Power Limit</v>
      </c>
      <c r="AG348" s="30">
        <f ca="1"/>
        <v>0</v>
      </c>
      <c r="AH348" s="31" t="str">
        <f ca="1"/>
        <v>Unknown</v>
      </c>
      <c r="AI348" s="49">
        <f t="shared" ca="1" si="11"/>
        <v>0</v>
      </c>
      <c r="AJ348" s="71">
        <f ca="1"/>
        <v>0</v>
      </c>
    </row>
    <row r="349" spans="2:36" x14ac:dyDescent="0.25">
      <c r="B349" s="29" t="str">
        <f ca="1"/>
        <v>dal10.sr01.rk338</v>
      </c>
      <c r="C349" s="10" t="s">
        <v>2070</v>
      </c>
      <c r="D349" s="2" t="b" cm="1">
        <f t="array" ref="D349:O349">_xlfn._xlws.FILTER(IF(ancillary!$E$4:$P$8="",FALSE,ancillary!$E$4:$P$8),ancillary!$B$4:$B$8=$C349)</f>
        <v>1</v>
      </c>
      <c r="E349" s="2" t="b">
        <v>1</v>
      </c>
      <c r="F349" s="2" t="b">
        <v>1</v>
      </c>
      <c r="G349" s="2" t="b">
        <v>1</v>
      </c>
      <c r="H349" s="2" t="b">
        <v>1</v>
      </c>
      <c r="I349" s="2" t="b">
        <v>1</v>
      </c>
      <c r="J349" s="2" t="b">
        <v>0</v>
      </c>
      <c r="K349" s="2" t="b">
        <v>0</v>
      </c>
      <c r="L349" s="2" t="b">
        <v>0</v>
      </c>
      <c r="M349" s="2" t="b">
        <v>0</v>
      </c>
      <c r="N349" s="2" t="b">
        <v>0</v>
      </c>
      <c r="O349" s="2" t="b">
        <v>0</v>
      </c>
      <c r="P349" s="68"/>
      <c r="R349" s="69"/>
      <c r="S349" s="68"/>
      <c r="U349" s="69"/>
      <c r="V349" s="68"/>
      <c r="X349" s="69"/>
      <c r="Y349" s="68"/>
      <c r="AA349" s="69"/>
      <c r="AB349" s="33">
        <f t="shared" si="10"/>
        <v>0</v>
      </c>
      <c r="AC349" s="45">
        <f>_xlfn.LET(_xlpm.ps_1,P349:R349, _xlpm.ps_2,S349:U349, _xlpm.ps_3,V349:X349, _xlpm.ps_4,Y349:AA349,
_xlpm.phase, MID(C349,SEARCH("-",C349)+1,256),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(_xlfn.XLOOKUP($C$7,site_assumptions[Details],site_assumptions[Volts])*SUMIFS(P349:AA349,_xlfn.ANCHORARRAY(D349),TRUE)/10*0.95)/1000,
IFERROR(IF(_xlpm.phase="3Phase", _xlpm.p3_calc, _xlpm.sp_calc),0))</f>
        <v>0</v>
      </c>
      <c r="AD349" s="29" t="str">
        <f ca="1"/>
        <v>Unallocated</v>
      </c>
      <c r="AE349" s="30" t="str">
        <f ca="1"/>
        <v>Unallocated</v>
      </c>
      <c r="AF349" s="30" t="str">
        <f ca="1"/>
        <v>Power Limit</v>
      </c>
      <c r="AG349" s="30">
        <f ca="1"/>
        <v>0</v>
      </c>
      <c r="AH349" s="31" t="str">
        <f ca="1"/>
        <v>Unknown</v>
      </c>
      <c r="AI349" s="49">
        <f t="shared" ca="1" si="11"/>
        <v>0</v>
      </c>
      <c r="AJ349" s="71">
        <f ca="1"/>
        <v>0</v>
      </c>
    </row>
    <row r="350" spans="2:36" x14ac:dyDescent="0.25">
      <c r="B350" s="29" t="str">
        <f ca="1"/>
        <v>dal10.sr01.rk339</v>
      </c>
      <c r="C350" s="10" t="s">
        <v>2070</v>
      </c>
      <c r="D350" s="2" t="b" cm="1">
        <f t="array" ref="D350:O350">_xlfn._xlws.FILTER(IF(ancillary!$E$4:$P$8="",FALSE,ancillary!$E$4:$P$8),ancillary!$B$4:$B$8=$C350)</f>
        <v>1</v>
      </c>
      <c r="E350" s="2" t="b">
        <v>1</v>
      </c>
      <c r="F350" s="2" t="b">
        <v>1</v>
      </c>
      <c r="G350" s="2" t="b">
        <v>1</v>
      </c>
      <c r="H350" s="2" t="b">
        <v>1</v>
      </c>
      <c r="I350" s="2" t="b">
        <v>1</v>
      </c>
      <c r="J350" s="2" t="b">
        <v>0</v>
      </c>
      <c r="K350" s="2" t="b">
        <v>0</v>
      </c>
      <c r="L350" s="2" t="b">
        <v>0</v>
      </c>
      <c r="M350" s="2" t="b">
        <v>0</v>
      </c>
      <c r="N350" s="2" t="b">
        <v>0</v>
      </c>
      <c r="O350" s="2" t="b">
        <v>0</v>
      </c>
      <c r="P350" s="68"/>
      <c r="R350" s="69"/>
      <c r="S350" s="68"/>
      <c r="U350" s="69"/>
      <c r="V350" s="68"/>
      <c r="X350" s="69"/>
      <c r="Y350" s="68"/>
      <c r="AA350" s="69"/>
      <c r="AB350" s="33">
        <f t="shared" si="10"/>
        <v>0</v>
      </c>
      <c r="AC350" s="45">
        <f>_xlfn.LET(_xlpm.ps_1,P350:R350, _xlpm.ps_2,S350:U350, _xlpm.ps_3,V350:X350, _xlpm.ps_4,Y350:AA350,
_xlpm.phase, MID(C350,SEARCH("-",C350)+1,256),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(_xlfn.XLOOKUP($C$7,site_assumptions[Details],site_assumptions[Volts])*SUMIFS(P350:AA350,_xlfn.ANCHORARRAY(D350),TRUE)/10*0.95)/1000,
IFERROR(IF(_xlpm.phase="3Phase", _xlpm.p3_calc, _xlpm.sp_calc),0))</f>
        <v>0</v>
      </c>
      <c r="AD350" s="29" t="str">
        <f ca="1"/>
        <v>Unallocated</v>
      </c>
      <c r="AE350" s="30" t="str">
        <f ca="1"/>
        <v>Unallocated</v>
      </c>
      <c r="AF350" s="30" t="str">
        <f ca="1"/>
        <v>Power Limit</v>
      </c>
      <c r="AG350" s="30">
        <f ca="1"/>
        <v>0</v>
      </c>
      <c r="AH350" s="31" t="str">
        <f ca="1"/>
        <v>Unknown</v>
      </c>
      <c r="AI350" s="49">
        <f t="shared" ca="1" si="11"/>
        <v>0</v>
      </c>
      <c r="AJ350" s="71">
        <f ca="1"/>
        <v>0</v>
      </c>
    </row>
    <row r="351" spans="2:36" x14ac:dyDescent="0.25">
      <c r="B351" s="29" t="str">
        <f ca="1"/>
        <v>dal10.sr01.rk340</v>
      </c>
      <c r="C351" s="10" t="s">
        <v>2070</v>
      </c>
      <c r="D351" s="2" t="b" cm="1">
        <f t="array" ref="D351:O351">_xlfn._xlws.FILTER(IF(ancillary!$E$4:$P$8="",FALSE,ancillary!$E$4:$P$8),ancillary!$B$4:$B$8=$C351)</f>
        <v>1</v>
      </c>
      <c r="E351" s="2" t="b">
        <v>1</v>
      </c>
      <c r="F351" s="2" t="b">
        <v>1</v>
      </c>
      <c r="G351" s="2" t="b">
        <v>1</v>
      </c>
      <c r="H351" s="2" t="b">
        <v>1</v>
      </c>
      <c r="I351" s="2" t="b">
        <v>1</v>
      </c>
      <c r="J351" s="2" t="b">
        <v>0</v>
      </c>
      <c r="K351" s="2" t="b">
        <v>0</v>
      </c>
      <c r="L351" s="2" t="b">
        <v>0</v>
      </c>
      <c r="M351" s="2" t="b">
        <v>0</v>
      </c>
      <c r="N351" s="2" t="b">
        <v>0</v>
      </c>
      <c r="O351" s="2" t="b">
        <v>0</v>
      </c>
      <c r="P351" s="68"/>
      <c r="R351" s="69"/>
      <c r="S351" s="68"/>
      <c r="U351" s="69"/>
      <c r="V351" s="68"/>
      <c r="X351" s="69"/>
      <c r="Y351" s="68"/>
      <c r="AA351" s="69"/>
      <c r="AB351" s="33">
        <f t="shared" si="10"/>
        <v>0</v>
      </c>
      <c r="AC351" s="45">
        <f>_xlfn.LET(_xlpm.ps_1,P351:R351, _xlpm.ps_2,S351:U351, _xlpm.ps_3,V351:X351, _xlpm.ps_4,Y351:AA351,
_xlpm.phase, MID(C351,SEARCH("-",C351)+1,256),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(_xlfn.XLOOKUP($C$7,site_assumptions[Details],site_assumptions[Volts])*SUMIFS(P351:AA351,_xlfn.ANCHORARRAY(D351),TRUE)/10*0.95)/1000,
IFERROR(IF(_xlpm.phase="3Phase", _xlpm.p3_calc, _xlpm.sp_calc),0))</f>
        <v>0</v>
      </c>
      <c r="AD351" s="29" t="str">
        <f ca="1"/>
        <v>Unallocated</v>
      </c>
      <c r="AE351" s="30" t="str">
        <f ca="1"/>
        <v>Unallocated</v>
      </c>
      <c r="AF351" s="30" t="str">
        <f ca="1"/>
        <v>Power Limit</v>
      </c>
      <c r="AG351" s="30">
        <f ca="1"/>
        <v>0</v>
      </c>
      <c r="AH351" s="31" t="str">
        <f ca="1"/>
        <v>Unknown</v>
      </c>
      <c r="AI351" s="49">
        <f t="shared" ca="1" si="11"/>
        <v>0</v>
      </c>
      <c r="AJ351" s="71">
        <f ca="1"/>
        <v>0</v>
      </c>
    </row>
    <row r="352" spans="2:36" x14ac:dyDescent="0.25">
      <c r="B352" s="29" t="str">
        <f ca="1"/>
        <v>dal10.sr01.rk341</v>
      </c>
      <c r="C352" s="10" t="s">
        <v>2070</v>
      </c>
      <c r="D352" s="2" t="b" cm="1">
        <f t="array" ref="D352:O352">_xlfn._xlws.FILTER(IF(ancillary!$E$4:$P$8="",FALSE,ancillary!$E$4:$P$8),ancillary!$B$4:$B$8=$C352)</f>
        <v>1</v>
      </c>
      <c r="E352" s="2" t="b">
        <v>1</v>
      </c>
      <c r="F352" s="2" t="b">
        <v>1</v>
      </c>
      <c r="G352" s="2" t="b">
        <v>1</v>
      </c>
      <c r="H352" s="2" t="b">
        <v>1</v>
      </c>
      <c r="I352" s="2" t="b">
        <v>1</v>
      </c>
      <c r="J352" s="2" t="b">
        <v>0</v>
      </c>
      <c r="K352" s="2" t="b">
        <v>0</v>
      </c>
      <c r="L352" s="2" t="b">
        <v>0</v>
      </c>
      <c r="M352" s="2" t="b">
        <v>0</v>
      </c>
      <c r="N352" s="2" t="b">
        <v>0</v>
      </c>
      <c r="O352" s="2" t="b">
        <v>0</v>
      </c>
      <c r="P352" s="68"/>
      <c r="R352" s="69"/>
      <c r="S352" s="68"/>
      <c r="U352" s="69"/>
      <c r="V352" s="68"/>
      <c r="X352" s="69"/>
      <c r="Y352" s="68"/>
      <c r="AA352" s="69"/>
      <c r="AB352" s="33">
        <f t="shared" si="10"/>
        <v>0</v>
      </c>
      <c r="AC352" s="45">
        <f>_xlfn.LET(_xlpm.ps_1,P352:R352, _xlpm.ps_2,S352:U352, _xlpm.ps_3,V352:X352, _xlpm.ps_4,Y352:AA352,
_xlpm.phase, MID(C352,SEARCH("-",C352)+1,256),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(_xlfn.XLOOKUP($C$7,site_assumptions[Details],site_assumptions[Volts])*SUMIFS(P352:AA352,_xlfn.ANCHORARRAY(D352),TRUE)/10*0.95)/1000,
IFERROR(IF(_xlpm.phase="3Phase", _xlpm.p3_calc, _xlpm.sp_calc),0))</f>
        <v>0</v>
      </c>
      <c r="AD352" s="29" t="str">
        <f ca="1"/>
        <v>Unallocated</v>
      </c>
      <c r="AE352" s="30" t="str">
        <f ca="1"/>
        <v>Unallocated</v>
      </c>
      <c r="AF352" s="30" t="str">
        <f ca="1"/>
        <v>Power Limit</v>
      </c>
      <c r="AG352" s="30">
        <f ca="1"/>
        <v>0</v>
      </c>
      <c r="AH352" s="31" t="str">
        <f ca="1"/>
        <v>Unknown</v>
      </c>
      <c r="AI352" s="49">
        <f t="shared" ca="1" si="11"/>
        <v>0</v>
      </c>
      <c r="AJ352" s="71">
        <f ca="1"/>
        <v>0</v>
      </c>
    </row>
    <row r="353" spans="2:36" x14ac:dyDescent="0.25">
      <c r="B353" s="29" t="str">
        <f ca="1"/>
        <v>dal10.sr01.rk342</v>
      </c>
      <c r="C353" s="10" t="s">
        <v>2070</v>
      </c>
      <c r="D353" s="2" t="b" cm="1">
        <f t="array" ref="D353:O353">_xlfn._xlws.FILTER(IF(ancillary!$E$4:$P$8="",FALSE,ancillary!$E$4:$P$8),ancillary!$B$4:$B$8=$C353)</f>
        <v>1</v>
      </c>
      <c r="E353" s="2" t="b">
        <v>1</v>
      </c>
      <c r="F353" s="2" t="b">
        <v>1</v>
      </c>
      <c r="G353" s="2" t="b">
        <v>1</v>
      </c>
      <c r="H353" s="2" t="b">
        <v>1</v>
      </c>
      <c r="I353" s="2" t="b">
        <v>1</v>
      </c>
      <c r="J353" s="2" t="b">
        <v>0</v>
      </c>
      <c r="K353" s="2" t="b">
        <v>0</v>
      </c>
      <c r="L353" s="2" t="b">
        <v>0</v>
      </c>
      <c r="M353" s="2" t="b">
        <v>0</v>
      </c>
      <c r="N353" s="2" t="b">
        <v>0</v>
      </c>
      <c r="O353" s="2" t="b">
        <v>0</v>
      </c>
      <c r="P353" s="68"/>
      <c r="R353" s="69"/>
      <c r="S353" s="68"/>
      <c r="U353" s="69"/>
      <c r="V353" s="68"/>
      <c r="X353" s="69"/>
      <c r="Y353" s="68"/>
      <c r="AA353" s="69"/>
      <c r="AB353" s="33">
        <f t="shared" si="10"/>
        <v>0</v>
      </c>
      <c r="AC353" s="45">
        <f>_xlfn.LET(_xlpm.ps_1,P353:R353, _xlpm.ps_2,S353:U353, _xlpm.ps_3,V353:X353, _xlpm.ps_4,Y353:AA353,
_xlpm.phase, MID(C353,SEARCH("-",C353)+1,256),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(_xlfn.XLOOKUP($C$7,site_assumptions[Details],site_assumptions[Volts])*SUMIFS(P353:AA353,_xlfn.ANCHORARRAY(D353),TRUE)/10*0.95)/1000,
IFERROR(IF(_xlpm.phase="3Phase", _xlpm.p3_calc, _xlpm.sp_calc),0))</f>
        <v>0</v>
      </c>
      <c r="AD353" s="29" t="str">
        <f ca="1"/>
        <v>Bare Metal</v>
      </c>
      <c r="AE353" s="30" t="str">
        <f ca="1"/>
        <v>Bare Metal</v>
      </c>
      <c r="AF353" s="30" t="str">
        <f ca="1"/>
        <v>Live</v>
      </c>
      <c r="AG353" s="30">
        <f ca="1"/>
        <v>6</v>
      </c>
      <c r="AH353" s="31" t="str">
        <f ca="1"/>
        <v>Unknown</v>
      </c>
      <c r="AI353" s="49">
        <f t="shared" ca="1" si="11"/>
        <v>0</v>
      </c>
      <c r="AJ353" s="71">
        <f ca="1"/>
        <v>10.048999999999999</v>
      </c>
    </row>
    <row r="354" spans="2:36" x14ac:dyDescent="0.25">
      <c r="B354" s="29" t="str">
        <f ca="1"/>
        <v>dal10.sr01.rk343</v>
      </c>
      <c r="C354" s="10" t="s">
        <v>2070</v>
      </c>
      <c r="D354" s="2" t="b" cm="1">
        <f t="array" ref="D354:O354">_xlfn._xlws.FILTER(IF(ancillary!$E$4:$P$8="",FALSE,ancillary!$E$4:$P$8),ancillary!$B$4:$B$8=$C354)</f>
        <v>1</v>
      </c>
      <c r="E354" s="2" t="b">
        <v>1</v>
      </c>
      <c r="F354" s="2" t="b">
        <v>1</v>
      </c>
      <c r="G354" s="2" t="b">
        <v>1</v>
      </c>
      <c r="H354" s="2" t="b">
        <v>1</v>
      </c>
      <c r="I354" s="2" t="b">
        <v>1</v>
      </c>
      <c r="J354" s="2" t="b">
        <v>0</v>
      </c>
      <c r="K354" s="2" t="b">
        <v>0</v>
      </c>
      <c r="L354" s="2" t="b">
        <v>0</v>
      </c>
      <c r="M354" s="2" t="b">
        <v>0</v>
      </c>
      <c r="N354" s="2" t="b">
        <v>0</v>
      </c>
      <c r="O354" s="2" t="b">
        <v>0</v>
      </c>
      <c r="P354" s="68"/>
      <c r="R354" s="69"/>
      <c r="S354" s="68"/>
      <c r="U354" s="69"/>
      <c r="V354" s="68"/>
      <c r="X354" s="69"/>
      <c r="Y354" s="68"/>
      <c r="AA354" s="69"/>
      <c r="AB354" s="33">
        <f t="shared" si="10"/>
        <v>0</v>
      </c>
      <c r="AC354" s="45">
        <f>_xlfn.LET(_xlpm.ps_1,P354:R354, _xlpm.ps_2,S354:U354, _xlpm.ps_3,V354:X354, _xlpm.ps_4,Y354:AA354,
_xlpm.phase, MID(C354,SEARCH("-",C354)+1,256),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(_xlfn.XLOOKUP($C$7,site_assumptions[Details],site_assumptions[Volts])*SUMIFS(P354:AA354,_xlfn.ANCHORARRAY(D354),TRUE)/10*0.95)/1000,
IFERROR(IF(_xlpm.phase="3Phase", _xlpm.p3_calc, _xlpm.sp_calc),0))</f>
        <v>0</v>
      </c>
      <c r="AD354" s="29" t="str">
        <f ca="1"/>
        <v>Bare Metal</v>
      </c>
      <c r="AE354" s="30" t="str">
        <f ca="1"/>
        <v>Bare Metal</v>
      </c>
      <c r="AF354" s="30" t="str">
        <f ca="1"/>
        <v>Live</v>
      </c>
      <c r="AG354" s="30">
        <f ca="1"/>
        <v>6</v>
      </c>
      <c r="AH354" s="31" t="str">
        <f ca="1"/>
        <v>Unknown</v>
      </c>
      <c r="AI354" s="49">
        <f t="shared" ca="1" si="11"/>
        <v>0</v>
      </c>
      <c r="AJ354" s="71">
        <f ca="1"/>
        <v>9.4</v>
      </c>
    </row>
    <row r="355" spans="2:36" x14ac:dyDescent="0.25">
      <c r="B355" s="29" t="str">
        <f ca="1"/>
        <v>dal10.sr01.rk344</v>
      </c>
      <c r="C355" s="10" t="s">
        <v>2070</v>
      </c>
      <c r="D355" s="2" t="b" cm="1">
        <f t="array" ref="D355:O355">_xlfn._xlws.FILTER(IF(ancillary!$E$4:$P$8="",FALSE,ancillary!$E$4:$P$8),ancillary!$B$4:$B$8=$C355)</f>
        <v>1</v>
      </c>
      <c r="E355" s="2" t="b">
        <v>1</v>
      </c>
      <c r="F355" s="2" t="b">
        <v>1</v>
      </c>
      <c r="G355" s="2" t="b">
        <v>1</v>
      </c>
      <c r="H355" s="2" t="b">
        <v>1</v>
      </c>
      <c r="I355" s="2" t="b">
        <v>1</v>
      </c>
      <c r="J355" s="2" t="b">
        <v>0</v>
      </c>
      <c r="K355" s="2" t="b">
        <v>0</v>
      </c>
      <c r="L355" s="2" t="b">
        <v>0</v>
      </c>
      <c r="M355" s="2" t="b">
        <v>0</v>
      </c>
      <c r="N355" s="2" t="b">
        <v>0</v>
      </c>
      <c r="O355" s="2" t="b">
        <v>0</v>
      </c>
      <c r="P355" s="68"/>
      <c r="R355" s="69"/>
      <c r="S355" s="68"/>
      <c r="U355" s="69"/>
      <c r="V355" s="68"/>
      <c r="X355" s="69"/>
      <c r="Y355" s="68"/>
      <c r="AA355" s="69"/>
      <c r="AB355" s="33">
        <f t="shared" si="10"/>
        <v>0</v>
      </c>
      <c r="AC355" s="45">
        <f>_xlfn.LET(_xlpm.ps_1,P355:R355, _xlpm.ps_2,S355:U355, _xlpm.ps_3,V355:X355, _xlpm.ps_4,Y355:AA355,
_xlpm.phase, MID(C355,SEARCH("-",C355)+1,256),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(_xlfn.XLOOKUP($C$7,site_assumptions[Details],site_assumptions[Volts])*SUMIFS(P355:AA355,_xlfn.ANCHORARRAY(D355),TRUE)/10*0.95)/1000,
IFERROR(IF(_xlpm.phase="3Phase", _xlpm.p3_calc, _xlpm.sp_calc),0))</f>
        <v>0</v>
      </c>
      <c r="AD355" s="29" t="str">
        <f ca="1"/>
        <v>Bare Metal</v>
      </c>
      <c r="AE355" s="30" t="str">
        <f ca="1"/>
        <v>Bare Metal</v>
      </c>
      <c r="AF355" s="30" t="str">
        <f ca="1"/>
        <v>Live</v>
      </c>
      <c r="AG355" s="30">
        <f ca="1"/>
        <v>6</v>
      </c>
      <c r="AH355" s="31" t="str">
        <f ca="1"/>
        <v>Unknown</v>
      </c>
      <c r="AI355" s="49">
        <f t="shared" ca="1" si="11"/>
        <v>0</v>
      </c>
      <c r="AJ355" s="71">
        <f ca="1"/>
        <v>4.8579999999999997</v>
      </c>
    </row>
    <row r="356" spans="2:36" x14ac:dyDescent="0.25">
      <c r="B356" s="29" t="str">
        <f ca="1"/>
        <v>dal10.sr01.rk345</v>
      </c>
      <c r="C356" s="10" t="s">
        <v>2070</v>
      </c>
      <c r="D356" s="2" t="b" cm="1">
        <f t="array" ref="D356:O356">_xlfn._xlws.FILTER(IF(ancillary!$E$4:$P$8="",FALSE,ancillary!$E$4:$P$8),ancillary!$B$4:$B$8=$C356)</f>
        <v>1</v>
      </c>
      <c r="E356" s="2" t="b">
        <v>1</v>
      </c>
      <c r="F356" s="2" t="b">
        <v>1</v>
      </c>
      <c r="G356" s="2" t="b">
        <v>1</v>
      </c>
      <c r="H356" s="2" t="b">
        <v>1</v>
      </c>
      <c r="I356" s="2" t="b">
        <v>1</v>
      </c>
      <c r="J356" s="2" t="b">
        <v>0</v>
      </c>
      <c r="K356" s="2" t="b">
        <v>0</v>
      </c>
      <c r="L356" s="2" t="b">
        <v>0</v>
      </c>
      <c r="M356" s="2" t="b">
        <v>0</v>
      </c>
      <c r="N356" s="2" t="b">
        <v>0</v>
      </c>
      <c r="O356" s="2" t="b">
        <v>0</v>
      </c>
      <c r="P356" s="68"/>
      <c r="R356" s="69"/>
      <c r="S356" s="68"/>
      <c r="U356" s="69"/>
      <c r="V356" s="68"/>
      <c r="X356" s="69"/>
      <c r="Y356" s="68"/>
      <c r="AA356" s="69"/>
      <c r="AB356" s="33">
        <f t="shared" si="10"/>
        <v>0</v>
      </c>
      <c r="AC356" s="45">
        <f>_xlfn.LET(_xlpm.ps_1,P356:R356, _xlpm.ps_2,S356:U356, _xlpm.ps_3,V356:X356, _xlpm.ps_4,Y356:AA356,
_xlpm.phase, MID(C356,SEARCH("-",C356)+1,256),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(_xlfn.XLOOKUP($C$7,site_assumptions[Details],site_assumptions[Volts])*SUMIFS(P356:AA356,_xlfn.ANCHORARRAY(D356),TRUE)/10*0.95)/1000,
IFERROR(IF(_xlpm.phase="3Phase", _xlpm.p3_calc, _xlpm.sp_calc),0))</f>
        <v>0</v>
      </c>
      <c r="AD356" s="29" t="str">
        <f ca="1"/>
        <v>Bare Metal</v>
      </c>
      <c r="AE356" s="30" t="str">
        <f ca="1"/>
        <v>Bare Metal</v>
      </c>
      <c r="AF356" s="30" t="str">
        <f ca="1"/>
        <v>Live</v>
      </c>
      <c r="AG356" s="30">
        <f ca="1"/>
        <v>6</v>
      </c>
      <c r="AH356" s="31" t="str">
        <f ca="1"/>
        <v>Unknown</v>
      </c>
      <c r="AI356" s="49">
        <f t="shared" ca="1" si="11"/>
        <v>0</v>
      </c>
      <c r="AJ356" s="71">
        <f ca="1"/>
        <v>12.925000000000001</v>
      </c>
    </row>
    <row r="357" spans="2:36" x14ac:dyDescent="0.25">
      <c r="B357" s="29" t="str">
        <f ca="1"/>
        <v>dal10.sr01.rk346</v>
      </c>
      <c r="C357" s="10" t="s">
        <v>2070</v>
      </c>
      <c r="D357" s="2" t="b" cm="1">
        <f t="array" ref="D357:O357">_xlfn._xlws.FILTER(IF(ancillary!$E$4:$P$8="",FALSE,ancillary!$E$4:$P$8),ancillary!$B$4:$B$8=$C357)</f>
        <v>1</v>
      </c>
      <c r="E357" s="2" t="b">
        <v>1</v>
      </c>
      <c r="F357" s="2" t="b">
        <v>1</v>
      </c>
      <c r="G357" s="2" t="b">
        <v>1</v>
      </c>
      <c r="H357" s="2" t="b">
        <v>1</v>
      </c>
      <c r="I357" s="2" t="b">
        <v>1</v>
      </c>
      <c r="J357" s="2" t="b">
        <v>0</v>
      </c>
      <c r="K357" s="2" t="b">
        <v>0</v>
      </c>
      <c r="L357" s="2" t="b">
        <v>0</v>
      </c>
      <c r="M357" s="2" t="b">
        <v>0</v>
      </c>
      <c r="N357" s="2" t="b">
        <v>0</v>
      </c>
      <c r="O357" s="2" t="b">
        <v>0</v>
      </c>
      <c r="P357" s="68"/>
      <c r="R357" s="69"/>
      <c r="S357" s="68"/>
      <c r="U357" s="69"/>
      <c r="V357" s="68"/>
      <c r="X357" s="69"/>
      <c r="Y357" s="68"/>
      <c r="AA357" s="69"/>
      <c r="AB357" s="33">
        <f t="shared" si="10"/>
        <v>0</v>
      </c>
      <c r="AC357" s="45">
        <f>_xlfn.LET(_xlpm.ps_1,P357:R357, _xlpm.ps_2,S357:U357, _xlpm.ps_3,V357:X357, _xlpm.ps_4,Y357:AA357,
_xlpm.phase, MID(C357,SEARCH("-",C357)+1,256),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(_xlfn.XLOOKUP($C$7,site_assumptions[Details],site_assumptions[Volts])*SUMIFS(P357:AA357,_xlfn.ANCHORARRAY(D357),TRUE)/10*0.95)/1000,
IFERROR(IF(_xlpm.phase="3Phase", _xlpm.p3_calc, _xlpm.sp_calc),0))</f>
        <v>0</v>
      </c>
      <c r="AD357" s="29" t="str">
        <f ca="1"/>
        <v>Bare Metal</v>
      </c>
      <c r="AE357" s="30" t="str">
        <f ca="1"/>
        <v>Bare Metal</v>
      </c>
      <c r="AF357" s="30" t="str">
        <f ca="1"/>
        <v>Live</v>
      </c>
      <c r="AG357" s="30">
        <f ca="1"/>
        <v>6</v>
      </c>
      <c r="AH357" s="31" t="str">
        <f ca="1"/>
        <v>Unknown</v>
      </c>
      <c r="AI357" s="49">
        <f t="shared" ca="1" si="11"/>
        <v>0</v>
      </c>
      <c r="AJ357" s="71">
        <f ca="1"/>
        <v>11.074</v>
      </c>
    </row>
    <row r="358" spans="2:36" x14ac:dyDescent="0.25">
      <c r="B358" s="29" t="str">
        <f ca="1"/>
        <v>dal10.sr01.rk347</v>
      </c>
      <c r="C358" s="10" t="s">
        <v>2070</v>
      </c>
      <c r="D358" s="2" t="b" cm="1">
        <f t="array" ref="D358:O358">_xlfn._xlws.FILTER(IF(ancillary!$E$4:$P$8="",FALSE,ancillary!$E$4:$P$8),ancillary!$B$4:$B$8=$C358)</f>
        <v>1</v>
      </c>
      <c r="E358" s="2" t="b">
        <v>1</v>
      </c>
      <c r="F358" s="2" t="b">
        <v>1</v>
      </c>
      <c r="G358" s="2" t="b">
        <v>1</v>
      </c>
      <c r="H358" s="2" t="b">
        <v>1</v>
      </c>
      <c r="I358" s="2" t="b">
        <v>1</v>
      </c>
      <c r="J358" s="2" t="b">
        <v>0</v>
      </c>
      <c r="K358" s="2" t="b">
        <v>0</v>
      </c>
      <c r="L358" s="2" t="b">
        <v>0</v>
      </c>
      <c r="M358" s="2" t="b">
        <v>0</v>
      </c>
      <c r="N358" s="2" t="b">
        <v>0</v>
      </c>
      <c r="O358" s="2" t="b">
        <v>0</v>
      </c>
      <c r="P358" s="68"/>
      <c r="R358" s="69"/>
      <c r="S358" s="68"/>
      <c r="U358" s="69"/>
      <c r="V358" s="68"/>
      <c r="X358" s="69"/>
      <c r="Y358" s="68"/>
      <c r="AA358" s="69"/>
      <c r="AB358" s="33">
        <f t="shared" si="10"/>
        <v>0</v>
      </c>
      <c r="AC358" s="45">
        <f>_xlfn.LET(_xlpm.ps_1,P358:R358, _xlpm.ps_2,S358:U358, _xlpm.ps_3,V358:X358, _xlpm.ps_4,Y358:AA358,
_xlpm.phase, MID(C358,SEARCH("-",C358)+1,256),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(_xlfn.XLOOKUP($C$7,site_assumptions[Details],site_assumptions[Volts])*SUMIFS(P358:AA358,_xlfn.ANCHORARRAY(D358),TRUE)/10*0.95)/1000,
IFERROR(IF(_xlpm.phase="3Phase", _xlpm.p3_calc, _xlpm.sp_calc),0))</f>
        <v>0</v>
      </c>
      <c r="AD358" s="29" t="str">
        <f ca="1"/>
        <v>Network</v>
      </c>
      <c r="AE358" s="30" t="str">
        <f ca="1"/>
        <v>Aggregate</v>
      </c>
      <c r="AF358" s="30" t="str">
        <f ca="1"/>
        <v>Live</v>
      </c>
      <c r="AG358" s="30">
        <f ca="1"/>
        <v>5</v>
      </c>
      <c r="AH358" s="31" t="str">
        <f ca="1"/>
        <v>Unknown</v>
      </c>
      <c r="AI358" s="49">
        <f t="shared" ca="1" si="11"/>
        <v>0</v>
      </c>
      <c r="AJ358" s="71">
        <f ca="1"/>
        <v>0</v>
      </c>
    </row>
    <row r="359" spans="2:36" x14ac:dyDescent="0.25">
      <c r="B359" s="29" t="str">
        <f ca="1"/>
        <v>dal10.sr01.rk348</v>
      </c>
      <c r="C359" s="10" t="s">
        <v>2070</v>
      </c>
      <c r="D359" s="2" t="b" cm="1">
        <f t="array" ref="D359:O359">_xlfn._xlws.FILTER(IF(ancillary!$E$4:$P$8="",FALSE,ancillary!$E$4:$P$8),ancillary!$B$4:$B$8=$C359)</f>
        <v>1</v>
      </c>
      <c r="E359" s="2" t="b">
        <v>1</v>
      </c>
      <c r="F359" s="2" t="b">
        <v>1</v>
      </c>
      <c r="G359" s="2" t="b">
        <v>1</v>
      </c>
      <c r="H359" s="2" t="b">
        <v>1</v>
      </c>
      <c r="I359" s="2" t="b">
        <v>1</v>
      </c>
      <c r="J359" s="2" t="b">
        <v>0</v>
      </c>
      <c r="K359" s="2" t="b">
        <v>0</v>
      </c>
      <c r="L359" s="2" t="b">
        <v>0</v>
      </c>
      <c r="M359" s="2" t="b">
        <v>0</v>
      </c>
      <c r="N359" s="2" t="b">
        <v>0</v>
      </c>
      <c r="O359" s="2" t="b">
        <v>0</v>
      </c>
      <c r="P359" s="68"/>
      <c r="R359" s="69"/>
      <c r="S359" s="68"/>
      <c r="U359" s="69"/>
      <c r="V359" s="68"/>
      <c r="X359" s="69"/>
      <c r="Y359" s="68"/>
      <c r="AA359" s="69"/>
      <c r="AB359" s="33">
        <f t="shared" si="10"/>
        <v>0</v>
      </c>
      <c r="AC359" s="45">
        <f>_xlfn.LET(_xlpm.ps_1,P359:R359, _xlpm.ps_2,S359:U359, _xlpm.ps_3,V359:X359, _xlpm.ps_4,Y359:AA359,
_xlpm.phase, MID(C359,SEARCH("-",C359)+1,256),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(_xlfn.XLOOKUP($C$7,site_assumptions[Details],site_assumptions[Volts])*SUMIFS(P359:AA359,_xlfn.ANCHORARRAY(D359),TRUE)/10*0.95)/1000,
IFERROR(IF(_xlpm.phase="3Phase", _xlpm.p3_calc, _xlpm.sp_calc),0))</f>
        <v>0</v>
      </c>
      <c r="AD359" s="29" t="str">
        <f ca="1"/>
        <v>Bare Metal</v>
      </c>
      <c r="AE359" s="30" t="str">
        <f ca="1"/>
        <v>Bare Metal</v>
      </c>
      <c r="AF359" s="30" t="str">
        <f ca="1"/>
        <v>Live</v>
      </c>
      <c r="AG359" s="30">
        <f ca="1"/>
        <v>6</v>
      </c>
      <c r="AH359" s="31" t="str">
        <f ca="1"/>
        <v>Unknown</v>
      </c>
      <c r="AI359" s="49">
        <f t="shared" ca="1" si="11"/>
        <v>0</v>
      </c>
      <c r="AJ359" s="71">
        <f ca="1"/>
        <v>8.9469999999999992</v>
      </c>
    </row>
    <row r="360" spans="2:36" x14ac:dyDescent="0.25">
      <c r="B360" s="29" t="str">
        <f ca="1"/>
        <v>dal10.sr01.rk349</v>
      </c>
      <c r="C360" s="10" t="s">
        <v>2070</v>
      </c>
      <c r="D360" s="2" t="b" cm="1">
        <f t="array" ref="D360:O360">_xlfn._xlws.FILTER(IF(ancillary!$E$4:$P$8="",FALSE,ancillary!$E$4:$P$8),ancillary!$B$4:$B$8=$C360)</f>
        <v>1</v>
      </c>
      <c r="E360" s="2" t="b">
        <v>1</v>
      </c>
      <c r="F360" s="2" t="b">
        <v>1</v>
      </c>
      <c r="G360" s="2" t="b">
        <v>1</v>
      </c>
      <c r="H360" s="2" t="b">
        <v>1</v>
      </c>
      <c r="I360" s="2" t="b">
        <v>1</v>
      </c>
      <c r="J360" s="2" t="b">
        <v>0</v>
      </c>
      <c r="K360" s="2" t="b">
        <v>0</v>
      </c>
      <c r="L360" s="2" t="b">
        <v>0</v>
      </c>
      <c r="M360" s="2" t="b">
        <v>0</v>
      </c>
      <c r="N360" s="2" t="b">
        <v>0</v>
      </c>
      <c r="O360" s="2" t="b">
        <v>0</v>
      </c>
      <c r="P360" s="68"/>
      <c r="R360" s="69"/>
      <c r="S360" s="68"/>
      <c r="U360" s="69"/>
      <c r="V360" s="68"/>
      <c r="X360" s="69"/>
      <c r="Y360" s="68"/>
      <c r="AA360" s="69"/>
      <c r="AB360" s="33">
        <f t="shared" si="10"/>
        <v>0</v>
      </c>
      <c r="AC360" s="45">
        <f>_xlfn.LET(_xlpm.ps_1,P360:R360, _xlpm.ps_2,S360:U360, _xlpm.ps_3,V360:X360, _xlpm.ps_4,Y360:AA360,
_xlpm.phase, MID(C360,SEARCH("-",C360)+1,256),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(_xlfn.XLOOKUP($C$7,site_assumptions[Details],site_assumptions[Volts])*SUMIFS(P360:AA360,_xlfn.ANCHORARRAY(D360),TRUE)/10*0.95)/1000,
IFERROR(IF(_xlpm.phase="3Phase", _xlpm.p3_calc, _xlpm.sp_calc),0))</f>
        <v>0</v>
      </c>
      <c r="AD360" s="29" t="str">
        <f ca="1"/>
        <v>Bare Metal</v>
      </c>
      <c r="AE360" s="30" t="str">
        <f ca="1"/>
        <v>Bare Metal</v>
      </c>
      <c r="AF360" s="30" t="str">
        <f ca="1"/>
        <v>Live</v>
      </c>
      <c r="AG360" s="30">
        <f ca="1"/>
        <v>6</v>
      </c>
      <c r="AH360" s="31" t="str">
        <f ca="1"/>
        <v>Unknown</v>
      </c>
      <c r="AI360" s="49">
        <f t="shared" ca="1" si="11"/>
        <v>0</v>
      </c>
      <c r="AJ360" s="71">
        <f ca="1"/>
        <v>7.0650000000000004</v>
      </c>
    </row>
    <row r="361" spans="2:36" x14ac:dyDescent="0.25">
      <c r="B361" s="29" t="str">
        <f ca="1"/>
        <v>dal10.sr01.rk350</v>
      </c>
      <c r="C361" s="10" t="s">
        <v>2070</v>
      </c>
      <c r="D361" s="2" t="b" cm="1">
        <f t="array" ref="D361:O361">_xlfn._xlws.FILTER(IF(ancillary!$E$4:$P$8="",FALSE,ancillary!$E$4:$P$8),ancillary!$B$4:$B$8=$C361)</f>
        <v>1</v>
      </c>
      <c r="E361" s="2" t="b">
        <v>1</v>
      </c>
      <c r="F361" s="2" t="b">
        <v>1</v>
      </c>
      <c r="G361" s="2" t="b">
        <v>1</v>
      </c>
      <c r="H361" s="2" t="b">
        <v>1</v>
      </c>
      <c r="I361" s="2" t="b">
        <v>1</v>
      </c>
      <c r="J361" s="2" t="b">
        <v>0</v>
      </c>
      <c r="K361" s="2" t="b">
        <v>0</v>
      </c>
      <c r="L361" s="2" t="b">
        <v>0</v>
      </c>
      <c r="M361" s="2" t="b">
        <v>0</v>
      </c>
      <c r="N361" s="2" t="b">
        <v>0</v>
      </c>
      <c r="O361" s="2" t="b">
        <v>0</v>
      </c>
      <c r="P361" s="68"/>
      <c r="R361" s="69"/>
      <c r="S361" s="68"/>
      <c r="U361" s="69"/>
      <c r="V361" s="68"/>
      <c r="X361" s="69"/>
      <c r="Y361" s="68"/>
      <c r="AA361" s="69"/>
      <c r="AB361" s="33">
        <f t="shared" si="10"/>
        <v>0</v>
      </c>
      <c r="AC361" s="45">
        <f>_xlfn.LET(_xlpm.ps_1,P361:R361, _xlpm.ps_2,S361:U361, _xlpm.ps_3,V361:X361, _xlpm.ps_4,Y361:AA361,
_xlpm.phase, MID(C361,SEARCH("-",C361)+1,256),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(_xlfn.XLOOKUP($C$7,site_assumptions[Details],site_assumptions[Volts])*SUMIFS(P361:AA361,_xlfn.ANCHORARRAY(D361),TRUE)/10*0.95)/1000,
IFERROR(IF(_xlpm.phase="3Phase", _xlpm.p3_calc, _xlpm.sp_calc),0))</f>
        <v>0</v>
      </c>
      <c r="AD361" s="29" t="str">
        <f ca="1"/>
        <v>Bare Metal</v>
      </c>
      <c r="AE361" s="30" t="str">
        <f ca="1"/>
        <v>Bare Metal</v>
      </c>
      <c r="AF361" s="30" t="str">
        <f ca="1"/>
        <v>Live</v>
      </c>
      <c r="AG361" s="30">
        <f ca="1"/>
        <v>6</v>
      </c>
      <c r="AH361" s="31" t="str">
        <f ca="1"/>
        <v>Unknown</v>
      </c>
      <c r="AI361" s="49">
        <f t="shared" ca="1" si="11"/>
        <v>0</v>
      </c>
      <c r="AJ361" s="71">
        <f ca="1"/>
        <v>6.9080000000000004</v>
      </c>
    </row>
    <row r="362" spans="2:36" x14ac:dyDescent="0.25">
      <c r="B362" s="29" t="str">
        <f ca="1"/>
        <v>dal10.sr01.rk351</v>
      </c>
      <c r="C362" s="10" t="s">
        <v>2070</v>
      </c>
      <c r="D362" s="2" t="b" cm="1">
        <f t="array" ref="D362:O362">_xlfn._xlws.FILTER(IF(ancillary!$E$4:$P$8="",FALSE,ancillary!$E$4:$P$8),ancillary!$B$4:$B$8=$C362)</f>
        <v>1</v>
      </c>
      <c r="E362" s="2" t="b">
        <v>1</v>
      </c>
      <c r="F362" s="2" t="b">
        <v>1</v>
      </c>
      <c r="G362" s="2" t="b">
        <v>1</v>
      </c>
      <c r="H362" s="2" t="b">
        <v>1</v>
      </c>
      <c r="I362" s="2" t="b">
        <v>1</v>
      </c>
      <c r="J362" s="2" t="b">
        <v>0</v>
      </c>
      <c r="K362" s="2" t="b">
        <v>0</v>
      </c>
      <c r="L362" s="2" t="b">
        <v>0</v>
      </c>
      <c r="M362" s="2" t="b">
        <v>0</v>
      </c>
      <c r="N362" s="2" t="b">
        <v>0</v>
      </c>
      <c r="O362" s="2" t="b">
        <v>0</v>
      </c>
      <c r="P362" s="68"/>
      <c r="R362" s="69"/>
      <c r="S362" s="68"/>
      <c r="U362" s="69"/>
      <c r="V362" s="68"/>
      <c r="X362" s="69"/>
      <c r="Y362" s="68"/>
      <c r="AA362" s="69"/>
      <c r="AB362" s="33">
        <f t="shared" si="10"/>
        <v>0</v>
      </c>
      <c r="AC362" s="45">
        <f>_xlfn.LET(_xlpm.ps_1,P362:R362, _xlpm.ps_2,S362:U362, _xlpm.ps_3,V362:X362, _xlpm.ps_4,Y362:AA362,
_xlpm.phase, MID(C362,SEARCH("-",C362)+1,256),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(_xlfn.XLOOKUP($C$7,site_assumptions[Details],site_assumptions[Volts])*SUMIFS(P362:AA362,_xlfn.ANCHORARRAY(D362),TRUE)/10*0.95)/1000,
IFERROR(IF(_xlpm.phase="3Phase", _xlpm.p3_calc, _xlpm.sp_calc),0))</f>
        <v>0</v>
      </c>
      <c r="AD362" s="29" t="str">
        <f ca="1"/>
        <v>Bare Metal</v>
      </c>
      <c r="AE362" s="30" t="str">
        <f ca="1"/>
        <v>Bare Metal</v>
      </c>
      <c r="AF362" s="30" t="str">
        <f ca="1"/>
        <v>Live</v>
      </c>
      <c r="AG362" s="30">
        <f ca="1"/>
        <v>6</v>
      </c>
      <c r="AH362" s="31" t="str">
        <f ca="1"/>
        <v>Unknown</v>
      </c>
      <c r="AI362" s="49">
        <f t="shared" ca="1" si="11"/>
        <v>0</v>
      </c>
      <c r="AJ362" s="71">
        <f ca="1"/>
        <v>6.9640000000000004</v>
      </c>
    </row>
    <row r="363" spans="2:36" x14ac:dyDescent="0.25">
      <c r="B363" s="29" t="str">
        <f ca="1"/>
        <v>dal10.sr01.rk352</v>
      </c>
      <c r="C363" s="10" t="s">
        <v>2070</v>
      </c>
      <c r="D363" s="2" t="b" cm="1">
        <f t="array" ref="D363:O363">_xlfn._xlws.FILTER(IF(ancillary!$E$4:$P$8="",FALSE,ancillary!$E$4:$P$8),ancillary!$B$4:$B$8=$C363)</f>
        <v>1</v>
      </c>
      <c r="E363" s="2" t="b">
        <v>1</v>
      </c>
      <c r="F363" s="2" t="b">
        <v>1</v>
      </c>
      <c r="G363" s="2" t="b">
        <v>1</v>
      </c>
      <c r="H363" s="2" t="b">
        <v>1</v>
      </c>
      <c r="I363" s="2" t="b">
        <v>1</v>
      </c>
      <c r="J363" s="2" t="b">
        <v>0</v>
      </c>
      <c r="K363" s="2" t="b">
        <v>0</v>
      </c>
      <c r="L363" s="2" t="b">
        <v>0</v>
      </c>
      <c r="M363" s="2" t="b">
        <v>0</v>
      </c>
      <c r="N363" s="2" t="b">
        <v>0</v>
      </c>
      <c r="O363" s="2" t="b">
        <v>0</v>
      </c>
      <c r="P363" s="68"/>
      <c r="R363" s="69"/>
      <c r="S363" s="68"/>
      <c r="U363" s="69"/>
      <c r="V363" s="68"/>
      <c r="X363" s="69"/>
      <c r="Y363" s="68"/>
      <c r="AA363" s="69"/>
      <c r="AB363" s="33">
        <f t="shared" si="10"/>
        <v>0</v>
      </c>
      <c r="AC363" s="45">
        <f>_xlfn.LET(_xlpm.ps_1,P363:R363, _xlpm.ps_2,S363:U363, _xlpm.ps_3,V363:X363, _xlpm.ps_4,Y363:AA363,
_xlpm.phase, MID(C363,SEARCH("-",C363)+1,256),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(_xlfn.XLOOKUP($C$7,site_assumptions[Details],site_assumptions[Volts])*SUMIFS(P363:AA363,_xlfn.ANCHORARRAY(D363),TRUE)/10*0.95)/1000,
IFERROR(IF(_xlpm.phase="3Phase", _xlpm.p3_calc, _xlpm.sp_calc),0))</f>
        <v>0</v>
      </c>
      <c r="AD363" s="29" t="str">
        <f ca="1"/>
        <v>Bare Metal</v>
      </c>
      <c r="AE363" s="30" t="str">
        <f ca="1"/>
        <v>Bare Metal</v>
      </c>
      <c r="AF363" s="30" t="str">
        <f ca="1"/>
        <v>Live</v>
      </c>
      <c r="AG363" s="30">
        <f ca="1"/>
        <v>6</v>
      </c>
      <c r="AH363" s="31" t="str">
        <f ca="1"/>
        <v>Unknown</v>
      </c>
      <c r="AI363" s="49">
        <f t="shared" ca="1" si="11"/>
        <v>0</v>
      </c>
      <c r="AJ363" s="71">
        <f ca="1"/>
        <v>11.994999999999999</v>
      </c>
    </row>
    <row r="364" spans="2:36" x14ac:dyDescent="0.25">
      <c r="B364" s="29" t="str">
        <f ca="1"/>
        <v>dal10.sr01.rk353</v>
      </c>
      <c r="C364" s="10" t="s">
        <v>2070</v>
      </c>
      <c r="D364" s="2" t="b" cm="1">
        <f t="array" ref="D364:O364">_xlfn._xlws.FILTER(IF(ancillary!$E$4:$P$8="",FALSE,ancillary!$E$4:$P$8),ancillary!$B$4:$B$8=$C364)</f>
        <v>1</v>
      </c>
      <c r="E364" s="2" t="b">
        <v>1</v>
      </c>
      <c r="F364" s="2" t="b">
        <v>1</v>
      </c>
      <c r="G364" s="2" t="b">
        <v>1</v>
      </c>
      <c r="H364" s="2" t="b">
        <v>1</v>
      </c>
      <c r="I364" s="2" t="b">
        <v>1</v>
      </c>
      <c r="J364" s="2" t="b">
        <v>0</v>
      </c>
      <c r="K364" s="2" t="b">
        <v>0</v>
      </c>
      <c r="L364" s="2" t="b">
        <v>0</v>
      </c>
      <c r="M364" s="2" t="b">
        <v>0</v>
      </c>
      <c r="N364" s="2" t="b">
        <v>0</v>
      </c>
      <c r="O364" s="2" t="b">
        <v>0</v>
      </c>
      <c r="P364" s="68"/>
      <c r="R364" s="69"/>
      <c r="S364" s="68"/>
      <c r="U364" s="69"/>
      <c r="V364" s="68"/>
      <c r="X364" s="69"/>
      <c r="Y364" s="68"/>
      <c r="AA364" s="69"/>
      <c r="AB364" s="33">
        <f t="shared" si="10"/>
        <v>0</v>
      </c>
      <c r="AC364" s="45">
        <f>_xlfn.LET(_xlpm.ps_1,P364:R364, _xlpm.ps_2,S364:U364, _xlpm.ps_3,V364:X364, _xlpm.ps_4,Y364:AA364,
_xlpm.phase, MID(C364,SEARCH("-",C364)+1,256),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(_xlfn.XLOOKUP($C$7,site_assumptions[Details],site_assumptions[Volts])*SUMIFS(P364:AA364,_xlfn.ANCHORARRAY(D364),TRUE)/10*0.95)/1000,
IFERROR(IF(_xlpm.phase="3Phase", _xlpm.p3_calc, _xlpm.sp_calc),0))</f>
        <v>0</v>
      </c>
      <c r="AD364" s="29" t="str">
        <f ca="1"/>
        <v>Bare Metal</v>
      </c>
      <c r="AE364" s="30" t="str">
        <f ca="1"/>
        <v>Bare Metal</v>
      </c>
      <c r="AF364" s="30" t="str">
        <f ca="1"/>
        <v>Live</v>
      </c>
      <c r="AG364" s="30">
        <f ca="1"/>
        <v>6</v>
      </c>
      <c r="AH364" s="31" t="str">
        <f ca="1"/>
        <v>Unknown</v>
      </c>
      <c r="AI364" s="49">
        <f t="shared" ca="1" si="11"/>
        <v>0</v>
      </c>
      <c r="AJ364" s="71">
        <f ca="1"/>
        <v>0.628</v>
      </c>
    </row>
    <row r="365" spans="2:36" x14ac:dyDescent="0.25">
      <c r="B365" s="29" t="str">
        <f ca="1"/>
        <v>dal10.sr01.rk354</v>
      </c>
      <c r="C365" s="10" t="s">
        <v>2070</v>
      </c>
      <c r="D365" s="2" t="b" cm="1">
        <f t="array" ref="D365:O365">_xlfn._xlws.FILTER(IF(ancillary!$E$4:$P$8="",FALSE,ancillary!$E$4:$P$8),ancillary!$B$4:$B$8=$C365)</f>
        <v>1</v>
      </c>
      <c r="E365" s="2" t="b">
        <v>1</v>
      </c>
      <c r="F365" s="2" t="b">
        <v>1</v>
      </c>
      <c r="G365" s="2" t="b">
        <v>1</v>
      </c>
      <c r="H365" s="2" t="b">
        <v>1</v>
      </c>
      <c r="I365" s="2" t="b">
        <v>1</v>
      </c>
      <c r="J365" s="2" t="b">
        <v>0</v>
      </c>
      <c r="K365" s="2" t="b">
        <v>0</v>
      </c>
      <c r="L365" s="2" t="b">
        <v>0</v>
      </c>
      <c r="M365" s="2" t="b">
        <v>0</v>
      </c>
      <c r="N365" s="2" t="b">
        <v>0</v>
      </c>
      <c r="O365" s="2" t="b">
        <v>0</v>
      </c>
      <c r="P365" s="68"/>
      <c r="R365" s="69"/>
      <c r="S365" s="68"/>
      <c r="U365" s="69"/>
      <c r="V365" s="68"/>
      <c r="X365" s="69"/>
      <c r="Y365" s="68"/>
      <c r="AA365" s="69"/>
      <c r="AB365" s="33">
        <f t="shared" si="10"/>
        <v>0</v>
      </c>
      <c r="AC365" s="45">
        <f>_xlfn.LET(_xlpm.ps_1,P365:R365, _xlpm.ps_2,S365:U365, _xlpm.ps_3,V365:X365, _xlpm.ps_4,Y365:AA365,
_xlpm.phase, MID(C365,SEARCH("-",C365)+1,256),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(_xlfn.XLOOKUP($C$7,site_assumptions[Details],site_assumptions[Volts])*SUMIFS(P365:AA365,_xlfn.ANCHORARRAY(D365),TRUE)/10*0.95)/1000,
IFERROR(IF(_xlpm.phase="3Phase", _xlpm.p3_calc, _xlpm.sp_calc),0))</f>
        <v>0</v>
      </c>
      <c r="AD365" s="29" t="str">
        <f ca="1"/>
        <v>Bare Metal</v>
      </c>
      <c r="AE365" s="30" t="str">
        <f ca="1"/>
        <v>Bare Metal</v>
      </c>
      <c r="AF365" s="30" t="str">
        <f ca="1"/>
        <v>Live</v>
      </c>
      <c r="AG365" s="30">
        <f ca="1"/>
        <v>6</v>
      </c>
      <c r="AH365" s="31" t="str">
        <f ca="1"/>
        <v>Unknown</v>
      </c>
      <c r="AI365" s="49">
        <f t="shared" ca="1" si="11"/>
        <v>0</v>
      </c>
      <c r="AJ365" s="71">
        <f ca="1"/>
        <v>1.413</v>
      </c>
    </row>
    <row r="366" spans="2:36" x14ac:dyDescent="0.25">
      <c r="B366" s="29" t="str">
        <f ca="1"/>
        <v>dal10.sr01.rk355</v>
      </c>
      <c r="C366" s="10" t="s">
        <v>2070</v>
      </c>
      <c r="D366" s="2" t="b" cm="1">
        <f t="array" ref="D366:O366">_xlfn._xlws.FILTER(IF(ancillary!$E$4:$P$8="",FALSE,ancillary!$E$4:$P$8),ancillary!$B$4:$B$8=$C366)</f>
        <v>1</v>
      </c>
      <c r="E366" s="2" t="b">
        <v>1</v>
      </c>
      <c r="F366" s="2" t="b">
        <v>1</v>
      </c>
      <c r="G366" s="2" t="b">
        <v>1</v>
      </c>
      <c r="H366" s="2" t="b">
        <v>1</v>
      </c>
      <c r="I366" s="2" t="b">
        <v>1</v>
      </c>
      <c r="J366" s="2" t="b">
        <v>0</v>
      </c>
      <c r="K366" s="2" t="b">
        <v>0</v>
      </c>
      <c r="L366" s="2" t="b">
        <v>0</v>
      </c>
      <c r="M366" s="2" t="b">
        <v>0</v>
      </c>
      <c r="N366" s="2" t="b">
        <v>0</v>
      </c>
      <c r="O366" s="2" t="b">
        <v>0</v>
      </c>
      <c r="P366" s="68"/>
      <c r="R366" s="69"/>
      <c r="S366" s="68"/>
      <c r="U366" s="69"/>
      <c r="V366" s="68"/>
      <c r="X366" s="69"/>
      <c r="Y366" s="68"/>
      <c r="AA366" s="69"/>
      <c r="AB366" s="33">
        <f t="shared" si="10"/>
        <v>0</v>
      </c>
      <c r="AC366" s="45">
        <f>_xlfn.LET(_xlpm.ps_1,P366:R366, _xlpm.ps_2,S366:U366, _xlpm.ps_3,V366:X366, _xlpm.ps_4,Y366:AA366,
_xlpm.phase, MID(C366,SEARCH("-",C366)+1,256),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(_xlfn.XLOOKUP($C$7,site_assumptions[Details],site_assumptions[Volts])*SUMIFS(P366:AA366,_xlfn.ANCHORARRAY(D366),TRUE)/10*0.95)/1000,
IFERROR(IF(_xlpm.phase="3Phase", _xlpm.p3_calc, _xlpm.sp_calc),0))</f>
        <v>0</v>
      </c>
      <c r="AD366" s="29" t="str">
        <f ca="1"/>
        <v>Bare Metal</v>
      </c>
      <c r="AE366" s="30" t="str">
        <f ca="1"/>
        <v>Bare Metal</v>
      </c>
      <c r="AF366" s="30" t="str">
        <f ca="1"/>
        <v>Live</v>
      </c>
      <c r="AG366" s="30">
        <f ca="1"/>
        <v>6</v>
      </c>
      <c r="AH366" s="31" t="str">
        <f ca="1"/>
        <v>Unknown</v>
      </c>
      <c r="AI366" s="49">
        <f t="shared" ca="1" si="11"/>
        <v>0</v>
      </c>
      <c r="AJ366" s="71">
        <f ca="1"/>
        <v>5.9009999999999998</v>
      </c>
    </row>
    <row r="367" spans="2:36" x14ac:dyDescent="0.25">
      <c r="B367" s="29" t="str">
        <f ca="1"/>
        <v>dal10.sr01.rk356</v>
      </c>
      <c r="C367" s="10" t="s">
        <v>2070</v>
      </c>
      <c r="D367" s="2" t="b" cm="1">
        <f t="array" ref="D367:O367">_xlfn._xlws.FILTER(IF(ancillary!$E$4:$P$8="",FALSE,ancillary!$E$4:$P$8),ancillary!$B$4:$B$8=$C367)</f>
        <v>1</v>
      </c>
      <c r="E367" s="2" t="b">
        <v>1</v>
      </c>
      <c r="F367" s="2" t="b">
        <v>1</v>
      </c>
      <c r="G367" s="2" t="b">
        <v>1</v>
      </c>
      <c r="H367" s="2" t="b">
        <v>1</v>
      </c>
      <c r="I367" s="2" t="b">
        <v>1</v>
      </c>
      <c r="J367" s="2" t="b">
        <v>0</v>
      </c>
      <c r="K367" s="2" t="b">
        <v>0</v>
      </c>
      <c r="L367" s="2" t="b">
        <v>0</v>
      </c>
      <c r="M367" s="2" t="b">
        <v>0</v>
      </c>
      <c r="N367" s="2" t="b">
        <v>0</v>
      </c>
      <c r="O367" s="2" t="b">
        <v>0</v>
      </c>
      <c r="P367" s="68"/>
      <c r="R367" s="69"/>
      <c r="S367" s="68"/>
      <c r="U367" s="69"/>
      <c r="V367" s="68"/>
      <c r="X367" s="69"/>
      <c r="Y367" s="68"/>
      <c r="AA367" s="69"/>
      <c r="AB367" s="33">
        <f t="shared" si="10"/>
        <v>0</v>
      </c>
      <c r="AC367" s="45">
        <f>_xlfn.LET(_xlpm.ps_1,P367:R367, _xlpm.ps_2,S367:U367, _xlpm.ps_3,V367:X367, _xlpm.ps_4,Y367:AA367,
_xlpm.phase, MID(C367,SEARCH("-",C367)+1,256),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(_xlfn.XLOOKUP($C$7,site_assumptions[Details],site_assumptions[Volts])*SUMIFS(P367:AA367,_xlfn.ANCHORARRAY(D367),TRUE)/10*0.95)/1000,
IFERROR(IF(_xlpm.phase="3Phase", _xlpm.p3_calc, _xlpm.sp_calc),0))</f>
        <v>0</v>
      </c>
      <c r="AD367" s="29" t="str">
        <f ca="1"/>
        <v>Bare Metal</v>
      </c>
      <c r="AE367" s="30" t="str">
        <f ca="1"/>
        <v>Bare Metal</v>
      </c>
      <c r="AF367" s="30" t="str">
        <f ca="1"/>
        <v>Live</v>
      </c>
      <c r="AG367" s="30">
        <f ca="1"/>
        <v>6</v>
      </c>
      <c r="AH367" s="31" t="str">
        <f ca="1"/>
        <v>Unknown</v>
      </c>
      <c r="AI367" s="49">
        <f t="shared" ca="1" si="11"/>
        <v>0</v>
      </c>
      <c r="AJ367" s="71">
        <f ca="1"/>
        <v>2.4929999999999999</v>
      </c>
    </row>
    <row r="368" spans="2:36" x14ac:dyDescent="0.25">
      <c r="B368" s="29" t="str">
        <f ca="1"/>
        <v>dal10.sr01.rk357</v>
      </c>
      <c r="C368" s="10" t="s">
        <v>2070</v>
      </c>
      <c r="D368" s="2" t="b" cm="1">
        <f t="array" ref="D368:O368">_xlfn._xlws.FILTER(IF(ancillary!$E$4:$P$8="",FALSE,ancillary!$E$4:$P$8),ancillary!$B$4:$B$8=$C368)</f>
        <v>1</v>
      </c>
      <c r="E368" s="2" t="b">
        <v>1</v>
      </c>
      <c r="F368" s="2" t="b">
        <v>1</v>
      </c>
      <c r="G368" s="2" t="b">
        <v>1</v>
      </c>
      <c r="H368" s="2" t="b">
        <v>1</v>
      </c>
      <c r="I368" s="2" t="b">
        <v>1</v>
      </c>
      <c r="J368" s="2" t="b">
        <v>0</v>
      </c>
      <c r="K368" s="2" t="b">
        <v>0</v>
      </c>
      <c r="L368" s="2" t="b">
        <v>0</v>
      </c>
      <c r="M368" s="2" t="b">
        <v>0</v>
      </c>
      <c r="N368" s="2" t="b">
        <v>0</v>
      </c>
      <c r="O368" s="2" t="b">
        <v>0</v>
      </c>
      <c r="P368" s="68"/>
      <c r="R368" s="69"/>
      <c r="S368" s="68"/>
      <c r="U368" s="69"/>
      <c r="V368" s="68"/>
      <c r="X368" s="69"/>
      <c r="Y368" s="68"/>
      <c r="AA368" s="69"/>
      <c r="AB368" s="33">
        <f t="shared" si="10"/>
        <v>0</v>
      </c>
      <c r="AC368" s="45">
        <f>_xlfn.LET(_xlpm.ps_1,P368:R368, _xlpm.ps_2,S368:U368, _xlpm.ps_3,V368:X368, _xlpm.ps_4,Y368:AA368,
_xlpm.phase, MID(C368,SEARCH("-",C368)+1,256),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(_xlfn.XLOOKUP($C$7,site_assumptions[Details],site_assumptions[Volts])*SUMIFS(P368:AA368,_xlfn.ANCHORARRAY(D368),TRUE)/10*0.95)/1000,
IFERROR(IF(_xlpm.phase="3Phase", _xlpm.p3_calc, _xlpm.sp_calc),0))</f>
        <v>0</v>
      </c>
      <c r="AD368" s="29" t="str">
        <f ca="1"/>
        <v>Bare Metal</v>
      </c>
      <c r="AE368" s="30" t="str">
        <f ca="1"/>
        <v>Bare Metal</v>
      </c>
      <c r="AF368" s="30" t="str">
        <f ca="1"/>
        <v>Live</v>
      </c>
      <c r="AG368" s="30">
        <f ca="1"/>
        <v>6</v>
      </c>
      <c r="AH368" s="31" t="str">
        <f ca="1"/>
        <v>Unknown</v>
      </c>
      <c r="AI368" s="49">
        <f t="shared" ca="1" si="11"/>
        <v>0</v>
      </c>
      <c r="AJ368" s="71">
        <f ca="1"/>
        <v>9.6379999999999999</v>
      </c>
    </row>
    <row r="369" spans="2:36" x14ac:dyDescent="0.25">
      <c r="B369" s="29" t="str">
        <f ca="1"/>
        <v>dal10.sr01.rk358</v>
      </c>
      <c r="C369" s="10" t="s">
        <v>2070</v>
      </c>
      <c r="D369" s="2" t="b" cm="1">
        <f t="array" ref="D369:O369">_xlfn._xlws.FILTER(IF(ancillary!$E$4:$P$8="",FALSE,ancillary!$E$4:$P$8),ancillary!$B$4:$B$8=$C369)</f>
        <v>1</v>
      </c>
      <c r="E369" s="2" t="b">
        <v>1</v>
      </c>
      <c r="F369" s="2" t="b">
        <v>1</v>
      </c>
      <c r="G369" s="2" t="b">
        <v>1</v>
      </c>
      <c r="H369" s="2" t="b">
        <v>1</v>
      </c>
      <c r="I369" s="2" t="b">
        <v>1</v>
      </c>
      <c r="J369" s="2" t="b">
        <v>0</v>
      </c>
      <c r="K369" s="2" t="b">
        <v>0</v>
      </c>
      <c r="L369" s="2" t="b">
        <v>0</v>
      </c>
      <c r="M369" s="2" t="b">
        <v>0</v>
      </c>
      <c r="N369" s="2" t="b">
        <v>0</v>
      </c>
      <c r="O369" s="2" t="b">
        <v>0</v>
      </c>
      <c r="P369" s="68"/>
      <c r="R369" s="69"/>
      <c r="S369" s="68"/>
      <c r="U369" s="69"/>
      <c r="V369" s="68"/>
      <c r="X369" s="69"/>
      <c r="Y369" s="68"/>
      <c r="AA369" s="69"/>
      <c r="AB369" s="33">
        <f t="shared" si="10"/>
        <v>0</v>
      </c>
      <c r="AC369" s="45">
        <f>_xlfn.LET(_xlpm.ps_1,P369:R369, _xlpm.ps_2,S369:U369, _xlpm.ps_3,V369:X369, _xlpm.ps_4,Y369:AA369,
_xlpm.phase, MID(C369,SEARCH("-",C369)+1,256),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(_xlfn.XLOOKUP($C$7,site_assumptions[Details],site_assumptions[Volts])*SUMIFS(P369:AA369,_xlfn.ANCHORARRAY(D369),TRUE)/10*0.95)/1000,
IFERROR(IF(_xlpm.phase="3Phase", _xlpm.p3_calc, _xlpm.sp_calc),0))</f>
        <v>0</v>
      </c>
      <c r="AD369" s="29" t="str">
        <f ca="1"/>
        <v>Network</v>
      </c>
      <c r="AE369" s="30" t="str">
        <f ca="1"/>
        <v>Aggregate</v>
      </c>
      <c r="AF369" s="30" t="str">
        <f ca="1"/>
        <v>Live</v>
      </c>
      <c r="AG369" s="30">
        <f ca="1"/>
        <v>5</v>
      </c>
      <c r="AH369" s="31" t="str">
        <f ca="1"/>
        <v>Unknown</v>
      </c>
      <c r="AI369" s="49">
        <f t="shared" ca="1" si="11"/>
        <v>0</v>
      </c>
      <c r="AJ369" s="71">
        <f ca="1"/>
        <v>0</v>
      </c>
    </row>
    <row r="370" spans="2:36" x14ac:dyDescent="0.25">
      <c r="B370" s="29" t="str">
        <f ca="1"/>
        <v>dal10.sr01.rk359</v>
      </c>
      <c r="C370" s="10" t="s">
        <v>2070</v>
      </c>
      <c r="D370" s="2" t="b" cm="1">
        <f t="array" ref="D370:O370">_xlfn._xlws.FILTER(IF(ancillary!$E$4:$P$8="",FALSE,ancillary!$E$4:$P$8),ancillary!$B$4:$B$8=$C370)</f>
        <v>1</v>
      </c>
      <c r="E370" s="2" t="b">
        <v>1</v>
      </c>
      <c r="F370" s="2" t="b">
        <v>1</v>
      </c>
      <c r="G370" s="2" t="b">
        <v>1</v>
      </c>
      <c r="H370" s="2" t="b">
        <v>1</v>
      </c>
      <c r="I370" s="2" t="b">
        <v>1</v>
      </c>
      <c r="J370" s="2" t="b">
        <v>0</v>
      </c>
      <c r="K370" s="2" t="b">
        <v>0</v>
      </c>
      <c r="L370" s="2" t="b">
        <v>0</v>
      </c>
      <c r="M370" s="2" t="b">
        <v>0</v>
      </c>
      <c r="N370" s="2" t="b">
        <v>0</v>
      </c>
      <c r="O370" s="2" t="b">
        <v>0</v>
      </c>
      <c r="P370" s="68"/>
      <c r="R370" s="69"/>
      <c r="S370" s="68"/>
      <c r="U370" s="69"/>
      <c r="V370" s="68"/>
      <c r="X370" s="69"/>
      <c r="Y370" s="68"/>
      <c r="AA370" s="69"/>
      <c r="AB370" s="33">
        <f t="shared" si="10"/>
        <v>0</v>
      </c>
      <c r="AC370" s="45">
        <f>_xlfn.LET(_xlpm.ps_1,P370:R370, _xlpm.ps_2,S370:U370, _xlpm.ps_3,V370:X370, _xlpm.ps_4,Y370:AA370,
_xlpm.phase, MID(C370,SEARCH("-",C370)+1,256),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(_xlfn.XLOOKUP($C$7,site_assumptions[Details],site_assumptions[Volts])*SUMIFS(P370:AA370,_xlfn.ANCHORARRAY(D370),TRUE)/10*0.95)/1000,
IFERROR(IF(_xlpm.phase="3Phase", _xlpm.p3_calc, _xlpm.sp_calc),0))</f>
        <v>0</v>
      </c>
      <c r="AD370" s="29" t="str">
        <f ca="1"/>
        <v>Bare Metal</v>
      </c>
      <c r="AE370" s="30" t="str">
        <f ca="1"/>
        <v>Bare Metal</v>
      </c>
      <c r="AF370" s="30" t="str">
        <f ca="1"/>
        <v>Live</v>
      </c>
      <c r="AG370" s="30">
        <f ca="1"/>
        <v>6</v>
      </c>
      <c r="AH370" s="31" t="str">
        <f ca="1"/>
        <v>Unknown</v>
      </c>
      <c r="AI370" s="49">
        <f t="shared" ca="1" si="11"/>
        <v>0</v>
      </c>
      <c r="AJ370" s="71">
        <f ca="1"/>
        <v>9.7200000000000006</v>
      </c>
    </row>
    <row r="371" spans="2:36" x14ac:dyDescent="0.25">
      <c r="B371" s="29" t="str">
        <f ca="1"/>
        <v>dal10.sr01.rk360</v>
      </c>
      <c r="C371" s="10" t="s">
        <v>2070</v>
      </c>
      <c r="D371" s="2" t="b" cm="1">
        <f t="array" ref="D371:O371">_xlfn._xlws.FILTER(IF(ancillary!$E$4:$P$8="",FALSE,ancillary!$E$4:$P$8),ancillary!$B$4:$B$8=$C371)</f>
        <v>1</v>
      </c>
      <c r="E371" s="2" t="b">
        <v>1</v>
      </c>
      <c r="F371" s="2" t="b">
        <v>1</v>
      </c>
      <c r="G371" s="2" t="b">
        <v>1</v>
      </c>
      <c r="H371" s="2" t="b">
        <v>1</v>
      </c>
      <c r="I371" s="2" t="b">
        <v>1</v>
      </c>
      <c r="J371" s="2" t="b">
        <v>0</v>
      </c>
      <c r="K371" s="2" t="b">
        <v>0</v>
      </c>
      <c r="L371" s="2" t="b">
        <v>0</v>
      </c>
      <c r="M371" s="2" t="b">
        <v>0</v>
      </c>
      <c r="N371" s="2" t="b">
        <v>0</v>
      </c>
      <c r="O371" s="2" t="b">
        <v>0</v>
      </c>
      <c r="P371" s="68"/>
      <c r="R371" s="69"/>
      <c r="S371" s="68"/>
      <c r="U371" s="69"/>
      <c r="V371" s="68"/>
      <c r="X371" s="69"/>
      <c r="Y371" s="68"/>
      <c r="AA371" s="69"/>
      <c r="AB371" s="33">
        <f t="shared" si="10"/>
        <v>0</v>
      </c>
      <c r="AC371" s="45">
        <f>_xlfn.LET(_xlpm.ps_1,P371:R371, _xlpm.ps_2,S371:U371, _xlpm.ps_3,V371:X371, _xlpm.ps_4,Y371:AA371,
_xlpm.phase, MID(C371,SEARCH("-",C371)+1,256),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(_xlfn.XLOOKUP($C$7,site_assumptions[Details],site_assumptions[Volts])*SUMIFS(P371:AA371,_xlfn.ANCHORARRAY(D371),TRUE)/10*0.95)/1000,
IFERROR(IF(_xlpm.phase="3Phase", _xlpm.p3_calc, _xlpm.sp_calc),0))</f>
        <v>0</v>
      </c>
      <c r="AD371" s="29" t="str">
        <f ca="1"/>
        <v>Bare Metal</v>
      </c>
      <c r="AE371" s="30" t="str">
        <f ca="1"/>
        <v>Bare Metal</v>
      </c>
      <c r="AF371" s="30" t="str">
        <f ca="1"/>
        <v>Live</v>
      </c>
      <c r="AG371" s="30">
        <f ca="1"/>
        <v>6</v>
      </c>
      <c r="AH371" s="31" t="str">
        <f ca="1"/>
        <v>Unknown</v>
      </c>
      <c r="AI371" s="49">
        <f t="shared" ca="1" si="11"/>
        <v>0</v>
      </c>
      <c r="AJ371" s="71">
        <f ca="1"/>
        <v>0.36699999999999999</v>
      </c>
    </row>
    <row r="372" spans="2:36" x14ac:dyDescent="0.25">
      <c r="B372" s="29" t="str">
        <f ca="1"/>
        <v>dal10.sr01.rk361</v>
      </c>
      <c r="C372" s="10" t="s">
        <v>2070</v>
      </c>
      <c r="D372" s="2" t="b" cm="1">
        <f t="array" ref="D372:O372">_xlfn._xlws.FILTER(IF(ancillary!$E$4:$P$8="",FALSE,ancillary!$E$4:$P$8),ancillary!$B$4:$B$8=$C372)</f>
        <v>1</v>
      </c>
      <c r="E372" s="2" t="b">
        <v>1</v>
      </c>
      <c r="F372" s="2" t="b">
        <v>1</v>
      </c>
      <c r="G372" s="2" t="b">
        <v>1</v>
      </c>
      <c r="H372" s="2" t="b">
        <v>1</v>
      </c>
      <c r="I372" s="2" t="b">
        <v>1</v>
      </c>
      <c r="J372" s="2" t="b">
        <v>0</v>
      </c>
      <c r="K372" s="2" t="b">
        <v>0</v>
      </c>
      <c r="L372" s="2" t="b">
        <v>0</v>
      </c>
      <c r="M372" s="2" t="b">
        <v>0</v>
      </c>
      <c r="N372" s="2" t="b">
        <v>0</v>
      </c>
      <c r="O372" s="2" t="b">
        <v>0</v>
      </c>
      <c r="P372" s="68"/>
      <c r="R372" s="69"/>
      <c r="S372" s="68"/>
      <c r="U372" s="69"/>
      <c r="V372" s="68"/>
      <c r="X372" s="69"/>
      <c r="Y372" s="68"/>
      <c r="AA372" s="69"/>
      <c r="AB372" s="33">
        <f t="shared" si="10"/>
        <v>0</v>
      </c>
      <c r="AC372" s="45">
        <f>_xlfn.LET(_xlpm.ps_1,P372:R372, _xlpm.ps_2,S372:U372, _xlpm.ps_3,V372:X372, _xlpm.ps_4,Y372:AA372,
_xlpm.phase, MID(C372,SEARCH("-",C372)+1,256),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(_xlfn.XLOOKUP($C$7,site_assumptions[Details],site_assumptions[Volts])*SUMIFS(P372:AA372,_xlfn.ANCHORARRAY(D372),TRUE)/10*0.95)/1000,
IFERROR(IF(_xlpm.phase="3Phase", _xlpm.p3_calc, _xlpm.sp_calc),0))</f>
        <v>0</v>
      </c>
      <c r="AD372" s="29" t="str">
        <f ca="1"/>
        <v>Bare Metal</v>
      </c>
      <c r="AE372" s="30" t="str">
        <f ca="1"/>
        <v>Bare Metal</v>
      </c>
      <c r="AF372" s="30" t="str">
        <f ca="1"/>
        <v>Live</v>
      </c>
      <c r="AG372" s="30">
        <f ca="1"/>
        <v>6</v>
      </c>
      <c r="AH372" s="31" t="str">
        <f ca="1"/>
        <v>Unknown</v>
      </c>
      <c r="AI372" s="49">
        <f t="shared" ca="1" si="11"/>
        <v>0</v>
      </c>
      <c r="AJ372" s="71">
        <f ca="1"/>
        <v>9.3770000000000007</v>
      </c>
    </row>
    <row r="373" spans="2:36" x14ac:dyDescent="0.25">
      <c r="B373" s="29" t="str">
        <f ca="1"/>
        <v>dal10.sr01.rk362</v>
      </c>
      <c r="C373" s="10" t="s">
        <v>2070</v>
      </c>
      <c r="D373" s="2" t="b" cm="1">
        <f t="array" ref="D373:O373">_xlfn._xlws.FILTER(IF(ancillary!$E$4:$P$8="",FALSE,ancillary!$E$4:$P$8),ancillary!$B$4:$B$8=$C373)</f>
        <v>1</v>
      </c>
      <c r="E373" s="2" t="b">
        <v>1</v>
      </c>
      <c r="F373" s="2" t="b">
        <v>1</v>
      </c>
      <c r="G373" s="2" t="b">
        <v>1</v>
      </c>
      <c r="H373" s="2" t="b">
        <v>1</v>
      </c>
      <c r="I373" s="2" t="b">
        <v>1</v>
      </c>
      <c r="J373" s="2" t="b">
        <v>0</v>
      </c>
      <c r="K373" s="2" t="b">
        <v>0</v>
      </c>
      <c r="L373" s="2" t="b">
        <v>0</v>
      </c>
      <c r="M373" s="2" t="b">
        <v>0</v>
      </c>
      <c r="N373" s="2" t="b">
        <v>0</v>
      </c>
      <c r="O373" s="2" t="b">
        <v>0</v>
      </c>
      <c r="P373" s="68"/>
      <c r="R373" s="69"/>
      <c r="S373" s="68"/>
      <c r="U373" s="69"/>
      <c r="V373" s="68"/>
      <c r="X373" s="69"/>
      <c r="Y373" s="68"/>
      <c r="AA373" s="69"/>
      <c r="AB373" s="33">
        <f t="shared" si="10"/>
        <v>0</v>
      </c>
      <c r="AC373" s="45">
        <f>_xlfn.LET(_xlpm.ps_1,P373:R373, _xlpm.ps_2,S373:U373, _xlpm.ps_3,V373:X373, _xlpm.ps_4,Y373:AA373,
_xlpm.phase, MID(C373,SEARCH("-",C373)+1,256),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(_xlfn.XLOOKUP($C$7,site_assumptions[Details],site_assumptions[Volts])*SUMIFS(P373:AA373,_xlfn.ANCHORARRAY(D373),TRUE)/10*0.95)/1000,
IFERROR(IF(_xlpm.phase="3Phase", _xlpm.p3_calc, _xlpm.sp_calc),0))</f>
        <v>0</v>
      </c>
      <c r="AD373" s="29" t="str">
        <f ca="1"/>
        <v>Bare Metal</v>
      </c>
      <c r="AE373" s="30" t="str">
        <f ca="1"/>
        <v>Bare Metal</v>
      </c>
      <c r="AF373" s="30" t="str">
        <f ca="1"/>
        <v>Live</v>
      </c>
      <c r="AG373" s="30">
        <f ca="1"/>
        <v>6</v>
      </c>
      <c r="AH373" s="31" t="str">
        <f ca="1"/>
        <v>Unknown</v>
      </c>
      <c r="AI373" s="49">
        <f t="shared" ca="1" si="11"/>
        <v>0</v>
      </c>
      <c r="AJ373" s="71">
        <f ca="1"/>
        <v>0.35399999999999998</v>
      </c>
    </row>
    <row r="374" spans="2:36" x14ac:dyDescent="0.25">
      <c r="B374" s="29" t="str">
        <f ca="1"/>
        <v>dal10.sr01.rk363</v>
      </c>
      <c r="C374" s="10" t="s">
        <v>2070</v>
      </c>
      <c r="D374" s="2" t="b" cm="1">
        <f t="array" ref="D374:O374">_xlfn._xlws.FILTER(IF(ancillary!$E$4:$P$8="",FALSE,ancillary!$E$4:$P$8),ancillary!$B$4:$B$8=$C374)</f>
        <v>1</v>
      </c>
      <c r="E374" s="2" t="b">
        <v>1</v>
      </c>
      <c r="F374" s="2" t="b">
        <v>1</v>
      </c>
      <c r="G374" s="2" t="b">
        <v>1</v>
      </c>
      <c r="H374" s="2" t="b">
        <v>1</v>
      </c>
      <c r="I374" s="2" t="b">
        <v>1</v>
      </c>
      <c r="J374" s="2" t="b">
        <v>0</v>
      </c>
      <c r="K374" s="2" t="b">
        <v>0</v>
      </c>
      <c r="L374" s="2" t="b">
        <v>0</v>
      </c>
      <c r="M374" s="2" t="b">
        <v>0</v>
      </c>
      <c r="N374" s="2" t="b">
        <v>0</v>
      </c>
      <c r="O374" s="2" t="b">
        <v>0</v>
      </c>
      <c r="P374" s="68"/>
      <c r="R374" s="69"/>
      <c r="S374" s="68"/>
      <c r="U374" s="69"/>
      <c r="V374" s="68"/>
      <c r="X374" s="69"/>
      <c r="Y374" s="68"/>
      <c r="AA374" s="69"/>
      <c r="AB374" s="33">
        <f t="shared" si="10"/>
        <v>0</v>
      </c>
      <c r="AC374" s="45">
        <f>_xlfn.LET(_xlpm.ps_1,P374:R374, _xlpm.ps_2,S374:U374, _xlpm.ps_3,V374:X374, _xlpm.ps_4,Y374:AA374,
_xlpm.phase, MID(C374,SEARCH("-",C374)+1,256),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(_xlfn.XLOOKUP($C$7,site_assumptions[Details],site_assumptions[Volts])*SUMIFS(P374:AA374,_xlfn.ANCHORARRAY(D374),TRUE)/10*0.95)/1000,
IFERROR(IF(_xlpm.phase="3Phase", _xlpm.p3_calc, _xlpm.sp_calc),0))</f>
        <v>0</v>
      </c>
      <c r="AD374" s="29" t="str">
        <f ca="1"/>
        <v>Bare Metal</v>
      </c>
      <c r="AE374" s="30" t="str">
        <f ca="1"/>
        <v>Bare Metal</v>
      </c>
      <c r="AF374" s="30" t="str">
        <f ca="1"/>
        <v>Live</v>
      </c>
      <c r="AG374" s="30">
        <f ca="1"/>
        <v>6</v>
      </c>
      <c r="AH374" s="31" t="str">
        <f ca="1"/>
        <v>Unknown</v>
      </c>
      <c r="AI374" s="49">
        <f t="shared" ca="1" si="11"/>
        <v>0</v>
      </c>
      <c r="AJ374" s="71">
        <f ca="1"/>
        <v>0.85199999999999998</v>
      </c>
    </row>
    <row r="375" spans="2:36" x14ac:dyDescent="0.25">
      <c r="B375" s="29" t="str">
        <f ca="1"/>
        <v>dal10.sr01.rk364</v>
      </c>
      <c r="C375" s="10" t="s">
        <v>2070</v>
      </c>
      <c r="D375" s="2" t="b" cm="1">
        <f t="array" ref="D375:O375">_xlfn._xlws.FILTER(IF(ancillary!$E$4:$P$8="",FALSE,ancillary!$E$4:$P$8),ancillary!$B$4:$B$8=$C375)</f>
        <v>1</v>
      </c>
      <c r="E375" s="2" t="b">
        <v>1</v>
      </c>
      <c r="F375" s="2" t="b">
        <v>1</v>
      </c>
      <c r="G375" s="2" t="b">
        <v>1</v>
      </c>
      <c r="H375" s="2" t="b">
        <v>1</v>
      </c>
      <c r="I375" s="2" t="b">
        <v>1</v>
      </c>
      <c r="J375" s="2" t="b">
        <v>0</v>
      </c>
      <c r="K375" s="2" t="b">
        <v>0</v>
      </c>
      <c r="L375" s="2" t="b">
        <v>0</v>
      </c>
      <c r="M375" s="2" t="b">
        <v>0</v>
      </c>
      <c r="N375" s="2" t="b">
        <v>0</v>
      </c>
      <c r="O375" s="2" t="b">
        <v>0</v>
      </c>
      <c r="P375" s="68"/>
      <c r="R375" s="69"/>
      <c r="S375" s="68"/>
      <c r="U375" s="69"/>
      <c r="V375" s="68"/>
      <c r="X375" s="69"/>
      <c r="Y375" s="68"/>
      <c r="AA375" s="69"/>
      <c r="AB375" s="33">
        <f t="shared" si="10"/>
        <v>0</v>
      </c>
      <c r="AC375" s="45">
        <f>_xlfn.LET(_xlpm.ps_1,P375:R375, _xlpm.ps_2,S375:U375, _xlpm.ps_3,V375:X375, _xlpm.ps_4,Y375:AA375,
_xlpm.phase, MID(C375,SEARCH("-",C375)+1,256),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(_xlfn.XLOOKUP($C$7,site_assumptions[Details],site_assumptions[Volts])*SUMIFS(P375:AA375,_xlfn.ANCHORARRAY(D375),TRUE)/10*0.95)/1000,
IFERROR(IF(_xlpm.phase="3Phase", _xlpm.p3_calc, _xlpm.sp_calc),0))</f>
        <v>0</v>
      </c>
      <c r="AD375" s="29" t="str">
        <f ca="1"/>
        <v>Bare Metal</v>
      </c>
      <c r="AE375" s="30" t="str">
        <f ca="1"/>
        <v>Bare Metal</v>
      </c>
      <c r="AF375" s="30" t="str">
        <f ca="1"/>
        <v>Live</v>
      </c>
      <c r="AG375" s="30">
        <f ca="1"/>
        <v>6</v>
      </c>
      <c r="AH375" s="31" t="str">
        <f ca="1"/>
        <v>Unknown</v>
      </c>
      <c r="AI375" s="49">
        <f t="shared" ca="1" si="11"/>
        <v>0</v>
      </c>
      <c r="AJ375" s="71">
        <f ca="1"/>
        <v>1.976</v>
      </c>
    </row>
    <row r="376" spans="2:36" x14ac:dyDescent="0.25">
      <c r="B376" s="29" t="str">
        <f ca="1"/>
        <v>dal10.sr01.rk365</v>
      </c>
      <c r="C376" s="10" t="s">
        <v>2070</v>
      </c>
      <c r="D376" s="2" t="b" cm="1">
        <f t="array" ref="D376:O376">_xlfn._xlws.FILTER(IF(ancillary!$E$4:$P$8="",FALSE,ancillary!$E$4:$P$8),ancillary!$B$4:$B$8=$C376)</f>
        <v>1</v>
      </c>
      <c r="E376" s="2" t="b">
        <v>1</v>
      </c>
      <c r="F376" s="2" t="b">
        <v>1</v>
      </c>
      <c r="G376" s="2" t="b">
        <v>1</v>
      </c>
      <c r="H376" s="2" t="b">
        <v>1</v>
      </c>
      <c r="I376" s="2" t="b">
        <v>1</v>
      </c>
      <c r="J376" s="2" t="b">
        <v>0</v>
      </c>
      <c r="K376" s="2" t="b">
        <v>0</v>
      </c>
      <c r="L376" s="2" t="b">
        <v>0</v>
      </c>
      <c r="M376" s="2" t="b">
        <v>0</v>
      </c>
      <c r="N376" s="2" t="b">
        <v>0</v>
      </c>
      <c r="O376" s="2" t="b">
        <v>0</v>
      </c>
      <c r="P376" s="68"/>
      <c r="R376" s="69"/>
      <c r="S376" s="68"/>
      <c r="U376" s="69"/>
      <c r="V376" s="68"/>
      <c r="X376" s="69"/>
      <c r="Y376" s="68"/>
      <c r="AA376" s="69"/>
      <c r="AB376" s="33">
        <f t="shared" si="10"/>
        <v>0</v>
      </c>
      <c r="AC376" s="45">
        <f>_xlfn.LET(_xlpm.ps_1,P376:R376, _xlpm.ps_2,S376:U376, _xlpm.ps_3,V376:X376, _xlpm.ps_4,Y376:AA376,
_xlpm.phase, MID(C376,SEARCH("-",C376)+1,256),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(_xlfn.XLOOKUP($C$7,site_assumptions[Details],site_assumptions[Volts])*SUMIFS(P376:AA376,_xlfn.ANCHORARRAY(D376),TRUE)/10*0.95)/1000,
IFERROR(IF(_xlpm.phase="3Phase", _xlpm.p3_calc, _xlpm.sp_calc),0))</f>
        <v>0</v>
      </c>
      <c r="AD376" s="29" t="str">
        <f ca="1"/>
        <v>Bare Metal</v>
      </c>
      <c r="AE376" s="30" t="str">
        <f ca="1"/>
        <v>Bare Metal</v>
      </c>
      <c r="AF376" s="30" t="str">
        <f ca="1"/>
        <v>Live</v>
      </c>
      <c r="AG376" s="30">
        <f ca="1"/>
        <v>6</v>
      </c>
      <c r="AH376" s="31" t="str">
        <f ca="1"/>
        <v>Unknown</v>
      </c>
      <c r="AI376" s="49">
        <f t="shared" ca="1" si="11"/>
        <v>0</v>
      </c>
      <c r="AJ376" s="71">
        <f ca="1"/>
        <v>1.962</v>
      </c>
    </row>
    <row r="377" spans="2:36" x14ac:dyDescent="0.25">
      <c r="B377" s="29" t="str">
        <f ca="1"/>
        <v>dal10.sr01.rk366</v>
      </c>
      <c r="C377" s="10" t="s">
        <v>2070</v>
      </c>
      <c r="D377" s="2" t="b" cm="1">
        <f t="array" ref="D377:O377">_xlfn._xlws.FILTER(IF(ancillary!$E$4:$P$8="",FALSE,ancillary!$E$4:$P$8),ancillary!$B$4:$B$8=$C377)</f>
        <v>1</v>
      </c>
      <c r="E377" s="2" t="b">
        <v>1</v>
      </c>
      <c r="F377" s="2" t="b">
        <v>1</v>
      </c>
      <c r="G377" s="2" t="b">
        <v>1</v>
      </c>
      <c r="H377" s="2" t="b">
        <v>1</v>
      </c>
      <c r="I377" s="2" t="b">
        <v>1</v>
      </c>
      <c r="J377" s="2" t="b">
        <v>0</v>
      </c>
      <c r="K377" s="2" t="b">
        <v>0</v>
      </c>
      <c r="L377" s="2" t="b">
        <v>0</v>
      </c>
      <c r="M377" s="2" t="b">
        <v>0</v>
      </c>
      <c r="N377" s="2" t="b">
        <v>0</v>
      </c>
      <c r="O377" s="2" t="b">
        <v>0</v>
      </c>
      <c r="P377" s="68"/>
      <c r="R377" s="69"/>
      <c r="S377" s="68"/>
      <c r="U377" s="69"/>
      <c r="V377" s="68"/>
      <c r="X377" s="69"/>
      <c r="Y377" s="68"/>
      <c r="AA377" s="69"/>
      <c r="AB377" s="33">
        <f t="shared" si="10"/>
        <v>0</v>
      </c>
      <c r="AC377" s="45">
        <f>_xlfn.LET(_xlpm.ps_1,P377:R377, _xlpm.ps_2,S377:U377, _xlpm.ps_3,V377:X377, _xlpm.ps_4,Y377:AA377,
_xlpm.phase, MID(C377,SEARCH("-",C377)+1,256),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(_xlfn.XLOOKUP($C$7,site_assumptions[Details],site_assumptions[Volts])*SUMIFS(P377:AA377,_xlfn.ANCHORARRAY(D377),TRUE)/10*0.95)/1000,
IFERROR(IF(_xlpm.phase="3Phase", _xlpm.p3_calc, _xlpm.sp_calc),0))</f>
        <v>0</v>
      </c>
      <c r="AD377" s="29" t="str">
        <f ca="1"/>
        <v>Bare Metal</v>
      </c>
      <c r="AE377" s="30" t="str">
        <f ca="1"/>
        <v>Bare Metal</v>
      </c>
      <c r="AF377" s="30" t="str">
        <f ca="1"/>
        <v>Live</v>
      </c>
      <c r="AG377" s="30">
        <f ca="1"/>
        <v>6</v>
      </c>
      <c r="AH377" s="31" t="str">
        <f ca="1"/>
        <v>Unknown</v>
      </c>
      <c r="AI377" s="49">
        <f t="shared" ca="1" si="11"/>
        <v>0</v>
      </c>
      <c r="AJ377" s="71">
        <f ca="1"/>
        <v>2.6419999999999999</v>
      </c>
    </row>
    <row r="378" spans="2:36" x14ac:dyDescent="0.25">
      <c r="B378" s="29" t="str">
        <f ca="1"/>
        <v>dal10.sr01.rk367</v>
      </c>
      <c r="C378" s="10" t="s">
        <v>2070</v>
      </c>
      <c r="D378" s="2" t="b" cm="1">
        <f t="array" ref="D378:O378">_xlfn._xlws.FILTER(IF(ancillary!$E$4:$P$8="",FALSE,ancillary!$E$4:$P$8),ancillary!$B$4:$B$8=$C378)</f>
        <v>1</v>
      </c>
      <c r="E378" s="2" t="b">
        <v>1</v>
      </c>
      <c r="F378" s="2" t="b">
        <v>1</v>
      </c>
      <c r="G378" s="2" t="b">
        <v>1</v>
      </c>
      <c r="H378" s="2" t="b">
        <v>1</v>
      </c>
      <c r="I378" s="2" t="b">
        <v>1</v>
      </c>
      <c r="J378" s="2" t="b">
        <v>0</v>
      </c>
      <c r="K378" s="2" t="b">
        <v>0</v>
      </c>
      <c r="L378" s="2" t="b">
        <v>0</v>
      </c>
      <c r="M378" s="2" t="b">
        <v>0</v>
      </c>
      <c r="N378" s="2" t="b">
        <v>0</v>
      </c>
      <c r="O378" s="2" t="b">
        <v>0</v>
      </c>
      <c r="P378" s="68"/>
      <c r="R378" s="69"/>
      <c r="S378" s="68"/>
      <c r="U378" s="69"/>
      <c r="V378" s="68"/>
      <c r="X378" s="69"/>
      <c r="Y378" s="68"/>
      <c r="AA378" s="69"/>
      <c r="AB378" s="33">
        <f t="shared" si="10"/>
        <v>0</v>
      </c>
      <c r="AC378" s="45">
        <f>_xlfn.LET(_xlpm.ps_1,P378:R378, _xlpm.ps_2,S378:U378, _xlpm.ps_3,V378:X378, _xlpm.ps_4,Y378:AA378,
_xlpm.phase, MID(C378,SEARCH("-",C378)+1,256),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(_xlfn.XLOOKUP($C$7,site_assumptions[Details],site_assumptions[Volts])*SUMIFS(P378:AA378,_xlfn.ANCHORARRAY(D378),TRUE)/10*0.95)/1000,
IFERROR(IF(_xlpm.phase="3Phase", _xlpm.p3_calc, _xlpm.sp_calc),0))</f>
        <v>0</v>
      </c>
      <c r="AD378" s="29" t="str">
        <f ca="1"/>
        <v>Bare Metal</v>
      </c>
      <c r="AE378" s="30" t="str">
        <f ca="1"/>
        <v>Bare Metal</v>
      </c>
      <c r="AF378" s="30" t="str">
        <f ca="1"/>
        <v>Live</v>
      </c>
      <c r="AG378" s="30">
        <f ca="1"/>
        <v>6</v>
      </c>
      <c r="AH378" s="31" t="str">
        <f ca="1"/>
        <v>Unknown</v>
      </c>
      <c r="AI378" s="49">
        <f t="shared" ca="1" si="11"/>
        <v>0</v>
      </c>
      <c r="AJ378" s="71">
        <f ca="1"/>
        <v>2.5259999999999998</v>
      </c>
    </row>
    <row r="379" spans="2:36" x14ac:dyDescent="0.25">
      <c r="B379" s="29" t="str">
        <f ca="1"/>
        <v>dal10.sr01.rk368</v>
      </c>
      <c r="C379" s="10" t="s">
        <v>2070</v>
      </c>
      <c r="D379" s="2" t="b" cm="1">
        <f t="array" ref="D379:O379">_xlfn._xlws.FILTER(IF(ancillary!$E$4:$P$8="",FALSE,ancillary!$E$4:$P$8),ancillary!$B$4:$B$8=$C379)</f>
        <v>1</v>
      </c>
      <c r="E379" s="2" t="b">
        <v>1</v>
      </c>
      <c r="F379" s="2" t="b">
        <v>1</v>
      </c>
      <c r="G379" s="2" t="b">
        <v>1</v>
      </c>
      <c r="H379" s="2" t="b">
        <v>1</v>
      </c>
      <c r="I379" s="2" t="b">
        <v>1</v>
      </c>
      <c r="J379" s="2" t="b">
        <v>0</v>
      </c>
      <c r="K379" s="2" t="b">
        <v>0</v>
      </c>
      <c r="L379" s="2" t="b">
        <v>0</v>
      </c>
      <c r="M379" s="2" t="b">
        <v>0</v>
      </c>
      <c r="N379" s="2" t="b">
        <v>0</v>
      </c>
      <c r="O379" s="2" t="b">
        <v>0</v>
      </c>
      <c r="P379" s="68"/>
      <c r="R379" s="69"/>
      <c r="S379" s="68"/>
      <c r="U379" s="69"/>
      <c r="V379" s="68"/>
      <c r="X379" s="69"/>
      <c r="Y379" s="68"/>
      <c r="AA379" s="69"/>
      <c r="AB379" s="33">
        <f t="shared" si="10"/>
        <v>0</v>
      </c>
      <c r="AC379" s="45">
        <f>_xlfn.LET(_xlpm.ps_1,P379:R379, _xlpm.ps_2,S379:U379, _xlpm.ps_3,V379:X379, _xlpm.ps_4,Y379:AA379,
_xlpm.phase, MID(C379,SEARCH("-",C379)+1,256),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(_xlfn.XLOOKUP($C$7,site_assumptions[Details],site_assumptions[Volts])*SUMIFS(P379:AA379,_xlfn.ANCHORARRAY(D379),TRUE)/10*0.95)/1000,
IFERROR(IF(_xlpm.phase="3Phase", _xlpm.p3_calc, _xlpm.sp_calc),0))</f>
        <v>0</v>
      </c>
      <c r="AD379" s="29" t="str">
        <f ca="1"/>
        <v>Bare Metal</v>
      </c>
      <c r="AE379" s="30" t="str">
        <f ca="1"/>
        <v>Bare Metal</v>
      </c>
      <c r="AF379" s="30" t="str">
        <f ca="1"/>
        <v>Live</v>
      </c>
      <c r="AG379" s="30">
        <f ca="1"/>
        <v>6</v>
      </c>
      <c r="AH379" s="31" t="str">
        <f ca="1"/>
        <v>Unknown</v>
      </c>
      <c r="AI379" s="49">
        <f t="shared" ca="1" si="11"/>
        <v>0</v>
      </c>
      <c r="AJ379" s="71">
        <f ca="1"/>
        <v>2.0579999999999998</v>
      </c>
    </row>
    <row r="380" spans="2:36" x14ac:dyDescent="0.25">
      <c r="B380" s="29" t="str">
        <f ca="1"/>
        <v>dal10.sr01.rk369</v>
      </c>
      <c r="C380" s="10" t="s">
        <v>2070</v>
      </c>
      <c r="D380" s="2" t="b" cm="1">
        <f t="array" ref="D380:O380">_xlfn._xlws.FILTER(IF(ancillary!$E$4:$P$8="",FALSE,ancillary!$E$4:$P$8),ancillary!$B$4:$B$8=$C380)</f>
        <v>1</v>
      </c>
      <c r="E380" s="2" t="b">
        <v>1</v>
      </c>
      <c r="F380" s="2" t="b">
        <v>1</v>
      </c>
      <c r="G380" s="2" t="b">
        <v>1</v>
      </c>
      <c r="H380" s="2" t="b">
        <v>1</v>
      </c>
      <c r="I380" s="2" t="b">
        <v>1</v>
      </c>
      <c r="J380" s="2" t="b">
        <v>0</v>
      </c>
      <c r="K380" s="2" t="b">
        <v>0</v>
      </c>
      <c r="L380" s="2" t="b">
        <v>0</v>
      </c>
      <c r="M380" s="2" t="b">
        <v>0</v>
      </c>
      <c r="N380" s="2" t="b">
        <v>0</v>
      </c>
      <c r="O380" s="2" t="b">
        <v>0</v>
      </c>
      <c r="P380" s="68"/>
      <c r="R380" s="69"/>
      <c r="S380" s="68"/>
      <c r="U380" s="69"/>
      <c r="V380" s="68"/>
      <c r="X380" s="69"/>
      <c r="Y380" s="68"/>
      <c r="AA380" s="69"/>
      <c r="AB380" s="33">
        <f t="shared" si="10"/>
        <v>0</v>
      </c>
      <c r="AC380" s="45">
        <f>_xlfn.LET(_xlpm.ps_1,P380:R380, _xlpm.ps_2,S380:U380, _xlpm.ps_3,V380:X380, _xlpm.ps_4,Y380:AA380,
_xlpm.phase, MID(C380,SEARCH("-",C380)+1,256),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(_xlfn.XLOOKUP($C$7,site_assumptions[Details],site_assumptions[Volts])*SUMIFS(P380:AA380,_xlfn.ANCHORARRAY(D380),TRUE)/10*0.95)/1000,
IFERROR(IF(_xlpm.phase="3Phase", _xlpm.p3_calc, _xlpm.sp_calc),0))</f>
        <v>0</v>
      </c>
      <c r="AD380" s="29" t="str">
        <f ca="1"/>
        <v>Network</v>
      </c>
      <c r="AE380" s="30" t="str">
        <f ca="1"/>
        <v>Aggregate</v>
      </c>
      <c r="AF380" s="30" t="str">
        <f ca="1"/>
        <v>Live</v>
      </c>
      <c r="AG380" s="30">
        <f ca="1"/>
        <v>5</v>
      </c>
      <c r="AH380" s="31" t="str">
        <f ca="1"/>
        <v>Unknown</v>
      </c>
      <c r="AI380" s="49">
        <f t="shared" ca="1" si="11"/>
        <v>0</v>
      </c>
      <c r="AJ380" s="71">
        <f ca="1"/>
        <v>0</v>
      </c>
    </row>
    <row r="381" spans="2:36" x14ac:dyDescent="0.25">
      <c r="B381" s="29" t="str">
        <f ca="1"/>
        <v>dal10.sr01.rk370</v>
      </c>
      <c r="C381" s="10" t="s">
        <v>2070</v>
      </c>
      <c r="D381" s="2" t="b" cm="1">
        <f t="array" ref="D381:O381">_xlfn._xlws.FILTER(IF(ancillary!$E$4:$P$8="",FALSE,ancillary!$E$4:$P$8),ancillary!$B$4:$B$8=$C381)</f>
        <v>1</v>
      </c>
      <c r="E381" s="2" t="b">
        <v>1</v>
      </c>
      <c r="F381" s="2" t="b">
        <v>1</v>
      </c>
      <c r="G381" s="2" t="b">
        <v>1</v>
      </c>
      <c r="H381" s="2" t="b">
        <v>1</v>
      </c>
      <c r="I381" s="2" t="b">
        <v>1</v>
      </c>
      <c r="J381" s="2" t="b">
        <v>0</v>
      </c>
      <c r="K381" s="2" t="b">
        <v>0</v>
      </c>
      <c r="L381" s="2" t="b">
        <v>0</v>
      </c>
      <c r="M381" s="2" t="b">
        <v>0</v>
      </c>
      <c r="N381" s="2" t="b">
        <v>0</v>
      </c>
      <c r="O381" s="2" t="b">
        <v>0</v>
      </c>
      <c r="P381" s="68"/>
      <c r="R381" s="69"/>
      <c r="S381" s="68"/>
      <c r="U381" s="69"/>
      <c r="V381" s="68"/>
      <c r="X381" s="69"/>
      <c r="Y381" s="68"/>
      <c r="AA381" s="69"/>
      <c r="AB381" s="33">
        <f t="shared" si="10"/>
        <v>0</v>
      </c>
      <c r="AC381" s="45">
        <f>_xlfn.LET(_xlpm.ps_1,P381:R381, _xlpm.ps_2,S381:U381, _xlpm.ps_3,V381:X381, _xlpm.ps_4,Y381:AA381,
_xlpm.phase, MID(C381,SEARCH("-",C381)+1,256),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(_xlfn.XLOOKUP($C$7,site_assumptions[Details],site_assumptions[Volts])*SUMIFS(P381:AA381,_xlfn.ANCHORARRAY(D381),TRUE)/10*0.95)/1000,
IFERROR(IF(_xlpm.phase="3Phase", _xlpm.p3_calc, _xlpm.sp_calc),0))</f>
        <v>0</v>
      </c>
      <c r="AD381" s="29" t="str">
        <f ca="1"/>
        <v>Bare Metal</v>
      </c>
      <c r="AE381" s="30" t="str">
        <f ca="1"/>
        <v>Bare Metal</v>
      </c>
      <c r="AF381" s="30" t="str">
        <f ca="1"/>
        <v>Live</v>
      </c>
      <c r="AG381" s="30">
        <f ca="1"/>
        <v>6</v>
      </c>
      <c r="AH381" s="31" t="str">
        <f ca="1"/>
        <v>Unknown</v>
      </c>
      <c r="AI381" s="49">
        <f t="shared" ca="1" si="11"/>
        <v>0</v>
      </c>
      <c r="AJ381" s="71">
        <f ca="1"/>
        <v>3.5630000000000002</v>
      </c>
    </row>
    <row r="382" spans="2:36" x14ac:dyDescent="0.25">
      <c r="B382" s="29" t="str">
        <f ca="1"/>
        <v>dal10.sr01.rk371</v>
      </c>
      <c r="C382" s="10" t="s">
        <v>2070</v>
      </c>
      <c r="D382" s="2" t="b" cm="1">
        <f t="array" ref="D382:O382">_xlfn._xlws.FILTER(IF(ancillary!$E$4:$P$8="",FALSE,ancillary!$E$4:$P$8),ancillary!$B$4:$B$8=$C382)</f>
        <v>1</v>
      </c>
      <c r="E382" s="2" t="b">
        <v>1</v>
      </c>
      <c r="F382" s="2" t="b">
        <v>1</v>
      </c>
      <c r="G382" s="2" t="b">
        <v>1</v>
      </c>
      <c r="H382" s="2" t="b">
        <v>1</v>
      </c>
      <c r="I382" s="2" t="b">
        <v>1</v>
      </c>
      <c r="J382" s="2" t="b">
        <v>0</v>
      </c>
      <c r="K382" s="2" t="b">
        <v>0</v>
      </c>
      <c r="L382" s="2" t="b">
        <v>0</v>
      </c>
      <c r="M382" s="2" t="b">
        <v>0</v>
      </c>
      <c r="N382" s="2" t="b">
        <v>0</v>
      </c>
      <c r="O382" s="2" t="b">
        <v>0</v>
      </c>
      <c r="P382" s="68"/>
      <c r="R382" s="69"/>
      <c r="S382" s="68"/>
      <c r="U382" s="69"/>
      <c r="V382" s="68"/>
      <c r="X382" s="69"/>
      <c r="Y382" s="68"/>
      <c r="AA382" s="69"/>
      <c r="AB382" s="33">
        <f t="shared" si="10"/>
        <v>0</v>
      </c>
      <c r="AC382" s="45">
        <f>_xlfn.LET(_xlpm.ps_1,P382:R382, _xlpm.ps_2,S382:U382, _xlpm.ps_3,V382:X382, _xlpm.ps_4,Y382:AA382,
_xlpm.phase, MID(C382,SEARCH("-",C382)+1,256),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(_xlfn.XLOOKUP($C$7,site_assumptions[Details],site_assumptions[Volts])*SUMIFS(P382:AA382,_xlfn.ANCHORARRAY(D382),TRUE)/10*0.95)/1000,
IFERROR(IF(_xlpm.phase="3Phase", _xlpm.p3_calc, _xlpm.sp_calc),0))</f>
        <v>0</v>
      </c>
      <c r="AD382" s="29" t="str">
        <f ca="1"/>
        <v>Bare Metal</v>
      </c>
      <c r="AE382" s="30" t="str">
        <f ca="1"/>
        <v>Bare Metal</v>
      </c>
      <c r="AF382" s="30" t="str">
        <f ca="1"/>
        <v>Live</v>
      </c>
      <c r="AG382" s="30">
        <f ca="1"/>
        <v>6</v>
      </c>
      <c r="AH382" s="31" t="str">
        <f ca="1"/>
        <v>Unknown</v>
      </c>
      <c r="AI382" s="49">
        <f t="shared" ca="1" si="11"/>
        <v>0</v>
      </c>
      <c r="AJ382" s="71">
        <f ca="1"/>
        <v>2.2930000000000001</v>
      </c>
    </row>
    <row r="383" spans="2:36" x14ac:dyDescent="0.25">
      <c r="B383" s="29" t="str">
        <f ca="1"/>
        <v>dal10.sr01.rk372</v>
      </c>
      <c r="C383" s="10" t="s">
        <v>2070</v>
      </c>
      <c r="D383" s="2" t="b" cm="1">
        <f t="array" ref="D383:O383">_xlfn._xlws.FILTER(IF(ancillary!$E$4:$P$8="",FALSE,ancillary!$E$4:$P$8),ancillary!$B$4:$B$8=$C383)</f>
        <v>1</v>
      </c>
      <c r="E383" s="2" t="b">
        <v>1</v>
      </c>
      <c r="F383" s="2" t="b">
        <v>1</v>
      </c>
      <c r="G383" s="2" t="b">
        <v>1</v>
      </c>
      <c r="H383" s="2" t="b">
        <v>1</v>
      </c>
      <c r="I383" s="2" t="b">
        <v>1</v>
      </c>
      <c r="J383" s="2" t="b">
        <v>0</v>
      </c>
      <c r="K383" s="2" t="b">
        <v>0</v>
      </c>
      <c r="L383" s="2" t="b">
        <v>0</v>
      </c>
      <c r="M383" s="2" t="b">
        <v>0</v>
      </c>
      <c r="N383" s="2" t="b">
        <v>0</v>
      </c>
      <c r="O383" s="2" t="b">
        <v>0</v>
      </c>
      <c r="P383" s="68"/>
      <c r="R383" s="69"/>
      <c r="S383" s="68"/>
      <c r="U383" s="69"/>
      <c r="V383" s="68"/>
      <c r="X383" s="69"/>
      <c r="Y383" s="68"/>
      <c r="AA383" s="69"/>
      <c r="AB383" s="33">
        <f t="shared" si="10"/>
        <v>0</v>
      </c>
      <c r="AC383" s="45">
        <f>_xlfn.LET(_xlpm.ps_1,P383:R383, _xlpm.ps_2,S383:U383, _xlpm.ps_3,V383:X383, _xlpm.ps_4,Y383:AA383,
_xlpm.phase, MID(C383,SEARCH("-",C383)+1,256),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(_xlfn.XLOOKUP($C$7,site_assumptions[Details],site_assumptions[Volts])*SUMIFS(P383:AA383,_xlfn.ANCHORARRAY(D383),TRUE)/10*0.95)/1000,
IFERROR(IF(_xlpm.phase="3Phase", _xlpm.p3_calc, _xlpm.sp_calc),0))</f>
        <v>0</v>
      </c>
      <c r="AD383" s="29" t="str">
        <f ca="1"/>
        <v>Bare Metal</v>
      </c>
      <c r="AE383" s="30" t="str">
        <f ca="1"/>
        <v>Bare Metal</v>
      </c>
      <c r="AF383" s="30" t="str">
        <f ca="1"/>
        <v>Live</v>
      </c>
      <c r="AG383" s="30">
        <f ca="1"/>
        <v>6</v>
      </c>
      <c r="AH383" s="31" t="str">
        <f ca="1"/>
        <v>Unknown</v>
      </c>
      <c r="AI383" s="49">
        <f t="shared" ca="1" si="11"/>
        <v>0</v>
      </c>
      <c r="AJ383" s="71">
        <f ca="1"/>
        <v>2.847</v>
      </c>
    </row>
    <row r="384" spans="2:36" x14ac:dyDescent="0.25">
      <c r="B384" s="29" t="str">
        <f ca="1"/>
        <v>dal10.sr01.rk373</v>
      </c>
      <c r="C384" s="10" t="s">
        <v>2070</v>
      </c>
      <c r="D384" s="2" t="b" cm="1">
        <f t="array" ref="D384:O384">_xlfn._xlws.FILTER(IF(ancillary!$E$4:$P$8="",FALSE,ancillary!$E$4:$P$8),ancillary!$B$4:$B$8=$C384)</f>
        <v>1</v>
      </c>
      <c r="E384" s="2" t="b">
        <v>1</v>
      </c>
      <c r="F384" s="2" t="b">
        <v>1</v>
      </c>
      <c r="G384" s="2" t="b">
        <v>1</v>
      </c>
      <c r="H384" s="2" t="b">
        <v>1</v>
      </c>
      <c r="I384" s="2" t="b">
        <v>1</v>
      </c>
      <c r="J384" s="2" t="b">
        <v>0</v>
      </c>
      <c r="K384" s="2" t="b">
        <v>0</v>
      </c>
      <c r="L384" s="2" t="b">
        <v>0</v>
      </c>
      <c r="M384" s="2" t="b">
        <v>0</v>
      </c>
      <c r="N384" s="2" t="b">
        <v>0</v>
      </c>
      <c r="O384" s="2" t="b">
        <v>0</v>
      </c>
      <c r="P384" s="68"/>
      <c r="R384" s="69"/>
      <c r="S384" s="68"/>
      <c r="U384" s="69"/>
      <c r="V384" s="68"/>
      <c r="X384" s="69"/>
      <c r="Y384" s="68"/>
      <c r="AA384" s="69"/>
      <c r="AB384" s="33">
        <f t="shared" si="10"/>
        <v>0</v>
      </c>
      <c r="AC384" s="45">
        <f>_xlfn.LET(_xlpm.ps_1,P384:R384, _xlpm.ps_2,S384:U384, _xlpm.ps_3,V384:X384, _xlpm.ps_4,Y384:AA384,
_xlpm.phase, MID(C384,SEARCH("-",C384)+1,256),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(_xlfn.XLOOKUP($C$7,site_assumptions[Details],site_assumptions[Volts])*SUMIFS(P384:AA384,_xlfn.ANCHORARRAY(D384),TRUE)/10*0.95)/1000,
IFERROR(IF(_xlpm.phase="3Phase", _xlpm.p3_calc, _xlpm.sp_calc),0))</f>
        <v>0</v>
      </c>
      <c r="AD384" s="29" t="str">
        <f ca="1"/>
        <v>Bare Metal</v>
      </c>
      <c r="AE384" s="30" t="str">
        <f ca="1"/>
        <v>Bare Metal</v>
      </c>
      <c r="AF384" s="30" t="str">
        <f ca="1"/>
        <v>Live</v>
      </c>
      <c r="AG384" s="30">
        <f ca="1"/>
        <v>6</v>
      </c>
      <c r="AH384" s="31" t="str">
        <f ca="1"/>
        <v>Unknown</v>
      </c>
      <c r="AI384" s="49">
        <f t="shared" ca="1" si="11"/>
        <v>0</v>
      </c>
      <c r="AJ384" s="71">
        <f ca="1"/>
        <v>1.4319999999999999</v>
      </c>
    </row>
    <row r="385" spans="2:36" x14ac:dyDescent="0.25">
      <c r="B385" s="29" t="str">
        <f ca="1"/>
        <v>dal10.sr01.rk374</v>
      </c>
      <c r="C385" s="10" t="s">
        <v>2070</v>
      </c>
      <c r="D385" s="2" t="b" cm="1">
        <f t="array" ref="D385:O385">_xlfn._xlws.FILTER(IF(ancillary!$E$4:$P$8="",FALSE,ancillary!$E$4:$P$8),ancillary!$B$4:$B$8=$C385)</f>
        <v>1</v>
      </c>
      <c r="E385" s="2" t="b">
        <v>1</v>
      </c>
      <c r="F385" s="2" t="b">
        <v>1</v>
      </c>
      <c r="G385" s="2" t="b">
        <v>1</v>
      </c>
      <c r="H385" s="2" t="b">
        <v>1</v>
      </c>
      <c r="I385" s="2" t="b">
        <v>1</v>
      </c>
      <c r="J385" s="2" t="b">
        <v>0</v>
      </c>
      <c r="K385" s="2" t="b">
        <v>0</v>
      </c>
      <c r="L385" s="2" t="b">
        <v>0</v>
      </c>
      <c r="M385" s="2" t="b">
        <v>0</v>
      </c>
      <c r="N385" s="2" t="b">
        <v>0</v>
      </c>
      <c r="O385" s="2" t="b">
        <v>0</v>
      </c>
      <c r="P385" s="68"/>
      <c r="R385" s="69"/>
      <c r="S385" s="68"/>
      <c r="U385" s="69"/>
      <c r="V385" s="68"/>
      <c r="X385" s="69"/>
      <c r="Y385" s="68"/>
      <c r="AA385" s="69"/>
      <c r="AB385" s="33">
        <f t="shared" si="10"/>
        <v>0</v>
      </c>
      <c r="AC385" s="45">
        <f>_xlfn.LET(_xlpm.ps_1,P385:R385, _xlpm.ps_2,S385:U385, _xlpm.ps_3,V385:X385, _xlpm.ps_4,Y385:AA385,
_xlpm.phase, MID(C385,SEARCH("-",C385)+1,256),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(_xlfn.XLOOKUP($C$7,site_assumptions[Details],site_assumptions[Volts])*SUMIFS(P385:AA385,_xlfn.ANCHORARRAY(D385),TRUE)/10*0.95)/1000,
IFERROR(IF(_xlpm.phase="3Phase", _xlpm.p3_calc, _xlpm.sp_calc),0))</f>
        <v>0</v>
      </c>
      <c r="AD385" s="29" t="str">
        <f ca="1"/>
        <v>Bare Metal</v>
      </c>
      <c r="AE385" s="30" t="str">
        <f ca="1"/>
        <v>Bare Metal</v>
      </c>
      <c r="AF385" s="30" t="str">
        <f ca="1"/>
        <v>Live</v>
      </c>
      <c r="AG385" s="30">
        <f ca="1"/>
        <v>6</v>
      </c>
      <c r="AH385" s="31" t="str">
        <f ca="1"/>
        <v>Unknown</v>
      </c>
      <c r="AI385" s="49">
        <f t="shared" ca="1" si="11"/>
        <v>0</v>
      </c>
      <c r="AJ385" s="71">
        <f ca="1"/>
        <v>2.9510000000000001</v>
      </c>
    </row>
    <row r="386" spans="2:36" x14ac:dyDescent="0.25">
      <c r="B386" s="29" t="str">
        <f ca="1"/>
        <v>dal10.sr01.rk375</v>
      </c>
      <c r="C386" s="10" t="s">
        <v>2070</v>
      </c>
      <c r="D386" s="2" t="b" cm="1">
        <f t="array" ref="D386:O386">_xlfn._xlws.FILTER(IF(ancillary!$E$4:$P$8="",FALSE,ancillary!$E$4:$P$8),ancillary!$B$4:$B$8=$C386)</f>
        <v>1</v>
      </c>
      <c r="E386" s="2" t="b">
        <v>1</v>
      </c>
      <c r="F386" s="2" t="b">
        <v>1</v>
      </c>
      <c r="G386" s="2" t="b">
        <v>1</v>
      </c>
      <c r="H386" s="2" t="b">
        <v>1</v>
      </c>
      <c r="I386" s="2" t="b">
        <v>1</v>
      </c>
      <c r="J386" s="2" t="b">
        <v>0</v>
      </c>
      <c r="K386" s="2" t="b">
        <v>0</v>
      </c>
      <c r="L386" s="2" t="b">
        <v>0</v>
      </c>
      <c r="M386" s="2" t="b">
        <v>0</v>
      </c>
      <c r="N386" s="2" t="b">
        <v>0</v>
      </c>
      <c r="O386" s="2" t="b">
        <v>0</v>
      </c>
      <c r="P386" s="68"/>
      <c r="R386" s="69"/>
      <c r="S386" s="68"/>
      <c r="U386" s="69"/>
      <c r="V386" s="68"/>
      <c r="X386" s="69"/>
      <c r="Y386" s="68"/>
      <c r="AA386" s="69"/>
      <c r="AB386" s="33">
        <f t="shared" si="10"/>
        <v>0</v>
      </c>
      <c r="AC386" s="45">
        <f>_xlfn.LET(_xlpm.ps_1,P386:R386, _xlpm.ps_2,S386:U386, _xlpm.ps_3,V386:X386, _xlpm.ps_4,Y386:AA386,
_xlpm.phase, MID(C386,SEARCH("-",C386)+1,256),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(_xlfn.XLOOKUP($C$7,site_assumptions[Details],site_assumptions[Volts])*SUMIFS(P386:AA386,_xlfn.ANCHORARRAY(D386),TRUE)/10*0.95)/1000,
IFERROR(IF(_xlpm.phase="3Phase", _xlpm.p3_calc, _xlpm.sp_calc),0))</f>
        <v>0</v>
      </c>
      <c r="AD386" s="29" t="str">
        <f ca="1"/>
        <v>Bare Metal</v>
      </c>
      <c r="AE386" s="30" t="str">
        <f ca="1"/>
        <v>Bare Metal</v>
      </c>
      <c r="AF386" s="30" t="str">
        <f ca="1"/>
        <v>Live</v>
      </c>
      <c r="AG386" s="30">
        <f ca="1"/>
        <v>6</v>
      </c>
      <c r="AH386" s="31" t="str">
        <f ca="1"/>
        <v>Unknown</v>
      </c>
      <c r="AI386" s="49">
        <f t="shared" ca="1" si="11"/>
        <v>0</v>
      </c>
      <c r="AJ386" s="71">
        <f ca="1"/>
        <v>2.1720000000000002</v>
      </c>
    </row>
    <row r="387" spans="2:36" x14ac:dyDescent="0.25">
      <c r="B387" s="29" t="str">
        <f ca="1"/>
        <v>dal10.sr01.rk376</v>
      </c>
      <c r="C387" s="10" t="s">
        <v>2070</v>
      </c>
      <c r="D387" s="2" t="b" cm="1">
        <f t="array" ref="D387:O387">_xlfn._xlws.FILTER(IF(ancillary!$E$4:$P$8="",FALSE,ancillary!$E$4:$P$8),ancillary!$B$4:$B$8=$C387)</f>
        <v>1</v>
      </c>
      <c r="E387" s="2" t="b">
        <v>1</v>
      </c>
      <c r="F387" s="2" t="b">
        <v>1</v>
      </c>
      <c r="G387" s="2" t="b">
        <v>1</v>
      </c>
      <c r="H387" s="2" t="b">
        <v>1</v>
      </c>
      <c r="I387" s="2" t="b">
        <v>1</v>
      </c>
      <c r="J387" s="2" t="b">
        <v>0</v>
      </c>
      <c r="K387" s="2" t="b">
        <v>0</v>
      </c>
      <c r="L387" s="2" t="b">
        <v>0</v>
      </c>
      <c r="M387" s="2" t="b">
        <v>0</v>
      </c>
      <c r="N387" s="2" t="b">
        <v>0</v>
      </c>
      <c r="O387" s="2" t="b">
        <v>0</v>
      </c>
      <c r="P387" s="68"/>
      <c r="R387" s="69"/>
      <c r="S387" s="68"/>
      <c r="U387" s="69"/>
      <c r="V387" s="68"/>
      <c r="X387" s="69"/>
      <c r="Y387" s="68"/>
      <c r="AA387" s="69"/>
      <c r="AB387" s="33">
        <f t="shared" si="10"/>
        <v>0</v>
      </c>
      <c r="AC387" s="45">
        <f>_xlfn.LET(_xlpm.ps_1,P387:R387, _xlpm.ps_2,S387:U387, _xlpm.ps_3,V387:X387, _xlpm.ps_4,Y387:AA387,
_xlpm.phase, MID(C387,SEARCH("-",C387)+1,256),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(_xlfn.XLOOKUP($C$7,site_assumptions[Details],site_assumptions[Volts])*SUMIFS(P387:AA387,_xlfn.ANCHORARRAY(D387),TRUE)/10*0.95)/1000,
IFERROR(IF(_xlpm.phase="3Phase", _xlpm.p3_calc, _xlpm.sp_calc),0))</f>
        <v>0</v>
      </c>
      <c r="AD387" s="29" t="str">
        <f ca="1"/>
        <v>Bare Metal</v>
      </c>
      <c r="AE387" s="30" t="str">
        <f ca="1"/>
        <v>Bare Metal</v>
      </c>
      <c r="AF387" s="30" t="str">
        <f ca="1"/>
        <v>Live</v>
      </c>
      <c r="AG387" s="30">
        <f ca="1"/>
        <v>6</v>
      </c>
      <c r="AH387" s="31" t="str">
        <f ca="1"/>
        <v>Unknown</v>
      </c>
      <c r="AI387" s="49">
        <f t="shared" ca="1" si="11"/>
        <v>0</v>
      </c>
      <c r="AJ387" s="71">
        <f ca="1"/>
        <v>2.3479999999999999</v>
      </c>
    </row>
    <row r="388" spans="2:36" x14ac:dyDescent="0.25">
      <c r="B388" s="29" t="str">
        <f ca="1"/>
        <v>dal10.sr01.rk377</v>
      </c>
      <c r="C388" s="10" t="s">
        <v>2070</v>
      </c>
      <c r="D388" s="2" t="b" cm="1">
        <f t="array" ref="D388:O388">_xlfn._xlws.FILTER(IF(ancillary!$E$4:$P$8="",FALSE,ancillary!$E$4:$P$8),ancillary!$B$4:$B$8=$C388)</f>
        <v>1</v>
      </c>
      <c r="E388" s="2" t="b">
        <v>1</v>
      </c>
      <c r="F388" s="2" t="b">
        <v>1</v>
      </c>
      <c r="G388" s="2" t="b">
        <v>1</v>
      </c>
      <c r="H388" s="2" t="b">
        <v>1</v>
      </c>
      <c r="I388" s="2" t="b">
        <v>1</v>
      </c>
      <c r="J388" s="2" t="b">
        <v>0</v>
      </c>
      <c r="K388" s="2" t="b">
        <v>0</v>
      </c>
      <c r="L388" s="2" t="b">
        <v>0</v>
      </c>
      <c r="M388" s="2" t="b">
        <v>0</v>
      </c>
      <c r="N388" s="2" t="b">
        <v>0</v>
      </c>
      <c r="O388" s="2" t="b">
        <v>0</v>
      </c>
      <c r="P388" s="68"/>
      <c r="R388" s="69"/>
      <c r="S388" s="68"/>
      <c r="U388" s="69"/>
      <c r="V388" s="68"/>
      <c r="X388" s="69"/>
      <c r="Y388" s="68"/>
      <c r="AA388" s="69"/>
      <c r="AB388" s="33">
        <f t="shared" si="10"/>
        <v>0</v>
      </c>
      <c r="AC388" s="45">
        <f>_xlfn.LET(_xlpm.ps_1,P388:R388, _xlpm.ps_2,S388:U388, _xlpm.ps_3,V388:X388, _xlpm.ps_4,Y388:AA388,
_xlpm.phase, MID(C388,SEARCH("-",C388)+1,256),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(_xlfn.XLOOKUP($C$7,site_assumptions[Details],site_assumptions[Volts])*SUMIFS(P388:AA388,_xlfn.ANCHORARRAY(D388),TRUE)/10*0.95)/1000,
IFERROR(IF(_xlpm.phase="3Phase", _xlpm.p3_calc, _xlpm.sp_calc),0))</f>
        <v>0</v>
      </c>
      <c r="AD388" s="29" t="str">
        <f ca="1"/>
        <v>Bare Metal</v>
      </c>
      <c r="AE388" s="30" t="str">
        <f ca="1"/>
        <v>Bare Metal</v>
      </c>
      <c r="AF388" s="30" t="str">
        <f ca="1"/>
        <v>Live</v>
      </c>
      <c r="AG388" s="30">
        <f ca="1"/>
        <v>6</v>
      </c>
      <c r="AH388" s="31" t="str">
        <f ca="1"/>
        <v>Unknown</v>
      </c>
      <c r="AI388" s="49">
        <f t="shared" ca="1" si="11"/>
        <v>0</v>
      </c>
      <c r="AJ388" s="71">
        <f ca="1"/>
        <v>3.5139999999999998</v>
      </c>
    </row>
    <row r="389" spans="2:36" x14ac:dyDescent="0.25">
      <c r="B389" s="29" t="str">
        <f ca="1"/>
        <v>dal10.sr01.rk378</v>
      </c>
      <c r="C389" s="10" t="s">
        <v>2070</v>
      </c>
      <c r="D389" s="2" t="b" cm="1">
        <f t="array" ref="D389:O389">_xlfn._xlws.FILTER(IF(ancillary!$E$4:$P$8="",FALSE,ancillary!$E$4:$P$8),ancillary!$B$4:$B$8=$C389)</f>
        <v>1</v>
      </c>
      <c r="E389" s="2" t="b">
        <v>1</v>
      </c>
      <c r="F389" s="2" t="b">
        <v>1</v>
      </c>
      <c r="G389" s="2" t="b">
        <v>1</v>
      </c>
      <c r="H389" s="2" t="b">
        <v>1</v>
      </c>
      <c r="I389" s="2" t="b">
        <v>1</v>
      </c>
      <c r="J389" s="2" t="b">
        <v>0</v>
      </c>
      <c r="K389" s="2" t="b">
        <v>0</v>
      </c>
      <c r="L389" s="2" t="b">
        <v>0</v>
      </c>
      <c r="M389" s="2" t="b">
        <v>0</v>
      </c>
      <c r="N389" s="2" t="b">
        <v>0</v>
      </c>
      <c r="O389" s="2" t="b">
        <v>0</v>
      </c>
      <c r="P389" s="68"/>
      <c r="R389" s="69"/>
      <c r="S389" s="68"/>
      <c r="U389" s="69"/>
      <c r="V389" s="68"/>
      <c r="X389" s="69"/>
      <c r="Y389" s="68"/>
      <c r="AA389" s="69"/>
      <c r="AB389" s="33">
        <f t="shared" si="10"/>
        <v>0</v>
      </c>
      <c r="AC389" s="45">
        <f>_xlfn.LET(_xlpm.ps_1,P389:R389, _xlpm.ps_2,S389:U389, _xlpm.ps_3,V389:X389, _xlpm.ps_4,Y389:AA389,
_xlpm.phase, MID(C389,SEARCH("-",C389)+1,256),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(_xlfn.XLOOKUP($C$7,site_assumptions[Details],site_assumptions[Volts])*SUMIFS(P389:AA389,_xlfn.ANCHORARRAY(D389),TRUE)/10*0.95)/1000,
IFERROR(IF(_xlpm.phase="3Phase", _xlpm.p3_calc, _xlpm.sp_calc),0))</f>
        <v>0</v>
      </c>
      <c r="AD389" s="29" t="str">
        <f ca="1"/>
        <v>Bare Metal</v>
      </c>
      <c r="AE389" s="30" t="str">
        <f ca="1"/>
        <v>Bare Metal</v>
      </c>
      <c r="AF389" s="30" t="str">
        <f ca="1"/>
        <v>Live</v>
      </c>
      <c r="AG389" s="30">
        <f ca="1"/>
        <v>6</v>
      </c>
      <c r="AH389" s="31" t="str">
        <f ca="1"/>
        <v>Unknown</v>
      </c>
      <c r="AI389" s="49">
        <f t="shared" ca="1" si="11"/>
        <v>0</v>
      </c>
      <c r="AJ389" s="71">
        <f ca="1"/>
        <v>3.0790000000000002</v>
      </c>
    </row>
    <row r="390" spans="2:36" x14ac:dyDescent="0.25">
      <c r="B390" s="29" t="str">
        <f ca="1"/>
        <v>dal10.sr01.rk379</v>
      </c>
      <c r="C390" s="10" t="s">
        <v>2070</v>
      </c>
      <c r="D390" s="2" t="b" cm="1">
        <f t="array" ref="D390:O390">_xlfn._xlws.FILTER(IF(ancillary!$E$4:$P$8="",FALSE,ancillary!$E$4:$P$8),ancillary!$B$4:$B$8=$C390)</f>
        <v>1</v>
      </c>
      <c r="E390" s="2" t="b">
        <v>1</v>
      </c>
      <c r="F390" s="2" t="b">
        <v>1</v>
      </c>
      <c r="G390" s="2" t="b">
        <v>1</v>
      </c>
      <c r="H390" s="2" t="b">
        <v>1</v>
      </c>
      <c r="I390" s="2" t="b">
        <v>1</v>
      </c>
      <c r="J390" s="2" t="b">
        <v>0</v>
      </c>
      <c r="K390" s="2" t="b">
        <v>0</v>
      </c>
      <c r="L390" s="2" t="b">
        <v>0</v>
      </c>
      <c r="M390" s="2" t="b">
        <v>0</v>
      </c>
      <c r="N390" s="2" t="b">
        <v>0</v>
      </c>
      <c r="O390" s="2" t="b">
        <v>0</v>
      </c>
      <c r="P390" s="68"/>
      <c r="R390" s="69"/>
      <c r="S390" s="68"/>
      <c r="U390" s="69"/>
      <c r="V390" s="68"/>
      <c r="X390" s="69"/>
      <c r="Y390" s="68"/>
      <c r="AA390" s="69"/>
      <c r="AB390" s="33">
        <f t="shared" si="10"/>
        <v>0</v>
      </c>
      <c r="AC390" s="45">
        <f>_xlfn.LET(_xlpm.ps_1,P390:R390, _xlpm.ps_2,S390:U390, _xlpm.ps_3,V390:X390, _xlpm.ps_4,Y390:AA390,
_xlpm.phase, MID(C390,SEARCH("-",C390)+1,256),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(_xlfn.XLOOKUP($C$7,site_assumptions[Details],site_assumptions[Volts])*SUMIFS(P390:AA390,_xlfn.ANCHORARRAY(D390),TRUE)/10*0.95)/1000,
IFERROR(IF(_xlpm.phase="3Phase", _xlpm.p3_calc, _xlpm.sp_calc),0))</f>
        <v>0</v>
      </c>
      <c r="AD390" s="29" t="str">
        <f ca="1"/>
        <v>Bare Metal</v>
      </c>
      <c r="AE390" s="30" t="str">
        <f ca="1"/>
        <v>Bare Metal</v>
      </c>
      <c r="AF390" s="30" t="str">
        <f ca="1"/>
        <v>Live</v>
      </c>
      <c r="AG390" s="30">
        <f ca="1"/>
        <v>6</v>
      </c>
      <c r="AH390" s="31" t="str">
        <f ca="1"/>
        <v>Unknown</v>
      </c>
      <c r="AI390" s="49">
        <f t="shared" ca="1" si="11"/>
        <v>0</v>
      </c>
      <c r="AJ390" s="71">
        <f ca="1"/>
        <v>2.9049999999999998</v>
      </c>
    </row>
    <row r="391" spans="2:36" x14ac:dyDescent="0.25">
      <c r="B391" s="29" t="str">
        <f ca="1"/>
        <v>dal10.sr01.rk380</v>
      </c>
      <c r="C391" s="10" t="s">
        <v>2070</v>
      </c>
      <c r="D391" s="2" t="b" cm="1">
        <f t="array" ref="D391:O391">_xlfn._xlws.FILTER(IF(ancillary!$E$4:$P$8="",FALSE,ancillary!$E$4:$P$8),ancillary!$B$4:$B$8=$C391)</f>
        <v>1</v>
      </c>
      <c r="E391" s="2" t="b">
        <v>1</v>
      </c>
      <c r="F391" s="2" t="b">
        <v>1</v>
      </c>
      <c r="G391" s="2" t="b">
        <v>1</v>
      </c>
      <c r="H391" s="2" t="b">
        <v>1</v>
      </c>
      <c r="I391" s="2" t="b">
        <v>1</v>
      </c>
      <c r="J391" s="2" t="b">
        <v>0</v>
      </c>
      <c r="K391" s="2" t="b">
        <v>0</v>
      </c>
      <c r="L391" s="2" t="b">
        <v>0</v>
      </c>
      <c r="M391" s="2" t="b">
        <v>0</v>
      </c>
      <c r="N391" s="2" t="b">
        <v>0</v>
      </c>
      <c r="O391" s="2" t="b">
        <v>0</v>
      </c>
      <c r="P391" s="68"/>
      <c r="R391" s="69"/>
      <c r="S391" s="68"/>
      <c r="U391" s="69"/>
      <c r="V391" s="68"/>
      <c r="X391" s="69"/>
      <c r="Y391" s="68"/>
      <c r="AA391" s="69"/>
      <c r="AB391" s="33">
        <f t="shared" si="10"/>
        <v>0</v>
      </c>
      <c r="AC391" s="45">
        <f>_xlfn.LET(_xlpm.ps_1,P391:R391, _xlpm.ps_2,S391:U391, _xlpm.ps_3,V391:X391, _xlpm.ps_4,Y391:AA391,
_xlpm.phase, MID(C391,SEARCH("-",C391)+1,256),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(_xlfn.XLOOKUP($C$7,site_assumptions[Details],site_assumptions[Volts])*SUMIFS(P391:AA391,_xlfn.ANCHORARRAY(D391),TRUE)/10*0.95)/1000,
IFERROR(IF(_xlpm.phase="3Phase", _xlpm.p3_calc, _xlpm.sp_calc),0))</f>
        <v>0</v>
      </c>
      <c r="AD391" s="29" t="str">
        <f ca="1"/>
        <v>Network</v>
      </c>
      <c r="AE391" s="30" t="str">
        <f ca="1"/>
        <v>Aggregate</v>
      </c>
      <c r="AF391" s="30" t="str">
        <f ca="1"/>
        <v>Live</v>
      </c>
      <c r="AG391" s="30">
        <f ca="1"/>
        <v>5</v>
      </c>
      <c r="AH391" s="31" t="str">
        <f ca="1"/>
        <v>Unknown</v>
      </c>
      <c r="AI391" s="49">
        <f t="shared" ca="1" si="11"/>
        <v>0</v>
      </c>
      <c r="AJ391" s="71">
        <f ca="1"/>
        <v>0</v>
      </c>
    </row>
    <row r="392" spans="2:36" x14ac:dyDescent="0.25">
      <c r="B392" s="29" t="str">
        <f ca="1"/>
        <v>dal10.sr01.rk381</v>
      </c>
      <c r="C392" s="10" t="s">
        <v>2070</v>
      </c>
      <c r="D392" s="2" t="b" cm="1">
        <f t="array" ref="D392:O392">_xlfn._xlws.FILTER(IF(ancillary!$E$4:$P$8="",FALSE,ancillary!$E$4:$P$8),ancillary!$B$4:$B$8=$C392)</f>
        <v>1</v>
      </c>
      <c r="E392" s="2" t="b">
        <v>1</v>
      </c>
      <c r="F392" s="2" t="b">
        <v>1</v>
      </c>
      <c r="G392" s="2" t="b">
        <v>1</v>
      </c>
      <c r="H392" s="2" t="b">
        <v>1</v>
      </c>
      <c r="I392" s="2" t="b">
        <v>1</v>
      </c>
      <c r="J392" s="2" t="b">
        <v>0</v>
      </c>
      <c r="K392" s="2" t="b">
        <v>0</v>
      </c>
      <c r="L392" s="2" t="b">
        <v>0</v>
      </c>
      <c r="M392" s="2" t="b">
        <v>0</v>
      </c>
      <c r="N392" s="2" t="b">
        <v>0</v>
      </c>
      <c r="O392" s="2" t="b">
        <v>0</v>
      </c>
      <c r="P392" s="68"/>
      <c r="R392" s="69"/>
      <c r="S392" s="68"/>
      <c r="U392" s="69"/>
      <c r="V392" s="68"/>
      <c r="X392" s="69"/>
      <c r="Y392" s="68"/>
      <c r="AA392" s="69"/>
      <c r="AB392" s="33">
        <f t="shared" si="10"/>
        <v>0</v>
      </c>
      <c r="AC392" s="45">
        <f>_xlfn.LET(_xlpm.ps_1,P392:R392, _xlpm.ps_2,S392:U392, _xlpm.ps_3,V392:X392, _xlpm.ps_4,Y392:AA392,
_xlpm.phase, MID(C392,SEARCH("-",C392)+1,256),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(_xlfn.XLOOKUP($C$7,site_assumptions[Details],site_assumptions[Volts])*SUMIFS(P392:AA392,_xlfn.ANCHORARRAY(D392),TRUE)/10*0.95)/1000,
IFERROR(IF(_xlpm.phase="3Phase", _xlpm.p3_calc, _xlpm.sp_calc),0))</f>
        <v>0</v>
      </c>
      <c r="AD392" s="29" t="str">
        <f ca="1"/>
        <v>Bare Metal</v>
      </c>
      <c r="AE392" s="30" t="str">
        <f ca="1"/>
        <v>Bare Metal</v>
      </c>
      <c r="AF392" s="30" t="str">
        <f ca="1"/>
        <v>Live</v>
      </c>
      <c r="AG392" s="30">
        <f ca="1"/>
        <v>6</v>
      </c>
      <c r="AH392" s="31" t="str">
        <f ca="1"/>
        <v>Unknown</v>
      </c>
      <c r="AI392" s="49">
        <f t="shared" ca="1" si="11"/>
        <v>0</v>
      </c>
      <c r="AJ392" s="71">
        <f ca="1"/>
        <v>4.0410000000000004</v>
      </c>
    </row>
    <row r="393" spans="2:36" x14ac:dyDescent="0.25">
      <c r="B393" s="29" t="str">
        <f ca="1"/>
        <v>dal10.sr01.rk382</v>
      </c>
      <c r="C393" s="10" t="s">
        <v>2070</v>
      </c>
      <c r="D393" s="2" t="b" cm="1">
        <f t="array" ref="D393:O393">_xlfn._xlws.FILTER(IF(ancillary!$E$4:$P$8="",FALSE,ancillary!$E$4:$P$8),ancillary!$B$4:$B$8=$C393)</f>
        <v>1</v>
      </c>
      <c r="E393" s="2" t="b">
        <v>1</v>
      </c>
      <c r="F393" s="2" t="b">
        <v>1</v>
      </c>
      <c r="G393" s="2" t="b">
        <v>1</v>
      </c>
      <c r="H393" s="2" t="b">
        <v>1</v>
      </c>
      <c r="I393" s="2" t="b">
        <v>1</v>
      </c>
      <c r="J393" s="2" t="b">
        <v>0</v>
      </c>
      <c r="K393" s="2" t="b">
        <v>0</v>
      </c>
      <c r="L393" s="2" t="b">
        <v>0</v>
      </c>
      <c r="M393" s="2" t="b">
        <v>0</v>
      </c>
      <c r="N393" s="2" t="b">
        <v>0</v>
      </c>
      <c r="O393" s="2" t="b">
        <v>0</v>
      </c>
      <c r="P393" s="68"/>
      <c r="R393" s="69"/>
      <c r="S393" s="68"/>
      <c r="U393" s="69"/>
      <c r="V393" s="68"/>
      <c r="X393" s="69"/>
      <c r="Y393" s="68"/>
      <c r="AA393" s="69"/>
      <c r="AB393" s="33">
        <f t="shared" si="10"/>
        <v>0</v>
      </c>
      <c r="AC393" s="45">
        <f>_xlfn.LET(_xlpm.ps_1,P393:R393, _xlpm.ps_2,S393:U393, _xlpm.ps_3,V393:X393, _xlpm.ps_4,Y393:AA393,
_xlpm.phase, MID(C393,SEARCH("-",C393)+1,256),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(_xlfn.XLOOKUP($C$7,site_assumptions[Details],site_assumptions[Volts])*SUMIFS(P393:AA393,_xlfn.ANCHORARRAY(D393),TRUE)/10*0.95)/1000,
IFERROR(IF(_xlpm.phase="3Phase", _xlpm.p3_calc, _xlpm.sp_calc),0))</f>
        <v>0</v>
      </c>
      <c r="AD393" s="29" t="str">
        <f ca="1"/>
        <v>Bare Metal</v>
      </c>
      <c r="AE393" s="30" t="str">
        <f ca="1"/>
        <v>Bare Metal</v>
      </c>
      <c r="AF393" s="30" t="str">
        <f ca="1"/>
        <v>Live</v>
      </c>
      <c r="AG393" s="30">
        <f ca="1"/>
        <v>6</v>
      </c>
      <c r="AH393" s="31" t="str">
        <f ca="1"/>
        <v>Unknown</v>
      </c>
      <c r="AI393" s="49">
        <f t="shared" ca="1" si="11"/>
        <v>0</v>
      </c>
      <c r="AJ393" s="71">
        <f ca="1"/>
        <v>3.0619999999999998</v>
      </c>
    </row>
    <row r="394" spans="2:36" x14ac:dyDescent="0.25">
      <c r="B394" s="29" t="str">
        <f ca="1"/>
        <v>dal10.sr01.rk383</v>
      </c>
      <c r="C394" s="10" t="s">
        <v>2070</v>
      </c>
      <c r="D394" s="2" t="b" cm="1">
        <f t="array" ref="D394:O394">_xlfn._xlws.FILTER(IF(ancillary!$E$4:$P$8="",FALSE,ancillary!$E$4:$P$8),ancillary!$B$4:$B$8=$C394)</f>
        <v>1</v>
      </c>
      <c r="E394" s="2" t="b">
        <v>1</v>
      </c>
      <c r="F394" s="2" t="b">
        <v>1</v>
      </c>
      <c r="G394" s="2" t="b">
        <v>1</v>
      </c>
      <c r="H394" s="2" t="b">
        <v>1</v>
      </c>
      <c r="I394" s="2" t="b">
        <v>1</v>
      </c>
      <c r="J394" s="2" t="b">
        <v>0</v>
      </c>
      <c r="K394" s="2" t="b">
        <v>0</v>
      </c>
      <c r="L394" s="2" t="b">
        <v>0</v>
      </c>
      <c r="M394" s="2" t="b">
        <v>0</v>
      </c>
      <c r="N394" s="2" t="b">
        <v>0</v>
      </c>
      <c r="O394" s="2" t="b">
        <v>0</v>
      </c>
      <c r="P394" s="68"/>
      <c r="R394" s="69"/>
      <c r="S394" s="68"/>
      <c r="U394" s="69"/>
      <c r="V394" s="68"/>
      <c r="X394" s="69"/>
      <c r="Y394" s="68"/>
      <c r="AA394" s="69"/>
      <c r="AB394" s="33">
        <f t="shared" si="10"/>
        <v>0</v>
      </c>
      <c r="AC394" s="45">
        <f>_xlfn.LET(_xlpm.ps_1,P394:R394, _xlpm.ps_2,S394:U394, _xlpm.ps_3,V394:X394, _xlpm.ps_4,Y394:AA394,
_xlpm.phase, MID(C394,SEARCH("-",C394)+1,256),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(_xlfn.XLOOKUP($C$7,site_assumptions[Details],site_assumptions[Volts])*SUMIFS(P394:AA394,_xlfn.ANCHORARRAY(D394),TRUE)/10*0.95)/1000,
IFERROR(IF(_xlpm.phase="3Phase", _xlpm.p3_calc, _xlpm.sp_calc),0))</f>
        <v>0</v>
      </c>
      <c r="AD394" s="29" t="str">
        <f ca="1"/>
        <v>Bare Metal</v>
      </c>
      <c r="AE394" s="30" t="str">
        <f ca="1"/>
        <v>Bare Metal</v>
      </c>
      <c r="AF394" s="30" t="str">
        <f ca="1"/>
        <v>Live</v>
      </c>
      <c r="AG394" s="30">
        <f ca="1"/>
        <v>6</v>
      </c>
      <c r="AH394" s="31" t="str">
        <f ca="1"/>
        <v>Unknown</v>
      </c>
      <c r="AI394" s="49">
        <f t="shared" ca="1" si="11"/>
        <v>0</v>
      </c>
      <c r="AJ394" s="71">
        <f ca="1"/>
        <v>2.3199999999999998</v>
      </c>
    </row>
    <row r="395" spans="2:36" x14ac:dyDescent="0.25">
      <c r="B395" s="29" t="str">
        <f ca="1"/>
        <v>dal10.sr01.rk384</v>
      </c>
      <c r="C395" s="10" t="s">
        <v>2070</v>
      </c>
      <c r="D395" s="2" t="b" cm="1">
        <f t="array" ref="D395:O395">_xlfn._xlws.FILTER(IF(ancillary!$E$4:$P$8="",FALSE,ancillary!$E$4:$P$8),ancillary!$B$4:$B$8=$C395)</f>
        <v>1</v>
      </c>
      <c r="E395" s="2" t="b">
        <v>1</v>
      </c>
      <c r="F395" s="2" t="b">
        <v>1</v>
      </c>
      <c r="G395" s="2" t="b">
        <v>1</v>
      </c>
      <c r="H395" s="2" t="b">
        <v>1</v>
      </c>
      <c r="I395" s="2" t="b">
        <v>1</v>
      </c>
      <c r="J395" s="2" t="b">
        <v>0</v>
      </c>
      <c r="K395" s="2" t="b">
        <v>0</v>
      </c>
      <c r="L395" s="2" t="b">
        <v>0</v>
      </c>
      <c r="M395" s="2" t="b">
        <v>0</v>
      </c>
      <c r="N395" s="2" t="b">
        <v>0</v>
      </c>
      <c r="O395" s="2" t="b">
        <v>0</v>
      </c>
      <c r="P395" s="68"/>
      <c r="R395" s="69"/>
      <c r="S395" s="68"/>
      <c r="U395" s="69"/>
      <c r="V395" s="68"/>
      <c r="X395" s="69"/>
      <c r="Y395" s="68"/>
      <c r="AA395" s="69"/>
      <c r="AB395" s="33">
        <f t="shared" si="10"/>
        <v>0</v>
      </c>
      <c r="AC395" s="45">
        <f>_xlfn.LET(_xlpm.ps_1,P395:R395, _xlpm.ps_2,S395:U395, _xlpm.ps_3,V395:X395, _xlpm.ps_4,Y395:AA395,
_xlpm.phase, MID(C395,SEARCH("-",C395)+1,256),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(_xlfn.XLOOKUP($C$7,site_assumptions[Details],site_assumptions[Volts])*SUMIFS(P395:AA395,_xlfn.ANCHORARRAY(D395),TRUE)/10*0.95)/1000,
IFERROR(IF(_xlpm.phase="3Phase", _xlpm.p3_calc, _xlpm.sp_calc),0))</f>
        <v>0</v>
      </c>
      <c r="AD395" s="29" t="str">
        <f ca="1"/>
        <v>Bare Metal</v>
      </c>
      <c r="AE395" s="30" t="str">
        <f ca="1"/>
        <v>Bare Metal</v>
      </c>
      <c r="AF395" s="30" t="str">
        <f ca="1"/>
        <v>Live</v>
      </c>
      <c r="AG395" s="30">
        <f ca="1"/>
        <v>6</v>
      </c>
      <c r="AH395" s="31" t="str">
        <f ca="1"/>
        <v>Unknown</v>
      </c>
      <c r="AI395" s="49">
        <f t="shared" ca="1" si="11"/>
        <v>0</v>
      </c>
      <c r="AJ395" s="71">
        <f ca="1"/>
        <v>3.8769999999999998</v>
      </c>
    </row>
    <row r="396" spans="2:36" x14ac:dyDescent="0.25">
      <c r="B396" s="29" t="str">
        <f ca="1"/>
        <v>dal10.sr01.rk385</v>
      </c>
      <c r="C396" s="10" t="s">
        <v>2070</v>
      </c>
      <c r="D396" s="2" t="b" cm="1">
        <f t="array" ref="D396:O396">_xlfn._xlws.FILTER(IF(ancillary!$E$4:$P$8="",FALSE,ancillary!$E$4:$P$8),ancillary!$B$4:$B$8=$C396)</f>
        <v>1</v>
      </c>
      <c r="E396" s="2" t="b">
        <v>1</v>
      </c>
      <c r="F396" s="2" t="b">
        <v>1</v>
      </c>
      <c r="G396" s="2" t="b">
        <v>1</v>
      </c>
      <c r="H396" s="2" t="b">
        <v>1</v>
      </c>
      <c r="I396" s="2" t="b">
        <v>1</v>
      </c>
      <c r="J396" s="2" t="b">
        <v>0</v>
      </c>
      <c r="K396" s="2" t="b">
        <v>0</v>
      </c>
      <c r="L396" s="2" t="b">
        <v>0</v>
      </c>
      <c r="M396" s="2" t="b">
        <v>0</v>
      </c>
      <c r="N396" s="2" t="b">
        <v>0</v>
      </c>
      <c r="O396" s="2" t="b">
        <v>0</v>
      </c>
      <c r="P396" s="68"/>
      <c r="R396" s="69"/>
      <c r="S396" s="68"/>
      <c r="U396" s="69"/>
      <c r="V396" s="68"/>
      <c r="X396" s="69"/>
      <c r="Y396" s="68"/>
      <c r="AA396" s="69"/>
      <c r="AB396" s="33">
        <f t="shared" si="10"/>
        <v>0</v>
      </c>
      <c r="AC396" s="45">
        <f>_xlfn.LET(_xlpm.ps_1,P396:R396, _xlpm.ps_2,S396:U396, _xlpm.ps_3,V396:X396, _xlpm.ps_4,Y396:AA396,
_xlpm.phase, MID(C396,SEARCH("-",C396)+1,256),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(_xlfn.XLOOKUP($C$7,site_assumptions[Details],site_assumptions[Volts])*SUMIFS(P396:AA396,_xlfn.ANCHORARRAY(D396),TRUE)/10*0.95)/1000,
IFERROR(IF(_xlpm.phase="3Phase", _xlpm.p3_calc, _xlpm.sp_calc),0))</f>
        <v>0</v>
      </c>
      <c r="AD396" s="29" t="str">
        <f ca="1"/>
        <v>Bare Metal</v>
      </c>
      <c r="AE396" s="30" t="str">
        <f ca="1"/>
        <v>Bare Metal</v>
      </c>
      <c r="AF396" s="30" t="str">
        <f ca="1"/>
        <v>Live</v>
      </c>
      <c r="AG396" s="30">
        <f ca="1"/>
        <v>6</v>
      </c>
      <c r="AH396" s="31" t="str">
        <f ca="1"/>
        <v>Unknown</v>
      </c>
      <c r="AI396" s="49">
        <f t="shared" ca="1" si="11"/>
        <v>0</v>
      </c>
      <c r="AJ396" s="71">
        <f ca="1"/>
        <v>2.5409999999999999</v>
      </c>
    </row>
    <row r="397" spans="2:36" x14ac:dyDescent="0.25">
      <c r="B397" s="29" t="str">
        <f ca="1"/>
        <v>dal10.sr01.rk386</v>
      </c>
      <c r="C397" s="10" t="s">
        <v>2070</v>
      </c>
      <c r="D397" s="2" t="b" cm="1">
        <f t="array" ref="D397:O397">_xlfn._xlws.FILTER(IF(ancillary!$E$4:$P$8="",FALSE,ancillary!$E$4:$P$8),ancillary!$B$4:$B$8=$C397)</f>
        <v>1</v>
      </c>
      <c r="E397" s="2" t="b">
        <v>1</v>
      </c>
      <c r="F397" s="2" t="b">
        <v>1</v>
      </c>
      <c r="G397" s="2" t="b">
        <v>1</v>
      </c>
      <c r="H397" s="2" t="b">
        <v>1</v>
      </c>
      <c r="I397" s="2" t="b">
        <v>1</v>
      </c>
      <c r="J397" s="2" t="b">
        <v>0</v>
      </c>
      <c r="K397" s="2" t="b">
        <v>0</v>
      </c>
      <c r="L397" s="2" t="b">
        <v>0</v>
      </c>
      <c r="M397" s="2" t="b">
        <v>0</v>
      </c>
      <c r="N397" s="2" t="b">
        <v>0</v>
      </c>
      <c r="O397" s="2" t="b">
        <v>0</v>
      </c>
      <c r="P397" s="68"/>
      <c r="R397" s="69"/>
      <c r="S397" s="68"/>
      <c r="U397" s="69"/>
      <c r="V397" s="68"/>
      <c r="X397" s="69"/>
      <c r="Y397" s="68"/>
      <c r="AA397" s="69"/>
      <c r="AB397" s="33">
        <f t="shared" si="10"/>
        <v>0</v>
      </c>
      <c r="AC397" s="45">
        <f>_xlfn.LET(_xlpm.ps_1,P397:R397, _xlpm.ps_2,S397:U397, _xlpm.ps_3,V397:X397, _xlpm.ps_4,Y397:AA397,
_xlpm.phase, MID(C397,SEARCH("-",C397)+1,256),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(_xlfn.XLOOKUP($C$7,site_assumptions[Details],site_assumptions[Volts])*SUMIFS(P397:AA397,_xlfn.ANCHORARRAY(D397),TRUE)/10*0.95)/1000,
IFERROR(IF(_xlpm.phase="3Phase", _xlpm.p3_calc, _xlpm.sp_calc),0))</f>
        <v>0</v>
      </c>
      <c r="AD397" s="29" t="str">
        <f ca="1"/>
        <v>Bare Metal</v>
      </c>
      <c r="AE397" s="30" t="str">
        <f ca="1"/>
        <v>Bare Metal</v>
      </c>
      <c r="AF397" s="30" t="str">
        <f ca="1"/>
        <v>Live</v>
      </c>
      <c r="AG397" s="30">
        <f ca="1"/>
        <v>6</v>
      </c>
      <c r="AH397" s="31" t="str">
        <f ca="1"/>
        <v>Unknown</v>
      </c>
      <c r="AI397" s="49">
        <f t="shared" ca="1" si="11"/>
        <v>0</v>
      </c>
      <c r="AJ397" s="71">
        <f ca="1"/>
        <v>2.1579999999999999</v>
      </c>
    </row>
    <row r="398" spans="2:36" x14ac:dyDescent="0.25">
      <c r="B398" s="29" t="str">
        <f ca="1"/>
        <v>dal10.sr01.rk387</v>
      </c>
      <c r="C398" s="10" t="s">
        <v>2070</v>
      </c>
      <c r="D398" s="2" t="b" cm="1">
        <f t="array" ref="D398:O398">_xlfn._xlws.FILTER(IF(ancillary!$E$4:$P$8="",FALSE,ancillary!$E$4:$P$8),ancillary!$B$4:$B$8=$C398)</f>
        <v>1</v>
      </c>
      <c r="E398" s="2" t="b">
        <v>1</v>
      </c>
      <c r="F398" s="2" t="b">
        <v>1</v>
      </c>
      <c r="G398" s="2" t="b">
        <v>1</v>
      </c>
      <c r="H398" s="2" t="b">
        <v>1</v>
      </c>
      <c r="I398" s="2" t="b">
        <v>1</v>
      </c>
      <c r="J398" s="2" t="b">
        <v>0</v>
      </c>
      <c r="K398" s="2" t="b">
        <v>0</v>
      </c>
      <c r="L398" s="2" t="b">
        <v>0</v>
      </c>
      <c r="M398" s="2" t="b">
        <v>0</v>
      </c>
      <c r="N398" s="2" t="b">
        <v>0</v>
      </c>
      <c r="O398" s="2" t="b">
        <v>0</v>
      </c>
      <c r="P398" s="68"/>
      <c r="R398" s="69"/>
      <c r="S398" s="68"/>
      <c r="U398" s="69"/>
      <c r="V398" s="68"/>
      <c r="X398" s="69"/>
      <c r="Y398" s="68"/>
      <c r="AA398" s="69"/>
      <c r="AB398" s="33">
        <f t="shared" ref="AB398:AB461" si="12">IFERROR(AVERAGEIFS(P398:AA398,_xlfn.ANCHORARRAY(D398),TRUE),0)/10</f>
        <v>0</v>
      </c>
      <c r="AC398" s="45">
        <f>_xlfn.LET(_xlpm.ps_1,P398:R398, _xlpm.ps_2,S398:U398, _xlpm.ps_3,V398:X398, _xlpm.ps_4,Y398:AA398,
_xlpm.phase, MID(C398,SEARCH("-",C398)+1,256),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(_xlfn.XLOOKUP($C$7,site_assumptions[Details],site_assumptions[Volts])*SUMIFS(P398:AA398,_xlfn.ANCHORARRAY(D398),TRUE)/10*0.95)/1000,
IFERROR(IF(_xlpm.phase="3Phase", _xlpm.p3_calc, _xlpm.sp_calc),0))</f>
        <v>0</v>
      </c>
      <c r="AD398" s="29" t="str">
        <f ca="1"/>
        <v>Bare Metal</v>
      </c>
      <c r="AE398" s="30" t="str">
        <f ca="1"/>
        <v>Bare Metal</v>
      </c>
      <c r="AF398" s="30" t="str">
        <f ca="1"/>
        <v>Live</v>
      </c>
      <c r="AG398" s="30">
        <f ca="1"/>
        <v>6</v>
      </c>
      <c r="AH398" s="31" t="str">
        <f ca="1"/>
        <v>Unknown</v>
      </c>
      <c r="AI398" s="49">
        <f t="shared" ref="AI398:AI461" ca="1" si="13">IFERROR(AC398/AG398,0)</f>
        <v>0</v>
      </c>
      <c r="AJ398" s="71">
        <f ca="1"/>
        <v>2.6259999999999999</v>
      </c>
    </row>
    <row r="399" spans="2:36" x14ac:dyDescent="0.25">
      <c r="B399" s="29" t="str">
        <f ca="1"/>
        <v>dal10.sr01.rk388</v>
      </c>
      <c r="C399" s="10" t="s">
        <v>2070</v>
      </c>
      <c r="D399" s="2" t="b" cm="1">
        <f t="array" ref="D399:O399">_xlfn._xlws.FILTER(IF(ancillary!$E$4:$P$8="",FALSE,ancillary!$E$4:$P$8),ancillary!$B$4:$B$8=$C399)</f>
        <v>1</v>
      </c>
      <c r="E399" s="2" t="b">
        <v>1</v>
      </c>
      <c r="F399" s="2" t="b">
        <v>1</v>
      </c>
      <c r="G399" s="2" t="b">
        <v>1</v>
      </c>
      <c r="H399" s="2" t="b">
        <v>1</v>
      </c>
      <c r="I399" s="2" t="b">
        <v>1</v>
      </c>
      <c r="J399" s="2" t="b">
        <v>0</v>
      </c>
      <c r="K399" s="2" t="b">
        <v>0</v>
      </c>
      <c r="L399" s="2" t="b">
        <v>0</v>
      </c>
      <c r="M399" s="2" t="b">
        <v>0</v>
      </c>
      <c r="N399" s="2" t="b">
        <v>0</v>
      </c>
      <c r="O399" s="2" t="b">
        <v>0</v>
      </c>
      <c r="P399" s="68"/>
      <c r="R399" s="69"/>
      <c r="S399" s="68"/>
      <c r="U399" s="69"/>
      <c r="V399" s="68"/>
      <c r="X399" s="69"/>
      <c r="Y399" s="68"/>
      <c r="AA399" s="69"/>
      <c r="AB399" s="33">
        <f t="shared" si="12"/>
        <v>0</v>
      </c>
      <c r="AC399" s="45">
        <f>_xlfn.LET(_xlpm.ps_1,P399:R399, _xlpm.ps_2,S399:U399, _xlpm.ps_3,V399:X399, _xlpm.ps_4,Y399:AA399,
_xlpm.phase, MID(C399,SEARCH("-",C399)+1,256),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(_xlfn.XLOOKUP($C$7,site_assumptions[Details],site_assumptions[Volts])*SUMIFS(P399:AA399,_xlfn.ANCHORARRAY(D399),TRUE)/10*0.95)/1000,
IFERROR(IF(_xlpm.phase="3Phase", _xlpm.p3_calc, _xlpm.sp_calc),0))</f>
        <v>0</v>
      </c>
      <c r="AD399" s="29" t="str">
        <f ca="1"/>
        <v>Bare Metal</v>
      </c>
      <c r="AE399" s="30" t="str">
        <f ca="1"/>
        <v>Bare Metal</v>
      </c>
      <c r="AF399" s="30" t="str">
        <f ca="1"/>
        <v>Live</v>
      </c>
      <c r="AG399" s="30">
        <f ca="1"/>
        <v>6</v>
      </c>
      <c r="AH399" s="31" t="str">
        <f ca="1"/>
        <v>Unknown</v>
      </c>
      <c r="AI399" s="49">
        <f t="shared" ca="1" si="13"/>
        <v>0</v>
      </c>
      <c r="AJ399" s="71">
        <f ca="1"/>
        <v>2.1419999999999999</v>
      </c>
    </row>
    <row r="400" spans="2:36" x14ac:dyDescent="0.25">
      <c r="B400" s="29" t="str">
        <f ca="1"/>
        <v>dal10.sr01.rk389</v>
      </c>
      <c r="C400" s="10" t="s">
        <v>2070</v>
      </c>
      <c r="D400" s="2" t="b" cm="1">
        <f t="array" ref="D400:O400">_xlfn._xlws.FILTER(IF(ancillary!$E$4:$P$8="",FALSE,ancillary!$E$4:$P$8),ancillary!$B$4:$B$8=$C400)</f>
        <v>1</v>
      </c>
      <c r="E400" s="2" t="b">
        <v>1</v>
      </c>
      <c r="F400" s="2" t="b">
        <v>1</v>
      </c>
      <c r="G400" s="2" t="b">
        <v>1</v>
      </c>
      <c r="H400" s="2" t="b">
        <v>1</v>
      </c>
      <c r="I400" s="2" t="b">
        <v>1</v>
      </c>
      <c r="J400" s="2" t="b">
        <v>0</v>
      </c>
      <c r="K400" s="2" t="b">
        <v>0</v>
      </c>
      <c r="L400" s="2" t="b">
        <v>0</v>
      </c>
      <c r="M400" s="2" t="b">
        <v>0</v>
      </c>
      <c r="N400" s="2" t="b">
        <v>0</v>
      </c>
      <c r="O400" s="2" t="b">
        <v>0</v>
      </c>
      <c r="P400" s="68"/>
      <c r="R400" s="69"/>
      <c r="S400" s="68"/>
      <c r="U400" s="69"/>
      <c r="V400" s="68"/>
      <c r="X400" s="69"/>
      <c r="Y400" s="68"/>
      <c r="AA400" s="69"/>
      <c r="AB400" s="33">
        <f t="shared" si="12"/>
        <v>0</v>
      </c>
      <c r="AC400" s="45">
        <f>_xlfn.LET(_xlpm.ps_1,P400:R400, _xlpm.ps_2,S400:U400, _xlpm.ps_3,V400:X400, _xlpm.ps_4,Y400:AA400,
_xlpm.phase, MID(C400,SEARCH("-",C400)+1,256),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(_xlfn.XLOOKUP($C$7,site_assumptions[Details],site_assumptions[Volts])*SUMIFS(P400:AA400,_xlfn.ANCHORARRAY(D400),TRUE)/10*0.95)/1000,
IFERROR(IF(_xlpm.phase="3Phase", _xlpm.p3_calc, _xlpm.sp_calc),0))</f>
        <v>0</v>
      </c>
      <c r="AD400" s="29" t="str">
        <f ca="1"/>
        <v>Bare Metal</v>
      </c>
      <c r="AE400" s="30" t="str">
        <f ca="1"/>
        <v>Bare Metal</v>
      </c>
      <c r="AF400" s="30" t="str">
        <f ca="1"/>
        <v>Live</v>
      </c>
      <c r="AG400" s="30">
        <f ca="1"/>
        <v>6</v>
      </c>
      <c r="AH400" s="31" t="str">
        <f ca="1"/>
        <v>Unknown</v>
      </c>
      <c r="AI400" s="49">
        <f t="shared" ca="1" si="13"/>
        <v>0</v>
      </c>
      <c r="AJ400" s="71">
        <f ca="1"/>
        <v>1.744</v>
      </c>
    </row>
    <row r="401" spans="2:36" x14ac:dyDescent="0.25">
      <c r="B401" s="29" t="str">
        <f ca="1"/>
        <v>dal10.sr01.rk390</v>
      </c>
      <c r="C401" s="10" t="s">
        <v>2070</v>
      </c>
      <c r="D401" s="2" t="b" cm="1">
        <f t="array" ref="D401:O401">_xlfn._xlws.FILTER(IF(ancillary!$E$4:$P$8="",FALSE,ancillary!$E$4:$P$8),ancillary!$B$4:$B$8=$C401)</f>
        <v>1</v>
      </c>
      <c r="E401" s="2" t="b">
        <v>1</v>
      </c>
      <c r="F401" s="2" t="b">
        <v>1</v>
      </c>
      <c r="G401" s="2" t="b">
        <v>1</v>
      </c>
      <c r="H401" s="2" t="b">
        <v>1</v>
      </c>
      <c r="I401" s="2" t="b">
        <v>1</v>
      </c>
      <c r="J401" s="2" t="b">
        <v>0</v>
      </c>
      <c r="K401" s="2" t="b">
        <v>0</v>
      </c>
      <c r="L401" s="2" t="b">
        <v>0</v>
      </c>
      <c r="M401" s="2" t="b">
        <v>0</v>
      </c>
      <c r="N401" s="2" t="b">
        <v>0</v>
      </c>
      <c r="O401" s="2" t="b">
        <v>0</v>
      </c>
      <c r="P401" s="68"/>
      <c r="R401" s="69"/>
      <c r="S401" s="68"/>
      <c r="U401" s="69"/>
      <c r="V401" s="68"/>
      <c r="X401" s="69"/>
      <c r="Y401" s="68"/>
      <c r="AA401" s="69"/>
      <c r="AB401" s="33">
        <f t="shared" si="12"/>
        <v>0</v>
      </c>
      <c r="AC401" s="45">
        <f>_xlfn.LET(_xlpm.ps_1,P401:R401, _xlpm.ps_2,S401:U401, _xlpm.ps_3,V401:X401, _xlpm.ps_4,Y401:AA401,
_xlpm.phase, MID(C401,SEARCH("-",C401)+1,256),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(_xlfn.XLOOKUP($C$7,site_assumptions[Details],site_assumptions[Volts])*SUMIFS(P401:AA401,_xlfn.ANCHORARRAY(D401),TRUE)/10*0.95)/1000,
IFERROR(IF(_xlpm.phase="3Phase", _xlpm.p3_calc, _xlpm.sp_calc),0))</f>
        <v>0</v>
      </c>
      <c r="AD401" s="29" t="str">
        <f ca="1"/>
        <v>Bare Metal</v>
      </c>
      <c r="AE401" s="30" t="str">
        <f ca="1"/>
        <v>Bare Metal</v>
      </c>
      <c r="AF401" s="30" t="str">
        <f ca="1"/>
        <v>Live</v>
      </c>
      <c r="AG401" s="30">
        <f ca="1"/>
        <v>6</v>
      </c>
      <c r="AH401" s="31" t="str">
        <f ca="1"/>
        <v>Unknown</v>
      </c>
      <c r="AI401" s="49">
        <f t="shared" ca="1" si="13"/>
        <v>0</v>
      </c>
      <c r="AJ401" s="71">
        <f ca="1"/>
        <v>2.5019999999999998</v>
      </c>
    </row>
    <row r="402" spans="2:36" x14ac:dyDescent="0.25">
      <c r="B402" s="29" t="str">
        <f ca="1"/>
        <v>dal10.sr01.rk391</v>
      </c>
      <c r="C402" s="10" t="s">
        <v>2070</v>
      </c>
      <c r="D402" s="2" t="b" cm="1">
        <f t="array" ref="D402:O402">_xlfn._xlws.FILTER(IF(ancillary!$E$4:$P$8="",FALSE,ancillary!$E$4:$P$8),ancillary!$B$4:$B$8=$C402)</f>
        <v>1</v>
      </c>
      <c r="E402" s="2" t="b">
        <v>1</v>
      </c>
      <c r="F402" s="2" t="b">
        <v>1</v>
      </c>
      <c r="G402" s="2" t="b">
        <v>1</v>
      </c>
      <c r="H402" s="2" t="b">
        <v>1</v>
      </c>
      <c r="I402" s="2" t="b">
        <v>1</v>
      </c>
      <c r="J402" s="2" t="b">
        <v>0</v>
      </c>
      <c r="K402" s="2" t="b">
        <v>0</v>
      </c>
      <c r="L402" s="2" t="b">
        <v>0</v>
      </c>
      <c r="M402" s="2" t="b">
        <v>0</v>
      </c>
      <c r="N402" s="2" t="b">
        <v>0</v>
      </c>
      <c r="O402" s="2" t="b">
        <v>0</v>
      </c>
      <c r="P402" s="68"/>
      <c r="R402" s="69"/>
      <c r="S402" s="68"/>
      <c r="U402" s="69"/>
      <c r="V402" s="68"/>
      <c r="X402" s="69"/>
      <c r="Y402" s="68"/>
      <c r="AA402" s="69"/>
      <c r="AB402" s="33">
        <f t="shared" si="12"/>
        <v>0</v>
      </c>
      <c r="AC402" s="45">
        <f>_xlfn.LET(_xlpm.ps_1,P402:R402, _xlpm.ps_2,S402:U402, _xlpm.ps_3,V402:X402, _xlpm.ps_4,Y402:AA402,
_xlpm.phase, MID(C402,SEARCH("-",C402)+1,256),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(_xlfn.XLOOKUP($C$7,site_assumptions[Details],site_assumptions[Volts])*SUMIFS(P402:AA402,_xlfn.ANCHORARRAY(D402),TRUE)/10*0.95)/1000,
IFERROR(IF(_xlpm.phase="3Phase", _xlpm.p3_calc, _xlpm.sp_calc),0))</f>
        <v>0</v>
      </c>
      <c r="AD402" s="29" t="str">
        <f ca="1"/>
        <v>Network</v>
      </c>
      <c r="AE402" s="30" t="str">
        <f ca="1"/>
        <v>Aggregate</v>
      </c>
      <c r="AF402" s="30" t="str">
        <f ca="1"/>
        <v>Live</v>
      </c>
      <c r="AG402" s="30">
        <f ca="1"/>
        <v>5</v>
      </c>
      <c r="AH402" s="31" t="str">
        <f ca="1"/>
        <v>Unknown</v>
      </c>
      <c r="AI402" s="49">
        <f t="shared" ca="1" si="13"/>
        <v>0</v>
      </c>
      <c r="AJ402" s="71">
        <f ca="1"/>
        <v>0</v>
      </c>
    </row>
    <row r="403" spans="2:36" x14ac:dyDescent="0.25">
      <c r="B403" s="29" t="str">
        <f ca="1"/>
        <v>dal10.sr01.rk392</v>
      </c>
      <c r="C403" s="10" t="s">
        <v>2070</v>
      </c>
      <c r="D403" s="2" t="b" cm="1">
        <f t="array" ref="D403:O403">_xlfn._xlws.FILTER(IF(ancillary!$E$4:$P$8="",FALSE,ancillary!$E$4:$P$8),ancillary!$B$4:$B$8=$C403)</f>
        <v>1</v>
      </c>
      <c r="E403" s="2" t="b">
        <v>1</v>
      </c>
      <c r="F403" s="2" t="b">
        <v>1</v>
      </c>
      <c r="G403" s="2" t="b">
        <v>1</v>
      </c>
      <c r="H403" s="2" t="b">
        <v>1</v>
      </c>
      <c r="I403" s="2" t="b">
        <v>1</v>
      </c>
      <c r="J403" s="2" t="b">
        <v>0</v>
      </c>
      <c r="K403" s="2" t="b">
        <v>0</v>
      </c>
      <c r="L403" s="2" t="b">
        <v>0</v>
      </c>
      <c r="M403" s="2" t="b">
        <v>0</v>
      </c>
      <c r="N403" s="2" t="b">
        <v>0</v>
      </c>
      <c r="O403" s="2" t="b">
        <v>0</v>
      </c>
      <c r="P403" s="68"/>
      <c r="R403" s="69"/>
      <c r="S403" s="68"/>
      <c r="U403" s="69"/>
      <c r="V403" s="68"/>
      <c r="X403" s="69"/>
      <c r="Y403" s="68"/>
      <c r="AA403" s="69"/>
      <c r="AB403" s="33">
        <f t="shared" si="12"/>
        <v>0</v>
      </c>
      <c r="AC403" s="45">
        <f>_xlfn.LET(_xlpm.ps_1,P403:R403, _xlpm.ps_2,S403:U403, _xlpm.ps_3,V403:X403, _xlpm.ps_4,Y403:AA403,
_xlpm.phase, MID(C403,SEARCH("-",C403)+1,256),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(_xlfn.XLOOKUP($C$7,site_assumptions[Details],site_assumptions[Volts])*SUMIFS(P403:AA403,_xlfn.ANCHORARRAY(D403),TRUE)/10*0.95)/1000,
IFERROR(IF(_xlpm.phase="3Phase", _xlpm.p3_calc, _xlpm.sp_calc),0))</f>
        <v>0</v>
      </c>
      <c r="AD403" s="29" t="str">
        <f ca="1"/>
        <v>Bare Metal</v>
      </c>
      <c r="AE403" s="30" t="str">
        <f ca="1"/>
        <v>Bare Metal</v>
      </c>
      <c r="AF403" s="30" t="str">
        <f ca="1"/>
        <v>Live</v>
      </c>
      <c r="AG403" s="30">
        <f ca="1"/>
        <v>6</v>
      </c>
      <c r="AH403" s="31" t="str">
        <f ca="1"/>
        <v>Unknown</v>
      </c>
      <c r="AI403" s="49">
        <f t="shared" ca="1" si="13"/>
        <v>0</v>
      </c>
      <c r="AJ403" s="71">
        <f ca="1"/>
        <v>1.9990000000000001</v>
      </c>
    </row>
    <row r="404" spans="2:36" x14ac:dyDescent="0.25">
      <c r="B404" s="29" t="str">
        <f ca="1"/>
        <v>dal10.sr01.rk393</v>
      </c>
      <c r="C404" s="10" t="s">
        <v>2070</v>
      </c>
      <c r="D404" s="2" t="b" cm="1">
        <f t="array" ref="D404:O404">_xlfn._xlws.FILTER(IF(ancillary!$E$4:$P$8="",FALSE,ancillary!$E$4:$P$8),ancillary!$B$4:$B$8=$C404)</f>
        <v>1</v>
      </c>
      <c r="E404" s="2" t="b">
        <v>1</v>
      </c>
      <c r="F404" s="2" t="b">
        <v>1</v>
      </c>
      <c r="G404" s="2" t="b">
        <v>1</v>
      </c>
      <c r="H404" s="2" t="b">
        <v>1</v>
      </c>
      <c r="I404" s="2" t="b">
        <v>1</v>
      </c>
      <c r="J404" s="2" t="b">
        <v>0</v>
      </c>
      <c r="K404" s="2" t="b">
        <v>0</v>
      </c>
      <c r="L404" s="2" t="b">
        <v>0</v>
      </c>
      <c r="M404" s="2" t="b">
        <v>0</v>
      </c>
      <c r="N404" s="2" t="b">
        <v>0</v>
      </c>
      <c r="O404" s="2" t="b">
        <v>0</v>
      </c>
      <c r="P404" s="68"/>
      <c r="R404" s="69"/>
      <c r="S404" s="68"/>
      <c r="U404" s="69"/>
      <c r="V404" s="68"/>
      <c r="X404" s="69"/>
      <c r="Y404" s="68"/>
      <c r="AA404" s="69"/>
      <c r="AB404" s="33">
        <f t="shared" si="12"/>
        <v>0</v>
      </c>
      <c r="AC404" s="45">
        <f>_xlfn.LET(_xlpm.ps_1,P404:R404, _xlpm.ps_2,S404:U404, _xlpm.ps_3,V404:X404, _xlpm.ps_4,Y404:AA404,
_xlpm.phase, MID(C404,SEARCH("-",C404)+1,256),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(_xlfn.XLOOKUP($C$7,site_assumptions[Details],site_assumptions[Volts])*SUMIFS(P404:AA404,_xlfn.ANCHORARRAY(D404),TRUE)/10*0.95)/1000,
IFERROR(IF(_xlpm.phase="3Phase", _xlpm.p3_calc, _xlpm.sp_calc),0))</f>
        <v>0</v>
      </c>
      <c r="AD404" s="29" t="str">
        <f ca="1"/>
        <v>Bare Metal</v>
      </c>
      <c r="AE404" s="30" t="str">
        <f ca="1"/>
        <v>Bare Metal</v>
      </c>
      <c r="AF404" s="30" t="str">
        <f ca="1"/>
        <v>Live</v>
      </c>
      <c r="AG404" s="30">
        <f ca="1"/>
        <v>6</v>
      </c>
      <c r="AH404" s="31" t="str">
        <f ca="1"/>
        <v>Unknown</v>
      </c>
      <c r="AI404" s="49">
        <f t="shared" ca="1" si="13"/>
        <v>0</v>
      </c>
      <c r="AJ404" s="71">
        <f ca="1"/>
        <v>3.4620000000000002</v>
      </c>
    </row>
    <row r="405" spans="2:36" x14ac:dyDescent="0.25">
      <c r="B405" s="29" t="str">
        <f ca="1"/>
        <v>dal10.sr01.rk394</v>
      </c>
      <c r="C405" s="10" t="s">
        <v>2070</v>
      </c>
      <c r="D405" s="2" t="b" cm="1">
        <f t="array" ref="D405:O405">_xlfn._xlws.FILTER(IF(ancillary!$E$4:$P$8="",FALSE,ancillary!$E$4:$P$8),ancillary!$B$4:$B$8=$C405)</f>
        <v>1</v>
      </c>
      <c r="E405" s="2" t="b">
        <v>1</v>
      </c>
      <c r="F405" s="2" t="b">
        <v>1</v>
      </c>
      <c r="G405" s="2" t="b">
        <v>1</v>
      </c>
      <c r="H405" s="2" t="b">
        <v>1</v>
      </c>
      <c r="I405" s="2" t="b">
        <v>1</v>
      </c>
      <c r="J405" s="2" t="b">
        <v>0</v>
      </c>
      <c r="K405" s="2" t="b">
        <v>0</v>
      </c>
      <c r="L405" s="2" t="b">
        <v>0</v>
      </c>
      <c r="M405" s="2" t="b">
        <v>0</v>
      </c>
      <c r="N405" s="2" t="b">
        <v>0</v>
      </c>
      <c r="O405" s="2" t="b">
        <v>0</v>
      </c>
      <c r="P405" s="68"/>
      <c r="R405" s="69"/>
      <c r="S405" s="68"/>
      <c r="U405" s="69"/>
      <c r="V405" s="68"/>
      <c r="X405" s="69"/>
      <c r="Y405" s="68"/>
      <c r="AA405" s="69"/>
      <c r="AB405" s="33">
        <f t="shared" si="12"/>
        <v>0</v>
      </c>
      <c r="AC405" s="45">
        <f>_xlfn.LET(_xlpm.ps_1,P405:R405, _xlpm.ps_2,S405:U405, _xlpm.ps_3,V405:X405, _xlpm.ps_4,Y405:AA405,
_xlpm.phase, MID(C405,SEARCH("-",C405)+1,256),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(_xlfn.XLOOKUP($C$7,site_assumptions[Details],site_assumptions[Volts])*SUMIFS(P405:AA405,_xlfn.ANCHORARRAY(D405),TRUE)/10*0.95)/1000,
IFERROR(IF(_xlpm.phase="3Phase", _xlpm.p3_calc, _xlpm.sp_calc),0))</f>
        <v>0</v>
      </c>
      <c r="AD405" s="29" t="str">
        <f ca="1"/>
        <v>Bare Metal</v>
      </c>
      <c r="AE405" s="30" t="str">
        <f ca="1"/>
        <v>Bare Metal</v>
      </c>
      <c r="AF405" s="30" t="str">
        <f ca="1"/>
        <v>Live</v>
      </c>
      <c r="AG405" s="30">
        <f ca="1"/>
        <v>6</v>
      </c>
      <c r="AH405" s="31" t="str">
        <f ca="1"/>
        <v>Unknown</v>
      </c>
      <c r="AI405" s="49">
        <f t="shared" ca="1" si="13"/>
        <v>0</v>
      </c>
      <c r="AJ405" s="71">
        <f ca="1"/>
        <v>8.6980000000000004</v>
      </c>
    </row>
    <row r="406" spans="2:36" x14ac:dyDescent="0.25">
      <c r="B406" s="29" t="str">
        <f ca="1"/>
        <v>dal10.sr01.rk395</v>
      </c>
      <c r="C406" s="10" t="s">
        <v>2070</v>
      </c>
      <c r="D406" s="2" t="b" cm="1">
        <f t="array" ref="D406:O406">_xlfn._xlws.FILTER(IF(ancillary!$E$4:$P$8="",FALSE,ancillary!$E$4:$P$8),ancillary!$B$4:$B$8=$C406)</f>
        <v>1</v>
      </c>
      <c r="E406" s="2" t="b">
        <v>1</v>
      </c>
      <c r="F406" s="2" t="b">
        <v>1</v>
      </c>
      <c r="G406" s="2" t="b">
        <v>1</v>
      </c>
      <c r="H406" s="2" t="b">
        <v>1</v>
      </c>
      <c r="I406" s="2" t="b">
        <v>1</v>
      </c>
      <c r="J406" s="2" t="b">
        <v>0</v>
      </c>
      <c r="K406" s="2" t="b">
        <v>0</v>
      </c>
      <c r="L406" s="2" t="b">
        <v>0</v>
      </c>
      <c r="M406" s="2" t="b">
        <v>0</v>
      </c>
      <c r="N406" s="2" t="b">
        <v>0</v>
      </c>
      <c r="O406" s="2" t="b">
        <v>0</v>
      </c>
      <c r="P406" s="68"/>
      <c r="R406" s="69"/>
      <c r="S406" s="68"/>
      <c r="U406" s="69"/>
      <c r="V406" s="68"/>
      <c r="X406" s="69"/>
      <c r="Y406" s="68"/>
      <c r="AA406" s="69"/>
      <c r="AB406" s="33">
        <f t="shared" si="12"/>
        <v>0</v>
      </c>
      <c r="AC406" s="45">
        <f>_xlfn.LET(_xlpm.ps_1,P406:R406, _xlpm.ps_2,S406:U406, _xlpm.ps_3,V406:X406, _xlpm.ps_4,Y406:AA406,
_xlpm.phase, MID(C406,SEARCH("-",C406)+1,256),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(_xlfn.XLOOKUP($C$7,site_assumptions[Details],site_assumptions[Volts])*SUMIFS(P406:AA406,_xlfn.ANCHORARRAY(D406),TRUE)/10*0.95)/1000,
IFERROR(IF(_xlpm.phase="3Phase", _xlpm.p3_calc, _xlpm.sp_calc),0))</f>
        <v>0</v>
      </c>
      <c r="AD406" s="29" t="str">
        <f ca="1"/>
        <v>Bare Metal</v>
      </c>
      <c r="AE406" s="30" t="str">
        <f ca="1"/>
        <v>Bare Metal</v>
      </c>
      <c r="AF406" s="30" t="str">
        <f ca="1"/>
        <v>Live</v>
      </c>
      <c r="AG406" s="30">
        <f ca="1"/>
        <v>6</v>
      </c>
      <c r="AH406" s="31" t="str">
        <f ca="1"/>
        <v>Unknown</v>
      </c>
      <c r="AI406" s="49">
        <f t="shared" ca="1" si="13"/>
        <v>0</v>
      </c>
      <c r="AJ406" s="71">
        <f ca="1"/>
        <v>8.4049999999999994</v>
      </c>
    </row>
    <row r="407" spans="2:36" x14ac:dyDescent="0.25">
      <c r="B407" s="29" t="str">
        <f ca="1"/>
        <v>dal10.sr01.rk396</v>
      </c>
      <c r="C407" s="10" t="s">
        <v>2070</v>
      </c>
      <c r="D407" s="2" t="b" cm="1">
        <f t="array" ref="D407:O407">_xlfn._xlws.FILTER(IF(ancillary!$E$4:$P$8="",FALSE,ancillary!$E$4:$P$8),ancillary!$B$4:$B$8=$C407)</f>
        <v>1</v>
      </c>
      <c r="E407" s="2" t="b">
        <v>1</v>
      </c>
      <c r="F407" s="2" t="b">
        <v>1</v>
      </c>
      <c r="G407" s="2" t="b">
        <v>1</v>
      </c>
      <c r="H407" s="2" t="b">
        <v>1</v>
      </c>
      <c r="I407" s="2" t="b">
        <v>1</v>
      </c>
      <c r="J407" s="2" t="b">
        <v>0</v>
      </c>
      <c r="K407" s="2" t="b">
        <v>0</v>
      </c>
      <c r="L407" s="2" t="b">
        <v>0</v>
      </c>
      <c r="M407" s="2" t="b">
        <v>0</v>
      </c>
      <c r="N407" s="2" t="b">
        <v>0</v>
      </c>
      <c r="O407" s="2" t="b">
        <v>0</v>
      </c>
      <c r="P407" s="68"/>
      <c r="R407" s="69"/>
      <c r="S407" s="68"/>
      <c r="U407" s="69"/>
      <c r="V407" s="68"/>
      <c r="X407" s="69"/>
      <c r="Y407" s="68"/>
      <c r="AA407" s="69"/>
      <c r="AB407" s="33">
        <f t="shared" si="12"/>
        <v>0</v>
      </c>
      <c r="AC407" s="45">
        <f>_xlfn.LET(_xlpm.ps_1,P407:R407, _xlpm.ps_2,S407:U407, _xlpm.ps_3,V407:X407, _xlpm.ps_4,Y407:AA407,
_xlpm.phase, MID(C407,SEARCH("-",C407)+1,256),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(_xlfn.XLOOKUP($C$7,site_assumptions[Details],site_assumptions[Volts])*SUMIFS(P407:AA407,_xlfn.ANCHORARRAY(D407),TRUE)/10*0.95)/1000,
IFERROR(IF(_xlpm.phase="3Phase", _xlpm.p3_calc, _xlpm.sp_calc),0))</f>
        <v>0</v>
      </c>
      <c r="AD407" s="29" t="str">
        <f ca="1"/>
        <v>Bare Metal</v>
      </c>
      <c r="AE407" s="30" t="str">
        <f ca="1"/>
        <v>Bare Metal</v>
      </c>
      <c r="AF407" s="30" t="str">
        <f ca="1"/>
        <v>Live</v>
      </c>
      <c r="AG407" s="30">
        <f ca="1"/>
        <v>6</v>
      </c>
      <c r="AH407" s="31" t="str">
        <f ca="1"/>
        <v>Unknown</v>
      </c>
      <c r="AI407" s="49">
        <f t="shared" ca="1" si="13"/>
        <v>0</v>
      </c>
      <c r="AJ407" s="71">
        <f ca="1"/>
        <v>8.93</v>
      </c>
    </row>
    <row r="408" spans="2:36" x14ac:dyDescent="0.25">
      <c r="B408" s="29" t="str">
        <f ca="1"/>
        <v>dal10.sr01.rk397</v>
      </c>
      <c r="C408" s="10" t="s">
        <v>2070</v>
      </c>
      <c r="D408" s="2" t="b" cm="1">
        <f t="array" ref="D408:O408">_xlfn._xlws.FILTER(IF(ancillary!$E$4:$P$8="",FALSE,ancillary!$E$4:$P$8),ancillary!$B$4:$B$8=$C408)</f>
        <v>1</v>
      </c>
      <c r="E408" s="2" t="b">
        <v>1</v>
      </c>
      <c r="F408" s="2" t="b">
        <v>1</v>
      </c>
      <c r="G408" s="2" t="b">
        <v>1</v>
      </c>
      <c r="H408" s="2" t="b">
        <v>1</v>
      </c>
      <c r="I408" s="2" t="b">
        <v>1</v>
      </c>
      <c r="J408" s="2" t="b">
        <v>0</v>
      </c>
      <c r="K408" s="2" t="b">
        <v>0</v>
      </c>
      <c r="L408" s="2" t="b">
        <v>0</v>
      </c>
      <c r="M408" s="2" t="b">
        <v>0</v>
      </c>
      <c r="N408" s="2" t="b">
        <v>0</v>
      </c>
      <c r="O408" s="2" t="b">
        <v>0</v>
      </c>
      <c r="P408" s="68"/>
      <c r="R408" s="69"/>
      <c r="S408" s="68"/>
      <c r="U408" s="69"/>
      <c r="V408" s="68"/>
      <c r="X408" s="69"/>
      <c r="Y408" s="68"/>
      <c r="AA408" s="69"/>
      <c r="AB408" s="33">
        <f t="shared" si="12"/>
        <v>0</v>
      </c>
      <c r="AC408" s="45">
        <f>_xlfn.LET(_xlpm.ps_1,P408:R408, _xlpm.ps_2,S408:U408, _xlpm.ps_3,V408:X408, _xlpm.ps_4,Y408:AA408,
_xlpm.phase, MID(C408,SEARCH("-",C408)+1,256),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(_xlfn.XLOOKUP($C$7,site_assumptions[Details],site_assumptions[Volts])*SUMIFS(P408:AA408,_xlfn.ANCHORARRAY(D408),TRUE)/10*0.95)/1000,
IFERROR(IF(_xlpm.phase="3Phase", _xlpm.p3_calc, _xlpm.sp_calc),0))</f>
        <v>0</v>
      </c>
      <c r="AD408" s="29" t="str">
        <f ca="1"/>
        <v>Bare Metal</v>
      </c>
      <c r="AE408" s="30" t="str">
        <f ca="1"/>
        <v>Bare Metal</v>
      </c>
      <c r="AF408" s="30" t="str">
        <f ca="1"/>
        <v>Live</v>
      </c>
      <c r="AG408" s="30">
        <f ca="1"/>
        <v>6</v>
      </c>
      <c r="AH408" s="31" t="str">
        <f ca="1"/>
        <v>Unknown</v>
      </c>
      <c r="AI408" s="49">
        <f t="shared" ca="1" si="13"/>
        <v>0</v>
      </c>
      <c r="AJ408" s="71">
        <f ca="1"/>
        <v>1.6619999999999999</v>
      </c>
    </row>
    <row r="409" spans="2:36" x14ac:dyDescent="0.25">
      <c r="B409" s="29" t="str">
        <f ca="1"/>
        <v>dal10.sr01.rk398</v>
      </c>
      <c r="C409" s="10" t="s">
        <v>2070</v>
      </c>
      <c r="D409" s="2" t="b" cm="1">
        <f t="array" ref="D409:O409">_xlfn._xlws.FILTER(IF(ancillary!$E$4:$P$8="",FALSE,ancillary!$E$4:$P$8),ancillary!$B$4:$B$8=$C409)</f>
        <v>1</v>
      </c>
      <c r="E409" s="2" t="b">
        <v>1</v>
      </c>
      <c r="F409" s="2" t="b">
        <v>1</v>
      </c>
      <c r="G409" s="2" t="b">
        <v>1</v>
      </c>
      <c r="H409" s="2" t="b">
        <v>1</v>
      </c>
      <c r="I409" s="2" t="b">
        <v>1</v>
      </c>
      <c r="J409" s="2" t="b">
        <v>0</v>
      </c>
      <c r="K409" s="2" t="b">
        <v>0</v>
      </c>
      <c r="L409" s="2" t="b">
        <v>0</v>
      </c>
      <c r="M409" s="2" t="b">
        <v>0</v>
      </c>
      <c r="N409" s="2" t="b">
        <v>0</v>
      </c>
      <c r="O409" s="2" t="b">
        <v>0</v>
      </c>
      <c r="P409" s="68"/>
      <c r="R409" s="69"/>
      <c r="S409" s="68"/>
      <c r="U409" s="69"/>
      <c r="V409" s="68"/>
      <c r="X409" s="69"/>
      <c r="Y409" s="68"/>
      <c r="AA409" s="69"/>
      <c r="AB409" s="33">
        <f t="shared" si="12"/>
        <v>0</v>
      </c>
      <c r="AC409" s="45">
        <f>_xlfn.LET(_xlpm.ps_1,P409:R409, _xlpm.ps_2,S409:U409, _xlpm.ps_3,V409:X409, _xlpm.ps_4,Y409:AA409,
_xlpm.phase, MID(C409,SEARCH("-",C409)+1,256),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(_xlfn.XLOOKUP($C$7,site_assumptions[Details],site_assumptions[Volts])*SUMIFS(P409:AA409,_xlfn.ANCHORARRAY(D409),TRUE)/10*0.95)/1000,
IFERROR(IF(_xlpm.phase="3Phase", _xlpm.p3_calc, _xlpm.sp_calc),0))</f>
        <v>0</v>
      </c>
      <c r="AD409" s="29" t="str">
        <f ca="1"/>
        <v>Bare Metal</v>
      </c>
      <c r="AE409" s="30" t="str">
        <f ca="1"/>
        <v>Bare Metal</v>
      </c>
      <c r="AF409" s="30" t="str">
        <f ca="1"/>
        <v>Live</v>
      </c>
      <c r="AG409" s="30">
        <f ca="1"/>
        <v>6</v>
      </c>
      <c r="AH409" s="31" t="str">
        <f ca="1"/>
        <v>Unknown</v>
      </c>
      <c r="AI409" s="49">
        <f t="shared" ca="1" si="13"/>
        <v>0</v>
      </c>
      <c r="AJ409" s="71">
        <f ca="1"/>
        <v>2.774</v>
      </c>
    </row>
    <row r="410" spans="2:36" x14ac:dyDescent="0.25">
      <c r="B410" s="29" t="str">
        <f ca="1"/>
        <v>dal10.sr01.rk399</v>
      </c>
      <c r="C410" s="10" t="s">
        <v>2070</v>
      </c>
      <c r="D410" s="2" t="b" cm="1">
        <f t="array" ref="D410:O410">_xlfn._xlws.FILTER(IF(ancillary!$E$4:$P$8="",FALSE,ancillary!$E$4:$P$8),ancillary!$B$4:$B$8=$C410)</f>
        <v>1</v>
      </c>
      <c r="E410" s="2" t="b">
        <v>1</v>
      </c>
      <c r="F410" s="2" t="b">
        <v>1</v>
      </c>
      <c r="G410" s="2" t="b">
        <v>1</v>
      </c>
      <c r="H410" s="2" t="b">
        <v>1</v>
      </c>
      <c r="I410" s="2" t="b">
        <v>1</v>
      </c>
      <c r="J410" s="2" t="b">
        <v>0</v>
      </c>
      <c r="K410" s="2" t="b">
        <v>0</v>
      </c>
      <c r="L410" s="2" t="b">
        <v>0</v>
      </c>
      <c r="M410" s="2" t="b">
        <v>0</v>
      </c>
      <c r="N410" s="2" t="b">
        <v>0</v>
      </c>
      <c r="O410" s="2" t="b">
        <v>0</v>
      </c>
      <c r="P410" s="68"/>
      <c r="R410" s="69"/>
      <c r="S410" s="68"/>
      <c r="U410" s="69"/>
      <c r="V410" s="68"/>
      <c r="X410" s="69"/>
      <c r="Y410" s="68"/>
      <c r="AA410" s="69"/>
      <c r="AB410" s="33">
        <f t="shared" si="12"/>
        <v>0</v>
      </c>
      <c r="AC410" s="45">
        <f>_xlfn.LET(_xlpm.ps_1,P410:R410, _xlpm.ps_2,S410:U410, _xlpm.ps_3,V410:X410, _xlpm.ps_4,Y410:AA410,
_xlpm.phase, MID(C410,SEARCH("-",C410)+1,256),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(_xlfn.XLOOKUP($C$7,site_assumptions[Details],site_assumptions[Volts])*SUMIFS(P410:AA410,_xlfn.ANCHORARRAY(D410),TRUE)/10*0.95)/1000,
IFERROR(IF(_xlpm.phase="3Phase", _xlpm.p3_calc, _xlpm.sp_calc),0))</f>
        <v>0</v>
      </c>
      <c r="AD410" s="29" t="str">
        <f ca="1"/>
        <v>Bare Metal</v>
      </c>
      <c r="AE410" s="30" t="str">
        <f ca="1"/>
        <v>Bare Metal</v>
      </c>
      <c r="AF410" s="30" t="str">
        <f ca="1"/>
        <v>Live</v>
      </c>
      <c r="AG410" s="30">
        <f ca="1"/>
        <v>6</v>
      </c>
      <c r="AH410" s="31" t="str">
        <f ca="1"/>
        <v>Unknown</v>
      </c>
      <c r="AI410" s="49">
        <f t="shared" ca="1" si="13"/>
        <v>0</v>
      </c>
      <c r="AJ410" s="71">
        <f ca="1"/>
        <v>5.37</v>
      </c>
    </row>
    <row r="411" spans="2:36" x14ac:dyDescent="0.25">
      <c r="B411" s="29" t="str">
        <f ca="1"/>
        <v>dal10.sr01.rk400</v>
      </c>
      <c r="C411" s="10" t="s">
        <v>2070</v>
      </c>
      <c r="D411" s="2" t="b" cm="1">
        <f t="array" ref="D411:O411">_xlfn._xlws.FILTER(IF(ancillary!$E$4:$P$8="",FALSE,ancillary!$E$4:$P$8),ancillary!$B$4:$B$8=$C411)</f>
        <v>1</v>
      </c>
      <c r="E411" s="2" t="b">
        <v>1</v>
      </c>
      <c r="F411" s="2" t="b">
        <v>1</v>
      </c>
      <c r="G411" s="2" t="b">
        <v>1</v>
      </c>
      <c r="H411" s="2" t="b">
        <v>1</v>
      </c>
      <c r="I411" s="2" t="b">
        <v>1</v>
      </c>
      <c r="J411" s="2" t="b">
        <v>0</v>
      </c>
      <c r="K411" s="2" t="b">
        <v>0</v>
      </c>
      <c r="L411" s="2" t="b">
        <v>0</v>
      </c>
      <c r="M411" s="2" t="b">
        <v>0</v>
      </c>
      <c r="N411" s="2" t="b">
        <v>0</v>
      </c>
      <c r="O411" s="2" t="b">
        <v>0</v>
      </c>
      <c r="P411" s="68"/>
      <c r="R411" s="69"/>
      <c r="S411" s="68"/>
      <c r="U411" s="69"/>
      <c r="V411" s="68"/>
      <c r="X411" s="69"/>
      <c r="Y411" s="68"/>
      <c r="AA411" s="69"/>
      <c r="AB411" s="33">
        <f t="shared" si="12"/>
        <v>0</v>
      </c>
      <c r="AC411" s="45">
        <f>_xlfn.LET(_xlpm.ps_1,P411:R411, _xlpm.ps_2,S411:U411, _xlpm.ps_3,V411:X411, _xlpm.ps_4,Y411:AA411,
_xlpm.phase, MID(C411,SEARCH("-",C411)+1,256),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(_xlfn.XLOOKUP($C$7,site_assumptions[Details],site_assumptions[Volts])*SUMIFS(P411:AA411,_xlfn.ANCHORARRAY(D411),TRUE)/10*0.95)/1000,
IFERROR(IF(_xlpm.phase="3Phase", _xlpm.p3_calc, _xlpm.sp_calc),0))</f>
        <v>0</v>
      </c>
      <c r="AD411" s="29" t="str">
        <f ca="1"/>
        <v>Bare Metal</v>
      </c>
      <c r="AE411" s="30" t="str">
        <f ca="1"/>
        <v>Bare Metal</v>
      </c>
      <c r="AF411" s="30" t="str">
        <f ca="1"/>
        <v>Live</v>
      </c>
      <c r="AG411" s="30">
        <f ca="1"/>
        <v>6</v>
      </c>
      <c r="AH411" s="31" t="str">
        <f ca="1"/>
        <v>Unknown</v>
      </c>
      <c r="AI411" s="49">
        <f t="shared" ca="1" si="13"/>
        <v>0</v>
      </c>
      <c r="AJ411" s="71">
        <f ca="1"/>
        <v>0.86699999999999999</v>
      </c>
    </row>
    <row r="412" spans="2:36" x14ac:dyDescent="0.25">
      <c r="B412" s="29" t="str">
        <f ca="1"/>
        <v>dal10.sr01.rk401</v>
      </c>
      <c r="C412" s="10" t="s">
        <v>2070</v>
      </c>
      <c r="D412" s="2" t="b" cm="1">
        <f t="array" ref="D412:O412">_xlfn._xlws.FILTER(IF(ancillary!$E$4:$P$8="",FALSE,ancillary!$E$4:$P$8),ancillary!$B$4:$B$8=$C412)</f>
        <v>1</v>
      </c>
      <c r="E412" s="2" t="b">
        <v>1</v>
      </c>
      <c r="F412" s="2" t="b">
        <v>1</v>
      </c>
      <c r="G412" s="2" t="b">
        <v>1</v>
      </c>
      <c r="H412" s="2" t="b">
        <v>1</v>
      </c>
      <c r="I412" s="2" t="b">
        <v>1</v>
      </c>
      <c r="J412" s="2" t="b">
        <v>0</v>
      </c>
      <c r="K412" s="2" t="b">
        <v>0</v>
      </c>
      <c r="L412" s="2" t="b">
        <v>0</v>
      </c>
      <c r="M412" s="2" t="b">
        <v>0</v>
      </c>
      <c r="N412" s="2" t="b">
        <v>0</v>
      </c>
      <c r="O412" s="2" t="b">
        <v>0</v>
      </c>
      <c r="P412" s="68"/>
      <c r="R412" s="69"/>
      <c r="S412" s="68"/>
      <c r="U412" s="69"/>
      <c r="V412" s="68"/>
      <c r="X412" s="69"/>
      <c r="Y412" s="68"/>
      <c r="AA412" s="69"/>
      <c r="AB412" s="33">
        <f t="shared" si="12"/>
        <v>0</v>
      </c>
      <c r="AC412" s="45">
        <f>_xlfn.LET(_xlpm.ps_1,P412:R412, _xlpm.ps_2,S412:U412, _xlpm.ps_3,V412:X412, _xlpm.ps_4,Y412:AA412,
_xlpm.phase, MID(C412,SEARCH("-",C412)+1,256),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(_xlfn.XLOOKUP($C$7,site_assumptions[Details],site_assumptions[Volts])*SUMIFS(P412:AA412,_xlfn.ANCHORARRAY(D412),TRUE)/10*0.95)/1000,
IFERROR(IF(_xlpm.phase="3Phase", _xlpm.p3_calc, _xlpm.sp_calc),0))</f>
        <v>0</v>
      </c>
      <c r="AD412" s="29" t="str">
        <f ca="1"/>
        <v>Bare Metal</v>
      </c>
      <c r="AE412" s="30" t="str">
        <f ca="1"/>
        <v>Bare Metal</v>
      </c>
      <c r="AF412" s="30" t="str">
        <f ca="1"/>
        <v>Live</v>
      </c>
      <c r="AG412" s="30">
        <f ca="1"/>
        <v>6</v>
      </c>
      <c r="AH412" s="31" t="str">
        <f ca="1"/>
        <v>Unknown</v>
      </c>
      <c r="AI412" s="49">
        <f t="shared" ca="1" si="13"/>
        <v>0</v>
      </c>
      <c r="AJ412" s="71">
        <f ca="1"/>
        <v>1.7030000000000001</v>
      </c>
    </row>
    <row r="413" spans="2:36" x14ac:dyDescent="0.25">
      <c r="B413" s="29" t="str">
        <f ca="1"/>
        <v>dal10.sr01.rk402</v>
      </c>
      <c r="C413" s="10" t="s">
        <v>2070</v>
      </c>
      <c r="D413" s="2" t="b" cm="1">
        <f t="array" ref="D413:O413">_xlfn._xlws.FILTER(IF(ancillary!$E$4:$P$8="",FALSE,ancillary!$E$4:$P$8),ancillary!$B$4:$B$8=$C413)</f>
        <v>1</v>
      </c>
      <c r="E413" s="2" t="b">
        <v>1</v>
      </c>
      <c r="F413" s="2" t="b">
        <v>1</v>
      </c>
      <c r="G413" s="2" t="b">
        <v>1</v>
      </c>
      <c r="H413" s="2" t="b">
        <v>1</v>
      </c>
      <c r="I413" s="2" t="b">
        <v>1</v>
      </c>
      <c r="J413" s="2" t="b">
        <v>0</v>
      </c>
      <c r="K413" s="2" t="b">
        <v>0</v>
      </c>
      <c r="L413" s="2" t="b">
        <v>0</v>
      </c>
      <c r="M413" s="2" t="b">
        <v>0</v>
      </c>
      <c r="N413" s="2" t="b">
        <v>0</v>
      </c>
      <c r="O413" s="2" t="b">
        <v>0</v>
      </c>
      <c r="P413" s="68"/>
      <c r="R413" s="69"/>
      <c r="S413" s="68"/>
      <c r="U413" s="69"/>
      <c r="V413" s="68"/>
      <c r="X413" s="69"/>
      <c r="Y413" s="68"/>
      <c r="AA413" s="69"/>
      <c r="AB413" s="33">
        <f t="shared" si="12"/>
        <v>0</v>
      </c>
      <c r="AC413" s="45">
        <f>_xlfn.LET(_xlpm.ps_1,P413:R413, _xlpm.ps_2,S413:U413, _xlpm.ps_3,V413:X413, _xlpm.ps_4,Y413:AA413,
_xlpm.phase, MID(C413,SEARCH("-",C413)+1,256),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(_xlfn.XLOOKUP($C$7,site_assumptions[Details],site_assumptions[Volts])*SUMIFS(P413:AA413,_xlfn.ANCHORARRAY(D413),TRUE)/10*0.95)/1000,
IFERROR(IF(_xlpm.phase="3Phase", _xlpm.p3_calc, _xlpm.sp_calc),0))</f>
        <v>0</v>
      </c>
      <c r="AD413" s="29" t="str">
        <f ca="1"/>
        <v>Network</v>
      </c>
      <c r="AE413" s="30" t="str">
        <f ca="1"/>
        <v>Aggregate</v>
      </c>
      <c r="AF413" s="30" t="str">
        <f ca="1"/>
        <v>Live</v>
      </c>
      <c r="AG413" s="30">
        <f ca="1"/>
        <v>5</v>
      </c>
      <c r="AH413" s="31" t="str">
        <f ca="1"/>
        <v>Unknown</v>
      </c>
      <c r="AI413" s="49">
        <f t="shared" ca="1" si="13"/>
        <v>0</v>
      </c>
      <c r="AJ413" s="71">
        <f ca="1"/>
        <v>0</v>
      </c>
    </row>
    <row r="414" spans="2:36" x14ac:dyDescent="0.25">
      <c r="B414" s="29" t="str">
        <f ca="1"/>
        <v>dal10.sr01.rk403</v>
      </c>
      <c r="C414" s="10" t="s">
        <v>2070</v>
      </c>
      <c r="D414" s="2" t="b" cm="1">
        <f t="array" ref="D414:O414">_xlfn._xlws.FILTER(IF(ancillary!$E$4:$P$8="",FALSE,ancillary!$E$4:$P$8),ancillary!$B$4:$B$8=$C414)</f>
        <v>1</v>
      </c>
      <c r="E414" s="2" t="b">
        <v>1</v>
      </c>
      <c r="F414" s="2" t="b">
        <v>1</v>
      </c>
      <c r="G414" s="2" t="b">
        <v>1</v>
      </c>
      <c r="H414" s="2" t="b">
        <v>1</v>
      </c>
      <c r="I414" s="2" t="b">
        <v>1</v>
      </c>
      <c r="J414" s="2" t="b">
        <v>0</v>
      </c>
      <c r="K414" s="2" t="b">
        <v>0</v>
      </c>
      <c r="L414" s="2" t="b">
        <v>0</v>
      </c>
      <c r="M414" s="2" t="b">
        <v>0</v>
      </c>
      <c r="N414" s="2" t="b">
        <v>0</v>
      </c>
      <c r="O414" s="2" t="b">
        <v>0</v>
      </c>
      <c r="P414" s="68"/>
      <c r="R414" s="69"/>
      <c r="S414" s="68"/>
      <c r="U414" s="69"/>
      <c r="V414" s="68"/>
      <c r="X414" s="69"/>
      <c r="Y414" s="68"/>
      <c r="AA414" s="69"/>
      <c r="AB414" s="33">
        <f t="shared" si="12"/>
        <v>0</v>
      </c>
      <c r="AC414" s="45">
        <f>_xlfn.LET(_xlpm.ps_1,P414:R414, _xlpm.ps_2,S414:U414, _xlpm.ps_3,V414:X414, _xlpm.ps_4,Y414:AA414,
_xlpm.phase, MID(C414,SEARCH("-",C414)+1,256),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(_xlfn.XLOOKUP($C$7,site_assumptions[Details],site_assumptions[Volts])*SUMIFS(P414:AA414,_xlfn.ANCHORARRAY(D414),TRUE)/10*0.95)/1000,
IFERROR(IF(_xlpm.phase="3Phase", _xlpm.p3_calc, _xlpm.sp_calc),0))</f>
        <v>0</v>
      </c>
      <c r="AD414" s="29" t="str">
        <f ca="1"/>
        <v>Bare Metal</v>
      </c>
      <c r="AE414" s="30" t="str">
        <f ca="1"/>
        <v>Bare Metal</v>
      </c>
      <c r="AF414" s="30" t="str">
        <f ca="1"/>
        <v>Live</v>
      </c>
      <c r="AG414" s="30">
        <f ca="1"/>
        <v>6</v>
      </c>
      <c r="AH414" s="31" t="str">
        <f ca="1"/>
        <v>Unknown</v>
      </c>
      <c r="AI414" s="49">
        <f t="shared" ca="1" si="13"/>
        <v>0</v>
      </c>
      <c r="AJ414" s="71">
        <f ca="1"/>
        <v>2.8220000000000001</v>
      </c>
    </row>
    <row r="415" spans="2:36" x14ac:dyDescent="0.25">
      <c r="B415" s="29" t="str">
        <f ca="1"/>
        <v>dal10.sr01.rk404</v>
      </c>
      <c r="C415" s="10" t="s">
        <v>2070</v>
      </c>
      <c r="D415" s="2" t="b" cm="1">
        <f t="array" ref="D415:O415">_xlfn._xlws.FILTER(IF(ancillary!$E$4:$P$8="",FALSE,ancillary!$E$4:$P$8),ancillary!$B$4:$B$8=$C415)</f>
        <v>1</v>
      </c>
      <c r="E415" s="2" t="b">
        <v>1</v>
      </c>
      <c r="F415" s="2" t="b">
        <v>1</v>
      </c>
      <c r="G415" s="2" t="b">
        <v>1</v>
      </c>
      <c r="H415" s="2" t="b">
        <v>1</v>
      </c>
      <c r="I415" s="2" t="b">
        <v>1</v>
      </c>
      <c r="J415" s="2" t="b">
        <v>0</v>
      </c>
      <c r="K415" s="2" t="b">
        <v>0</v>
      </c>
      <c r="L415" s="2" t="b">
        <v>0</v>
      </c>
      <c r="M415" s="2" t="b">
        <v>0</v>
      </c>
      <c r="N415" s="2" t="b">
        <v>0</v>
      </c>
      <c r="O415" s="2" t="b">
        <v>0</v>
      </c>
      <c r="P415" s="68"/>
      <c r="R415" s="69"/>
      <c r="S415" s="68"/>
      <c r="U415" s="69"/>
      <c r="V415" s="68"/>
      <c r="X415" s="69"/>
      <c r="Y415" s="68"/>
      <c r="AA415" s="69"/>
      <c r="AB415" s="33">
        <f t="shared" si="12"/>
        <v>0</v>
      </c>
      <c r="AC415" s="45">
        <f>_xlfn.LET(_xlpm.ps_1,P415:R415, _xlpm.ps_2,S415:U415, _xlpm.ps_3,V415:X415, _xlpm.ps_4,Y415:AA415,
_xlpm.phase, MID(C415,SEARCH("-",C415)+1,256),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(_xlfn.XLOOKUP($C$7,site_assumptions[Details],site_assumptions[Volts])*SUMIFS(P415:AA415,_xlfn.ANCHORARRAY(D415),TRUE)/10*0.95)/1000,
IFERROR(IF(_xlpm.phase="3Phase", _xlpm.p3_calc, _xlpm.sp_calc),0))</f>
        <v>0</v>
      </c>
      <c r="AD415" s="29" t="str">
        <f ca="1"/>
        <v>Bare Metal</v>
      </c>
      <c r="AE415" s="30" t="str">
        <f ca="1"/>
        <v>Bare Metal</v>
      </c>
      <c r="AF415" s="30" t="str">
        <f ca="1"/>
        <v>Live</v>
      </c>
      <c r="AG415" s="30">
        <f ca="1"/>
        <v>6</v>
      </c>
      <c r="AH415" s="31" t="str">
        <f ca="1"/>
        <v>Unknown</v>
      </c>
      <c r="AI415" s="49">
        <f t="shared" ca="1" si="13"/>
        <v>0</v>
      </c>
      <c r="AJ415" s="71">
        <f ca="1"/>
        <v>2.8620000000000001</v>
      </c>
    </row>
    <row r="416" spans="2:36" x14ac:dyDescent="0.25">
      <c r="B416" s="29" t="str">
        <f ca="1"/>
        <v>dal10.sr01.rk405</v>
      </c>
      <c r="C416" s="10" t="s">
        <v>2070</v>
      </c>
      <c r="D416" s="2" t="b" cm="1">
        <f t="array" ref="D416:O416">_xlfn._xlws.FILTER(IF(ancillary!$E$4:$P$8="",FALSE,ancillary!$E$4:$P$8),ancillary!$B$4:$B$8=$C416)</f>
        <v>1</v>
      </c>
      <c r="E416" s="2" t="b">
        <v>1</v>
      </c>
      <c r="F416" s="2" t="b">
        <v>1</v>
      </c>
      <c r="G416" s="2" t="b">
        <v>1</v>
      </c>
      <c r="H416" s="2" t="b">
        <v>1</v>
      </c>
      <c r="I416" s="2" t="b">
        <v>1</v>
      </c>
      <c r="J416" s="2" t="b">
        <v>0</v>
      </c>
      <c r="K416" s="2" t="b">
        <v>0</v>
      </c>
      <c r="L416" s="2" t="b">
        <v>0</v>
      </c>
      <c r="M416" s="2" t="b">
        <v>0</v>
      </c>
      <c r="N416" s="2" t="b">
        <v>0</v>
      </c>
      <c r="O416" s="2" t="b">
        <v>0</v>
      </c>
      <c r="P416" s="68"/>
      <c r="R416" s="69"/>
      <c r="S416" s="68"/>
      <c r="U416" s="69"/>
      <c r="V416" s="68"/>
      <c r="X416" s="69"/>
      <c r="Y416" s="68"/>
      <c r="AA416" s="69"/>
      <c r="AB416" s="33">
        <f t="shared" si="12"/>
        <v>0</v>
      </c>
      <c r="AC416" s="45">
        <f>_xlfn.LET(_xlpm.ps_1,P416:R416, _xlpm.ps_2,S416:U416, _xlpm.ps_3,V416:X416, _xlpm.ps_4,Y416:AA416,
_xlpm.phase, MID(C416,SEARCH("-",C416)+1,256),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(_xlfn.XLOOKUP($C$7,site_assumptions[Details],site_assumptions[Volts])*SUMIFS(P416:AA416,_xlfn.ANCHORARRAY(D416),TRUE)/10*0.95)/1000,
IFERROR(IF(_xlpm.phase="3Phase", _xlpm.p3_calc, _xlpm.sp_calc),0))</f>
        <v>0</v>
      </c>
      <c r="AD416" s="29" t="str">
        <f ca="1"/>
        <v>Bare Metal</v>
      </c>
      <c r="AE416" s="30" t="str">
        <f ca="1"/>
        <v>Bare Metal</v>
      </c>
      <c r="AF416" s="30" t="str">
        <f ca="1"/>
        <v>Live</v>
      </c>
      <c r="AG416" s="30">
        <f ca="1"/>
        <v>6</v>
      </c>
      <c r="AH416" s="31" t="str">
        <f ca="1"/>
        <v>Unknown</v>
      </c>
      <c r="AI416" s="49">
        <f t="shared" ca="1" si="13"/>
        <v>0</v>
      </c>
      <c r="AJ416" s="71">
        <f ca="1"/>
        <v>1.6379999999999999</v>
      </c>
    </row>
    <row r="417" spans="2:36" x14ac:dyDescent="0.25">
      <c r="B417" s="29" t="str">
        <f ca="1"/>
        <v>dal10.sr01.rk406</v>
      </c>
      <c r="C417" s="10" t="s">
        <v>2070</v>
      </c>
      <c r="D417" s="2" t="b" cm="1">
        <f t="array" ref="D417:O417">_xlfn._xlws.FILTER(IF(ancillary!$E$4:$P$8="",FALSE,ancillary!$E$4:$P$8),ancillary!$B$4:$B$8=$C417)</f>
        <v>1</v>
      </c>
      <c r="E417" s="2" t="b">
        <v>1</v>
      </c>
      <c r="F417" s="2" t="b">
        <v>1</v>
      </c>
      <c r="G417" s="2" t="b">
        <v>1</v>
      </c>
      <c r="H417" s="2" t="b">
        <v>1</v>
      </c>
      <c r="I417" s="2" t="b">
        <v>1</v>
      </c>
      <c r="J417" s="2" t="b">
        <v>0</v>
      </c>
      <c r="K417" s="2" t="b">
        <v>0</v>
      </c>
      <c r="L417" s="2" t="b">
        <v>0</v>
      </c>
      <c r="M417" s="2" t="b">
        <v>0</v>
      </c>
      <c r="N417" s="2" t="b">
        <v>0</v>
      </c>
      <c r="O417" s="2" t="b">
        <v>0</v>
      </c>
      <c r="P417" s="68"/>
      <c r="R417" s="69"/>
      <c r="S417" s="68"/>
      <c r="U417" s="69"/>
      <c r="V417" s="68"/>
      <c r="X417" s="69"/>
      <c r="Y417" s="68"/>
      <c r="AA417" s="69"/>
      <c r="AB417" s="33">
        <f t="shared" si="12"/>
        <v>0</v>
      </c>
      <c r="AC417" s="45">
        <f>_xlfn.LET(_xlpm.ps_1,P417:R417, _xlpm.ps_2,S417:U417, _xlpm.ps_3,V417:X417, _xlpm.ps_4,Y417:AA417,
_xlpm.phase, MID(C417,SEARCH("-",C417)+1,256),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(_xlfn.XLOOKUP($C$7,site_assumptions[Details],site_assumptions[Volts])*SUMIFS(P417:AA417,_xlfn.ANCHORARRAY(D417),TRUE)/10*0.95)/1000,
IFERROR(IF(_xlpm.phase="3Phase", _xlpm.p3_calc, _xlpm.sp_calc),0))</f>
        <v>0</v>
      </c>
      <c r="AD417" s="29" t="str">
        <f ca="1"/>
        <v>Bare Metal</v>
      </c>
      <c r="AE417" s="30" t="str">
        <f ca="1"/>
        <v>Bare Metal</v>
      </c>
      <c r="AF417" s="30" t="str">
        <f ca="1"/>
        <v>Live</v>
      </c>
      <c r="AG417" s="30">
        <f ca="1"/>
        <v>6</v>
      </c>
      <c r="AH417" s="31" t="str">
        <f ca="1"/>
        <v>Unknown</v>
      </c>
      <c r="AI417" s="49">
        <f t="shared" ca="1" si="13"/>
        <v>0</v>
      </c>
      <c r="AJ417" s="71">
        <f ca="1"/>
        <v>1.1639999999999999</v>
      </c>
    </row>
    <row r="418" spans="2:36" x14ac:dyDescent="0.25">
      <c r="B418" s="29" t="str">
        <f ca="1"/>
        <v>dal10.sr01.rk407</v>
      </c>
      <c r="C418" s="10" t="s">
        <v>2070</v>
      </c>
      <c r="D418" s="2" t="b" cm="1">
        <f t="array" ref="D418:O418">_xlfn._xlws.FILTER(IF(ancillary!$E$4:$P$8="",FALSE,ancillary!$E$4:$P$8),ancillary!$B$4:$B$8=$C418)</f>
        <v>1</v>
      </c>
      <c r="E418" s="2" t="b">
        <v>1</v>
      </c>
      <c r="F418" s="2" t="b">
        <v>1</v>
      </c>
      <c r="G418" s="2" t="b">
        <v>1</v>
      </c>
      <c r="H418" s="2" t="b">
        <v>1</v>
      </c>
      <c r="I418" s="2" t="b">
        <v>1</v>
      </c>
      <c r="J418" s="2" t="b">
        <v>0</v>
      </c>
      <c r="K418" s="2" t="b">
        <v>0</v>
      </c>
      <c r="L418" s="2" t="b">
        <v>0</v>
      </c>
      <c r="M418" s="2" t="b">
        <v>0</v>
      </c>
      <c r="N418" s="2" t="b">
        <v>0</v>
      </c>
      <c r="O418" s="2" t="b">
        <v>0</v>
      </c>
      <c r="P418" s="68"/>
      <c r="R418" s="69"/>
      <c r="S418" s="68"/>
      <c r="U418" s="69"/>
      <c r="V418" s="68"/>
      <c r="X418" s="69"/>
      <c r="Y418" s="68"/>
      <c r="AA418" s="69"/>
      <c r="AB418" s="33">
        <f t="shared" si="12"/>
        <v>0</v>
      </c>
      <c r="AC418" s="45">
        <f>_xlfn.LET(_xlpm.ps_1,P418:R418, _xlpm.ps_2,S418:U418, _xlpm.ps_3,V418:X418, _xlpm.ps_4,Y418:AA418,
_xlpm.phase, MID(C418,SEARCH("-",C418)+1,256),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(_xlfn.XLOOKUP($C$7,site_assumptions[Details],site_assumptions[Volts])*SUMIFS(P418:AA418,_xlfn.ANCHORARRAY(D418),TRUE)/10*0.95)/1000,
IFERROR(IF(_xlpm.phase="3Phase", _xlpm.p3_calc, _xlpm.sp_calc),0))</f>
        <v>0</v>
      </c>
      <c r="AD418" s="29" t="str">
        <f ca="1"/>
        <v>Bare Metal</v>
      </c>
      <c r="AE418" s="30" t="str">
        <f ca="1"/>
        <v>Bare Metal</v>
      </c>
      <c r="AF418" s="30" t="str">
        <f ca="1"/>
        <v>Live</v>
      </c>
      <c r="AG418" s="30">
        <f ca="1"/>
        <v>6</v>
      </c>
      <c r="AH418" s="31" t="str">
        <f ca="1"/>
        <v>Unknown</v>
      </c>
      <c r="AI418" s="49">
        <f t="shared" ca="1" si="13"/>
        <v>0</v>
      </c>
      <c r="AJ418" s="71">
        <f ca="1"/>
        <v>2.2909999999999999</v>
      </c>
    </row>
    <row r="419" spans="2:36" x14ac:dyDescent="0.25">
      <c r="B419" s="29" t="str">
        <f ca="1"/>
        <v>dal10.sr01.rk408</v>
      </c>
      <c r="C419" s="10" t="s">
        <v>2070</v>
      </c>
      <c r="D419" s="2" t="b" cm="1">
        <f t="array" ref="D419:O419">_xlfn._xlws.FILTER(IF(ancillary!$E$4:$P$8="",FALSE,ancillary!$E$4:$P$8),ancillary!$B$4:$B$8=$C419)</f>
        <v>1</v>
      </c>
      <c r="E419" s="2" t="b">
        <v>1</v>
      </c>
      <c r="F419" s="2" t="b">
        <v>1</v>
      </c>
      <c r="G419" s="2" t="b">
        <v>1</v>
      </c>
      <c r="H419" s="2" t="b">
        <v>1</v>
      </c>
      <c r="I419" s="2" t="b">
        <v>1</v>
      </c>
      <c r="J419" s="2" t="b">
        <v>0</v>
      </c>
      <c r="K419" s="2" t="b">
        <v>0</v>
      </c>
      <c r="L419" s="2" t="b">
        <v>0</v>
      </c>
      <c r="M419" s="2" t="b">
        <v>0</v>
      </c>
      <c r="N419" s="2" t="b">
        <v>0</v>
      </c>
      <c r="O419" s="2" t="b">
        <v>0</v>
      </c>
      <c r="P419" s="68"/>
      <c r="R419" s="69"/>
      <c r="S419" s="68"/>
      <c r="U419" s="69"/>
      <c r="V419" s="68"/>
      <c r="X419" s="69"/>
      <c r="Y419" s="68"/>
      <c r="AA419" s="69"/>
      <c r="AB419" s="33">
        <f t="shared" si="12"/>
        <v>0</v>
      </c>
      <c r="AC419" s="45">
        <f>_xlfn.LET(_xlpm.ps_1,P419:R419, _xlpm.ps_2,S419:U419, _xlpm.ps_3,V419:X419, _xlpm.ps_4,Y419:AA419,
_xlpm.phase, MID(C419,SEARCH("-",C419)+1,256),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(_xlfn.XLOOKUP($C$7,site_assumptions[Details],site_assumptions[Volts])*SUMIFS(P419:AA419,_xlfn.ANCHORARRAY(D419),TRUE)/10*0.95)/1000,
IFERROR(IF(_xlpm.phase="3Phase", _xlpm.p3_calc, _xlpm.sp_calc),0))</f>
        <v>0</v>
      </c>
      <c r="AD419" s="29" t="str">
        <f ca="1"/>
        <v>Bare Metal</v>
      </c>
      <c r="AE419" s="30" t="str">
        <f ca="1"/>
        <v>Bare Metal</v>
      </c>
      <c r="AF419" s="30" t="str">
        <f ca="1"/>
        <v>Live</v>
      </c>
      <c r="AG419" s="30">
        <f ca="1"/>
        <v>6</v>
      </c>
      <c r="AH419" s="31" t="str">
        <f ca="1"/>
        <v>Unknown</v>
      </c>
      <c r="AI419" s="49">
        <f t="shared" ca="1" si="13"/>
        <v>0</v>
      </c>
      <c r="AJ419" s="71">
        <f ca="1"/>
        <v>0.995</v>
      </c>
    </row>
    <row r="420" spans="2:36" x14ac:dyDescent="0.25">
      <c r="B420" s="29" t="str">
        <f ca="1"/>
        <v>dal10.sr01.rk409</v>
      </c>
      <c r="C420" s="10" t="s">
        <v>2070</v>
      </c>
      <c r="D420" s="2" t="b" cm="1">
        <f t="array" ref="D420:O420">_xlfn._xlws.FILTER(IF(ancillary!$E$4:$P$8="",FALSE,ancillary!$E$4:$P$8),ancillary!$B$4:$B$8=$C420)</f>
        <v>1</v>
      </c>
      <c r="E420" s="2" t="b">
        <v>1</v>
      </c>
      <c r="F420" s="2" t="b">
        <v>1</v>
      </c>
      <c r="G420" s="2" t="b">
        <v>1</v>
      </c>
      <c r="H420" s="2" t="b">
        <v>1</v>
      </c>
      <c r="I420" s="2" t="b">
        <v>1</v>
      </c>
      <c r="J420" s="2" t="b">
        <v>0</v>
      </c>
      <c r="K420" s="2" t="b">
        <v>0</v>
      </c>
      <c r="L420" s="2" t="b">
        <v>0</v>
      </c>
      <c r="M420" s="2" t="b">
        <v>0</v>
      </c>
      <c r="N420" s="2" t="b">
        <v>0</v>
      </c>
      <c r="O420" s="2" t="b">
        <v>0</v>
      </c>
      <c r="P420" s="68"/>
      <c r="R420" s="69"/>
      <c r="S420" s="68"/>
      <c r="U420" s="69"/>
      <c r="V420" s="68"/>
      <c r="X420" s="69"/>
      <c r="Y420" s="68"/>
      <c r="AA420" s="69"/>
      <c r="AB420" s="33">
        <f t="shared" si="12"/>
        <v>0</v>
      </c>
      <c r="AC420" s="45">
        <f>_xlfn.LET(_xlpm.ps_1,P420:R420, _xlpm.ps_2,S420:U420, _xlpm.ps_3,V420:X420, _xlpm.ps_4,Y420:AA420,
_xlpm.phase, MID(C420,SEARCH("-",C420)+1,256),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(_xlfn.XLOOKUP($C$7,site_assumptions[Details],site_assumptions[Volts])*SUMIFS(P420:AA420,_xlfn.ANCHORARRAY(D420),TRUE)/10*0.95)/1000,
IFERROR(IF(_xlpm.phase="3Phase", _xlpm.p3_calc, _xlpm.sp_calc),0))</f>
        <v>0</v>
      </c>
      <c r="AD420" s="29" t="str">
        <f ca="1"/>
        <v>Bare Metal</v>
      </c>
      <c r="AE420" s="30" t="str">
        <f ca="1"/>
        <v>Bare Metal</v>
      </c>
      <c r="AF420" s="30" t="str">
        <f ca="1"/>
        <v>Live</v>
      </c>
      <c r="AG420" s="30">
        <f ca="1"/>
        <v>6</v>
      </c>
      <c r="AH420" s="31" t="str">
        <f ca="1"/>
        <v>Unknown</v>
      </c>
      <c r="AI420" s="49">
        <f t="shared" ca="1" si="13"/>
        <v>0</v>
      </c>
      <c r="AJ420" s="71">
        <f ca="1"/>
        <v>1.5620000000000001</v>
      </c>
    </row>
    <row r="421" spans="2:36" x14ac:dyDescent="0.25">
      <c r="B421" s="29" t="str">
        <f ca="1"/>
        <v>dal10.sr01.rk410</v>
      </c>
      <c r="C421" s="10" t="s">
        <v>2070</v>
      </c>
      <c r="D421" s="2" t="b" cm="1">
        <f t="array" ref="D421:O421">_xlfn._xlws.FILTER(IF(ancillary!$E$4:$P$8="",FALSE,ancillary!$E$4:$P$8),ancillary!$B$4:$B$8=$C421)</f>
        <v>1</v>
      </c>
      <c r="E421" s="2" t="b">
        <v>1</v>
      </c>
      <c r="F421" s="2" t="b">
        <v>1</v>
      </c>
      <c r="G421" s="2" t="b">
        <v>1</v>
      </c>
      <c r="H421" s="2" t="b">
        <v>1</v>
      </c>
      <c r="I421" s="2" t="b">
        <v>1</v>
      </c>
      <c r="J421" s="2" t="b">
        <v>0</v>
      </c>
      <c r="K421" s="2" t="b">
        <v>0</v>
      </c>
      <c r="L421" s="2" t="b">
        <v>0</v>
      </c>
      <c r="M421" s="2" t="b">
        <v>0</v>
      </c>
      <c r="N421" s="2" t="b">
        <v>0</v>
      </c>
      <c r="O421" s="2" t="b">
        <v>0</v>
      </c>
      <c r="P421" s="68"/>
      <c r="R421" s="69"/>
      <c r="S421" s="68"/>
      <c r="U421" s="69"/>
      <c r="V421" s="68"/>
      <c r="X421" s="69"/>
      <c r="Y421" s="68"/>
      <c r="AA421" s="69"/>
      <c r="AB421" s="33">
        <f t="shared" si="12"/>
        <v>0</v>
      </c>
      <c r="AC421" s="45">
        <f>_xlfn.LET(_xlpm.ps_1,P421:R421, _xlpm.ps_2,S421:U421, _xlpm.ps_3,V421:X421, _xlpm.ps_4,Y421:AA421,
_xlpm.phase, MID(C421,SEARCH("-",C421)+1,256),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(_xlfn.XLOOKUP($C$7,site_assumptions[Details],site_assumptions[Volts])*SUMIFS(P421:AA421,_xlfn.ANCHORARRAY(D421),TRUE)/10*0.95)/1000,
IFERROR(IF(_xlpm.phase="3Phase", _xlpm.p3_calc, _xlpm.sp_calc),0))</f>
        <v>0</v>
      </c>
      <c r="AD421" s="29" t="str">
        <f ca="1"/>
        <v>Bare Metal</v>
      </c>
      <c r="AE421" s="30" t="str">
        <f ca="1"/>
        <v>Bare Metal</v>
      </c>
      <c r="AF421" s="30" t="str">
        <f ca="1"/>
        <v>Live</v>
      </c>
      <c r="AG421" s="30">
        <f ca="1"/>
        <v>6</v>
      </c>
      <c r="AH421" s="31" t="str">
        <f ca="1"/>
        <v>Unknown</v>
      </c>
      <c r="AI421" s="49">
        <f t="shared" ca="1" si="13"/>
        <v>0</v>
      </c>
      <c r="AJ421" s="71">
        <f ca="1"/>
        <v>3.6869999999999998</v>
      </c>
    </row>
    <row r="422" spans="2:36" x14ac:dyDescent="0.25">
      <c r="B422" s="29" t="str">
        <f ca="1"/>
        <v>dal10.sr01.rk411</v>
      </c>
      <c r="C422" s="10" t="s">
        <v>2070</v>
      </c>
      <c r="D422" s="2" t="b" cm="1">
        <f t="array" ref="D422:O422">_xlfn._xlws.FILTER(IF(ancillary!$E$4:$P$8="",FALSE,ancillary!$E$4:$P$8),ancillary!$B$4:$B$8=$C422)</f>
        <v>1</v>
      </c>
      <c r="E422" s="2" t="b">
        <v>1</v>
      </c>
      <c r="F422" s="2" t="b">
        <v>1</v>
      </c>
      <c r="G422" s="2" t="b">
        <v>1</v>
      </c>
      <c r="H422" s="2" t="b">
        <v>1</v>
      </c>
      <c r="I422" s="2" t="b">
        <v>1</v>
      </c>
      <c r="J422" s="2" t="b">
        <v>0</v>
      </c>
      <c r="K422" s="2" t="b">
        <v>0</v>
      </c>
      <c r="L422" s="2" t="b">
        <v>0</v>
      </c>
      <c r="M422" s="2" t="b">
        <v>0</v>
      </c>
      <c r="N422" s="2" t="b">
        <v>0</v>
      </c>
      <c r="O422" s="2" t="b">
        <v>0</v>
      </c>
      <c r="P422" s="68"/>
      <c r="R422" s="69"/>
      <c r="S422" s="68"/>
      <c r="U422" s="69"/>
      <c r="V422" s="68"/>
      <c r="X422" s="69"/>
      <c r="Y422" s="68"/>
      <c r="AA422" s="69"/>
      <c r="AB422" s="33">
        <f t="shared" si="12"/>
        <v>0</v>
      </c>
      <c r="AC422" s="45">
        <f>_xlfn.LET(_xlpm.ps_1,P422:R422, _xlpm.ps_2,S422:U422, _xlpm.ps_3,V422:X422, _xlpm.ps_4,Y422:AA422,
_xlpm.phase, MID(C422,SEARCH("-",C422)+1,256),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(_xlfn.XLOOKUP($C$7,site_assumptions[Details],site_assumptions[Volts])*SUMIFS(P422:AA422,_xlfn.ANCHORARRAY(D422),TRUE)/10*0.95)/1000,
IFERROR(IF(_xlpm.phase="3Phase", _xlpm.p3_calc, _xlpm.sp_calc),0))</f>
        <v>0</v>
      </c>
      <c r="AD422" s="29" t="str">
        <f ca="1"/>
        <v>Bare Metal</v>
      </c>
      <c r="AE422" s="30" t="str">
        <f ca="1"/>
        <v>Bare Metal</v>
      </c>
      <c r="AF422" s="30" t="str">
        <f ca="1"/>
        <v>Live</v>
      </c>
      <c r="AG422" s="30">
        <f ca="1"/>
        <v>6</v>
      </c>
      <c r="AH422" s="31" t="str">
        <f ca="1"/>
        <v>Unknown</v>
      </c>
      <c r="AI422" s="49">
        <f t="shared" ca="1" si="13"/>
        <v>0</v>
      </c>
      <c r="AJ422" s="71">
        <f ca="1"/>
        <v>3.3570000000000002</v>
      </c>
    </row>
    <row r="423" spans="2:36" x14ac:dyDescent="0.25">
      <c r="B423" s="29" t="str">
        <f ca="1"/>
        <v>dal10.sr01.rk412</v>
      </c>
      <c r="C423" s="10" t="s">
        <v>2070</v>
      </c>
      <c r="D423" s="2" t="b" cm="1">
        <f t="array" ref="D423:O423">_xlfn._xlws.FILTER(IF(ancillary!$E$4:$P$8="",FALSE,ancillary!$E$4:$P$8),ancillary!$B$4:$B$8=$C423)</f>
        <v>1</v>
      </c>
      <c r="E423" s="2" t="b">
        <v>1</v>
      </c>
      <c r="F423" s="2" t="b">
        <v>1</v>
      </c>
      <c r="G423" s="2" t="b">
        <v>1</v>
      </c>
      <c r="H423" s="2" t="b">
        <v>1</v>
      </c>
      <c r="I423" s="2" t="b">
        <v>1</v>
      </c>
      <c r="J423" s="2" t="b">
        <v>0</v>
      </c>
      <c r="K423" s="2" t="b">
        <v>0</v>
      </c>
      <c r="L423" s="2" t="b">
        <v>0</v>
      </c>
      <c r="M423" s="2" t="b">
        <v>0</v>
      </c>
      <c r="N423" s="2" t="b">
        <v>0</v>
      </c>
      <c r="O423" s="2" t="b">
        <v>0</v>
      </c>
      <c r="P423" s="68"/>
      <c r="R423" s="69"/>
      <c r="S423" s="68"/>
      <c r="U423" s="69"/>
      <c r="V423" s="68"/>
      <c r="X423" s="69"/>
      <c r="Y423" s="68"/>
      <c r="AA423" s="69"/>
      <c r="AB423" s="33">
        <f t="shared" si="12"/>
        <v>0</v>
      </c>
      <c r="AC423" s="45">
        <f>_xlfn.LET(_xlpm.ps_1,P423:R423, _xlpm.ps_2,S423:U423, _xlpm.ps_3,V423:X423, _xlpm.ps_4,Y423:AA423,
_xlpm.phase, MID(C423,SEARCH("-",C423)+1,256),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(_xlfn.XLOOKUP($C$7,site_assumptions[Details],site_assumptions[Volts])*SUMIFS(P423:AA423,_xlfn.ANCHORARRAY(D423),TRUE)/10*0.95)/1000,
IFERROR(IF(_xlpm.phase="3Phase", _xlpm.p3_calc, _xlpm.sp_calc),0))</f>
        <v>0</v>
      </c>
      <c r="AD423" s="29" t="str">
        <f ca="1"/>
        <v>Bare Metal</v>
      </c>
      <c r="AE423" s="30" t="str">
        <f ca="1"/>
        <v>Bare Metal</v>
      </c>
      <c r="AF423" s="30" t="str">
        <f ca="1"/>
        <v>Live</v>
      </c>
      <c r="AG423" s="30">
        <f ca="1"/>
        <v>6</v>
      </c>
      <c r="AH423" s="31" t="str">
        <f ca="1"/>
        <v>Unknown</v>
      </c>
      <c r="AI423" s="49">
        <f t="shared" ca="1" si="13"/>
        <v>0</v>
      </c>
      <c r="AJ423" s="71">
        <f ca="1"/>
        <v>2.5659999999999998</v>
      </c>
    </row>
    <row r="424" spans="2:36" x14ac:dyDescent="0.25">
      <c r="B424" s="29" t="str">
        <f ca="1"/>
        <v>dal10.sr01.rk413</v>
      </c>
      <c r="C424" s="10" t="s">
        <v>2070</v>
      </c>
      <c r="D424" s="2" t="b" cm="1">
        <f t="array" ref="D424:O424">_xlfn._xlws.FILTER(IF(ancillary!$E$4:$P$8="",FALSE,ancillary!$E$4:$P$8),ancillary!$B$4:$B$8=$C424)</f>
        <v>1</v>
      </c>
      <c r="E424" s="2" t="b">
        <v>1</v>
      </c>
      <c r="F424" s="2" t="b">
        <v>1</v>
      </c>
      <c r="G424" s="2" t="b">
        <v>1</v>
      </c>
      <c r="H424" s="2" t="b">
        <v>1</v>
      </c>
      <c r="I424" s="2" t="b">
        <v>1</v>
      </c>
      <c r="J424" s="2" t="b">
        <v>0</v>
      </c>
      <c r="K424" s="2" t="b">
        <v>0</v>
      </c>
      <c r="L424" s="2" t="b">
        <v>0</v>
      </c>
      <c r="M424" s="2" t="b">
        <v>0</v>
      </c>
      <c r="N424" s="2" t="b">
        <v>0</v>
      </c>
      <c r="O424" s="2" t="b">
        <v>0</v>
      </c>
      <c r="P424" s="68"/>
      <c r="R424" s="69"/>
      <c r="S424" s="68"/>
      <c r="U424" s="69"/>
      <c r="V424" s="68"/>
      <c r="X424" s="69"/>
      <c r="Y424" s="68"/>
      <c r="AA424" s="69"/>
      <c r="AB424" s="33">
        <f t="shared" si="12"/>
        <v>0</v>
      </c>
      <c r="AC424" s="45">
        <f>_xlfn.LET(_xlpm.ps_1,P424:R424, _xlpm.ps_2,S424:U424, _xlpm.ps_3,V424:X424, _xlpm.ps_4,Y424:AA424,
_xlpm.phase, MID(C424,SEARCH("-",C424)+1,256),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(_xlfn.XLOOKUP($C$7,site_assumptions[Details],site_assumptions[Volts])*SUMIFS(P424:AA424,_xlfn.ANCHORARRAY(D424),TRUE)/10*0.95)/1000,
IFERROR(IF(_xlpm.phase="3Phase", _xlpm.p3_calc, _xlpm.sp_calc),0))</f>
        <v>0</v>
      </c>
      <c r="AD424" s="29" t="str">
        <f ca="1"/>
        <v>Network</v>
      </c>
      <c r="AE424" s="30" t="str">
        <f ca="1"/>
        <v>Aggregate</v>
      </c>
      <c r="AF424" s="30" t="str">
        <f ca="1"/>
        <v>Live</v>
      </c>
      <c r="AG424" s="30">
        <f ca="1"/>
        <v>5</v>
      </c>
      <c r="AH424" s="31" t="str">
        <f ca="1"/>
        <v>Unknown</v>
      </c>
      <c r="AI424" s="49">
        <f t="shared" ca="1" si="13"/>
        <v>0</v>
      </c>
      <c r="AJ424" s="71">
        <f ca="1"/>
        <v>0</v>
      </c>
    </row>
    <row r="425" spans="2:36" x14ac:dyDescent="0.25">
      <c r="B425" s="29" t="str">
        <f ca="1"/>
        <v>dal10.sr01.rk414</v>
      </c>
      <c r="C425" s="10" t="s">
        <v>2070</v>
      </c>
      <c r="D425" s="2" t="b" cm="1">
        <f t="array" ref="D425:O425">_xlfn._xlws.FILTER(IF(ancillary!$E$4:$P$8="",FALSE,ancillary!$E$4:$P$8),ancillary!$B$4:$B$8=$C425)</f>
        <v>1</v>
      </c>
      <c r="E425" s="2" t="b">
        <v>1</v>
      </c>
      <c r="F425" s="2" t="b">
        <v>1</v>
      </c>
      <c r="G425" s="2" t="b">
        <v>1</v>
      </c>
      <c r="H425" s="2" t="b">
        <v>1</v>
      </c>
      <c r="I425" s="2" t="b">
        <v>1</v>
      </c>
      <c r="J425" s="2" t="b">
        <v>0</v>
      </c>
      <c r="K425" s="2" t="b">
        <v>0</v>
      </c>
      <c r="L425" s="2" t="b">
        <v>0</v>
      </c>
      <c r="M425" s="2" t="b">
        <v>0</v>
      </c>
      <c r="N425" s="2" t="b">
        <v>0</v>
      </c>
      <c r="O425" s="2" t="b">
        <v>0</v>
      </c>
      <c r="P425" s="68"/>
      <c r="R425" s="69"/>
      <c r="S425" s="68"/>
      <c r="U425" s="69"/>
      <c r="V425" s="68"/>
      <c r="X425" s="69"/>
      <c r="Y425" s="68"/>
      <c r="AA425" s="69"/>
      <c r="AB425" s="33">
        <f t="shared" si="12"/>
        <v>0</v>
      </c>
      <c r="AC425" s="45">
        <f>_xlfn.LET(_xlpm.ps_1,P425:R425, _xlpm.ps_2,S425:U425, _xlpm.ps_3,V425:X425, _xlpm.ps_4,Y425:AA425,
_xlpm.phase, MID(C425,SEARCH("-",C425)+1,256),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(_xlfn.XLOOKUP($C$7,site_assumptions[Details],site_assumptions[Volts])*SUMIFS(P425:AA425,_xlfn.ANCHORARRAY(D425),TRUE)/10*0.95)/1000,
IFERROR(IF(_xlpm.phase="3Phase", _xlpm.p3_calc, _xlpm.sp_calc),0))</f>
        <v>0</v>
      </c>
      <c r="AD425" s="29" t="str">
        <f ca="1"/>
        <v>Bare Metal</v>
      </c>
      <c r="AE425" s="30" t="str">
        <f ca="1"/>
        <v>Bare Metal</v>
      </c>
      <c r="AF425" s="30" t="str">
        <f ca="1"/>
        <v>Live</v>
      </c>
      <c r="AG425" s="30">
        <f ca="1"/>
        <v>6</v>
      </c>
      <c r="AH425" s="31" t="str">
        <f ca="1"/>
        <v>Unknown</v>
      </c>
      <c r="AI425" s="49">
        <f t="shared" ca="1" si="13"/>
        <v>0</v>
      </c>
      <c r="AJ425" s="71">
        <f ca="1"/>
        <v>2.7869999999999999</v>
      </c>
    </row>
    <row r="426" spans="2:36" x14ac:dyDescent="0.25">
      <c r="B426" s="29" t="str">
        <f ca="1"/>
        <v>dal10.sr01.rk415</v>
      </c>
      <c r="C426" s="10" t="s">
        <v>2070</v>
      </c>
      <c r="D426" s="2" t="b" cm="1">
        <f t="array" ref="D426:O426">_xlfn._xlws.FILTER(IF(ancillary!$E$4:$P$8="",FALSE,ancillary!$E$4:$P$8),ancillary!$B$4:$B$8=$C426)</f>
        <v>1</v>
      </c>
      <c r="E426" s="2" t="b">
        <v>1</v>
      </c>
      <c r="F426" s="2" t="b">
        <v>1</v>
      </c>
      <c r="G426" s="2" t="b">
        <v>1</v>
      </c>
      <c r="H426" s="2" t="b">
        <v>1</v>
      </c>
      <c r="I426" s="2" t="b">
        <v>1</v>
      </c>
      <c r="J426" s="2" t="b">
        <v>0</v>
      </c>
      <c r="K426" s="2" t="b">
        <v>0</v>
      </c>
      <c r="L426" s="2" t="b">
        <v>0</v>
      </c>
      <c r="M426" s="2" t="b">
        <v>0</v>
      </c>
      <c r="N426" s="2" t="b">
        <v>0</v>
      </c>
      <c r="O426" s="2" t="b">
        <v>0</v>
      </c>
      <c r="P426" s="68"/>
      <c r="R426" s="69"/>
      <c r="S426" s="68"/>
      <c r="U426" s="69"/>
      <c r="V426" s="68"/>
      <c r="X426" s="69"/>
      <c r="Y426" s="68"/>
      <c r="AA426" s="69"/>
      <c r="AB426" s="33">
        <f t="shared" si="12"/>
        <v>0</v>
      </c>
      <c r="AC426" s="45">
        <f>_xlfn.LET(_xlpm.ps_1,P426:R426, _xlpm.ps_2,S426:U426, _xlpm.ps_3,V426:X426, _xlpm.ps_4,Y426:AA426,
_xlpm.phase, MID(C426,SEARCH("-",C426)+1,256),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(_xlfn.XLOOKUP($C$7,site_assumptions[Details],site_assumptions[Volts])*SUMIFS(P426:AA426,_xlfn.ANCHORARRAY(D426),TRUE)/10*0.95)/1000,
IFERROR(IF(_xlpm.phase="3Phase", _xlpm.p3_calc, _xlpm.sp_calc),0))</f>
        <v>0</v>
      </c>
      <c r="AD426" s="29" t="str">
        <f ca="1"/>
        <v>Bare Metal</v>
      </c>
      <c r="AE426" s="30" t="str">
        <f ca="1"/>
        <v>Bare Metal</v>
      </c>
      <c r="AF426" s="30" t="str">
        <f ca="1"/>
        <v>Live</v>
      </c>
      <c r="AG426" s="30">
        <f ca="1"/>
        <v>6</v>
      </c>
      <c r="AH426" s="31" t="str">
        <f ca="1"/>
        <v>Unknown</v>
      </c>
      <c r="AI426" s="49">
        <f t="shared" ca="1" si="13"/>
        <v>0</v>
      </c>
      <c r="AJ426" s="71">
        <f ca="1"/>
        <v>2.875</v>
      </c>
    </row>
    <row r="427" spans="2:36" x14ac:dyDescent="0.25">
      <c r="B427" s="29" t="str">
        <f ca="1"/>
        <v>dal10.sr01.rk416</v>
      </c>
      <c r="C427" s="10" t="s">
        <v>2070</v>
      </c>
      <c r="D427" s="2" t="b" cm="1">
        <f t="array" ref="D427:O427">_xlfn._xlws.FILTER(IF(ancillary!$E$4:$P$8="",FALSE,ancillary!$E$4:$P$8),ancillary!$B$4:$B$8=$C427)</f>
        <v>1</v>
      </c>
      <c r="E427" s="2" t="b">
        <v>1</v>
      </c>
      <c r="F427" s="2" t="b">
        <v>1</v>
      </c>
      <c r="G427" s="2" t="b">
        <v>1</v>
      </c>
      <c r="H427" s="2" t="b">
        <v>1</v>
      </c>
      <c r="I427" s="2" t="b">
        <v>1</v>
      </c>
      <c r="J427" s="2" t="b">
        <v>0</v>
      </c>
      <c r="K427" s="2" t="b">
        <v>0</v>
      </c>
      <c r="L427" s="2" t="b">
        <v>0</v>
      </c>
      <c r="M427" s="2" t="b">
        <v>0</v>
      </c>
      <c r="N427" s="2" t="b">
        <v>0</v>
      </c>
      <c r="O427" s="2" t="b">
        <v>0</v>
      </c>
      <c r="P427" s="68"/>
      <c r="R427" s="69"/>
      <c r="S427" s="68"/>
      <c r="U427" s="69"/>
      <c r="V427" s="68"/>
      <c r="X427" s="69"/>
      <c r="Y427" s="68"/>
      <c r="AA427" s="69"/>
      <c r="AB427" s="33">
        <f t="shared" si="12"/>
        <v>0</v>
      </c>
      <c r="AC427" s="45">
        <f>_xlfn.LET(_xlpm.ps_1,P427:R427, _xlpm.ps_2,S427:U427, _xlpm.ps_3,V427:X427, _xlpm.ps_4,Y427:AA427,
_xlpm.phase, MID(C427,SEARCH("-",C427)+1,256),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(_xlfn.XLOOKUP($C$7,site_assumptions[Details],site_assumptions[Volts])*SUMIFS(P427:AA427,_xlfn.ANCHORARRAY(D427),TRUE)/10*0.95)/1000,
IFERROR(IF(_xlpm.phase="3Phase", _xlpm.p3_calc, _xlpm.sp_calc),0))</f>
        <v>0</v>
      </c>
      <c r="AD427" s="29" t="str">
        <f ca="1"/>
        <v>Bare Metal</v>
      </c>
      <c r="AE427" s="30" t="str">
        <f ca="1"/>
        <v>Bare Metal</v>
      </c>
      <c r="AF427" s="30" t="str">
        <f ca="1"/>
        <v>Live</v>
      </c>
      <c r="AG427" s="30">
        <f ca="1"/>
        <v>6</v>
      </c>
      <c r="AH427" s="31" t="str">
        <f ca="1"/>
        <v>Unknown</v>
      </c>
      <c r="AI427" s="49">
        <f t="shared" ca="1" si="13"/>
        <v>0</v>
      </c>
      <c r="AJ427" s="71">
        <f ca="1"/>
        <v>2.6480000000000001</v>
      </c>
    </row>
    <row r="428" spans="2:36" x14ac:dyDescent="0.25">
      <c r="B428" s="29" t="str">
        <f ca="1"/>
        <v>dal10.sr01.rk417</v>
      </c>
      <c r="C428" s="10" t="s">
        <v>2070</v>
      </c>
      <c r="D428" s="2" t="b" cm="1">
        <f t="array" ref="D428:O428">_xlfn._xlws.FILTER(IF(ancillary!$E$4:$P$8="",FALSE,ancillary!$E$4:$P$8),ancillary!$B$4:$B$8=$C428)</f>
        <v>1</v>
      </c>
      <c r="E428" s="2" t="b">
        <v>1</v>
      </c>
      <c r="F428" s="2" t="b">
        <v>1</v>
      </c>
      <c r="G428" s="2" t="b">
        <v>1</v>
      </c>
      <c r="H428" s="2" t="b">
        <v>1</v>
      </c>
      <c r="I428" s="2" t="b">
        <v>1</v>
      </c>
      <c r="J428" s="2" t="b">
        <v>0</v>
      </c>
      <c r="K428" s="2" t="b">
        <v>0</v>
      </c>
      <c r="L428" s="2" t="b">
        <v>0</v>
      </c>
      <c r="M428" s="2" t="b">
        <v>0</v>
      </c>
      <c r="N428" s="2" t="b">
        <v>0</v>
      </c>
      <c r="O428" s="2" t="b">
        <v>0</v>
      </c>
      <c r="P428" s="68"/>
      <c r="R428" s="69"/>
      <c r="S428" s="68"/>
      <c r="U428" s="69"/>
      <c r="V428" s="68"/>
      <c r="X428" s="69"/>
      <c r="Y428" s="68"/>
      <c r="AA428" s="69"/>
      <c r="AB428" s="33">
        <f t="shared" si="12"/>
        <v>0</v>
      </c>
      <c r="AC428" s="45">
        <f>_xlfn.LET(_xlpm.ps_1,P428:R428, _xlpm.ps_2,S428:U428, _xlpm.ps_3,V428:X428, _xlpm.ps_4,Y428:AA428,
_xlpm.phase, MID(C428,SEARCH("-",C428)+1,256),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(_xlfn.XLOOKUP($C$7,site_assumptions[Details],site_assumptions[Volts])*SUMIFS(P428:AA428,_xlfn.ANCHORARRAY(D428),TRUE)/10*0.95)/1000,
IFERROR(IF(_xlpm.phase="3Phase", _xlpm.p3_calc, _xlpm.sp_calc),0))</f>
        <v>0</v>
      </c>
      <c r="AD428" s="29" t="str">
        <f ca="1"/>
        <v>Bare Metal</v>
      </c>
      <c r="AE428" s="30" t="str">
        <f ca="1"/>
        <v>Bare Metal</v>
      </c>
      <c r="AF428" s="30" t="str">
        <f ca="1"/>
        <v>Live</v>
      </c>
      <c r="AG428" s="30">
        <f ca="1"/>
        <v>6</v>
      </c>
      <c r="AH428" s="31" t="str">
        <f ca="1"/>
        <v>Unknown</v>
      </c>
      <c r="AI428" s="49">
        <f t="shared" ca="1" si="13"/>
        <v>0</v>
      </c>
      <c r="AJ428" s="71">
        <f ca="1"/>
        <v>1.6910000000000001</v>
      </c>
    </row>
    <row r="429" spans="2:36" x14ac:dyDescent="0.25">
      <c r="B429" s="29" t="str">
        <f ca="1"/>
        <v>dal10.sr01.rk418</v>
      </c>
      <c r="C429" s="10" t="s">
        <v>2070</v>
      </c>
      <c r="D429" s="2" t="b" cm="1">
        <f t="array" ref="D429:O429">_xlfn._xlws.FILTER(IF(ancillary!$E$4:$P$8="",FALSE,ancillary!$E$4:$P$8),ancillary!$B$4:$B$8=$C429)</f>
        <v>1</v>
      </c>
      <c r="E429" s="2" t="b">
        <v>1</v>
      </c>
      <c r="F429" s="2" t="b">
        <v>1</v>
      </c>
      <c r="G429" s="2" t="b">
        <v>1</v>
      </c>
      <c r="H429" s="2" t="b">
        <v>1</v>
      </c>
      <c r="I429" s="2" t="b">
        <v>1</v>
      </c>
      <c r="J429" s="2" t="b">
        <v>0</v>
      </c>
      <c r="K429" s="2" t="b">
        <v>0</v>
      </c>
      <c r="L429" s="2" t="b">
        <v>0</v>
      </c>
      <c r="M429" s="2" t="b">
        <v>0</v>
      </c>
      <c r="N429" s="2" t="b">
        <v>0</v>
      </c>
      <c r="O429" s="2" t="b">
        <v>0</v>
      </c>
      <c r="P429" s="68"/>
      <c r="R429" s="69"/>
      <c r="S429" s="68"/>
      <c r="U429" s="69"/>
      <c r="V429" s="68"/>
      <c r="X429" s="69"/>
      <c r="Y429" s="68"/>
      <c r="AA429" s="69"/>
      <c r="AB429" s="33">
        <f t="shared" si="12"/>
        <v>0</v>
      </c>
      <c r="AC429" s="45">
        <f>_xlfn.LET(_xlpm.ps_1,P429:R429, _xlpm.ps_2,S429:U429, _xlpm.ps_3,V429:X429, _xlpm.ps_4,Y429:AA429,
_xlpm.phase, MID(C429,SEARCH("-",C429)+1,256),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(_xlfn.XLOOKUP($C$7,site_assumptions[Details],site_assumptions[Volts])*SUMIFS(P429:AA429,_xlfn.ANCHORARRAY(D429),TRUE)/10*0.95)/1000,
IFERROR(IF(_xlpm.phase="3Phase", _xlpm.p3_calc, _xlpm.sp_calc),0))</f>
        <v>0</v>
      </c>
      <c r="AD429" s="29" t="str">
        <f ca="1"/>
        <v>Bare Metal</v>
      </c>
      <c r="AE429" s="30" t="str">
        <f ca="1"/>
        <v>Bare Metal</v>
      </c>
      <c r="AF429" s="30" t="str">
        <f ca="1"/>
        <v>Live</v>
      </c>
      <c r="AG429" s="30">
        <f ca="1"/>
        <v>6</v>
      </c>
      <c r="AH429" s="31" t="str">
        <f ca="1"/>
        <v>Unknown</v>
      </c>
      <c r="AI429" s="49">
        <f t="shared" ca="1" si="13"/>
        <v>0</v>
      </c>
      <c r="AJ429" s="71">
        <f ca="1"/>
        <v>2.4319999999999999</v>
      </c>
    </row>
    <row r="430" spans="2:36" x14ac:dyDescent="0.25">
      <c r="B430" s="29" t="str">
        <f ca="1"/>
        <v>dal10.sr01.rk419</v>
      </c>
      <c r="C430" s="10" t="s">
        <v>2070</v>
      </c>
      <c r="D430" s="2" t="b" cm="1">
        <f t="array" ref="D430:O430">_xlfn._xlws.FILTER(IF(ancillary!$E$4:$P$8="",FALSE,ancillary!$E$4:$P$8),ancillary!$B$4:$B$8=$C430)</f>
        <v>1</v>
      </c>
      <c r="E430" s="2" t="b">
        <v>1</v>
      </c>
      <c r="F430" s="2" t="b">
        <v>1</v>
      </c>
      <c r="G430" s="2" t="b">
        <v>1</v>
      </c>
      <c r="H430" s="2" t="b">
        <v>1</v>
      </c>
      <c r="I430" s="2" t="b">
        <v>1</v>
      </c>
      <c r="J430" s="2" t="b">
        <v>0</v>
      </c>
      <c r="K430" s="2" t="b">
        <v>0</v>
      </c>
      <c r="L430" s="2" t="b">
        <v>0</v>
      </c>
      <c r="M430" s="2" t="b">
        <v>0</v>
      </c>
      <c r="N430" s="2" t="b">
        <v>0</v>
      </c>
      <c r="O430" s="2" t="b">
        <v>0</v>
      </c>
      <c r="P430" s="68"/>
      <c r="R430" s="69"/>
      <c r="S430" s="68"/>
      <c r="U430" s="69"/>
      <c r="V430" s="68"/>
      <c r="X430" s="69"/>
      <c r="Y430" s="68"/>
      <c r="AA430" s="69"/>
      <c r="AB430" s="33">
        <f t="shared" si="12"/>
        <v>0</v>
      </c>
      <c r="AC430" s="45">
        <f>_xlfn.LET(_xlpm.ps_1,P430:R430, _xlpm.ps_2,S430:U430, _xlpm.ps_3,V430:X430, _xlpm.ps_4,Y430:AA430,
_xlpm.phase, MID(C430,SEARCH("-",C430)+1,256),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(_xlfn.XLOOKUP($C$7,site_assumptions[Details],site_assumptions[Volts])*SUMIFS(P430:AA430,_xlfn.ANCHORARRAY(D430),TRUE)/10*0.95)/1000,
IFERROR(IF(_xlpm.phase="3Phase", _xlpm.p3_calc, _xlpm.sp_calc),0))</f>
        <v>0</v>
      </c>
      <c r="AD430" s="29" t="str">
        <f ca="1"/>
        <v>Gen2</v>
      </c>
      <c r="AE430" s="30" t="str">
        <f ca="1"/>
        <v>Compute</v>
      </c>
      <c r="AF430" s="30" t="str">
        <f ca="1"/>
        <v>Live</v>
      </c>
      <c r="AG430" s="30">
        <f ca="1"/>
        <v>20</v>
      </c>
      <c r="AH430" s="31" t="str">
        <f ca="1"/>
        <v>Unknown</v>
      </c>
      <c r="AI430" s="49">
        <f t="shared" ca="1" si="13"/>
        <v>0</v>
      </c>
      <c r="AJ430" s="71">
        <f ca="1"/>
        <v>0</v>
      </c>
    </row>
    <row r="431" spans="2:36" x14ac:dyDescent="0.25">
      <c r="B431" s="29" t="str">
        <f ca="1"/>
        <v>dal10.sr01.rk420</v>
      </c>
      <c r="C431" s="10" t="s">
        <v>2070</v>
      </c>
      <c r="D431" s="2" t="b" cm="1">
        <f t="array" ref="D431:O431">_xlfn._xlws.FILTER(IF(ancillary!$E$4:$P$8="",FALSE,ancillary!$E$4:$P$8),ancillary!$B$4:$B$8=$C431)</f>
        <v>1</v>
      </c>
      <c r="E431" s="2" t="b">
        <v>1</v>
      </c>
      <c r="F431" s="2" t="b">
        <v>1</v>
      </c>
      <c r="G431" s="2" t="b">
        <v>1</v>
      </c>
      <c r="H431" s="2" t="b">
        <v>1</v>
      </c>
      <c r="I431" s="2" t="b">
        <v>1</v>
      </c>
      <c r="J431" s="2" t="b">
        <v>0</v>
      </c>
      <c r="K431" s="2" t="b">
        <v>0</v>
      </c>
      <c r="L431" s="2" t="b">
        <v>0</v>
      </c>
      <c r="M431" s="2" t="b">
        <v>0</v>
      </c>
      <c r="N431" s="2" t="b">
        <v>0</v>
      </c>
      <c r="O431" s="2" t="b">
        <v>0</v>
      </c>
      <c r="P431" s="68"/>
      <c r="R431" s="69"/>
      <c r="S431" s="68"/>
      <c r="U431" s="69"/>
      <c r="V431" s="68"/>
      <c r="X431" s="69"/>
      <c r="Y431" s="68"/>
      <c r="AA431" s="69"/>
      <c r="AB431" s="33">
        <f t="shared" si="12"/>
        <v>0</v>
      </c>
      <c r="AC431" s="45">
        <f>_xlfn.LET(_xlpm.ps_1,P431:R431, _xlpm.ps_2,S431:U431, _xlpm.ps_3,V431:X431, _xlpm.ps_4,Y431:AA431,
_xlpm.phase, MID(C431,SEARCH("-",C431)+1,256),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(_xlfn.XLOOKUP($C$7,site_assumptions[Details],site_assumptions[Volts])*SUMIFS(P431:AA431,_xlfn.ANCHORARRAY(D431),TRUE)/10*0.95)/1000,
IFERROR(IF(_xlpm.phase="3Phase", _xlpm.p3_calc, _xlpm.sp_calc),0))</f>
        <v>0</v>
      </c>
      <c r="AD431" s="29" t="str">
        <f ca="1"/>
        <v>Gen2</v>
      </c>
      <c r="AE431" s="30" t="str">
        <f ca="1"/>
        <v>Compute</v>
      </c>
      <c r="AF431" s="30" t="str">
        <f ca="1"/>
        <v>Live</v>
      </c>
      <c r="AG431" s="30">
        <f ca="1"/>
        <v>20</v>
      </c>
      <c r="AH431" s="31" t="str">
        <f ca="1"/>
        <v>Unknown</v>
      </c>
      <c r="AI431" s="49">
        <f t="shared" ca="1" si="13"/>
        <v>0</v>
      </c>
      <c r="AJ431" s="71">
        <f ca="1"/>
        <v>0</v>
      </c>
    </row>
    <row r="432" spans="2:36" x14ac:dyDescent="0.25">
      <c r="B432" s="29" t="str">
        <f ca="1"/>
        <v>dal10.sr01.rk421</v>
      </c>
      <c r="C432" s="10" t="s">
        <v>2070</v>
      </c>
      <c r="D432" s="2" t="b" cm="1">
        <f t="array" ref="D432:O432">_xlfn._xlws.FILTER(IF(ancillary!$E$4:$P$8="",FALSE,ancillary!$E$4:$P$8),ancillary!$B$4:$B$8=$C432)</f>
        <v>1</v>
      </c>
      <c r="E432" s="2" t="b">
        <v>1</v>
      </c>
      <c r="F432" s="2" t="b">
        <v>1</v>
      </c>
      <c r="G432" s="2" t="b">
        <v>1</v>
      </c>
      <c r="H432" s="2" t="b">
        <v>1</v>
      </c>
      <c r="I432" s="2" t="b">
        <v>1</v>
      </c>
      <c r="J432" s="2" t="b">
        <v>0</v>
      </c>
      <c r="K432" s="2" t="b">
        <v>0</v>
      </c>
      <c r="L432" s="2" t="b">
        <v>0</v>
      </c>
      <c r="M432" s="2" t="b">
        <v>0</v>
      </c>
      <c r="N432" s="2" t="b">
        <v>0</v>
      </c>
      <c r="O432" s="2" t="b">
        <v>0</v>
      </c>
      <c r="P432" s="68"/>
      <c r="R432" s="69"/>
      <c r="S432" s="68"/>
      <c r="U432" s="69"/>
      <c r="V432" s="68"/>
      <c r="X432" s="69"/>
      <c r="Y432" s="68"/>
      <c r="AA432" s="69"/>
      <c r="AB432" s="33">
        <f t="shared" si="12"/>
        <v>0</v>
      </c>
      <c r="AC432" s="45">
        <f>_xlfn.LET(_xlpm.ps_1,P432:R432, _xlpm.ps_2,S432:U432, _xlpm.ps_3,V432:X432, _xlpm.ps_4,Y432:AA432,
_xlpm.phase, MID(C432,SEARCH("-",C432)+1,256),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(_xlfn.XLOOKUP($C$7,site_assumptions[Details],site_assumptions[Volts])*SUMIFS(P432:AA432,_xlfn.ANCHORARRAY(D432),TRUE)/10*0.95)/1000,
IFERROR(IF(_xlpm.phase="3Phase", _xlpm.p3_calc, _xlpm.sp_calc),0))</f>
        <v>0</v>
      </c>
      <c r="AD432" s="29" t="str">
        <f ca="1"/>
        <v>Gen2</v>
      </c>
      <c r="AE432" s="30" t="str">
        <f ca="1"/>
        <v>Compute</v>
      </c>
      <c r="AF432" s="30" t="str">
        <f ca="1"/>
        <v>Live</v>
      </c>
      <c r="AG432" s="30">
        <f ca="1"/>
        <v>20</v>
      </c>
      <c r="AH432" s="31" t="str">
        <f ca="1"/>
        <v>Unknown</v>
      </c>
      <c r="AI432" s="49">
        <f t="shared" ca="1" si="13"/>
        <v>0</v>
      </c>
      <c r="AJ432" s="71">
        <f ca="1"/>
        <v>0</v>
      </c>
    </row>
    <row r="433" spans="2:36" x14ac:dyDescent="0.25">
      <c r="B433" s="29" t="str">
        <f ca="1"/>
        <v>dal10.sr01.rk422</v>
      </c>
      <c r="C433" s="10" t="s">
        <v>2070</v>
      </c>
      <c r="D433" s="2" t="b" cm="1">
        <f t="array" ref="D433:O433">_xlfn._xlws.FILTER(IF(ancillary!$E$4:$P$8="",FALSE,ancillary!$E$4:$P$8),ancillary!$B$4:$B$8=$C433)</f>
        <v>1</v>
      </c>
      <c r="E433" s="2" t="b">
        <v>1</v>
      </c>
      <c r="F433" s="2" t="b">
        <v>1</v>
      </c>
      <c r="G433" s="2" t="b">
        <v>1</v>
      </c>
      <c r="H433" s="2" t="b">
        <v>1</v>
      </c>
      <c r="I433" s="2" t="b">
        <v>1</v>
      </c>
      <c r="J433" s="2" t="b">
        <v>0</v>
      </c>
      <c r="K433" s="2" t="b">
        <v>0</v>
      </c>
      <c r="L433" s="2" t="b">
        <v>0</v>
      </c>
      <c r="M433" s="2" t="b">
        <v>0</v>
      </c>
      <c r="N433" s="2" t="b">
        <v>0</v>
      </c>
      <c r="O433" s="2" t="b">
        <v>0</v>
      </c>
      <c r="P433" s="68"/>
      <c r="R433" s="69"/>
      <c r="S433" s="68"/>
      <c r="U433" s="69"/>
      <c r="V433" s="68"/>
      <c r="X433" s="69"/>
      <c r="Y433" s="68"/>
      <c r="AA433" s="69"/>
      <c r="AB433" s="33">
        <f t="shared" si="12"/>
        <v>0</v>
      </c>
      <c r="AC433" s="45">
        <f>_xlfn.LET(_xlpm.ps_1,P433:R433, _xlpm.ps_2,S433:U433, _xlpm.ps_3,V433:X433, _xlpm.ps_4,Y433:AA433,
_xlpm.phase, MID(C433,SEARCH("-",C433)+1,256),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(_xlfn.XLOOKUP($C$7,site_assumptions[Details],site_assumptions[Volts])*SUMIFS(P433:AA433,_xlfn.ANCHORARRAY(D433),TRUE)/10*0.95)/1000,
IFERROR(IF(_xlpm.phase="3Phase", _xlpm.p3_calc, _xlpm.sp_calc),0))</f>
        <v>0</v>
      </c>
      <c r="AD433" s="29" t="str">
        <f ca="1"/>
        <v>Gen2</v>
      </c>
      <c r="AE433" s="30" t="str">
        <f ca="1"/>
        <v>Compute</v>
      </c>
      <c r="AF433" s="30" t="str">
        <f ca="1"/>
        <v>Planned</v>
      </c>
      <c r="AG433" s="30">
        <f ca="1"/>
        <v>20</v>
      </c>
      <c r="AH433" s="31" t="str">
        <f ca="1"/>
        <v>Unknown</v>
      </c>
      <c r="AI433" s="49">
        <f t="shared" ca="1" si="13"/>
        <v>0</v>
      </c>
      <c r="AJ433" s="71">
        <f ca="1"/>
        <v>0</v>
      </c>
    </row>
    <row r="434" spans="2:36" x14ac:dyDescent="0.25">
      <c r="B434" s="29" t="str">
        <f ca="1"/>
        <v>dal10.sr01.rk423</v>
      </c>
      <c r="C434" s="10" t="s">
        <v>2070</v>
      </c>
      <c r="D434" s="2" t="b" cm="1">
        <f t="array" ref="D434:O434">_xlfn._xlws.FILTER(IF(ancillary!$E$4:$P$8="",FALSE,ancillary!$E$4:$P$8),ancillary!$B$4:$B$8=$C434)</f>
        <v>1</v>
      </c>
      <c r="E434" s="2" t="b">
        <v>1</v>
      </c>
      <c r="F434" s="2" t="b">
        <v>1</v>
      </c>
      <c r="G434" s="2" t="b">
        <v>1</v>
      </c>
      <c r="H434" s="2" t="b">
        <v>1</v>
      </c>
      <c r="I434" s="2" t="b">
        <v>1</v>
      </c>
      <c r="J434" s="2" t="b">
        <v>0</v>
      </c>
      <c r="K434" s="2" t="b">
        <v>0</v>
      </c>
      <c r="L434" s="2" t="b">
        <v>0</v>
      </c>
      <c r="M434" s="2" t="b">
        <v>0</v>
      </c>
      <c r="N434" s="2" t="b">
        <v>0</v>
      </c>
      <c r="O434" s="2" t="b">
        <v>0</v>
      </c>
      <c r="P434" s="68"/>
      <c r="R434" s="69"/>
      <c r="S434" s="68"/>
      <c r="U434" s="69"/>
      <c r="V434" s="68"/>
      <c r="X434" s="69"/>
      <c r="Y434" s="68"/>
      <c r="AA434" s="69"/>
      <c r="AB434" s="33">
        <f t="shared" si="12"/>
        <v>0</v>
      </c>
      <c r="AC434" s="45">
        <f>_xlfn.LET(_xlpm.ps_1,P434:R434, _xlpm.ps_2,S434:U434, _xlpm.ps_3,V434:X434, _xlpm.ps_4,Y434:AA434,
_xlpm.phase, MID(C434,SEARCH("-",C434)+1,256),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(_xlfn.XLOOKUP($C$7,site_assumptions[Details],site_assumptions[Volts])*SUMIFS(P434:AA434,_xlfn.ANCHORARRAY(D434),TRUE)/10*0.95)/1000,
IFERROR(IF(_xlpm.phase="3Phase", _xlpm.p3_calc, _xlpm.sp_calc),0))</f>
        <v>0</v>
      </c>
      <c r="AD434" s="29" t="str">
        <f ca="1"/>
        <v>Unallocated</v>
      </c>
      <c r="AE434" s="30" t="str">
        <f ca="1"/>
        <v>Unallocated</v>
      </c>
      <c r="AF434" s="30" t="str">
        <f ca="1"/>
        <v>Power Limit</v>
      </c>
      <c r="AG434" s="30">
        <f ca="1"/>
        <v>0</v>
      </c>
      <c r="AH434" s="31" t="str">
        <f ca="1"/>
        <v>Unknown</v>
      </c>
      <c r="AI434" s="49">
        <f t="shared" ca="1" si="13"/>
        <v>0</v>
      </c>
      <c r="AJ434" s="71">
        <f ca="1"/>
        <v>0</v>
      </c>
    </row>
    <row r="435" spans="2:36" x14ac:dyDescent="0.25">
      <c r="B435" s="29" t="str">
        <f ca="1"/>
        <v>dal10.sr01.rk424</v>
      </c>
      <c r="C435" s="10" t="s">
        <v>2070</v>
      </c>
      <c r="D435" s="2" t="b" cm="1">
        <f t="array" ref="D435:O435">_xlfn._xlws.FILTER(IF(ancillary!$E$4:$P$8="",FALSE,ancillary!$E$4:$P$8),ancillary!$B$4:$B$8=$C435)</f>
        <v>1</v>
      </c>
      <c r="E435" s="2" t="b">
        <v>1</v>
      </c>
      <c r="F435" s="2" t="b">
        <v>1</v>
      </c>
      <c r="G435" s="2" t="b">
        <v>1</v>
      </c>
      <c r="H435" s="2" t="b">
        <v>1</v>
      </c>
      <c r="I435" s="2" t="b">
        <v>1</v>
      </c>
      <c r="J435" s="2" t="b">
        <v>0</v>
      </c>
      <c r="K435" s="2" t="b">
        <v>0</v>
      </c>
      <c r="L435" s="2" t="b">
        <v>0</v>
      </c>
      <c r="M435" s="2" t="b">
        <v>0</v>
      </c>
      <c r="N435" s="2" t="b">
        <v>0</v>
      </c>
      <c r="O435" s="2" t="b">
        <v>0</v>
      </c>
      <c r="P435" s="68"/>
      <c r="R435" s="69"/>
      <c r="S435" s="68"/>
      <c r="U435" s="69"/>
      <c r="V435" s="68"/>
      <c r="X435" s="69"/>
      <c r="Y435" s="68"/>
      <c r="AA435" s="69"/>
      <c r="AB435" s="33">
        <f t="shared" si="12"/>
        <v>0</v>
      </c>
      <c r="AC435" s="45">
        <f>_xlfn.LET(_xlpm.ps_1,P435:R435, _xlpm.ps_2,S435:U435, _xlpm.ps_3,V435:X435, _xlpm.ps_4,Y435:AA435,
_xlpm.phase, MID(C435,SEARCH("-",C435)+1,256),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(_xlfn.XLOOKUP($C$7,site_assumptions[Details],site_assumptions[Volts])*SUMIFS(P435:AA435,_xlfn.ANCHORARRAY(D435),TRUE)/10*0.95)/1000,
IFERROR(IF(_xlpm.phase="3Phase", _xlpm.p3_calc, _xlpm.sp_calc),0))</f>
        <v>0</v>
      </c>
      <c r="AD435" s="29" t="str">
        <f ca="1"/>
        <v>Unallocated</v>
      </c>
      <c r="AE435" s="30" t="str">
        <f ca="1"/>
        <v>Unallocated</v>
      </c>
      <c r="AF435" s="30" t="str">
        <f ca="1"/>
        <v>Power Limit</v>
      </c>
      <c r="AG435" s="30">
        <f ca="1"/>
        <v>0</v>
      </c>
      <c r="AH435" s="31" t="str">
        <f ca="1"/>
        <v>Unknown</v>
      </c>
      <c r="AI435" s="49">
        <f t="shared" ca="1" si="13"/>
        <v>0</v>
      </c>
      <c r="AJ435" s="71">
        <f ca="1"/>
        <v>0</v>
      </c>
    </row>
    <row r="436" spans="2:36" x14ac:dyDescent="0.25">
      <c r="B436" s="29" t="str">
        <f ca="1"/>
        <v>dal10.sr01.rk425</v>
      </c>
      <c r="C436" s="10" t="s">
        <v>2070</v>
      </c>
      <c r="D436" s="2" t="b" cm="1">
        <f t="array" ref="D436:O436">_xlfn._xlws.FILTER(IF(ancillary!$E$4:$P$8="",FALSE,ancillary!$E$4:$P$8),ancillary!$B$4:$B$8=$C436)</f>
        <v>1</v>
      </c>
      <c r="E436" s="2" t="b">
        <v>1</v>
      </c>
      <c r="F436" s="2" t="b">
        <v>1</v>
      </c>
      <c r="G436" s="2" t="b">
        <v>1</v>
      </c>
      <c r="H436" s="2" t="b">
        <v>1</v>
      </c>
      <c r="I436" s="2" t="b">
        <v>1</v>
      </c>
      <c r="J436" s="2" t="b">
        <v>0</v>
      </c>
      <c r="K436" s="2" t="b">
        <v>0</v>
      </c>
      <c r="L436" s="2" t="b">
        <v>0</v>
      </c>
      <c r="M436" s="2" t="b">
        <v>0</v>
      </c>
      <c r="N436" s="2" t="b">
        <v>0</v>
      </c>
      <c r="O436" s="2" t="b">
        <v>0</v>
      </c>
      <c r="P436" s="68"/>
      <c r="R436" s="69"/>
      <c r="S436" s="68"/>
      <c r="U436" s="69"/>
      <c r="V436" s="68"/>
      <c r="X436" s="69"/>
      <c r="Y436" s="68"/>
      <c r="AA436" s="69"/>
      <c r="AB436" s="33">
        <f t="shared" si="12"/>
        <v>0</v>
      </c>
      <c r="AC436" s="45">
        <f>_xlfn.LET(_xlpm.ps_1,P436:R436, _xlpm.ps_2,S436:U436, _xlpm.ps_3,V436:X436, _xlpm.ps_4,Y436:AA436,
_xlpm.phase, MID(C436,SEARCH("-",C436)+1,256),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(_xlfn.XLOOKUP($C$7,site_assumptions[Details],site_assumptions[Volts])*SUMIFS(P436:AA436,_xlfn.ANCHORARRAY(D436),TRUE)/10*0.95)/1000,
IFERROR(IF(_xlpm.phase="3Phase", _xlpm.p3_calc, _xlpm.sp_calc),0))</f>
        <v>0</v>
      </c>
      <c r="AD436" s="29" t="str">
        <f ca="1"/>
        <v>Unallocated</v>
      </c>
      <c r="AE436" s="30" t="str">
        <f ca="1"/>
        <v>Unallocated</v>
      </c>
      <c r="AF436" s="30" t="str">
        <f ca="1"/>
        <v>Power Limit</v>
      </c>
      <c r="AG436" s="30">
        <f ca="1"/>
        <v>0</v>
      </c>
      <c r="AH436" s="31" t="str">
        <f ca="1"/>
        <v>Unknown</v>
      </c>
      <c r="AI436" s="49">
        <f t="shared" ca="1" si="13"/>
        <v>0</v>
      </c>
      <c r="AJ436" s="71">
        <f ca="1"/>
        <v>0</v>
      </c>
    </row>
    <row r="437" spans="2:36" x14ac:dyDescent="0.25">
      <c r="B437" s="29" t="str">
        <f ca="1"/>
        <v>dal10.sr01.rk426</v>
      </c>
      <c r="C437" s="10" t="s">
        <v>2070</v>
      </c>
      <c r="D437" s="2" t="b" cm="1">
        <f t="array" ref="D437:O437">_xlfn._xlws.FILTER(IF(ancillary!$E$4:$P$8="",FALSE,ancillary!$E$4:$P$8),ancillary!$B$4:$B$8=$C437)</f>
        <v>1</v>
      </c>
      <c r="E437" s="2" t="b">
        <v>1</v>
      </c>
      <c r="F437" s="2" t="b">
        <v>1</v>
      </c>
      <c r="G437" s="2" t="b">
        <v>1</v>
      </c>
      <c r="H437" s="2" t="b">
        <v>1</v>
      </c>
      <c r="I437" s="2" t="b">
        <v>1</v>
      </c>
      <c r="J437" s="2" t="b">
        <v>0</v>
      </c>
      <c r="K437" s="2" t="b">
        <v>0</v>
      </c>
      <c r="L437" s="2" t="b">
        <v>0</v>
      </c>
      <c r="M437" s="2" t="b">
        <v>0</v>
      </c>
      <c r="N437" s="2" t="b">
        <v>0</v>
      </c>
      <c r="O437" s="2" t="b">
        <v>0</v>
      </c>
      <c r="P437" s="68"/>
      <c r="R437" s="69"/>
      <c r="S437" s="68"/>
      <c r="U437" s="69"/>
      <c r="V437" s="68"/>
      <c r="X437" s="69"/>
      <c r="Y437" s="68"/>
      <c r="AA437" s="69"/>
      <c r="AB437" s="33">
        <f t="shared" si="12"/>
        <v>0</v>
      </c>
      <c r="AC437" s="45">
        <f>_xlfn.LET(_xlpm.ps_1,P437:R437, _xlpm.ps_2,S437:U437, _xlpm.ps_3,V437:X437, _xlpm.ps_4,Y437:AA437,
_xlpm.phase, MID(C437,SEARCH("-",C437)+1,256),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(_xlfn.XLOOKUP($C$7,site_assumptions[Details],site_assumptions[Volts])*SUMIFS(P437:AA437,_xlfn.ANCHORARRAY(D437),TRUE)/10*0.95)/1000,
IFERROR(IF(_xlpm.phase="3Phase", _xlpm.p3_calc, _xlpm.sp_calc),0))</f>
        <v>0</v>
      </c>
      <c r="AD437" s="29" t="str">
        <f ca="1"/>
        <v>Unallocated</v>
      </c>
      <c r="AE437" s="30" t="str">
        <f ca="1"/>
        <v>Unallocated</v>
      </c>
      <c r="AF437" s="30" t="str">
        <f ca="1"/>
        <v>Power Limit</v>
      </c>
      <c r="AG437" s="30">
        <f ca="1"/>
        <v>0</v>
      </c>
      <c r="AH437" s="31" t="str">
        <f ca="1"/>
        <v>Unknown</v>
      </c>
      <c r="AI437" s="49">
        <f t="shared" ca="1" si="13"/>
        <v>0</v>
      </c>
      <c r="AJ437" s="71">
        <f ca="1"/>
        <v>0</v>
      </c>
    </row>
    <row r="438" spans="2:36" x14ac:dyDescent="0.25">
      <c r="B438" s="29" t="str">
        <f ca="1"/>
        <v>dal10.sr01.rk427</v>
      </c>
      <c r="C438" s="10" t="s">
        <v>2070</v>
      </c>
      <c r="D438" s="2" t="b" cm="1">
        <f t="array" ref="D438:O438">_xlfn._xlws.FILTER(IF(ancillary!$E$4:$P$8="",FALSE,ancillary!$E$4:$P$8),ancillary!$B$4:$B$8=$C438)</f>
        <v>1</v>
      </c>
      <c r="E438" s="2" t="b">
        <v>1</v>
      </c>
      <c r="F438" s="2" t="b">
        <v>1</v>
      </c>
      <c r="G438" s="2" t="b">
        <v>1</v>
      </c>
      <c r="H438" s="2" t="b">
        <v>1</v>
      </c>
      <c r="I438" s="2" t="b">
        <v>1</v>
      </c>
      <c r="J438" s="2" t="b">
        <v>0</v>
      </c>
      <c r="K438" s="2" t="b">
        <v>0</v>
      </c>
      <c r="L438" s="2" t="b">
        <v>0</v>
      </c>
      <c r="M438" s="2" t="b">
        <v>0</v>
      </c>
      <c r="N438" s="2" t="b">
        <v>0</v>
      </c>
      <c r="O438" s="2" t="b">
        <v>0</v>
      </c>
      <c r="P438" s="68"/>
      <c r="R438" s="69"/>
      <c r="S438" s="68"/>
      <c r="U438" s="69"/>
      <c r="V438" s="68"/>
      <c r="X438" s="69"/>
      <c r="Y438" s="68"/>
      <c r="AA438" s="69"/>
      <c r="AB438" s="33">
        <f t="shared" si="12"/>
        <v>0</v>
      </c>
      <c r="AC438" s="45">
        <f>_xlfn.LET(_xlpm.ps_1,P438:R438, _xlpm.ps_2,S438:U438, _xlpm.ps_3,V438:X438, _xlpm.ps_4,Y438:AA438,
_xlpm.phase, MID(C438,SEARCH("-",C438)+1,256),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(_xlfn.XLOOKUP($C$7,site_assumptions[Details],site_assumptions[Volts])*SUMIFS(P438:AA438,_xlfn.ANCHORARRAY(D438),TRUE)/10*0.95)/1000,
IFERROR(IF(_xlpm.phase="3Phase", _xlpm.p3_calc, _xlpm.sp_calc),0))</f>
        <v>0</v>
      </c>
      <c r="AD438" s="29" t="str">
        <f ca="1"/>
        <v>Unallocated</v>
      </c>
      <c r="AE438" s="30" t="str">
        <f ca="1"/>
        <v>Unallocated</v>
      </c>
      <c r="AF438" s="30" t="str">
        <f ca="1"/>
        <v>Power Limit</v>
      </c>
      <c r="AG438" s="30">
        <f ca="1"/>
        <v>0</v>
      </c>
      <c r="AH438" s="31" t="str">
        <f ca="1"/>
        <v>Unknown</v>
      </c>
      <c r="AI438" s="49">
        <f t="shared" ca="1" si="13"/>
        <v>0</v>
      </c>
      <c r="AJ438" s="71">
        <f ca="1"/>
        <v>0</v>
      </c>
    </row>
    <row r="439" spans="2:36" x14ac:dyDescent="0.25">
      <c r="B439" s="29" t="str">
        <f ca="1"/>
        <v>dal10.sr01.rk428</v>
      </c>
      <c r="C439" s="10" t="s">
        <v>2070</v>
      </c>
      <c r="D439" s="2" t="b" cm="1">
        <f t="array" ref="D439:O439">_xlfn._xlws.FILTER(IF(ancillary!$E$4:$P$8="",FALSE,ancillary!$E$4:$P$8),ancillary!$B$4:$B$8=$C439)</f>
        <v>1</v>
      </c>
      <c r="E439" s="2" t="b">
        <v>1</v>
      </c>
      <c r="F439" s="2" t="b">
        <v>1</v>
      </c>
      <c r="G439" s="2" t="b">
        <v>1</v>
      </c>
      <c r="H439" s="2" t="b">
        <v>1</v>
      </c>
      <c r="I439" s="2" t="b">
        <v>1</v>
      </c>
      <c r="J439" s="2" t="b">
        <v>0</v>
      </c>
      <c r="K439" s="2" t="b">
        <v>0</v>
      </c>
      <c r="L439" s="2" t="b">
        <v>0</v>
      </c>
      <c r="M439" s="2" t="b">
        <v>0</v>
      </c>
      <c r="N439" s="2" t="b">
        <v>0</v>
      </c>
      <c r="O439" s="2" t="b">
        <v>0</v>
      </c>
      <c r="P439" s="68"/>
      <c r="R439" s="69"/>
      <c r="S439" s="68"/>
      <c r="U439" s="69"/>
      <c r="V439" s="68"/>
      <c r="X439" s="69"/>
      <c r="Y439" s="68"/>
      <c r="AA439" s="69"/>
      <c r="AB439" s="33">
        <f t="shared" si="12"/>
        <v>0</v>
      </c>
      <c r="AC439" s="45">
        <f>_xlfn.LET(_xlpm.ps_1,P439:R439, _xlpm.ps_2,S439:U439, _xlpm.ps_3,V439:X439, _xlpm.ps_4,Y439:AA439,
_xlpm.phase, MID(C439,SEARCH("-",C439)+1,256),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(_xlfn.XLOOKUP($C$7,site_assumptions[Details],site_assumptions[Volts])*SUMIFS(P439:AA439,_xlfn.ANCHORARRAY(D439),TRUE)/10*0.95)/1000,
IFERROR(IF(_xlpm.phase="3Phase", _xlpm.p3_calc, _xlpm.sp_calc),0))</f>
        <v>0</v>
      </c>
      <c r="AD439" s="29" t="str">
        <f ca="1"/>
        <v>Unallocated</v>
      </c>
      <c r="AE439" s="30" t="str">
        <f ca="1"/>
        <v>Unallocated</v>
      </c>
      <c r="AF439" s="30" t="str">
        <f ca="1"/>
        <v>Power Limit</v>
      </c>
      <c r="AG439" s="30">
        <f ca="1"/>
        <v>0</v>
      </c>
      <c r="AH439" s="31" t="str">
        <f ca="1"/>
        <v>Unknown</v>
      </c>
      <c r="AI439" s="49">
        <f t="shared" ca="1" si="13"/>
        <v>0</v>
      </c>
      <c r="AJ439" s="71">
        <f ca="1"/>
        <v>0</v>
      </c>
    </row>
    <row r="440" spans="2:36" x14ac:dyDescent="0.25">
      <c r="B440" s="29" t="str">
        <f ca="1"/>
        <v>dal10.sr01.rk429</v>
      </c>
      <c r="C440" s="10" t="s">
        <v>2070</v>
      </c>
      <c r="D440" s="2" t="b" cm="1">
        <f t="array" ref="D440:O440">_xlfn._xlws.FILTER(IF(ancillary!$E$4:$P$8="",FALSE,ancillary!$E$4:$P$8),ancillary!$B$4:$B$8=$C440)</f>
        <v>1</v>
      </c>
      <c r="E440" s="2" t="b">
        <v>1</v>
      </c>
      <c r="F440" s="2" t="b">
        <v>1</v>
      </c>
      <c r="G440" s="2" t="b">
        <v>1</v>
      </c>
      <c r="H440" s="2" t="b">
        <v>1</v>
      </c>
      <c r="I440" s="2" t="b">
        <v>1</v>
      </c>
      <c r="J440" s="2" t="b">
        <v>0</v>
      </c>
      <c r="K440" s="2" t="b">
        <v>0</v>
      </c>
      <c r="L440" s="2" t="b">
        <v>0</v>
      </c>
      <c r="M440" s="2" t="b">
        <v>0</v>
      </c>
      <c r="N440" s="2" t="b">
        <v>0</v>
      </c>
      <c r="O440" s="2" t="b">
        <v>0</v>
      </c>
      <c r="P440" s="68"/>
      <c r="R440" s="69"/>
      <c r="S440" s="68"/>
      <c r="U440" s="69"/>
      <c r="V440" s="68"/>
      <c r="X440" s="69"/>
      <c r="Y440" s="68"/>
      <c r="AA440" s="69"/>
      <c r="AB440" s="33">
        <f t="shared" si="12"/>
        <v>0</v>
      </c>
      <c r="AC440" s="45">
        <f>_xlfn.LET(_xlpm.ps_1,P440:R440, _xlpm.ps_2,S440:U440, _xlpm.ps_3,V440:X440, _xlpm.ps_4,Y440:AA440,
_xlpm.phase, MID(C440,SEARCH("-",C440)+1,256),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(_xlfn.XLOOKUP($C$7,site_assumptions[Details],site_assumptions[Volts])*SUMIFS(P440:AA440,_xlfn.ANCHORARRAY(D440),TRUE)/10*0.95)/1000,
IFERROR(IF(_xlpm.phase="3Phase", _xlpm.p3_calc, _xlpm.sp_calc),0))</f>
        <v>0</v>
      </c>
      <c r="AD440" s="29" t="str">
        <f ca="1"/>
        <v>Unallocated</v>
      </c>
      <c r="AE440" s="30" t="str">
        <f ca="1"/>
        <v>Unallocated</v>
      </c>
      <c r="AF440" s="30" t="str">
        <f ca="1"/>
        <v>Power Limit</v>
      </c>
      <c r="AG440" s="30">
        <f ca="1"/>
        <v>0</v>
      </c>
      <c r="AH440" s="31" t="str">
        <f ca="1"/>
        <v>Unknown</v>
      </c>
      <c r="AI440" s="49">
        <f t="shared" ca="1" si="13"/>
        <v>0</v>
      </c>
      <c r="AJ440" s="71">
        <f ca="1"/>
        <v>0</v>
      </c>
    </row>
    <row r="441" spans="2:36" x14ac:dyDescent="0.25">
      <c r="B441" s="29" t="str">
        <f ca="1"/>
        <v>dal10.sr01.rk430</v>
      </c>
      <c r="C441" s="10" t="s">
        <v>2070</v>
      </c>
      <c r="D441" s="2" t="b" cm="1">
        <f t="array" ref="D441:O441">_xlfn._xlws.FILTER(IF(ancillary!$E$4:$P$8="",FALSE,ancillary!$E$4:$P$8),ancillary!$B$4:$B$8=$C441)</f>
        <v>1</v>
      </c>
      <c r="E441" s="2" t="b">
        <v>1</v>
      </c>
      <c r="F441" s="2" t="b">
        <v>1</v>
      </c>
      <c r="G441" s="2" t="b">
        <v>1</v>
      </c>
      <c r="H441" s="2" t="b">
        <v>1</v>
      </c>
      <c r="I441" s="2" t="b">
        <v>1</v>
      </c>
      <c r="J441" s="2" t="b">
        <v>0</v>
      </c>
      <c r="K441" s="2" t="b">
        <v>0</v>
      </c>
      <c r="L441" s="2" t="b">
        <v>0</v>
      </c>
      <c r="M441" s="2" t="b">
        <v>0</v>
      </c>
      <c r="N441" s="2" t="b">
        <v>0</v>
      </c>
      <c r="O441" s="2" t="b">
        <v>0</v>
      </c>
      <c r="P441" s="68"/>
      <c r="R441" s="69"/>
      <c r="S441" s="68"/>
      <c r="U441" s="69"/>
      <c r="V441" s="68"/>
      <c r="X441" s="69"/>
      <c r="Y441" s="68"/>
      <c r="AA441" s="69"/>
      <c r="AB441" s="33">
        <f t="shared" si="12"/>
        <v>0</v>
      </c>
      <c r="AC441" s="45">
        <f>_xlfn.LET(_xlpm.ps_1,P441:R441, _xlpm.ps_2,S441:U441, _xlpm.ps_3,V441:X441, _xlpm.ps_4,Y441:AA441,
_xlpm.phase, MID(C441,SEARCH("-",C441)+1,256),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(_xlfn.XLOOKUP($C$7,site_assumptions[Details],site_assumptions[Volts])*SUMIFS(P441:AA441,_xlfn.ANCHORARRAY(D441),TRUE)/10*0.95)/1000,
IFERROR(IF(_xlpm.phase="3Phase", _xlpm.p3_calc, _xlpm.sp_calc),0))</f>
        <v>0</v>
      </c>
      <c r="AD441" s="29" t="str">
        <f ca="1"/>
        <v>Network</v>
      </c>
      <c r="AE441" s="30" t="str">
        <f ca="1"/>
        <v>Load Balancer</v>
      </c>
      <c r="AF441" s="30" t="str">
        <f ca="1"/>
        <v>Live</v>
      </c>
      <c r="AG441" s="30">
        <f ca="1"/>
        <v>6</v>
      </c>
      <c r="AH441" s="31" t="str">
        <f ca="1"/>
        <v>Unknown</v>
      </c>
      <c r="AI441" s="49">
        <f t="shared" ca="1" si="13"/>
        <v>0</v>
      </c>
      <c r="AJ441" s="71">
        <f ca="1"/>
        <v>0</v>
      </c>
    </row>
    <row r="442" spans="2:36" x14ac:dyDescent="0.25">
      <c r="B442" s="29" t="str">
        <f ca="1"/>
        <v>dal10.sr01.rk431</v>
      </c>
      <c r="C442" s="10" t="s">
        <v>2070</v>
      </c>
      <c r="D442" s="2" t="b" cm="1">
        <f t="array" ref="D442:O442">_xlfn._xlws.FILTER(IF(ancillary!$E$4:$P$8="",FALSE,ancillary!$E$4:$P$8),ancillary!$B$4:$B$8=$C442)</f>
        <v>1</v>
      </c>
      <c r="E442" s="2" t="b">
        <v>1</v>
      </c>
      <c r="F442" s="2" t="b">
        <v>1</v>
      </c>
      <c r="G442" s="2" t="b">
        <v>1</v>
      </c>
      <c r="H442" s="2" t="b">
        <v>1</v>
      </c>
      <c r="I442" s="2" t="b">
        <v>1</v>
      </c>
      <c r="J442" s="2" t="b">
        <v>0</v>
      </c>
      <c r="K442" s="2" t="b">
        <v>0</v>
      </c>
      <c r="L442" s="2" t="b">
        <v>0</v>
      </c>
      <c r="M442" s="2" t="b">
        <v>0</v>
      </c>
      <c r="N442" s="2" t="b">
        <v>0</v>
      </c>
      <c r="O442" s="2" t="b">
        <v>0</v>
      </c>
      <c r="P442" s="68"/>
      <c r="R442" s="69"/>
      <c r="S442" s="68"/>
      <c r="U442" s="69"/>
      <c r="V442" s="68"/>
      <c r="X442" s="69"/>
      <c r="Y442" s="68"/>
      <c r="AA442" s="69"/>
      <c r="AB442" s="33">
        <f t="shared" si="12"/>
        <v>0</v>
      </c>
      <c r="AC442" s="45">
        <f>_xlfn.LET(_xlpm.ps_1,P442:R442, _xlpm.ps_2,S442:U442, _xlpm.ps_3,V442:X442, _xlpm.ps_4,Y442:AA442,
_xlpm.phase, MID(C442,SEARCH("-",C442)+1,256),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(_xlfn.XLOOKUP($C$7,site_assumptions[Details],site_assumptions[Volts])*SUMIFS(P442:AA442,_xlfn.ANCHORARRAY(D442),TRUE)/10*0.95)/1000,
IFERROR(IF(_xlpm.phase="3Phase", _xlpm.p3_calc, _xlpm.sp_calc),0))</f>
        <v>0</v>
      </c>
      <c r="AD442" s="29" t="str">
        <f ca="1"/>
        <v>Network</v>
      </c>
      <c r="AE442" s="30" t="str">
        <f ca="1"/>
        <v>Firewall</v>
      </c>
      <c r="AF442" s="30" t="str">
        <f ca="1"/>
        <v>Live</v>
      </c>
      <c r="AG442" s="30">
        <f ca="1"/>
        <v>6</v>
      </c>
      <c r="AH442" s="31" t="str">
        <f ca="1"/>
        <v>Unknown</v>
      </c>
      <c r="AI442" s="49">
        <f t="shared" ca="1" si="13"/>
        <v>0</v>
      </c>
      <c r="AJ442" s="71">
        <f ca="1"/>
        <v>0</v>
      </c>
    </row>
    <row r="443" spans="2:36" x14ac:dyDescent="0.25">
      <c r="B443" s="29" t="str">
        <f ca="1"/>
        <v>dal10.sr01.rk433</v>
      </c>
      <c r="C443" s="10" t="s">
        <v>2070</v>
      </c>
      <c r="D443" s="2" t="b" cm="1">
        <f t="array" ref="D443:O443">_xlfn._xlws.FILTER(IF(ancillary!$E$4:$P$8="",FALSE,ancillary!$E$4:$P$8),ancillary!$B$4:$B$8=$C443)</f>
        <v>1</v>
      </c>
      <c r="E443" s="2" t="b">
        <v>1</v>
      </c>
      <c r="F443" s="2" t="b">
        <v>1</v>
      </c>
      <c r="G443" s="2" t="b">
        <v>1</v>
      </c>
      <c r="H443" s="2" t="b">
        <v>1</v>
      </c>
      <c r="I443" s="2" t="b">
        <v>1</v>
      </c>
      <c r="J443" s="2" t="b">
        <v>0</v>
      </c>
      <c r="K443" s="2" t="b">
        <v>0</v>
      </c>
      <c r="L443" s="2" t="b">
        <v>0</v>
      </c>
      <c r="M443" s="2" t="b">
        <v>0</v>
      </c>
      <c r="N443" s="2" t="b">
        <v>0</v>
      </c>
      <c r="O443" s="2" t="b">
        <v>0</v>
      </c>
      <c r="P443" s="68"/>
      <c r="R443" s="69"/>
      <c r="S443" s="68"/>
      <c r="U443" s="69"/>
      <c r="V443" s="68"/>
      <c r="X443" s="69"/>
      <c r="Y443" s="68"/>
      <c r="AA443" s="69"/>
      <c r="AB443" s="33">
        <f t="shared" si="12"/>
        <v>0</v>
      </c>
      <c r="AC443" s="45">
        <f>_xlfn.LET(_xlpm.ps_1,P443:R443, _xlpm.ps_2,S443:U443, _xlpm.ps_3,V443:X443, _xlpm.ps_4,Y443:AA443,
_xlpm.phase, MID(C443,SEARCH("-",C443)+1,256),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(_xlfn.XLOOKUP($C$7,site_assumptions[Details],site_assumptions[Volts])*SUMIFS(P443:AA443,_xlfn.ANCHORARRAY(D443),TRUE)/10*0.95)/1000,
IFERROR(IF(_xlpm.phase="3Phase", _xlpm.p3_calc, _xlpm.sp_calc),0))</f>
        <v>0</v>
      </c>
      <c r="AD443" s="29" t="str">
        <f ca="1"/>
        <v>Network</v>
      </c>
      <c r="AE443" s="30" t="str">
        <f ca="1"/>
        <v>Misc.</v>
      </c>
      <c r="AF443" s="30" t="str">
        <f ca="1"/>
        <v>Live</v>
      </c>
      <c r="AG443" s="30">
        <f ca="1"/>
        <v>9.1</v>
      </c>
      <c r="AH443" s="31" t="str">
        <f ca="1"/>
        <v>Unknown</v>
      </c>
      <c r="AI443" s="49">
        <f t="shared" ca="1" si="13"/>
        <v>0</v>
      </c>
      <c r="AJ443" s="71">
        <f ca="1"/>
        <v>0</v>
      </c>
    </row>
    <row r="444" spans="2:36" x14ac:dyDescent="0.25">
      <c r="B444" s="29" t="str">
        <f ca="1"/>
        <v>dal10.sr01.rk434</v>
      </c>
      <c r="C444" s="10" t="s">
        <v>2070</v>
      </c>
      <c r="D444" s="2" t="b" cm="1">
        <f t="array" ref="D444:O444">_xlfn._xlws.FILTER(IF(ancillary!$E$4:$P$8="",FALSE,ancillary!$E$4:$P$8),ancillary!$B$4:$B$8=$C444)</f>
        <v>1</v>
      </c>
      <c r="E444" s="2" t="b">
        <v>1</v>
      </c>
      <c r="F444" s="2" t="b">
        <v>1</v>
      </c>
      <c r="G444" s="2" t="b">
        <v>1</v>
      </c>
      <c r="H444" s="2" t="b">
        <v>1</v>
      </c>
      <c r="I444" s="2" t="b">
        <v>1</v>
      </c>
      <c r="J444" s="2" t="b">
        <v>0</v>
      </c>
      <c r="K444" s="2" t="b">
        <v>0</v>
      </c>
      <c r="L444" s="2" t="b">
        <v>0</v>
      </c>
      <c r="M444" s="2" t="b">
        <v>0</v>
      </c>
      <c r="N444" s="2" t="b">
        <v>0</v>
      </c>
      <c r="O444" s="2" t="b">
        <v>0</v>
      </c>
      <c r="P444" s="68"/>
      <c r="R444" s="69"/>
      <c r="S444" s="68"/>
      <c r="U444" s="69"/>
      <c r="V444" s="68"/>
      <c r="X444" s="69"/>
      <c r="Y444" s="68"/>
      <c r="AA444" s="69"/>
      <c r="AB444" s="33">
        <f t="shared" si="12"/>
        <v>0</v>
      </c>
      <c r="AC444" s="45">
        <f>_xlfn.LET(_xlpm.ps_1,P444:R444, _xlpm.ps_2,S444:U444, _xlpm.ps_3,V444:X444, _xlpm.ps_4,Y444:AA444,
_xlpm.phase, MID(C444,SEARCH("-",C444)+1,256),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(_xlfn.XLOOKUP($C$7,site_assumptions[Details],site_assumptions[Volts])*SUMIFS(P444:AA444,_xlfn.ANCHORARRAY(D444),TRUE)/10*0.95)/1000,
IFERROR(IF(_xlpm.phase="3Phase", _xlpm.p3_calc, _xlpm.sp_calc),0))</f>
        <v>0</v>
      </c>
      <c r="AD444" s="29" t="str">
        <f ca="1"/>
        <v>Network</v>
      </c>
      <c r="AE444" s="30" t="str">
        <f ca="1"/>
        <v>Router</v>
      </c>
      <c r="AF444" s="30" t="str">
        <f ca="1"/>
        <v>Live</v>
      </c>
      <c r="AG444" s="30">
        <f ca="1"/>
        <v>9.1</v>
      </c>
      <c r="AH444" s="31" t="str">
        <f ca="1"/>
        <v>Unknown</v>
      </c>
      <c r="AI444" s="49">
        <f t="shared" ca="1" si="13"/>
        <v>0</v>
      </c>
      <c r="AJ444" s="71">
        <f ca="1"/>
        <v>0</v>
      </c>
    </row>
    <row r="445" spans="2:36" x14ac:dyDescent="0.25">
      <c r="B445" s="29" t="str">
        <f ca="1"/>
        <v>dal10.sr01.rk435</v>
      </c>
      <c r="C445" s="10" t="s">
        <v>2070</v>
      </c>
      <c r="D445" s="2" t="b" cm="1">
        <f t="array" ref="D445:O445">_xlfn._xlws.FILTER(IF(ancillary!$E$4:$P$8="",FALSE,ancillary!$E$4:$P$8),ancillary!$B$4:$B$8=$C445)</f>
        <v>1</v>
      </c>
      <c r="E445" s="2" t="b">
        <v>1</v>
      </c>
      <c r="F445" s="2" t="b">
        <v>1</v>
      </c>
      <c r="G445" s="2" t="b">
        <v>1</v>
      </c>
      <c r="H445" s="2" t="b">
        <v>1</v>
      </c>
      <c r="I445" s="2" t="b">
        <v>1</v>
      </c>
      <c r="J445" s="2" t="b">
        <v>0</v>
      </c>
      <c r="K445" s="2" t="b">
        <v>0</v>
      </c>
      <c r="L445" s="2" t="b">
        <v>0</v>
      </c>
      <c r="M445" s="2" t="b">
        <v>0</v>
      </c>
      <c r="N445" s="2" t="b">
        <v>0</v>
      </c>
      <c r="O445" s="2" t="b">
        <v>0</v>
      </c>
      <c r="P445" s="68"/>
      <c r="R445" s="69"/>
      <c r="S445" s="68"/>
      <c r="U445" s="69"/>
      <c r="V445" s="68"/>
      <c r="X445" s="69"/>
      <c r="Y445" s="68"/>
      <c r="AA445" s="69"/>
      <c r="AB445" s="33">
        <f t="shared" si="12"/>
        <v>0</v>
      </c>
      <c r="AC445" s="45">
        <f>_xlfn.LET(_xlpm.ps_1,P445:R445, _xlpm.ps_2,S445:U445, _xlpm.ps_3,V445:X445, _xlpm.ps_4,Y445:AA445,
_xlpm.phase, MID(C445,SEARCH("-",C445)+1,256),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(_xlfn.XLOOKUP($C$7,site_assumptions[Details],site_assumptions[Volts])*SUMIFS(P445:AA445,_xlfn.ANCHORARRAY(D445),TRUE)/10*0.95)/1000,
IFERROR(IF(_xlpm.phase="3Phase", _xlpm.p3_calc, _xlpm.sp_calc),0))</f>
        <v>0</v>
      </c>
      <c r="AD445" s="29" t="str">
        <f ca="1"/>
        <v>Network</v>
      </c>
      <c r="AE445" s="30" t="str">
        <f ca="1"/>
        <v>Router</v>
      </c>
      <c r="AF445" s="30" t="str">
        <f ca="1"/>
        <v>Live</v>
      </c>
      <c r="AG445" s="30">
        <f ca="1"/>
        <v>9.1</v>
      </c>
      <c r="AH445" s="31" t="str">
        <f ca="1"/>
        <v>Unknown</v>
      </c>
      <c r="AI445" s="49">
        <f t="shared" ca="1" si="13"/>
        <v>0</v>
      </c>
      <c r="AJ445" s="71">
        <f ca="1"/>
        <v>0</v>
      </c>
    </row>
    <row r="446" spans="2:36" x14ac:dyDescent="0.25">
      <c r="B446" s="29" t="str">
        <f ca="1"/>
        <v>dal10.sr01.rk436</v>
      </c>
      <c r="C446" s="10" t="s">
        <v>2070</v>
      </c>
      <c r="D446" s="2" t="b" cm="1">
        <f t="array" ref="D446:O446">_xlfn._xlws.FILTER(IF(ancillary!$E$4:$P$8="",FALSE,ancillary!$E$4:$P$8),ancillary!$B$4:$B$8=$C446)</f>
        <v>1</v>
      </c>
      <c r="E446" s="2" t="b">
        <v>1</v>
      </c>
      <c r="F446" s="2" t="b">
        <v>1</v>
      </c>
      <c r="G446" s="2" t="b">
        <v>1</v>
      </c>
      <c r="H446" s="2" t="b">
        <v>1</v>
      </c>
      <c r="I446" s="2" t="b">
        <v>1</v>
      </c>
      <c r="J446" s="2" t="b">
        <v>0</v>
      </c>
      <c r="K446" s="2" t="b">
        <v>0</v>
      </c>
      <c r="L446" s="2" t="b">
        <v>0</v>
      </c>
      <c r="M446" s="2" t="b">
        <v>0</v>
      </c>
      <c r="N446" s="2" t="b">
        <v>0</v>
      </c>
      <c r="O446" s="2" t="b">
        <v>0</v>
      </c>
      <c r="P446" s="68"/>
      <c r="R446" s="69"/>
      <c r="S446" s="68"/>
      <c r="U446" s="69"/>
      <c r="V446" s="68"/>
      <c r="X446" s="69"/>
      <c r="Y446" s="68"/>
      <c r="AA446" s="69"/>
      <c r="AB446" s="33">
        <f t="shared" si="12"/>
        <v>0</v>
      </c>
      <c r="AC446" s="45">
        <f>_xlfn.LET(_xlpm.ps_1,P446:R446, _xlpm.ps_2,S446:U446, _xlpm.ps_3,V446:X446, _xlpm.ps_4,Y446:AA446,
_xlpm.phase, MID(C446,SEARCH("-",C446)+1,256),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(_xlfn.XLOOKUP($C$7,site_assumptions[Details],site_assumptions[Volts])*SUMIFS(P446:AA446,_xlfn.ANCHORARRAY(D446),TRUE)/10*0.95)/1000,
IFERROR(IF(_xlpm.phase="3Phase", _xlpm.p3_calc, _xlpm.sp_calc),0))</f>
        <v>0</v>
      </c>
      <c r="AD446" s="29" t="str">
        <f ca="1"/>
        <v>Network</v>
      </c>
      <c r="AE446" s="30" t="str">
        <f ca="1"/>
        <v>Router</v>
      </c>
      <c r="AF446" s="30" t="str">
        <f ca="1"/>
        <v>Live</v>
      </c>
      <c r="AG446" s="30">
        <f ca="1"/>
        <v>9.1</v>
      </c>
      <c r="AH446" s="31" t="str">
        <f ca="1"/>
        <v>Unknown</v>
      </c>
      <c r="AI446" s="49">
        <f t="shared" ca="1" si="13"/>
        <v>0</v>
      </c>
      <c r="AJ446" s="71">
        <f ca="1"/>
        <v>0</v>
      </c>
    </row>
    <row r="447" spans="2:36" x14ac:dyDescent="0.25">
      <c r="B447" s="29" t="str">
        <f ca="1"/>
        <v>dal10.sr01.rk437</v>
      </c>
      <c r="C447" s="10" t="s">
        <v>2070</v>
      </c>
      <c r="D447" s="2" t="b" cm="1">
        <f t="array" ref="D447:O447">_xlfn._xlws.FILTER(IF(ancillary!$E$4:$P$8="",FALSE,ancillary!$E$4:$P$8),ancillary!$B$4:$B$8=$C447)</f>
        <v>1</v>
      </c>
      <c r="E447" s="2" t="b">
        <v>1</v>
      </c>
      <c r="F447" s="2" t="b">
        <v>1</v>
      </c>
      <c r="G447" s="2" t="b">
        <v>1</v>
      </c>
      <c r="H447" s="2" t="b">
        <v>1</v>
      </c>
      <c r="I447" s="2" t="b">
        <v>1</v>
      </c>
      <c r="J447" s="2" t="b">
        <v>0</v>
      </c>
      <c r="K447" s="2" t="b">
        <v>0</v>
      </c>
      <c r="L447" s="2" t="b">
        <v>0</v>
      </c>
      <c r="M447" s="2" t="b">
        <v>0</v>
      </c>
      <c r="N447" s="2" t="b">
        <v>0</v>
      </c>
      <c r="O447" s="2" t="b">
        <v>0</v>
      </c>
      <c r="P447" s="68"/>
      <c r="R447" s="69"/>
      <c r="S447" s="68"/>
      <c r="U447" s="69"/>
      <c r="V447" s="68"/>
      <c r="X447" s="69"/>
      <c r="Y447" s="68"/>
      <c r="AA447" s="69"/>
      <c r="AB447" s="33">
        <f t="shared" si="12"/>
        <v>0</v>
      </c>
      <c r="AC447" s="45">
        <f>_xlfn.LET(_xlpm.ps_1,P447:R447, _xlpm.ps_2,S447:U447, _xlpm.ps_3,V447:X447, _xlpm.ps_4,Y447:AA447,
_xlpm.phase, MID(C447,SEARCH("-",C447)+1,256),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(_xlfn.XLOOKUP($C$7,site_assumptions[Details],site_assumptions[Volts])*SUMIFS(P447:AA447,_xlfn.ANCHORARRAY(D447),TRUE)/10*0.95)/1000,
IFERROR(IF(_xlpm.phase="3Phase", _xlpm.p3_calc, _xlpm.sp_calc),0))</f>
        <v>0</v>
      </c>
      <c r="AD447" s="29" t="str">
        <f ca="1"/>
        <v>Network</v>
      </c>
      <c r="AE447" s="30" t="str">
        <f ca="1"/>
        <v>Router</v>
      </c>
      <c r="AF447" s="30" t="str">
        <f ca="1"/>
        <v>Live</v>
      </c>
      <c r="AG447" s="30">
        <f ca="1"/>
        <v>9.1</v>
      </c>
      <c r="AH447" s="31" t="str">
        <f ca="1"/>
        <v>Unknown</v>
      </c>
      <c r="AI447" s="49">
        <f t="shared" ca="1" si="13"/>
        <v>0</v>
      </c>
      <c r="AJ447" s="71">
        <f ca="1"/>
        <v>0</v>
      </c>
    </row>
    <row r="448" spans="2:36" x14ac:dyDescent="0.25">
      <c r="B448" s="29" t="str">
        <f ca="1"/>
        <v>dal10.sr01.rk438</v>
      </c>
      <c r="C448" s="10" t="s">
        <v>2070</v>
      </c>
      <c r="D448" s="2" t="b" cm="1">
        <f t="array" ref="D448:O448">_xlfn._xlws.FILTER(IF(ancillary!$E$4:$P$8="",FALSE,ancillary!$E$4:$P$8),ancillary!$B$4:$B$8=$C448)</f>
        <v>1</v>
      </c>
      <c r="E448" s="2" t="b">
        <v>1</v>
      </c>
      <c r="F448" s="2" t="b">
        <v>1</v>
      </c>
      <c r="G448" s="2" t="b">
        <v>1</v>
      </c>
      <c r="H448" s="2" t="b">
        <v>1</v>
      </c>
      <c r="I448" s="2" t="b">
        <v>1</v>
      </c>
      <c r="J448" s="2" t="b">
        <v>0</v>
      </c>
      <c r="K448" s="2" t="b">
        <v>0</v>
      </c>
      <c r="L448" s="2" t="b">
        <v>0</v>
      </c>
      <c r="M448" s="2" t="b">
        <v>0</v>
      </c>
      <c r="N448" s="2" t="b">
        <v>0</v>
      </c>
      <c r="O448" s="2" t="b">
        <v>0</v>
      </c>
      <c r="P448" s="68"/>
      <c r="R448" s="69"/>
      <c r="S448" s="68"/>
      <c r="U448" s="69"/>
      <c r="V448" s="68"/>
      <c r="X448" s="69"/>
      <c r="Y448" s="68"/>
      <c r="AA448" s="69"/>
      <c r="AB448" s="33">
        <f t="shared" si="12"/>
        <v>0</v>
      </c>
      <c r="AC448" s="45">
        <f>_xlfn.LET(_xlpm.ps_1,P448:R448, _xlpm.ps_2,S448:U448, _xlpm.ps_3,V448:X448, _xlpm.ps_4,Y448:AA448,
_xlpm.phase, MID(C448,SEARCH("-",C448)+1,256),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(_xlfn.XLOOKUP($C$7,site_assumptions[Details],site_assumptions[Volts])*SUMIFS(P448:AA448,_xlfn.ANCHORARRAY(D448),TRUE)/10*0.95)/1000,
IFERROR(IF(_xlpm.phase="3Phase", _xlpm.p3_calc, _xlpm.sp_calc),0))</f>
        <v>0</v>
      </c>
      <c r="AD448" s="29" t="str">
        <f ca="1"/>
        <v>Network</v>
      </c>
      <c r="AE448" s="30" t="str">
        <f ca="1"/>
        <v>Misc.</v>
      </c>
      <c r="AF448" s="30" t="str">
        <f ca="1"/>
        <v>Unusable</v>
      </c>
      <c r="AG448" s="30">
        <f ca="1"/>
        <v>9.1</v>
      </c>
      <c r="AH448" s="31" t="str">
        <f ca="1"/>
        <v>Unknown</v>
      </c>
      <c r="AI448" s="49">
        <f t="shared" ca="1" si="13"/>
        <v>0</v>
      </c>
      <c r="AJ448" s="71">
        <f ca="1"/>
        <v>0</v>
      </c>
    </row>
    <row r="449" spans="2:36" x14ac:dyDescent="0.25">
      <c r="B449" s="29" t="str">
        <f ca="1"/>
        <v>dal10.sr01.rk439</v>
      </c>
      <c r="C449" s="10" t="s">
        <v>2070</v>
      </c>
      <c r="D449" s="2" t="b" cm="1">
        <f t="array" ref="D449:O449">_xlfn._xlws.FILTER(IF(ancillary!$E$4:$P$8="",FALSE,ancillary!$E$4:$P$8),ancillary!$B$4:$B$8=$C449)</f>
        <v>1</v>
      </c>
      <c r="E449" s="2" t="b">
        <v>1</v>
      </c>
      <c r="F449" s="2" t="b">
        <v>1</v>
      </c>
      <c r="G449" s="2" t="b">
        <v>1</v>
      </c>
      <c r="H449" s="2" t="b">
        <v>1</v>
      </c>
      <c r="I449" s="2" t="b">
        <v>1</v>
      </c>
      <c r="J449" s="2" t="b">
        <v>0</v>
      </c>
      <c r="K449" s="2" t="b">
        <v>0</v>
      </c>
      <c r="L449" s="2" t="b">
        <v>0</v>
      </c>
      <c r="M449" s="2" t="b">
        <v>0</v>
      </c>
      <c r="N449" s="2" t="b">
        <v>0</v>
      </c>
      <c r="O449" s="2" t="b">
        <v>0</v>
      </c>
      <c r="P449" s="68"/>
      <c r="R449" s="69"/>
      <c r="S449" s="68"/>
      <c r="U449" s="69"/>
      <c r="V449" s="68"/>
      <c r="X449" s="69"/>
      <c r="Y449" s="68"/>
      <c r="AA449" s="69"/>
      <c r="AB449" s="33">
        <f t="shared" si="12"/>
        <v>0</v>
      </c>
      <c r="AC449" s="45">
        <f>_xlfn.LET(_xlpm.ps_1,P449:R449, _xlpm.ps_2,S449:U449, _xlpm.ps_3,V449:X449, _xlpm.ps_4,Y449:AA449,
_xlpm.phase, MID(C449,SEARCH("-",C449)+1,256),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(_xlfn.XLOOKUP($C$7,site_assumptions[Details],site_assumptions[Volts])*SUMIFS(P449:AA449,_xlfn.ANCHORARRAY(D449),TRUE)/10*0.95)/1000,
IFERROR(IF(_xlpm.phase="3Phase", _xlpm.p3_calc, _xlpm.sp_calc),0))</f>
        <v>0</v>
      </c>
      <c r="AD449" s="29" t="str">
        <f ca="1"/>
        <v>Network</v>
      </c>
      <c r="AE449" s="30" t="str">
        <f ca="1"/>
        <v>Misc.</v>
      </c>
      <c r="AF449" s="30" t="str">
        <f ca="1"/>
        <v>Live</v>
      </c>
      <c r="AG449" s="30">
        <f ca="1"/>
        <v>9.1</v>
      </c>
      <c r="AH449" s="31" t="str">
        <f ca="1"/>
        <v>Unknown</v>
      </c>
      <c r="AI449" s="49">
        <f t="shared" ca="1" si="13"/>
        <v>0</v>
      </c>
      <c r="AJ449" s="71">
        <f ca="1"/>
        <v>0</v>
      </c>
    </row>
    <row r="450" spans="2:36" x14ac:dyDescent="0.25">
      <c r="B450" s="29" t="str">
        <f ca="1"/>
        <v>dal10.sr01.rk440</v>
      </c>
      <c r="C450" s="10" t="s">
        <v>2070</v>
      </c>
      <c r="D450" s="2" t="b" cm="1">
        <f t="array" ref="D450:O450">_xlfn._xlws.FILTER(IF(ancillary!$E$4:$P$8="",FALSE,ancillary!$E$4:$P$8),ancillary!$B$4:$B$8=$C450)</f>
        <v>1</v>
      </c>
      <c r="E450" s="2" t="b">
        <v>1</v>
      </c>
      <c r="F450" s="2" t="b">
        <v>1</v>
      </c>
      <c r="G450" s="2" t="b">
        <v>1</v>
      </c>
      <c r="H450" s="2" t="b">
        <v>1</v>
      </c>
      <c r="I450" s="2" t="b">
        <v>1</v>
      </c>
      <c r="J450" s="2" t="b">
        <v>0</v>
      </c>
      <c r="K450" s="2" t="b">
        <v>0</v>
      </c>
      <c r="L450" s="2" t="b">
        <v>0</v>
      </c>
      <c r="M450" s="2" t="b">
        <v>0</v>
      </c>
      <c r="N450" s="2" t="b">
        <v>0</v>
      </c>
      <c r="O450" s="2" t="b">
        <v>0</v>
      </c>
      <c r="P450" s="68"/>
      <c r="R450" s="69"/>
      <c r="S450" s="68"/>
      <c r="U450" s="69"/>
      <c r="V450" s="68"/>
      <c r="X450" s="69"/>
      <c r="Y450" s="68"/>
      <c r="AA450" s="69"/>
      <c r="AB450" s="33">
        <f t="shared" si="12"/>
        <v>0</v>
      </c>
      <c r="AC450" s="45">
        <f>_xlfn.LET(_xlpm.ps_1,P450:R450, _xlpm.ps_2,S450:U450, _xlpm.ps_3,V450:X450, _xlpm.ps_4,Y450:AA450,
_xlpm.phase, MID(C450,SEARCH("-",C450)+1,256),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(_xlfn.XLOOKUP($C$7,site_assumptions[Details],site_assumptions[Volts])*SUMIFS(P450:AA450,_xlfn.ANCHORARRAY(D450),TRUE)/10*0.95)/1000,
IFERROR(IF(_xlpm.phase="3Phase", _xlpm.p3_calc, _xlpm.sp_calc),0))</f>
        <v>0</v>
      </c>
      <c r="AD450" s="29" t="str">
        <f ca="1"/>
        <v>Network</v>
      </c>
      <c r="AE450" s="30" t="str">
        <f ca="1"/>
        <v>Fiber</v>
      </c>
      <c r="AF450" s="30" t="str">
        <f ca="1"/>
        <v>Live</v>
      </c>
      <c r="AG450" s="30">
        <f ca="1"/>
        <v>0</v>
      </c>
      <c r="AH450" s="31" t="str">
        <f ca="1"/>
        <v>Unknown</v>
      </c>
      <c r="AI450" s="49">
        <f t="shared" ca="1" si="13"/>
        <v>0</v>
      </c>
      <c r="AJ450" s="71">
        <f ca="1"/>
        <v>0</v>
      </c>
    </row>
    <row r="451" spans="2:36" x14ac:dyDescent="0.25">
      <c r="B451" s="29" t="str">
        <f ca="1"/>
        <v>dal10.sr01.rk441</v>
      </c>
      <c r="C451" s="10" t="s">
        <v>2070</v>
      </c>
      <c r="D451" s="2" t="b" cm="1">
        <f t="array" ref="D451:O451">_xlfn._xlws.FILTER(IF(ancillary!$E$4:$P$8="",FALSE,ancillary!$E$4:$P$8),ancillary!$B$4:$B$8=$C451)</f>
        <v>1</v>
      </c>
      <c r="E451" s="2" t="b">
        <v>1</v>
      </c>
      <c r="F451" s="2" t="b">
        <v>1</v>
      </c>
      <c r="G451" s="2" t="b">
        <v>1</v>
      </c>
      <c r="H451" s="2" t="b">
        <v>1</v>
      </c>
      <c r="I451" s="2" t="b">
        <v>1</v>
      </c>
      <c r="J451" s="2" t="b">
        <v>0</v>
      </c>
      <c r="K451" s="2" t="b">
        <v>0</v>
      </c>
      <c r="L451" s="2" t="b">
        <v>0</v>
      </c>
      <c r="M451" s="2" t="b">
        <v>0</v>
      </c>
      <c r="N451" s="2" t="b">
        <v>0</v>
      </c>
      <c r="O451" s="2" t="b">
        <v>0</v>
      </c>
      <c r="P451" s="68"/>
      <c r="R451" s="69"/>
      <c r="S451" s="68"/>
      <c r="U451" s="69"/>
      <c r="V451" s="68"/>
      <c r="X451" s="69"/>
      <c r="Y451" s="68"/>
      <c r="AA451" s="69"/>
      <c r="AB451" s="33">
        <f t="shared" si="12"/>
        <v>0</v>
      </c>
      <c r="AC451" s="45">
        <f>_xlfn.LET(_xlpm.ps_1,P451:R451, _xlpm.ps_2,S451:U451, _xlpm.ps_3,V451:X451, _xlpm.ps_4,Y451:AA451,
_xlpm.phase, MID(C451,SEARCH("-",C451)+1,256),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(_xlfn.XLOOKUP($C$7,site_assumptions[Details],site_assumptions[Volts])*SUMIFS(P451:AA451,_xlfn.ANCHORARRAY(D451),TRUE)/10*0.95)/1000,
IFERROR(IF(_xlpm.phase="3Phase", _xlpm.p3_calc, _xlpm.sp_calc),0))</f>
        <v>0</v>
      </c>
      <c r="AD451" s="29" t="str">
        <f ca="1"/>
        <v>Storage</v>
      </c>
      <c r="AE451" s="30" t="str">
        <f ca="1"/>
        <v>COS</v>
      </c>
      <c r="AF451" s="30" t="str">
        <f ca="1"/>
        <v>Live</v>
      </c>
      <c r="AG451" s="30">
        <f ca="1"/>
        <v>6</v>
      </c>
      <c r="AH451" s="31" t="str">
        <f ca="1"/>
        <v>Unknown</v>
      </c>
      <c r="AI451" s="49">
        <f t="shared" ca="1" si="13"/>
        <v>0</v>
      </c>
      <c r="AJ451" s="71">
        <f ca="1"/>
        <v>0</v>
      </c>
    </row>
    <row r="452" spans="2:36" x14ac:dyDescent="0.25">
      <c r="B452" s="29" t="str">
        <f ca="1"/>
        <v>dal10.sr01.rk442</v>
      </c>
      <c r="C452" s="10" t="s">
        <v>2070</v>
      </c>
      <c r="D452" s="2" t="b" cm="1">
        <f t="array" ref="D452:O452">_xlfn._xlws.FILTER(IF(ancillary!$E$4:$P$8="",FALSE,ancillary!$E$4:$P$8),ancillary!$B$4:$B$8=$C452)</f>
        <v>1</v>
      </c>
      <c r="E452" s="2" t="b">
        <v>1</v>
      </c>
      <c r="F452" s="2" t="b">
        <v>1</v>
      </c>
      <c r="G452" s="2" t="b">
        <v>1</v>
      </c>
      <c r="H452" s="2" t="b">
        <v>1</v>
      </c>
      <c r="I452" s="2" t="b">
        <v>1</v>
      </c>
      <c r="J452" s="2" t="b">
        <v>0</v>
      </c>
      <c r="K452" s="2" t="b">
        <v>0</v>
      </c>
      <c r="L452" s="2" t="b">
        <v>0</v>
      </c>
      <c r="M452" s="2" t="b">
        <v>0</v>
      </c>
      <c r="N452" s="2" t="b">
        <v>0</v>
      </c>
      <c r="O452" s="2" t="b">
        <v>0</v>
      </c>
      <c r="P452" s="68"/>
      <c r="R452" s="69"/>
      <c r="S452" s="68"/>
      <c r="U452" s="69"/>
      <c r="V452" s="68"/>
      <c r="X452" s="69"/>
      <c r="Y452" s="68"/>
      <c r="AA452" s="69"/>
      <c r="AB452" s="33">
        <f t="shared" si="12"/>
        <v>0</v>
      </c>
      <c r="AC452" s="45">
        <f>_xlfn.LET(_xlpm.ps_1,P452:R452, _xlpm.ps_2,S452:U452, _xlpm.ps_3,V452:X452, _xlpm.ps_4,Y452:AA452,
_xlpm.phase, MID(C452,SEARCH("-",C452)+1,256),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(_xlfn.XLOOKUP($C$7,site_assumptions[Details],site_assumptions[Volts])*SUMIFS(P452:AA452,_xlfn.ANCHORARRAY(D452),TRUE)/10*0.95)/1000,
IFERROR(IF(_xlpm.phase="3Phase", _xlpm.p3_calc, _xlpm.sp_calc),0))</f>
        <v>0</v>
      </c>
      <c r="AD452" s="29" t="str">
        <f ca="1"/>
        <v>Storage</v>
      </c>
      <c r="AE452" s="30" t="str">
        <f ca="1"/>
        <v>COS</v>
      </c>
      <c r="AF452" s="30" t="str">
        <f ca="1"/>
        <v>Live</v>
      </c>
      <c r="AG452" s="30">
        <f ca="1"/>
        <v>6</v>
      </c>
      <c r="AH452" s="31" t="str">
        <f ca="1"/>
        <v>Unknown</v>
      </c>
      <c r="AI452" s="49">
        <f t="shared" ca="1" si="13"/>
        <v>0</v>
      </c>
      <c r="AJ452" s="71">
        <f ca="1"/>
        <v>0</v>
      </c>
    </row>
    <row r="453" spans="2:36" x14ac:dyDescent="0.25">
      <c r="B453" s="29" t="str">
        <f ca="1"/>
        <v>dal10.sr01.rk443</v>
      </c>
      <c r="C453" s="10" t="s">
        <v>2070</v>
      </c>
      <c r="D453" s="2" t="b" cm="1">
        <f t="array" ref="D453:O453">_xlfn._xlws.FILTER(IF(ancillary!$E$4:$P$8="",FALSE,ancillary!$E$4:$P$8),ancillary!$B$4:$B$8=$C453)</f>
        <v>1</v>
      </c>
      <c r="E453" s="2" t="b">
        <v>1</v>
      </c>
      <c r="F453" s="2" t="b">
        <v>1</v>
      </c>
      <c r="G453" s="2" t="b">
        <v>1</v>
      </c>
      <c r="H453" s="2" t="b">
        <v>1</v>
      </c>
      <c r="I453" s="2" t="b">
        <v>1</v>
      </c>
      <c r="J453" s="2" t="b">
        <v>0</v>
      </c>
      <c r="K453" s="2" t="b">
        <v>0</v>
      </c>
      <c r="L453" s="2" t="b">
        <v>0</v>
      </c>
      <c r="M453" s="2" t="b">
        <v>0</v>
      </c>
      <c r="N453" s="2" t="b">
        <v>0</v>
      </c>
      <c r="O453" s="2" t="b">
        <v>0</v>
      </c>
      <c r="P453" s="68"/>
      <c r="R453" s="69"/>
      <c r="S453" s="68"/>
      <c r="U453" s="69"/>
      <c r="V453" s="68"/>
      <c r="X453" s="69"/>
      <c r="Y453" s="68"/>
      <c r="AA453" s="69"/>
      <c r="AB453" s="33">
        <f t="shared" si="12"/>
        <v>0</v>
      </c>
      <c r="AC453" s="45">
        <f>_xlfn.LET(_xlpm.ps_1,P453:R453, _xlpm.ps_2,S453:U453, _xlpm.ps_3,V453:X453, _xlpm.ps_4,Y453:AA453,
_xlpm.phase, MID(C453,SEARCH("-",C453)+1,256),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(_xlfn.XLOOKUP($C$7,site_assumptions[Details],site_assumptions[Volts])*SUMIFS(P453:AA453,_xlfn.ANCHORARRAY(D453),TRUE)/10*0.95)/1000,
IFERROR(IF(_xlpm.phase="3Phase", _xlpm.p3_calc, _xlpm.sp_calc),0))</f>
        <v>0</v>
      </c>
      <c r="AD453" s="29" t="str">
        <f ca="1"/>
        <v>Storage</v>
      </c>
      <c r="AE453" s="30" t="str">
        <f ca="1"/>
        <v>COS</v>
      </c>
      <c r="AF453" s="30" t="str">
        <f ca="1"/>
        <v>Live</v>
      </c>
      <c r="AG453" s="30">
        <f ca="1"/>
        <v>6</v>
      </c>
      <c r="AH453" s="31" t="str">
        <f ca="1"/>
        <v>Unknown</v>
      </c>
      <c r="AI453" s="49">
        <f t="shared" ca="1" si="13"/>
        <v>0</v>
      </c>
      <c r="AJ453" s="71">
        <f ca="1"/>
        <v>0</v>
      </c>
    </row>
    <row r="454" spans="2:36" x14ac:dyDescent="0.25">
      <c r="B454" s="29" t="str">
        <f ca="1"/>
        <v>dal10.sr01.rk444</v>
      </c>
      <c r="C454" s="10" t="s">
        <v>2070</v>
      </c>
      <c r="D454" s="2" t="b" cm="1">
        <f t="array" ref="D454:O454">_xlfn._xlws.FILTER(IF(ancillary!$E$4:$P$8="",FALSE,ancillary!$E$4:$P$8),ancillary!$B$4:$B$8=$C454)</f>
        <v>1</v>
      </c>
      <c r="E454" s="2" t="b">
        <v>1</v>
      </c>
      <c r="F454" s="2" t="b">
        <v>1</v>
      </c>
      <c r="G454" s="2" t="b">
        <v>1</v>
      </c>
      <c r="H454" s="2" t="b">
        <v>1</v>
      </c>
      <c r="I454" s="2" t="b">
        <v>1</v>
      </c>
      <c r="J454" s="2" t="b">
        <v>0</v>
      </c>
      <c r="K454" s="2" t="b">
        <v>0</v>
      </c>
      <c r="L454" s="2" t="b">
        <v>0</v>
      </c>
      <c r="M454" s="2" t="b">
        <v>0</v>
      </c>
      <c r="N454" s="2" t="b">
        <v>0</v>
      </c>
      <c r="O454" s="2" t="b">
        <v>0</v>
      </c>
      <c r="P454" s="68"/>
      <c r="R454" s="69"/>
      <c r="S454" s="68"/>
      <c r="U454" s="69"/>
      <c r="V454" s="68"/>
      <c r="X454" s="69"/>
      <c r="Y454" s="68"/>
      <c r="AA454" s="69"/>
      <c r="AB454" s="33">
        <f t="shared" si="12"/>
        <v>0</v>
      </c>
      <c r="AC454" s="45">
        <f>_xlfn.LET(_xlpm.ps_1,P454:R454, _xlpm.ps_2,S454:U454, _xlpm.ps_3,V454:X454, _xlpm.ps_4,Y454:AA454,
_xlpm.phase, MID(C454,SEARCH("-",C454)+1,256),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(_xlfn.XLOOKUP($C$7,site_assumptions[Details],site_assumptions[Volts])*SUMIFS(P454:AA454,_xlfn.ANCHORARRAY(D454),TRUE)/10*0.95)/1000,
IFERROR(IF(_xlpm.phase="3Phase", _xlpm.p3_calc, _xlpm.sp_calc),0))</f>
        <v>0</v>
      </c>
      <c r="AD454" s="29" t="str">
        <f ca="1"/>
        <v>Storage</v>
      </c>
      <c r="AE454" s="30" t="str">
        <f ca="1"/>
        <v>COS</v>
      </c>
      <c r="AF454" s="30" t="str">
        <f ca="1"/>
        <v>Live</v>
      </c>
      <c r="AG454" s="30">
        <f ca="1"/>
        <v>6</v>
      </c>
      <c r="AH454" s="31" t="str">
        <f ca="1"/>
        <v>Unknown</v>
      </c>
      <c r="AI454" s="49">
        <f t="shared" ca="1" si="13"/>
        <v>0</v>
      </c>
      <c r="AJ454" s="71">
        <f ca="1"/>
        <v>0</v>
      </c>
    </row>
    <row r="455" spans="2:36" x14ac:dyDescent="0.25">
      <c r="B455" s="29" t="str">
        <f ca="1"/>
        <v>dal10.sr01.rk445</v>
      </c>
      <c r="C455" s="10" t="s">
        <v>2070</v>
      </c>
      <c r="D455" s="2" t="b" cm="1">
        <f t="array" ref="D455:O455">_xlfn._xlws.FILTER(IF(ancillary!$E$4:$P$8="",FALSE,ancillary!$E$4:$P$8),ancillary!$B$4:$B$8=$C455)</f>
        <v>1</v>
      </c>
      <c r="E455" s="2" t="b">
        <v>1</v>
      </c>
      <c r="F455" s="2" t="b">
        <v>1</v>
      </c>
      <c r="G455" s="2" t="b">
        <v>1</v>
      </c>
      <c r="H455" s="2" t="b">
        <v>1</v>
      </c>
      <c r="I455" s="2" t="b">
        <v>1</v>
      </c>
      <c r="J455" s="2" t="b">
        <v>0</v>
      </c>
      <c r="K455" s="2" t="b">
        <v>0</v>
      </c>
      <c r="L455" s="2" t="b">
        <v>0</v>
      </c>
      <c r="M455" s="2" t="b">
        <v>0</v>
      </c>
      <c r="N455" s="2" t="b">
        <v>0</v>
      </c>
      <c r="O455" s="2" t="b">
        <v>0</v>
      </c>
      <c r="P455" s="68"/>
      <c r="R455" s="69"/>
      <c r="S455" s="68"/>
      <c r="U455" s="69"/>
      <c r="V455" s="68"/>
      <c r="X455" s="69"/>
      <c r="Y455" s="68"/>
      <c r="AA455" s="69"/>
      <c r="AB455" s="33">
        <f t="shared" si="12"/>
        <v>0</v>
      </c>
      <c r="AC455" s="45">
        <f>_xlfn.LET(_xlpm.ps_1,P455:R455, _xlpm.ps_2,S455:U455, _xlpm.ps_3,V455:X455, _xlpm.ps_4,Y455:AA455,
_xlpm.phase, MID(C455,SEARCH("-",C455)+1,256),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(_xlfn.XLOOKUP($C$7,site_assumptions[Details],site_assumptions[Volts])*SUMIFS(P455:AA455,_xlfn.ANCHORARRAY(D455),TRUE)/10*0.95)/1000,
IFERROR(IF(_xlpm.phase="3Phase", _xlpm.p3_calc, _xlpm.sp_calc),0))</f>
        <v>0</v>
      </c>
      <c r="AD455" s="29" t="str">
        <f ca="1"/>
        <v>Storage</v>
      </c>
      <c r="AE455" s="30" t="str">
        <f ca="1"/>
        <v>COS</v>
      </c>
      <c r="AF455" s="30" t="str">
        <f ca="1"/>
        <v>Live</v>
      </c>
      <c r="AG455" s="30">
        <f ca="1"/>
        <v>6</v>
      </c>
      <c r="AH455" s="31" t="str">
        <f ca="1"/>
        <v>Unknown</v>
      </c>
      <c r="AI455" s="49">
        <f t="shared" ca="1" si="13"/>
        <v>0</v>
      </c>
      <c r="AJ455" s="71">
        <f ca="1"/>
        <v>0</v>
      </c>
    </row>
    <row r="456" spans="2:36" x14ac:dyDescent="0.25">
      <c r="B456" s="29" t="str">
        <f ca="1"/>
        <v>dal10.sr01.rk446</v>
      </c>
      <c r="C456" s="10" t="s">
        <v>2070</v>
      </c>
      <c r="D456" s="2" t="b" cm="1">
        <f t="array" ref="D456:O456">_xlfn._xlws.FILTER(IF(ancillary!$E$4:$P$8="",FALSE,ancillary!$E$4:$P$8),ancillary!$B$4:$B$8=$C456)</f>
        <v>1</v>
      </c>
      <c r="E456" s="2" t="b">
        <v>1</v>
      </c>
      <c r="F456" s="2" t="b">
        <v>1</v>
      </c>
      <c r="G456" s="2" t="b">
        <v>1</v>
      </c>
      <c r="H456" s="2" t="b">
        <v>1</v>
      </c>
      <c r="I456" s="2" t="b">
        <v>1</v>
      </c>
      <c r="J456" s="2" t="b">
        <v>0</v>
      </c>
      <c r="K456" s="2" t="b">
        <v>0</v>
      </c>
      <c r="L456" s="2" t="b">
        <v>0</v>
      </c>
      <c r="M456" s="2" t="b">
        <v>0</v>
      </c>
      <c r="N456" s="2" t="b">
        <v>0</v>
      </c>
      <c r="O456" s="2" t="b">
        <v>0</v>
      </c>
      <c r="P456" s="68"/>
      <c r="R456" s="69"/>
      <c r="S456" s="68"/>
      <c r="U456" s="69"/>
      <c r="V456" s="68"/>
      <c r="X456" s="69"/>
      <c r="Y456" s="68"/>
      <c r="AA456" s="69"/>
      <c r="AB456" s="33">
        <f t="shared" si="12"/>
        <v>0</v>
      </c>
      <c r="AC456" s="45">
        <f>_xlfn.LET(_xlpm.ps_1,P456:R456, _xlpm.ps_2,S456:U456, _xlpm.ps_3,V456:X456, _xlpm.ps_4,Y456:AA456,
_xlpm.phase, MID(C456,SEARCH("-",C456)+1,256),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(_xlfn.XLOOKUP($C$7,site_assumptions[Details],site_assumptions[Volts])*SUMIFS(P456:AA456,_xlfn.ANCHORARRAY(D456),TRUE)/10*0.95)/1000,
IFERROR(IF(_xlpm.phase="3Phase", _xlpm.p3_calc, _xlpm.sp_calc),0))</f>
        <v>0</v>
      </c>
      <c r="AD456" s="29" t="str">
        <f ca="1"/>
        <v>Storage</v>
      </c>
      <c r="AE456" s="30" t="str">
        <f ca="1"/>
        <v>COS</v>
      </c>
      <c r="AF456" s="30" t="str">
        <f ca="1"/>
        <v>Live</v>
      </c>
      <c r="AG456" s="30">
        <f ca="1"/>
        <v>6</v>
      </c>
      <c r="AH456" s="31" t="str">
        <f ca="1"/>
        <v>Unknown</v>
      </c>
      <c r="AI456" s="49">
        <f t="shared" ca="1" si="13"/>
        <v>0</v>
      </c>
      <c r="AJ456" s="71">
        <f ca="1"/>
        <v>0</v>
      </c>
    </row>
    <row r="457" spans="2:36" x14ac:dyDescent="0.25">
      <c r="B457" s="29" t="str">
        <f ca="1"/>
        <v>dal10.sr01.rk447</v>
      </c>
      <c r="C457" s="10" t="s">
        <v>2070</v>
      </c>
      <c r="D457" s="2" t="b" cm="1">
        <f t="array" ref="D457:O457">_xlfn._xlws.FILTER(IF(ancillary!$E$4:$P$8="",FALSE,ancillary!$E$4:$P$8),ancillary!$B$4:$B$8=$C457)</f>
        <v>1</v>
      </c>
      <c r="E457" s="2" t="b">
        <v>1</v>
      </c>
      <c r="F457" s="2" t="b">
        <v>1</v>
      </c>
      <c r="G457" s="2" t="b">
        <v>1</v>
      </c>
      <c r="H457" s="2" t="b">
        <v>1</v>
      </c>
      <c r="I457" s="2" t="b">
        <v>1</v>
      </c>
      <c r="J457" s="2" t="b">
        <v>0</v>
      </c>
      <c r="K457" s="2" t="b">
        <v>0</v>
      </c>
      <c r="L457" s="2" t="b">
        <v>0</v>
      </c>
      <c r="M457" s="2" t="b">
        <v>0</v>
      </c>
      <c r="N457" s="2" t="b">
        <v>0</v>
      </c>
      <c r="O457" s="2" t="b">
        <v>0</v>
      </c>
      <c r="P457" s="68"/>
      <c r="R457" s="69"/>
      <c r="S457" s="68"/>
      <c r="U457" s="69"/>
      <c r="V457" s="68"/>
      <c r="X457" s="69"/>
      <c r="Y457" s="68"/>
      <c r="AA457" s="69"/>
      <c r="AB457" s="33">
        <f t="shared" si="12"/>
        <v>0</v>
      </c>
      <c r="AC457" s="45">
        <f>_xlfn.LET(_xlpm.ps_1,P457:R457, _xlpm.ps_2,S457:U457, _xlpm.ps_3,V457:X457, _xlpm.ps_4,Y457:AA457,
_xlpm.phase, MID(C457,SEARCH("-",C457)+1,256),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(_xlfn.XLOOKUP($C$7,site_assumptions[Details],site_assumptions[Volts])*SUMIFS(P457:AA457,_xlfn.ANCHORARRAY(D457),TRUE)/10*0.95)/1000,
IFERROR(IF(_xlpm.phase="3Phase", _xlpm.p3_calc, _xlpm.sp_calc),0))</f>
        <v>0</v>
      </c>
      <c r="AD457" s="29" t="str">
        <f ca="1"/>
        <v>Storage</v>
      </c>
      <c r="AE457" s="30" t="str">
        <f ca="1"/>
        <v>COS</v>
      </c>
      <c r="AF457" s="30" t="str">
        <f ca="1"/>
        <v>Live</v>
      </c>
      <c r="AG457" s="30">
        <f ca="1"/>
        <v>6</v>
      </c>
      <c r="AH457" s="31" t="str">
        <f ca="1"/>
        <v>Unknown</v>
      </c>
      <c r="AI457" s="49">
        <f t="shared" ca="1" si="13"/>
        <v>0</v>
      </c>
      <c r="AJ457" s="71">
        <f ca="1"/>
        <v>0</v>
      </c>
    </row>
    <row r="458" spans="2:36" x14ac:dyDescent="0.25">
      <c r="B458" s="29" t="str">
        <f ca="1"/>
        <v>dal10.sr01.rk448</v>
      </c>
      <c r="C458" s="10" t="s">
        <v>2070</v>
      </c>
      <c r="D458" s="2" t="b" cm="1">
        <f t="array" ref="D458:O458">_xlfn._xlws.FILTER(IF(ancillary!$E$4:$P$8="",FALSE,ancillary!$E$4:$P$8),ancillary!$B$4:$B$8=$C458)</f>
        <v>1</v>
      </c>
      <c r="E458" s="2" t="b">
        <v>1</v>
      </c>
      <c r="F458" s="2" t="b">
        <v>1</v>
      </c>
      <c r="G458" s="2" t="b">
        <v>1</v>
      </c>
      <c r="H458" s="2" t="b">
        <v>1</v>
      </c>
      <c r="I458" s="2" t="b">
        <v>1</v>
      </c>
      <c r="J458" s="2" t="b">
        <v>0</v>
      </c>
      <c r="K458" s="2" t="b">
        <v>0</v>
      </c>
      <c r="L458" s="2" t="b">
        <v>0</v>
      </c>
      <c r="M458" s="2" t="b">
        <v>0</v>
      </c>
      <c r="N458" s="2" t="b">
        <v>0</v>
      </c>
      <c r="O458" s="2" t="b">
        <v>0</v>
      </c>
      <c r="P458" s="68"/>
      <c r="R458" s="69"/>
      <c r="S458" s="68"/>
      <c r="U458" s="69"/>
      <c r="V458" s="68"/>
      <c r="X458" s="69"/>
      <c r="Y458" s="68"/>
      <c r="AA458" s="69"/>
      <c r="AB458" s="33">
        <f t="shared" si="12"/>
        <v>0</v>
      </c>
      <c r="AC458" s="45">
        <f>_xlfn.LET(_xlpm.ps_1,P458:R458, _xlpm.ps_2,S458:U458, _xlpm.ps_3,V458:X458, _xlpm.ps_4,Y458:AA458,
_xlpm.phase, MID(C458,SEARCH("-",C458)+1,256),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(_xlfn.XLOOKUP($C$7,site_assumptions[Details],site_assumptions[Volts])*SUMIFS(P458:AA458,_xlfn.ANCHORARRAY(D458),TRUE)/10*0.95)/1000,
IFERROR(IF(_xlpm.phase="3Phase", _xlpm.p3_calc, _xlpm.sp_calc),0))</f>
        <v>0</v>
      </c>
      <c r="AD458" s="29" t="str">
        <f ca="1"/>
        <v>Storage</v>
      </c>
      <c r="AE458" s="30" t="str">
        <f ca="1"/>
        <v>COS</v>
      </c>
      <c r="AF458" s="30" t="str">
        <f ca="1"/>
        <v>Live</v>
      </c>
      <c r="AG458" s="30">
        <f ca="1"/>
        <v>6</v>
      </c>
      <c r="AH458" s="31" t="str">
        <f ca="1"/>
        <v>Unknown</v>
      </c>
      <c r="AI458" s="49">
        <f t="shared" ca="1" si="13"/>
        <v>0</v>
      </c>
      <c r="AJ458" s="71">
        <f ca="1"/>
        <v>0</v>
      </c>
    </row>
    <row r="459" spans="2:36" x14ac:dyDescent="0.25">
      <c r="B459" s="29" t="str">
        <f ca="1"/>
        <v>dal10.sr01.rk449</v>
      </c>
      <c r="C459" s="10" t="s">
        <v>2070</v>
      </c>
      <c r="D459" s="2" t="b" cm="1">
        <f t="array" ref="D459:O459">_xlfn._xlws.FILTER(IF(ancillary!$E$4:$P$8="",FALSE,ancillary!$E$4:$P$8),ancillary!$B$4:$B$8=$C459)</f>
        <v>1</v>
      </c>
      <c r="E459" s="2" t="b">
        <v>1</v>
      </c>
      <c r="F459" s="2" t="b">
        <v>1</v>
      </c>
      <c r="G459" s="2" t="b">
        <v>1</v>
      </c>
      <c r="H459" s="2" t="b">
        <v>1</v>
      </c>
      <c r="I459" s="2" t="b">
        <v>1</v>
      </c>
      <c r="J459" s="2" t="b">
        <v>0</v>
      </c>
      <c r="K459" s="2" t="b">
        <v>0</v>
      </c>
      <c r="L459" s="2" t="b">
        <v>0</v>
      </c>
      <c r="M459" s="2" t="b">
        <v>0</v>
      </c>
      <c r="N459" s="2" t="b">
        <v>0</v>
      </c>
      <c r="O459" s="2" t="b">
        <v>0</v>
      </c>
      <c r="P459" s="68"/>
      <c r="R459" s="69"/>
      <c r="S459" s="68"/>
      <c r="U459" s="69"/>
      <c r="V459" s="68"/>
      <c r="X459" s="69"/>
      <c r="Y459" s="68"/>
      <c r="AA459" s="69"/>
      <c r="AB459" s="33">
        <f t="shared" si="12"/>
        <v>0</v>
      </c>
      <c r="AC459" s="45">
        <f>_xlfn.LET(_xlpm.ps_1,P459:R459, _xlpm.ps_2,S459:U459, _xlpm.ps_3,V459:X459, _xlpm.ps_4,Y459:AA459,
_xlpm.phase, MID(C459,SEARCH("-",C459)+1,256),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(_xlfn.XLOOKUP($C$7,site_assumptions[Details],site_assumptions[Volts])*SUMIFS(P459:AA459,_xlfn.ANCHORARRAY(D459),TRUE)/10*0.95)/1000,
IFERROR(IF(_xlpm.phase="3Phase", _xlpm.p3_calc, _xlpm.sp_calc),0))</f>
        <v>0</v>
      </c>
      <c r="AD459" s="29" t="str">
        <f ca="1"/>
        <v>Storage</v>
      </c>
      <c r="AE459" s="30" t="str">
        <f ca="1"/>
        <v>COS</v>
      </c>
      <c r="AF459" s="30" t="str">
        <f ca="1"/>
        <v>Live</v>
      </c>
      <c r="AG459" s="30">
        <f ca="1"/>
        <v>6</v>
      </c>
      <c r="AH459" s="31" t="str">
        <f ca="1"/>
        <v>Unknown</v>
      </c>
      <c r="AI459" s="49">
        <f t="shared" ca="1" si="13"/>
        <v>0</v>
      </c>
      <c r="AJ459" s="71">
        <f ca="1"/>
        <v>0</v>
      </c>
    </row>
    <row r="460" spans="2:36" x14ac:dyDescent="0.25">
      <c r="B460" s="29" t="str">
        <f ca="1"/>
        <v>dal10.sr01.rk450</v>
      </c>
      <c r="C460" s="10" t="s">
        <v>2070</v>
      </c>
      <c r="D460" s="2" t="b" cm="1">
        <f t="array" ref="D460:O460">_xlfn._xlws.FILTER(IF(ancillary!$E$4:$P$8="",FALSE,ancillary!$E$4:$P$8),ancillary!$B$4:$B$8=$C460)</f>
        <v>1</v>
      </c>
      <c r="E460" s="2" t="b">
        <v>1</v>
      </c>
      <c r="F460" s="2" t="b">
        <v>1</v>
      </c>
      <c r="G460" s="2" t="b">
        <v>1</v>
      </c>
      <c r="H460" s="2" t="b">
        <v>1</v>
      </c>
      <c r="I460" s="2" t="b">
        <v>1</v>
      </c>
      <c r="J460" s="2" t="b">
        <v>0</v>
      </c>
      <c r="K460" s="2" t="b">
        <v>0</v>
      </c>
      <c r="L460" s="2" t="b">
        <v>0</v>
      </c>
      <c r="M460" s="2" t="b">
        <v>0</v>
      </c>
      <c r="N460" s="2" t="b">
        <v>0</v>
      </c>
      <c r="O460" s="2" t="b">
        <v>0</v>
      </c>
      <c r="P460" s="68"/>
      <c r="R460" s="69"/>
      <c r="S460" s="68"/>
      <c r="U460" s="69"/>
      <c r="V460" s="68"/>
      <c r="X460" s="69"/>
      <c r="Y460" s="68"/>
      <c r="AA460" s="69"/>
      <c r="AB460" s="33">
        <f t="shared" si="12"/>
        <v>0</v>
      </c>
      <c r="AC460" s="45">
        <f>_xlfn.LET(_xlpm.ps_1,P460:R460, _xlpm.ps_2,S460:U460, _xlpm.ps_3,V460:X460, _xlpm.ps_4,Y460:AA460,
_xlpm.phase, MID(C460,SEARCH("-",C460)+1,256),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(_xlfn.XLOOKUP($C$7,site_assumptions[Details],site_assumptions[Volts])*SUMIFS(P460:AA460,_xlfn.ANCHORARRAY(D460),TRUE)/10*0.95)/1000,
IFERROR(IF(_xlpm.phase="3Phase", _xlpm.p3_calc, _xlpm.sp_calc),0))</f>
        <v>0</v>
      </c>
      <c r="AD460" s="29" t="str">
        <f ca="1"/>
        <v>Storage</v>
      </c>
      <c r="AE460" s="30" t="str">
        <f ca="1"/>
        <v>COS</v>
      </c>
      <c r="AF460" s="30" t="str">
        <f ca="1"/>
        <v>Live</v>
      </c>
      <c r="AG460" s="30">
        <f ca="1"/>
        <v>6</v>
      </c>
      <c r="AH460" s="31" t="str">
        <f ca="1"/>
        <v>Unknown</v>
      </c>
      <c r="AI460" s="49">
        <f t="shared" ca="1" si="13"/>
        <v>0</v>
      </c>
      <c r="AJ460" s="71">
        <f ca="1"/>
        <v>0</v>
      </c>
    </row>
    <row r="461" spans="2:36" x14ac:dyDescent="0.25">
      <c r="B461" s="29" t="str">
        <f ca="1"/>
        <v>dal10.sr01.rk451</v>
      </c>
      <c r="C461" s="10" t="s">
        <v>2070</v>
      </c>
      <c r="D461" s="2" t="b" cm="1">
        <f t="array" ref="D461:O461">_xlfn._xlws.FILTER(IF(ancillary!$E$4:$P$8="",FALSE,ancillary!$E$4:$P$8),ancillary!$B$4:$B$8=$C461)</f>
        <v>1</v>
      </c>
      <c r="E461" s="2" t="b">
        <v>1</v>
      </c>
      <c r="F461" s="2" t="b">
        <v>1</v>
      </c>
      <c r="G461" s="2" t="b">
        <v>1</v>
      </c>
      <c r="H461" s="2" t="b">
        <v>1</v>
      </c>
      <c r="I461" s="2" t="b">
        <v>1</v>
      </c>
      <c r="J461" s="2" t="b">
        <v>0</v>
      </c>
      <c r="K461" s="2" t="b">
        <v>0</v>
      </c>
      <c r="L461" s="2" t="b">
        <v>0</v>
      </c>
      <c r="M461" s="2" t="b">
        <v>0</v>
      </c>
      <c r="N461" s="2" t="b">
        <v>0</v>
      </c>
      <c r="O461" s="2" t="b">
        <v>0</v>
      </c>
      <c r="P461" s="68"/>
      <c r="R461" s="69"/>
      <c r="S461" s="68"/>
      <c r="U461" s="69"/>
      <c r="V461" s="68"/>
      <c r="X461" s="69"/>
      <c r="Y461" s="68"/>
      <c r="AA461" s="69"/>
      <c r="AB461" s="33">
        <f t="shared" si="12"/>
        <v>0</v>
      </c>
      <c r="AC461" s="45">
        <f>_xlfn.LET(_xlpm.ps_1,P461:R461, _xlpm.ps_2,S461:U461, _xlpm.ps_3,V461:X461, _xlpm.ps_4,Y461:AA461,
_xlpm.phase, MID(C461,SEARCH("-",C461)+1,256),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(_xlfn.XLOOKUP($C$7,site_assumptions[Details],site_assumptions[Volts])*SUMIFS(P461:AA461,_xlfn.ANCHORARRAY(D461),TRUE)/10*0.95)/1000,
IFERROR(IF(_xlpm.phase="3Phase", _xlpm.p3_calc, _xlpm.sp_calc),0))</f>
        <v>0</v>
      </c>
      <c r="AD461" s="29" t="str">
        <f ca="1"/>
        <v>Storage</v>
      </c>
      <c r="AE461" s="30" t="str">
        <f ca="1"/>
        <v>COS</v>
      </c>
      <c r="AF461" s="30" t="str">
        <f ca="1"/>
        <v>Live</v>
      </c>
      <c r="AG461" s="30">
        <f ca="1"/>
        <v>6</v>
      </c>
      <c r="AH461" s="31" t="str">
        <f ca="1"/>
        <v>Unknown</v>
      </c>
      <c r="AI461" s="49">
        <f t="shared" ca="1" si="13"/>
        <v>0</v>
      </c>
      <c r="AJ461" s="71">
        <f ca="1"/>
        <v>0</v>
      </c>
    </row>
    <row r="462" spans="2:36" x14ac:dyDescent="0.25">
      <c r="B462" s="29" t="str">
        <f ca="1"/>
        <v>dal10.sr01.rk452</v>
      </c>
      <c r="C462" s="10" t="s">
        <v>2070</v>
      </c>
      <c r="D462" s="2" t="b" cm="1">
        <f t="array" ref="D462:O462">_xlfn._xlws.FILTER(IF(ancillary!$E$4:$P$8="",FALSE,ancillary!$E$4:$P$8),ancillary!$B$4:$B$8=$C462)</f>
        <v>1</v>
      </c>
      <c r="E462" s="2" t="b">
        <v>1</v>
      </c>
      <c r="F462" s="2" t="b">
        <v>1</v>
      </c>
      <c r="G462" s="2" t="b">
        <v>1</v>
      </c>
      <c r="H462" s="2" t="b">
        <v>1</v>
      </c>
      <c r="I462" s="2" t="b">
        <v>1</v>
      </c>
      <c r="J462" s="2" t="b">
        <v>0</v>
      </c>
      <c r="K462" s="2" t="b">
        <v>0</v>
      </c>
      <c r="L462" s="2" t="b">
        <v>0</v>
      </c>
      <c r="M462" s="2" t="b">
        <v>0</v>
      </c>
      <c r="N462" s="2" t="b">
        <v>0</v>
      </c>
      <c r="O462" s="2" t="b">
        <v>0</v>
      </c>
      <c r="P462" s="68"/>
      <c r="R462" s="69"/>
      <c r="S462" s="68"/>
      <c r="U462" s="69"/>
      <c r="V462" s="68"/>
      <c r="X462" s="69"/>
      <c r="Y462" s="68"/>
      <c r="AA462" s="69"/>
      <c r="AB462" s="33">
        <f t="shared" ref="AB462:AB525" si="14">IFERROR(AVERAGEIFS(P462:AA462,_xlfn.ANCHORARRAY(D462),TRUE),0)/10</f>
        <v>0</v>
      </c>
      <c r="AC462" s="45">
        <f>_xlfn.LET(_xlpm.ps_1,P462:R462, _xlpm.ps_2,S462:U462, _xlpm.ps_3,V462:X462, _xlpm.ps_4,Y462:AA462,
_xlpm.phase, MID(C462,SEARCH("-",C462)+1,256),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(_xlfn.XLOOKUP($C$7,site_assumptions[Details],site_assumptions[Volts])*SUMIFS(P462:AA462,_xlfn.ANCHORARRAY(D462),TRUE)/10*0.95)/1000,
IFERROR(IF(_xlpm.phase="3Phase", _xlpm.p3_calc, _xlpm.sp_calc),0))</f>
        <v>0</v>
      </c>
      <c r="AD462" s="29" t="str">
        <f ca="1"/>
        <v>Gen2</v>
      </c>
      <c r="AE462" s="30" t="str">
        <f ca="1"/>
        <v>Network</v>
      </c>
      <c r="AF462" s="30" t="str">
        <f ca="1"/>
        <v>Live</v>
      </c>
      <c r="AG462" s="30">
        <f ca="1"/>
        <v>10</v>
      </c>
      <c r="AH462" s="31" t="str">
        <f ca="1"/>
        <v>Unknown</v>
      </c>
      <c r="AI462" s="49">
        <f t="shared" ref="AI462:AI525" ca="1" si="15">IFERROR(AC462/AG462,0)</f>
        <v>0</v>
      </c>
      <c r="AJ462" s="71">
        <f ca="1"/>
        <v>0</v>
      </c>
    </row>
    <row r="463" spans="2:36" x14ac:dyDescent="0.25">
      <c r="B463" s="29" t="str">
        <f ca="1"/>
        <v>dal10.sr01.rk453</v>
      </c>
      <c r="C463" s="10" t="s">
        <v>2070</v>
      </c>
      <c r="D463" s="2" t="b" cm="1">
        <f t="array" ref="D463:O463">_xlfn._xlws.FILTER(IF(ancillary!$E$4:$P$8="",FALSE,ancillary!$E$4:$P$8),ancillary!$B$4:$B$8=$C463)</f>
        <v>1</v>
      </c>
      <c r="E463" s="2" t="b">
        <v>1</v>
      </c>
      <c r="F463" s="2" t="b">
        <v>1</v>
      </c>
      <c r="G463" s="2" t="b">
        <v>1</v>
      </c>
      <c r="H463" s="2" t="b">
        <v>1</v>
      </c>
      <c r="I463" s="2" t="b">
        <v>1</v>
      </c>
      <c r="J463" s="2" t="b">
        <v>0</v>
      </c>
      <c r="K463" s="2" t="b">
        <v>0</v>
      </c>
      <c r="L463" s="2" t="b">
        <v>0</v>
      </c>
      <c r="M463" s="2" t="b">
        <v>0</v>
      </c>
      <c r="N463" s="2" t="b">
        <v>0</v>
      </c>
      <c r="O463" s="2" t="b">
        <v>0</v>
      </c>
      <c r="P463" s="68"/>
      <c r="R463" s="69"/>
      <c r="S463" s="68"/>
      <c r="U463" s="69"/>
      <c r="V463" s="68"/>
      <c r="X463" s="69"/>
      <c r="Y463" s="68"/>
      <c r="AA463" s="69"/>
      <c r="AB463" s="33">
        <f t="shared" si="14"/>
        <v>0</v>
      </c>
      <c r="AC463" s="45">
        <f>_xlfn.LET(_xlpm.ps_1,P463:R463, _xlpm.ps_2,S463:U463, _xlpm.ps_3,V463:X463, _xlpm.ps_4,Y463:AA463,
_xlpm.phase, MID(C463,SEARCH("-",C463)+1,256),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(_xlfn.XLOOKUP($C$7,site_assumptions[Details],site_assumptions[Volts])*SUMIFS(P463:AA463,_xlfn.ANCHORARRAY(D463),TRUE)/10*0.95)/1000,
IFERROR(IF(_xlpm.phase="3Phase", _xlpm.p3_calc, _xlpm.sp_calc),0))</f>
        <v>0</v>
      </c>
      <c r="AD463" s="29" t="str">
        <f ca="1"/>
        <v>Gen2</v>
      </c>
      <c r="AE463" s="30" t="str">
        <f ca="1"/>
        <v>Network</v>
      </c>
      <c r="AF463" s="30" t="str">
        <f ca="1"/>
        <v>Live</v>
      </c>
      <c r="AG463" s="30">
        <f ca="1"/>
        <v>10</v>
      </c>
      <c r="AH463" s="31" t="str">
        <f ca="1"/>
        <v>Unknown</v>
      </c>
      <c r="AI463" s="49">
        <f t="shared" ca="1" si="15"/>
        <v>0</v>
      </c>
      <c r="AJ463" s="71">
        <f ca="1"/>
        <v>0</v>
      </c>
    </row>
    <row r="464" spans="2:36" x14ac:dyDescent="0.25">
      <c r="B464" s="29" t="str">
        <f ca="1"/>
        <v>dal10.sr01.rk454</v>
      </c>
      <c r="C464" s="10" t="s">
        <v>2070</v>
      </c>
      <c r="D464" s="2" t="b" cm="1">
        <f t="array" ref="D464:O464">_xlfn._xlws.FILTER(IF(ancillary!$E$4:$P$8="",FALSE,ancillary!$E$4:$P$8),ancillary!$B$4:$B$8=$C464)</f>
        <v>1</v>
      </c>
      <c r="E464" s="2" t="b">
        <v>1</v>
      </c>
      <c r="F464" s="2" t="b">
        <v>1</v>
      </c>
      <c r="G464" s="2" t="b">
        <v>1</v>
      </c>
      <c r="H464" s="2" t="b">
        <v>1</v>
      </c>
      <c r="I464" s="2" t="b">
        <v>1</v>
      </c>
      <c r="J464" s="2" t="b">
        <v>0</v>
      </c>
      <c r="K464" s="2" t="b">
        <v>0</v>
      </c>
      <c r="L464" s="2" t="b">
        <v>0</v>
      </c>
      <c r="M464" s="2" t="b">
        <v>0</v>
      </c>
      <c r="N464" s="2" t="b">
        <v>0</v>
      </c>
      <c r="O464" s="2" t="b">
        <v>0</v>
      </c>
      <c r="P464" s="68"/>
      <c r="R464" s="69"/>
      <c r="S464" s="68"/>
      <c r="U464" s="69"/>
      <c r="V464" s="68"/>
      <c r="X464" s="69"/>
      <c r="Y464" s="68"/>
      <c r="AA464" s="69"/>
      <c r="AB464" s="33">
        <f t="shared" si="14"/>
        <v>0</v>
      </c>
      <c r="AC464" s="45">
        <f>_xlfn.LET(_xlpm.ps_1,P464:R464, _xlpm.ps_2,S464:U464, _xlpm.ps_3,V464:X464, _xlpm.ps_4,Y464:AA464,
_xlpm.phase, MID(C464,SEARCH("-",C464)+1,256),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(_xlfn.XLOOKUP($C$7,site_assumptions[Details],site_assumptions[Volts])*SUMIFS(P464:AA464,_xlfn.ANCHORARRAY(D464),TRUE)/10*0.95)/1000,
IFERROR(IF(_xlpm.phase="3Phase", _xlpm.p3_calc, _xlpm.sp_calc),0))</f>
        <v>0</v>
      </c>
      <c r="AD464" s="29" t="str">
        <f ca="1"/>
        <v>Gen2</v>
      </c>
      <c r="AE464" s="30" t="str">
        <f ca="1"/>
        <v>Compute</v>
      </c>
      <c r="AF464" s="30" t="str">
        <f ca="1"/>
        <v>Planned</v>
      </c>
      <c r="AG464" s="30">
        <f ca="1"/>
        <v>20</v>
      </c>
      <c r="AH464" s="31" t="str">
        <f ca="1"/>
        <v>Unknown</v>
      </c>
      <c r="AI464" s="49">
        <f t="shared" ca="1" si="15"/>
        <v>0</v>
      </c>
      <c r="AJ464" s="71">
        <f ca="1"/>
        <v>0</v>
      </c>
    </row>
    <row r="465" spans="2:36" x14ac:dyDescent="0.25">
      <c r="B465" s="29" t="str">
        <f ca="1"/>
        <v>dal10.sr01.rk455</v>
      </c>
      <c r="C465" s="10" t="s">
        <v>2070</v>
      </c>
      <c r="D465" s="2" t="b" cm="1">
        <f t="array" ref="D465:O465">_xlfn._xlws.FILTER(IF(ancillary!$E$4:$P$8="",FALSE,ancillary!$E$4:$P$8),ancillary!$B$4:$B$8=$C465)</f>
        <v>1</v>
      </c>
      <c r="E465" s="2" t="b">
        <v>1</v>
      </c>
      <c r="F465" s="2" t="b">
        <v>1</v>
      </c>
      <c r="G465" s="2" t="b">
        <v>1</v>
      </c>
      <c r="H465" s="2" t="b">
        <v>1</v>
      </c>
      <c r="I465" s="2" t="b">
        <v>1</v>
      </c>
      <c r="J465" s="2" t="b">
        <v>0</v>
      </c>
      <c r="K465" s="2" t="b">
        <v>0</v>
      </c>
      <c r="L465" s="2" t="b">
        <v>0</v>
      </c>
      <c r="M465" s="2" t="b">
        <v>0</v>
      </c>
      <c r="N465" s="2" t="b">
        <v>0</v>
      </c>
      <c r="O465" s="2" t="b">
        <v>0</v>
      </c>
      <c r="P465" s="68"/>
      <c r="R465" s="69"/>
      <c r="S465" s="68"/>
      <c r="U465" s="69"/>
      <c r="V465" s="68"/>
      <c r="X465" s="69"/>
      <c r="Y465" s="68"/>
      <c r="AA465" s="69"/>
      <c r="AB465" s="33">
        <f t="shared" si="14"/>
        <v>0</v>
      </c>
      <c r="AC465" s="45">
        <f>_xlfn.LET(_xlpm.ps_1,P465:R465, _xlpm.ps_2,S465:U465, _xlpm.ps_3,V465:X465, _xlpm.ps_4,Y465:AA465,
_xlpm.phase, MID(C465,SEARCH("-",C465)+1,256),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(_xlfn.XLOOKUP($C$7,site_assumptions[Details],site_assumptions[Volts])*SUMIFS(P465:AA465,_xlfn.ANCHORARRAY(D465),TRUE)/10*0.95)/1000,
IFERROR(IF(_xlpm.phase="3Phase", _xlpm.p3_calc, _xlpm.sp_calc),0))</f>
        <v>0</v>
      </c>
      <c r="AD465" s="29" t="str">
        <f ca="1"/>
        <v>Gen2</v>
      </c>
      <c r="AE465" s="30" t="str">
        <f ca="1"/>
        <v>Compute</v>
      </c>
      <c r="AF465" s="30" t="str">
        <f ca="1"/>
        <v>Live</v>
      </c>
      <c r="AG465" s="30">
        <f ca="1"/>
        <v>20</v>
      </c>
      <c r="AH465" s="31" t="str">
        <f ca="1"/>
        <v>Unknown</v>
      </c>
      <c r="AI465" s="49">
        <f t="shared" ca="1" si="15"/>
        <v>0</v>
      </c>
      <c r="AJ465" s="71">
        <f ca="1"/>
        <v>0</v>
      </c>
    </row>
    <row r="466" spans="2:36" x14ac:dyDescent="0.25">
      <c r="B466" s="29" t="str">
        <f ca="1"/>
        <v>dal10.sr01.rk456</v>
      </c>
      <c r="C466" s="10" t="s">
        <v>2070</v>
      </c>
      <c r="D466" s="2" t="b" cm="1">
        <f t="array" ref="D466:O466">_xlfn._xlws.FILTER(IF(ancillary!$E$4:$P$8="",FALSE,ancillary!$E$4:$P$8),ancillary!$B$4:$B$8=$C466)</f>
        <v>1</v>
      </c>
      <c r="E466" s="2" t="b">
        <v>1</v>
      </c>
      <c r="F466" s="2" t="b">
        <v>1</v>
      </c>
      <c r="G466" s="2" t="b">
        <v>1</v>
      </c>
      <c r="H466" s="2" t="b">
        <v>1</v>
      </c>
      <c r="I466" s="2" t="b">
        <v>1</v>
      </c>
      <c r="J466" s="2" t="b">
        <v>0</v>
      </c>
      <c r="K466" s="2" t="b">
        <v>0</v>
      </c>
      <c r="L466" s="2" t="b">
        <v>0</v>
      </c>
      <c r="M466" s="2" t="b">
        <v>0</v>
      </c>
      <c r="N466" s="2" t="b">
        <v>0</v>
      </c>
      <c r="O466" s="2" t="b">
        <v>0</v>
      </c>
      <c r="P466" s="68"/>
      <c r="R466" s="69"/>
      <c r="S466" s="68"/>
      <c r="U466" s="69"/>
      <c r="V466" s="68"/>
      <c r="X466" s="69"/>
      <c r="Y466" s="68"/>
      <c r="AA466" s="69"/>
      <c r="AB466" s="33">
        <f t="shared" si="14"/>
        <v>0</v>
      </c>
      <c r="AC466" s="45">
        <f>_xlfn.LET(_xlpm.ps_1,P466:R466, _xlpm.ps_2,S466:U466, _xlpm.ps_3,V466:X466, _xlpm.ps_4,Y466:AA466,
_xlpm.phase, MID(C466,SEARCH("-",C466)+1,256),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(_xlfn.XLOOKUP($C$7,site_assumptions[Details],site_assumptions[Volts])*SUMIFS(P466:AA466,_xlfn.ANCHORARRAY(D466),TRUE)/10*0.95)/1000,
IFERROR(IF(_xlpm.phase="3Phase", _xlpm.p3_calc, _xlpm.sp_calc),0))</f>
        <v>0</v>
      </c>
      <c r="AD466" s="29" t="str">
        <f ca="1"/>
        <v>Unallocated</v>
      </c>
      <c r="AE466" s="30" t="str">
        <f ca="1"/>
        <v>Unallocated</v>
      </c>
      <c r="AF466" s="30" t="str">
        <f ca="1"/>
        <v>Power Limit</v>
      </c>
      <c r="AG466" s="30">
        <f ca="1"/>
        <v>0</v>
      </c>
      <c r="AH466" s="31" t="str">
        <f ca="1"/>
        <v>Unknown</v>
      </c>
      <c r="AI466" s="49">
        <f t="shared" ca="1" si="15"/>
        <v>0</v>
      </c>
      <c r="AJ466" s="71">
        <f ca="1"/>
        <v>0</v>
      </c>
    </row>
    <row r="467" spans="2:36" x14ac:dyDescent="0.25">
      <c r="B467" s="29" t="str">
        <f ca="1"/>
        <v>dal10.sr01.rk457</v>
      </c>
      <c r="C467" s="10" t="s">
        <v>2070</v>
      </c>
      <c r="D467" s="2" t="b" cm="1">
        <f t="array" ref="D467:O467">_xlfn._xlws.FILTER(IF(ancillary!$E$4:$P$8="",FALSE,ancillary!$E$4:$P$8),ancillary!$B$4:$B$8=$C467)</f>
        <v>1</v>
      </c>
      <c r="E467" s="2" t="b">
        <v>1</v>
      </c>
      <c r="F467" s="2" t="b">
        <v>1</v>
      </c>
      <c r="G467" s="2" t="b">
        <v>1</v>
      </c>
      <c r="H467" s="2" t="b">
        <v>1</v>
      </c>
      <c r="I467" s="2" t="b">
        <v>1</v>
      </c>
      <c r="J467" s="2" t="b">
        <v>0</v>
      </c>
      <c r="K467" s="2" t="b">
        <v>0</v>
      </c>
      <c r="L467" s="2" t="b">
        <v>0</v>
      </c>
      <c r="M467" s="2" t="b">
        <v>0</v>
      </c>
      <c r="N467" s="2" t="b">
        <v>0</v>
      </c>
      <c r="O467" s="2" t="b">
        <v>0</v>
      </c>
      <c r="P467" s="68"/>
      <c r="R467" s="69"/>
      <c r="S467" s="68"/>
      <c r="U467" s="69"/>
      <c r="V467" s="68"/>
      <c r="X467" s="69"/>
      <c r="Y467" s="68"/>
      <c r="AA467" s="69"/>
      <c r="AB467" s="33">
        <f t="shared" si="14"/>
        <v>0</v>
      </c>
      <c r="AC467" s="45">
        <f>_xlfn.LET(_xlpm.ps_1,P467:R467, _xlpm.ps_2,S467:U467, _xlpm.ps_3,V467:X467, _xlpm.ps_4,Y467:AA467,
_xlpm.phase, MID(C467,SEARCH("-",C467)+1,256),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(_xlfn.XLOOKUP($C$7,site_assumptions[Details],site_assumptions[Volts])*SUMIFS(P467:AA467,_xlfn.ANCHORARRAY(D467),TRUE)/10*0.95)/1000,
IFERROR(IF(_xlpm.phase="3Phase", _xlpm.p3_calc, _xlpm.sp_calc),0))</f>
        <v>0</v>
      </c>
      <c r="AD467" s="29" t="str">
        <f ca="1"/>
        <v>Unallocated</v>
      </c>
      <c r="AE467" s="30" t="str">
        <f ca="1"/>
        <v>Unallocated</v>
      </c>
      <c r="AF467" s="30" t="str">
        <f ca="1"/>
        <v>Power Limit</v>
      </c>
      <c r="AG467" s="30">
        <f ca="1"/>
        <v>0</v>
      </c>
      <c r="AH467" s="31" t="str">
        <f ca="1"/>
        <v>Unknown</v>
      </c>
      <c r="AI467" s="49">
        <f t="shared" ca="1" si="15"/>
        <v>0</v>
      </c>
      <c r="AJ467" s="71">
        <f ca="1"/>
        <v>0</v>
      </c>
    </row>
    <row r="468" spans="2:36" x14ac:dyDescent="0.25">
      <c r="B468" s="29" t="str">
        <f ca="1"/>
        <v>dal10.sr01.rk458</v>
      </c>
      <c r="C468" s="10" t="s">
        <v>2070</v>
      </c>
      <c r="D468" s="2" t="b" cm="1">
        <f t="array" ref="D468:O468">_xlfn._xlws.FILTER(IF(ancillary!$E$4:$P$8="",FALSE,ancillary!$E$4:$P$8),ancillary!$B$4:$B$8=$C468)</f>
        <v>1</v>
      </c>
      <c r="E468" s="2" t="b">
        <v>1</v>
      </c>
      <c r="F468" s="2" t="b">
        <v>1</v>
      </c>
      <c r="G468" s="2" t="b">
        <v>1</v>
      </c>
      <c r="H468" s="2" t="b">
        <v>1</v>
      </c>
      <c r="I468" s="2" t="b">
        <v>1</v>
      </c>
      <c r="J468" s="2" t="b">
        <v>0</v>
      </c>
      <c r="K468" s="2" t="b">
        <v>0</v>
      </c>
      <c r="L468" s="2" t="b">
        <v>0</v>
      </c>
      <c r="M468" s="2" t="b">
        <v>0</v>
      </c>
      <c r="N468" s="2" t="b">
        <v>0</v>
      </c>
      <c r="O468" s="2" t="b">
        <v>0</v>
      </c>
      <c r="P468" s="68"/>
      <c r="R468" s="69"/>
      <c r="S468" s="68"/>
      <c r="U468" s="69"/>
      <c r="V468" s="68"/>
      <c r="X468" s="69"/>
      <c r="Y468" s="68"/>
      <c r="AA468" s="69"/>
      <c r="AB468" s="33">
        <f t="shared" si="14"/>
        <v>0</v>
      </c>
      <c r="AC468" s="45">
        <f>_xlfn.LET(_xlpm.ps_1,P468:R468, _xlpm.ps_2,S468:U468, _xlpm.ps_3,V468:X468, _xlpm.ps_4,Y468:AA468,
_xlpm.phase, MID(C468,SEARCH("-",C468)+1,256),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(_xlfn.XLOOKUP($C$7,site_assumptions[Details],site_assumptions[Volts])*SUMIFS(P468:AA468,_xlfn.ANCHORARRAY(D468),TRUE)/10*0.95)/1000,
IFERROR(IF(_xlpm.phase="3Phase", _xlpm.p3_calc, _xlpm.sp_calc),0))</f>
        <v>0</v>
      </c>
      <c r="AD468" s="29" t="str">
        <f ca="1"/>
        <v>Unallocated</v>
      </c>
      <c r="AE468" s="30" t="str">
        <f ca="1"/>
        <v>Unallocated</v>
      </c>
      <c r="AF468" s="30" t="str">
        <f ca="1"/>
        <v>Power Limit</v>
      </c>
      <c r="AG468" s="30">
        <f ca="1"/>
        <v>0</v>
      </c>
      <c r="AH468" s="31" t="str">
        <f ca="1"/>
        <v>Unknown</v>
      </c>
      <c r="AI468" s="49">
        <f t="shared" ca="1" si="15"/>
        <v>0</v>
      </c>
      <c r="AJ468" s="71">
        <f ca="1"/>
        <v>0</v>
      </c>
    </row>
    <row r="469" spans="2:36" x14ac:dyDescent="0.25">
      <c r="B469" s="29" t="str">
        <f ca="1"/>
        <v>dal10.sr01.rk459</v>
      </c>
      <c r="C469" s="10" t="s">
        <v>2070</v>
      </c>
      <c r="D469" s="2" t="b" cm="1">
        <f t="array" ref="D469:O469">_xlfn._xlws.FILTER(IF(ancillary!$E$4:$P$8="",FALSE,ancillary!$E$4:$P$8),ancillary!$B$4:$B$8=$C469)</f>
        <v>1</v>
      </c>
      <c r="E469" s="2" t="b">
        <v>1</v>
      </c>
      <c r="F469" s="2" t="b">
        <v>1</v>
      </c>
      <c r="G469" s="2" t="b">
        <v>1</v>
      </c>
      <c r="H469" s="2" t="b">
        <v>1</v>
      </c>
      <c r="I469" s="2" t="b">
        <v>1</v>
      </c>
      <c r="J469" s="2" t="b">
        <v>0</v>
      </c>
      <c r="K469" s="2" t="b">
        <v>0</v>
      </c>
      <c r="L469" s="2" t="b">
        <v>0</v>
      </c>
      <c r="M469" s="2" t="b">
        <v>0</v>
      </c>
      <c r="N469" s="2" t="b">
        <v>0</v>
      </c>
      <c r="O469" s="2" t="b">
        <v>0</v>
      </c>
      <c r="P469" s="68"/>
      <c r="R469" s="69"/>
      <c r="S469" s="68"/>
      <c r="U469" s="69"/>
      <c r="V469" s="68"/>
      <c r="X469" s="69"/>
      <c r="Y469" s="68"/>
      <c r="AA469" s="69"/>
      <c r="AB469" s="33">
        <f t="shared" si="14"/>
        <v>0</v>
      </c>
      <c r="AC469" s="45">
        <f>_xlfn.LET(_xlpm.ps_1,P469:R469, _xlpm.ps_2,S469:U469, _xlpm.ps_3,V469:X469, _xlpm.ps_4,Y469:AA469,
_xlpm.phase, MID(C469,SEARCH("-",C469)+1,256),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(_xlfn.XLOOKUP($C$7,site_assumptions[Details],site_assumptions[Volts])*SUMIFS(P469:AA469,_xlfn.ANCHORARRAY(D469),TRUE)/10*0.95)/1000,
IFERROR(IF(_xlpm.phase="3Phase", _xlpm.p3_calc, _xlpm.sp_calc),0))</f>
        <v>0</v>
      </c>
      <c r="AD469" s="29" t="str">
        <f ca="1"/>
        <v>Unallocated</v>
      </c>
      <c r="AE469" s="30" t="str">
        <f ca="1"/>
        <v>Unallocated</v>
      </c>
      <c r="AF469" s="30" t="str">
        <f ca="1"/>
        <v>Power Limit</v>
      </c>
      <c r="AG469" s="30">
        <f ca="1"/>
        <v>0</v>
      </c>
      <c r="AH469" s="31" t="str">
        <f ca="1"/>
        <v>Unknown</v>
      </c>
      <c r="AI469" s="49">
        <f t="shared" ca="1" si="15"/>
        <v>0</v>
      </c>
      <c r="AJ469" s="71">
        <f ca="1"/>
        <v>0</v>
      </c>
    </row>
    <row r="470" spans="2:36" x14ac:dyDescent="0.25">
      <c r="B470" s="29" t="str">
        <f ca="1"/>
        <v>dal10.sr01.rk460</v>
      </c>
      <c r="C470" s="10" t="s">
        <v>2070</v>
      </c>
      <c r="D470" s="2" t="b" cm="1">
        <f t="array" ref="D470:O470">_xlfn._xlws.FILTER(IF(ancillary!$E$4:$P$8="",FALSE,ancillary!$E$4:$P$8),ancillary!$B$4:$B$8=$C470)</f>
        <v>1</v>
      </c>
      <c r="E470" s="2" t="b">
        <v>1</v>
      </c>
      <c r="F470" s="2" t="b">
        <v>1</v>
      </c>
      <c r="G470" s="2" t="b">
        <v>1</v>
      </c>
      <c r="H470" s="2" t="b">
        <v>1</v>
      </c>
      <c r="I470" s="2" t="b">
        <v>1</v>
      </c>
      <c r="J470" s="2" t="b">
        <v>0</v>
      </c>
      <c r="K470" s="2" t="b">
        <v>0</v>
      </c>
      <c r="L470" s="2" t="b">
        <v>0</v>
      </c>
      <c r="M470" s="2" t="b">
        <v>0</v>
      </c>
      <c r="N470" s="2" t="b">
        <v>0</v>
      </c>
      <c r="O470" s="2" t="b">
        <v>0</v>
      </c>
      <c r="P470" s="68"/>
      <c r="R470" s="69"/>
      <c r="S470" s="68"/>
      <c r="U470" s="69"/>
      <c r="V470" s="68"/>
      <c r="X470" s="69"/>
      <c r="Y470" s="68"/>
      <c r="AA470" s="69"/>
      <c r="AB470" s="33">
        <f t="shared" si="14"/>
        <v>0</v>
      </c>
      <c r="AC470" s="45">
        <f>_xlfn.LET(_xlpm.ps_1,P470:R470, _xlpm.ps_2,S470:U470, _xlpm.ps_3,V470:X470, _xlpm.ps_4,Y470:AA470,
_xlpm.phase, MID(C470,SEARCH("-",C470)+1,256),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(_xlfn.XLOOKUP($C$7,site_assumptions[Details],site_assumptions[Volts])*SUMIFS(P470:AA470,_xlfn.ANCHORARRAY(D470),TRUE)/10*0.95)/1000,
IFERROR(IF(_xlpm.phase="3Phase", _xlpm.p3_calc, _xlpm.sp_calc),0))</f>
        <v>0</v>
      </c>
      <c r="AD470" s="29" t="str">
        <f ca="1"/>
        <v>Unallocated</v>
      </c>
      <c r="AE470" s="30" t="str">
        <f ca="1"/>
        <v>Unallocated</v>
      </c>
      <c r="AF470" s="30" t="str">
        <f ca="1"/>
        <v>Power Limit</v>
      </c>
      <c r="AG470" s="30">
        <f ca="1"/>
        <v>0</v>
      </c>
      <c r="AH470" s="31" t="str">
        <f ca="1"/>
        <v>Unknown</v>
      </c>
      <c r="AI470" s="49">
        <f t="shared" ca="1" si="15"/>
        <v>0</v>
      </c>
      <c r="AJ470" s="71">
        <f ca="1"/>
        <v>0</v>
      </c>
    </row>
    <row r="471" spans="2:36" x14ac:dyDescent="0.25">
      <c r="B471" s="29" t="str">
        <f ca="1"/>
        <v>dal10.sr01.rk461</v>
      </c>
      <c r="C471" s="10" t="s">
        <v>2070</v>
      </c>
      <c r="D471" s="2" t="b" cm="1">
        <f t="array" ref="D471:O471">_xlfn._xlws.FILTER(IF(ancillary!$E$4:$P$8="",FALSE,ancillary!$E$4:$P$8),ancillary!$B$4:$B$8=$C471)</f>
        <v>1</v>
      </c>
      <c r="E471" s="2" t="b">
        <v>1</v>
      </c>
      <c r="F471" s="2" t="b">
        <v>1</v>
      </c>
      <c r="G471" s="2" t="b">
        <v>1</v>
      </c>
      <c r="H471" s="2" t="b">
        <v>1</v>
      </c>
      <c r="I471" s="2" t="b">
        <v>1</v>
      </c>
      <c r="J471" s="2" t="b">
        <v>0</v>
      </c>
      <c r="K471" s="2" t="b">
        <v>0</v>
      </c>
      <c r="L471" s="2" t="b">
        <v>0</v>
      </c>
      <c r="M471" s="2" t="b">
        <v>0</v>
      </c>
      <c r="N471" s="2" t="b">
        <v>0</v>
      </c>
      <c r="O471" s="2" t="b">
        <v>0</v>
      </c>
      <c r="P471" s="68"/>
      <c r="R471" s="69"/>
      <c r="S471" s="68"/>
      <c r="U471" s="69"/>
      <c r="V471" s="68"/>
      <c r="X471" s="69"/>
      <c r="Y471" s="68"/>
      <c r="AA471" s="69"/>
      <c r="AB471" s="33">
        <f t="shared" si="14"/>
        <v>0</v>
      </c>
      <c r="AC471" s="45">
        <f>_xlfn.LET(_xlpm.ps_1,P471:R471, _xlpm.ps_2,S471:U471, _xlpm.ps_3,V471:X471, _xlpm.ps_4,Y471:AA471,
_xlpm.phase, MID(C471,SEARCH("-",C471)+1,256),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(_xlfn.XLOOKUP($C$7,site_assumptions[Details],site_assumptions[Volts])*SUMIFS(P471:AA471,_xlfn.ANCHORARRAY(D471),TRUE)/10*0.95)/1000,
IFERROR(IF(_xlpm.phase="3Phase", _xlpm.p3_calc, _xlpm.sp_calc),0))</f>
        <v>0</v>
      </c>
      <c r="AD471" s="29" t="str">
        <f ca="1"/>
        <v>Unallocated</v>
      </c>
      <c r="AE471" s="30" t="str">
        <f ca="1"/>
        <v>Unallocated</v>
      </c>
      <c r="AF471" s="30" t="str">
        <f ca="1"/>
        <v>Power Limit</v>
      </c>
      <c r="AG471" s="30">
        <f ca="1"/>
        <v>0</v>
      </c>
      <c r="AH471" s="31" t="str">
        <f ca="1"/>
        <v>Unknown</v>
      </c>
      <c r="AI471" s="49">
        <f t="shared" ca="1" si="15"/>
        <v>0</v>
      </c>
      <c r="AJ471" s="71">
        <f ca="1"/>
        <v>0</v>
      </c>
    </row>
    <row r="472" spans="2:36" x14ac:dyDescent="0.25">
      <c r="B472" s="29" t="str">
        <f ca="1"/>
        <v>dal10.sr01.rk462</v>
      </c>
      <c r="C472" s="10" t="s">
        <v>2070</v>
      </c>
      <c r="D472" s="2" t="b" cm="1">
        <f t="array" ref="D472:O472">_xlfn._xlws.FILTER(IF(ancillary!$E$4:$P$8="",FALSE,ancillary!$E$4:$P$8),ancillary!$B$4:$B$8=$C472)</f>
        <v>1</v>
      </c>
      <c r="E472" s="2" t="b">
        <v>1</v>
      </c>
      <c r="F472" s="2" t="b">
        <v>1</v>
      </c>
      <c r="G472" s="2" t="b">
        <v>1</v>
      </c>
      <c r="H472" s="2" t="b">
        <v>1</v>
      </c>
      <c r="I472" s="2" t="b">
        <v>1</v>
      </c>
      <c r="J472" s="2" t="b">
        <v>0</v>
      </c>
      <c r="K472" s="2" t="b">
        <v>0</v>
      </c>
      <c r="L472" s="2" t="b">
        <v>0</v>
      </c>
      <c r="M472" s="2" t="b">
        <v>0</v>
      </c>
      <c r="N472" s="2" t="b">
        <v>0</v>
      </c>
      <c r="O472" s="2" t="b">
        <v>0</v>
      </c>
      <c r="P472" s="68"/>
      <c r="R472" s="69"/>
      <c r="S472" s="68"/>
      <c r="U472" s="69"/>
      <c r="V472" s="68"/>
      <c r="X472" s="69"/>
      <c r="Y472" s="68"/>
      <c r="AA472" s="69"/>
      <c r="AB472" s="33">
        <f t="shared" si="14"/>
        <v>0</v>
      </c>
      <c r="AC472" s="45">
        <f>_xlfn.LET(_xlpm.ps_1,P472:R472, _xlpm.ps_2,S472:U472, _xlpm.ps_3,V472:X472, _xlpm.ps_4,Y472:AA472,
_xlpm.phase, MID(C472,SEARCH("-",C472)+1,256),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(_xlfn.XLOOKUP($C$7,site_assumptions[Details],site_assumptions[Volts])*SUMIFS(P472:AA472,_xlfn.ANCHORARRAY(D472),TRUE)/10*0.95)/1000,
IFERROR(IF(_xlpm.phase="3Phase", _xlpm.p3_calc, _xlpm.sp_calc),0))</f>
        <v>0</v>
      </c>
      <c r="AD472" s="29" t="str">
        <f ca="1"/>
        <v>Unallocated</v>
      </c>
      <c r="AE472" s="30" t="str">
        <f ca="1"/>
        <v>Unallocated</v>
      </c>
      <c r="AF472" s="30" t="str">
        <f ca="1"/>
        <v>Power Limit</v>
      </c>
      <c r="AG472" s="30">
        <f ca="1"/>
        <v>0</v>
      </c>
      <c r="AH472" s="31" t="str">
        <f ca="1"/>
        <v>Unknown</v>
      </c>
      <c r="AI472" s="49">
        <f t="shared" ca="1" si="15"/>
        <v>0</v>
      </c>
      <c r="AJ472" s="71">
        <f ca="1"/>
        <v>0</v>
      </c>
    </row>
    <row r="473" spans="2:36" x14ac:dyDescent="0.25">
      <c r="B473" s="29" t="str">
        <f ca="1"/>
        <v>dal10.sr01.rk463</v>
      </c>
      <c r="C473" s="10" t="s">
        <v>2070</v>
      </c>
      <c r="D473" s="2" t="b" cm="1">
        <f t="array" ref="D473:O473">_xlfn._xlws.FILTER(IF(ancillary!$E$4:$P$8="",FALSE,ancillary!$E$4:$P$8),ancillary!$B$4:$B$8=$C473)</f>
        <v>1</v>
      </c>
      <c r="E473" s="2" t="b">
        <v>1</v>
      </c>
      <c r="F473" s="2" t="b">
        <v>1</v>
      </c>
      <c r="G473" s="2" t="b">
        <v>1</v>
      </c>
      <c r="H473" s="2" t="b">
        <v>1</v>
      </c>
      <c r="I473" s="2" t="b">
        <v>1</v>
      </c>
      <c r="J473" s="2" t="b">
        <v>0</v>
      </c>
      <c r="K473" s="2" t="b">
        <v>0</v>
      </c>
      <c r="L473" s="2" t="b">
        <v>0</v>
      </c>
      <c r="M473" s="2" t="b">
        <v>0</v>
      </c>
      <c r="N473" s="2" t="b">
        <v>0</v>
      </c>
      <c r="O473" s="2" t="b">
        <v>0</v>
      </c>
      <c r="P473" s="68"/>
      <c r="R473" s="69"/>
      <c r="S473" s="68"/>
      <c r="U473" s="69"/>
      <c r="V473" s="68"/>
      <c r="X473" s="69"/>
      <c r="Y473" s="68"/>
      <c r="AA473" s="69"/>
      <c r="AB473" s="33">
        <f t="shared" si="14"/>
        <v>0</v>
      </c>
      <c r="AC473" s="45">
        <f>_xlfn.LET(_xlpm.ps_1,P473:R473, _xlpm.ps_2,S473:U473, _xlpm.ps_3,V473:X473, _xlpm.ps_4,Y473:AA473,
_xlpm.phase, MID(C473,SEARCH("-",C473)+1,256),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(_xlfn.XLOOKUP($C$7,site_assumptions[Details],site_assumptions[Volts])*SUMIFS(P473:AA473,_xlfn.ANCHORARRAY(D473),TRUE)/10*0.95)/1000,
IFERROR(IF(_xlpm.phase="3Phase", _xlpm.p3_calc, _xlpm.sp_calc),0))</f>
        <v>0</v>
      </c>
      <c r="AD473" s="29" t="str">
        <f ca="1"/>
        <v>Storage</v>
      </c>
      <c r="AE473" s="30" t="str">
        <f ca="1"/>
        <v>File/Block</v>
      </c>
      <c r="AF473" s="30" t="str">
        <f ca="1"/>
        <v>Live</v>
      </c>
      <c r="AG473" s="30">
        <f ca="1"/>
        <v>6</v>
      </c>
      <c r="AH473" s="31" t="str">
        <f ca="1"/>
        <v>Unknown</v>
      </c>
      <c r="AI473" s="49">
        <f t="shared" ca="1" si="15"/>
        <v>0</v>
      </c>
      <c r="AJ473" s="71">
        <f ca="1"/>
        <v>0</v>
      </c>
    </row>
    <row r="474" spans="2:36" x14ac:dyDescent="0.25">
      <c r="B474" s="29" t="str">
        <f ca="1"/>
        <v>dal10.sr01.rk464</v>
      </c>
      <c r="C474" s="10" t="s">
        <v>2070</v>
      </c>
      <c r="D474" s="2" t="b" cm="1">
        <f t="array" ref="D474:O474">_xlfn._xlws.FILTER(IF(ancillary!$E$4:$P$8="",FALSE,ancillary!$E$4:$P$8),ancillary!$B$4:$B$8=$C474)</f>
        <v>1</v>
      </c>
      <c r="E474" s="2" t="b">
        <v>1</v>
      </c>
      <c r="F474" s="2" t="b">
        <v>1</v>
      </c>
      <c r="G474" s="2" t="b">
        <v>1</v>
      </c>
      <c r="H474" s="2" t="b">
        <v>1</v>
      </c>
      <c r="I474" s="2" t="b">
        <v>1</v>
      </c>
      <c r="J474" s="2" t="b">
        <v>0</v>
      </c>
      <c r="K474" s="2" t="b">
        <v>0</v>
      </c>
      <c r="L474" s="2" t="b">
        <v>0</v>
      </c>
      <c r="M474" s="2" t="b">
        <v>0</v>
      </c>
      <c r="N474" s="2" t="b">
        <v>0</v>
      </c>
      <c r="O474" s="2" t="b">
        <v>0</v>
      </c>
      <c r="P474" s="68"/>
      <c r="R474" s="69"/>
      <c r="S474" s="68"/>
      <c r="U474" s="69"/>
      <c r="V474" s="68"/>
      <c r="X474" s="69"/>
      <c r="Y474" s="68"/>
      <c r="AA474" s="69"/>
      <c r="AB474" s="33">
        <f t="shared" si="14"/>
        <v>0</v>
      </c>
      <c r="AC474" s="45">
        <f>_xlfn.LET(_xlpm.ps_1,P474:R474, _xlpm.ps_2,S474:U474, _xlpm.ps_3,V474:X474, _xlpm.ps_4,Y474:AA474,
_xlpm.phase, MID(C474,SEARCH("-",C474)+1,256),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(_xlfn.XLOOKUP($C$7,site_assumptions[Details],site_assumptions[Volts])*SUMIFS(P474:AA474,_xlfn.ANCHORARRAY(D474),TRUE)/10*0.95)/1000,
IFERROR(IF(_xlpm.phase="3Phase", _xlpm.p3_calc, _xlpm.sp_calc),0))</f>
        <v>0</v>
      </c>
      <c r="AD474" s="29" t="str">
        <f ca="1"/>
        <v>Storage</v>
      </c>
      <c r="AE474" s="30" t="str">
        <f ca="1"/>
        <v>File/Block</v>
      </c>
      <c r="AF474" s="30" t="str">
        <f ca="1"/>
        <v>Live</v>
      </c>
      <c r="AG474" s="30">
        <f ca="1"/>
        <v>6</v>
      </c>
      <c r="AH474" s="31" t="str">
        <f ca="1"/>
        <v>Unknown</v>
      </c>
      <c r="AI474" s="49">
        <f t="shared" ca="1" si="15"/>
        <v>0</v>
      </c>
      <c r="AJ474" s="71">
        <f ca="1"/>
        <v>0</v>
      </c>
    </row>
    <row r="475" spans="2:36" x14ac:dyDescent="0.25">
      <c r="B475" s="29" t="str">
        <f ca="1"/>
        <v>dal10.sr01.rk465</v>
      </c>
      <c r="C475" s="10" t="s">
        <v>2070</v>
      </c>
      <c r="D475" s="2" t="b" cm="1">
        <f t="array" ref="D475:O475">_xlfn._xlws.FILTER(IF(ancillary!$E$4:$P$8="",FALSE,ancillary!$E$4:$P$8),ancillary!$B$4:$B$8=$C475)</f>
        <v>1</v>
      </c>
      <c r="E475" s="2" t="b">
        <v>1</v>
      </c>
      <c r="F475" s="2" t="b">
        <v>1</v>
      </c>
      <c r="G475" s="2" t="b">
        <v>1</v>
      </c>
      <c r="H475" s="2" t="b">
        <v>1</v>
      </c>
      <c r="I475" s="2" t="b">
        <v>1</v>
      </c>
      <c r="J475" s="2" t="b">
        <v>0</v>
      </c>
      <c r="K475" s="2" t="b">
        <v>0</v>
      </c>
      <c r="L475" s="2" t="b">
        <v>0</v>
      </c>
      <c r="M475" s="2" t="b">
        <v>0</v>
      </c>
      <c r="N475" s="2" t="b">
        <v>0</v>
      </c>
      <c r="O475" s="2" t="b">
        <v>0</v>
      </c>
      <c r="P475" s="68"/>
      <c r="R475" s="69"/>
      <c r="S475" s="68"/>
      <c r="U475" s="69"/>
      <c r="V475" s="68"/>
      <c r="X475" s="69"/>
      <c r="Y475" s="68"/>
      <c r="AA475" s="69"/>
      <c r="AB475" s="33">
        <f t="shared" si="14"/>
        <v>0</v>
      </c>
      <c r="AC475" s="45">
        <f>_xlfn.LET(_xlpm.ps_1,P475:R475, _xlpm.ps_2,S475:U475, _xlpm.ps_3,V475:X475, _xlpm.ps_4,Y475:AA475,
_xlpm.phase, MID(C475,SEARCH("-",C475)+1,256),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(_xlfn.XLOOKUP($C$7,site_assumptions[Details],site_assumptions[Volts])*SUMIFS(P475:AA475,_xlfn.ANCHORARRAY(D475),TRUE)/10*0.95)/1000,
IFERROR(IF(_xlpm.phase="3Phase", _xlpm.p3_calc, _xlpm.sp_calc),0))</f>
        <v>0</v>
      </c>
      <c r="AD475" s="29" t="str">
        <f ca="1"/>
        <v>Storage</v>
      </c>
      <c r="AE475" s="30" t="str">
        <f ca="1"/>
        <v>File/Block</v>
      </c>
      <c r="AF475" s="30" t="str">
        <f ca="1"/>
        <v>Live</v>
      </c>
      <c r="AG475" s="30">
        <f ca="1"/>
        <v>6</v>
      </c>
      <c r="AH475" s="31" t="str">
        <f ca="1"/>
        <v>Unknown</v>
      </c>
      <c r="AI475" s="49">
        <f t="shared" ca="1" si="15"/>
        <v>0</v>
      </c>
      <c r="AJ475" s="71">
        <f ca="1"/>
        <v>0</v>
      </c>
    </row>
    <row r="476" spans="2:36" x14ac:dyDescent="0.25">
      <c r="B476" s="29" t="str">
        <f ca="1"/>
        <v>dal10.sr01.rk466</v>
      </c>
      <c r="C476" s="10" t="s">
        <v>2070</v>
      </c>
      <c r="D476" s="2" t="b" cm="1">
        <f t="array" ref="D476:O476">_xlfn._xlws.FILTER(IF(ancillary!$E$4:$P$8="",FALSE,ancillary!$E$4:$P$8),ancillary!$B$4:$B$8=$C476)</f>
        <v>1</v>
      </c>
      <c r="E476" s="2" t="b">
        <v>1</v>
      </c>
      <c r="F476" s="2" t="b">
        <v>1</v>
      </c>
      <c r="G476" s="2" t="b">
        <v>1</v>
      </c>
      <c r="H476" s="2" t="b">
        <v>1</v>
      </c>
      <c r="I476" s="2" t="b">
        <v>1</v>
      </c>
      <c r="J476" s="2" t="b">
        <v>0</v>
      </c>
      <c r="K476" s="2" t="b">
        <v>0</v>
      </c>
      <c r="L476" s="2" t="b">
        <v>0</v>
      </c>
      <c r="M476" s="2" t="b">
        <v>0</v>
      </c>
      <c r="N476" s="2" t="b">
        <v>0</v>
      </c>
      <c r="O476" s="2" t="b">
        <v>0</v>
      </c>
      <c r="P476" s="68"/>
      <c r="R476" s="69"/>
      <c r="S476" s="68"/>
      <c r="U476" s="69"/>
      <c r="V476" s="68"/>
      <c r="X476" s="69"/>
      <c r="Y476" s="68"/>
      <c r="AA476" s="69"/>
      <c r="AB476" s="33">
        <f t="shared" si="14"/>
        <v>0</v>
      </c>
      <c r="AC476" s="45">
        <f>_xlfn.LET(_xlpm.ps_1,P476:R476, _xlpm.ps_2,S476:U476, _xlpm.ps_3,V476:X476, _xlpm.ps_4,Y476:AA476,
_xlpm.phase, MID(C476,SEARCH("-",C476)+1,256),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(_xlfn.XLOOKUP($C$7,site_assumptions[Details],site_assumptions[Volts])*SUMIFS(P476:AA476,_xlfn.ANCHORARRAY(D476),TRUE)/10*0.95)/1000,
IFERROR(IF(_xlpm.phase="3Phase", _xlpm.p3_calc, _xlpm.sp_calc),0))</f>
        <v>0</v>
      </c>
      <c r="AD476" s="29" t="str">
        <f ca="1"/>
        <v>Storage</v>
      </c>
      <c r="AE476" s="30" t="str">
        <f ca="1"/>
        <v>File/Block</v>
      </c>
      <c r="AF476" s="30" t="str">
        <f ca="1"/>
        <v>Live</v>
      </c>
      <c r="AG476" s="30">
        <f ca="1"/>
        <v>6</v>
      </c>
      <c r="AH476" s="31" t="str">
        <f ca="1"/>
        <v>Unknown</v>
      </c>
      <c r="AI476" s="49">
        <f t="shared" ca="1" si="15"/>
        <v>0</v>
      </c>
      <c r="AJ476" s="71">
        <f ca="1"/>
        <v>0</v>
      </c>
    </row>
    <row r="477" spans="2:36" x14ac:dyDescent="0.25">
      <c r="B477" s="29" t="str">
        <f ca="1"/>
        <v>dal10.sr01.rk467</v>
      </c>
      <c r="C477" s="10" t="s">
        <v>2070</v>
      </c>
      <c r="D477" s="2" t="b" cm="1">
        <f t="array" ref="D477:O477">_xlfn._xlws.FILTER(IF(ancillary!$E$4:$P$8="",FALSE,ancillary!$E$4:$P$8),ancillary!$B$4:$B$8=$C477)</f>
        <v>1</v>
      </c>
      <c r="E477" s="2" t="b">
        <v>1</v>
      </c>
      <c r="F477" s="2" t="b">
        <v>1</v>
      </c>
      <c r="G477" s="2" t="b">
        <v>1</v>
      </c>
      <c r="H477" s="2" t="b">
        <v>1</v>
      </c>
      <c r="I477" s="2" t="b">
        <v>1</v>
      </c>
      <c r="J477" s="2" t="b">
        <v>0</v>
      </c>
      <c r="K477" s="2" t="b">
        <v>0</v>
      </c>
      <c r="L477" s="2" t="b">
        <v>0</v>
      </c>
      <c r="M477" s="2" t="b">
        <v>0</v>
      </c>
      <c r="N477" s="2" t="b">
        <v>0</v>
      </c>
      <c r="O477" s="2" t="b">
        <v>0</v>
      </c>
      <c r="P477" s="68"/>
      <c r="R477" s="69"/>
      <c r="S477" s="68"/>
      <c r="U477" s="69"/>
      <c r="V477" s="68"/>
      <c r="X477" s="69"/>
      <c r="Y477" s="68"/>
      <c r="AA477" s="69"/>
      <c r="AB477" s="33">
        <f t="shared" si="14"/>
        <v>0</v>
      </c>
      <c r="AC477" s="45">
        <f>_xlfn.LET(_xlpm.ps_1,P477:R477, _xlpm.ps_2,S477:U477, _xlpm.ps_3,V477:X477, _xlpm.ps_4,Y477:AA477,
_xlpm.phase, MID(C477,SEARCH("-",C477)+1,256),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(_xlfn.XLOOKUP($C$7,site_assumptions[Details],site_assumptions[Volts])*SUMIFS(P477:AA477,_xlfn.ANCHORARRAY(D477),TRUE)/10*0.95)/1000,
IFERROR(IF(_xlpm.phase="3Phase", _xlpm.p3_calc, _xlpm.sp_calc),0))</f>
        <v>0</v>
      </c>
      <c r="AD477" s="29" t="str">
        <f ca="1"/>
        <v>Storage</v>
      </c>
      <c r="AE477" s="30" t="str">
        <f ca="1"/>
        <v>File/Block</v>
      </c>
      <c r="AF477" s="30" t="str">
        <f ca="1"/>
        <v>Live</v>
      </c>
      <c r="AG477" s="30">
        <f ca="1"/>
        <v>6</v>
      </c>
      <c r="AH477" s="31" t="str">
        <f ca="1"/>
        <v>Unknown</v>
      </c>
      <c r="AI477" s="49">
        <f t="shared" ca="1" si="15"/>
        <v>0</v>
      </c>
      <c r="AJ477" s="71">
        <f ca="1"/>
        <v>0</v>
      </c>
    </row>
    <row r="478" spans="2:36" x14ac:dyDescent="0.25">
      <c r="B478" s="29" t="str">
        <f ca="1"/>
        <v>dal10.sr01.rk468</v>
      </c>
      <c r="C478" s="10" t="s">
        <v>2070</v>
      </c>
      <c r="D478" s="2" t="b" cm="1">
        <f t="array" ref="D478:O478">_xlfn._xlws.FILTER(IF(ancillary!$E$4:$P$8="",FALSE,ancillary!$E$4:$P$8),ancillary!$B$4:$B$8=$C478)</f>
        <v>1</v>
      </c>
      <c r="E478" s="2" t="b">
        <v>1</v>
      </c>
      <c r="F478" s="2" t="b">
        <v>1</v>
      </c>
      <c r="G478" s="2" t="b">
        <v>1</v>
      </c>
      <c r="H478" s="2" t="b">
        <v>1</v>
      </c>
      <c r="I478" s="2" t="b">
        <v>1</v>
      </c>
      <c r="J478" s="2" t="b">
        <v>0</v>
      </c>
      <c r="K478" s="2" t="b">
        <v>0</v>
      </c>
      <c r="L478" s="2" t="b">
        <v>0</v>
      </c>
      <c r="M478" s="2" t="b">
        <v>0</v>
      </c>
      <c r="N478" s="2" t="b">
        <v>0</v>
      </c>
      <c r="O478" s="2" t="b">
        <v>0</v>
      </c>
      <c r="P478" s="68"/>
      <c r="R478" s="69"/>
      <c r="S478" s="68"/>
      <c r="U478" s="69"/>
      <c r="V478" s="68"/>
      <c r="X478" s="69"/>
      <c r="Y478" s="68"/>
      <c r="AA478" s="69"/>
      <c r="AB478" s="33">
        <f t="shared" si="14"/>
        <v>0</v>
      </c>
      <c r="AC478" s="45">
        <f>_xlfn.LET(_xlpm.ps_1,P478:R478, _xlpm.ps_2,S478:U478, _xlpm.ps_3,V478:X478, _xlpm.ps_4,Y478:AA478,
_xlpm.phase, MID(C478,SEARCH("-",C478)+1,256),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(_xlfn.XLOOKUP($C$7,site_assumptions[Details],site_assumptions[Volts])*SUMIFS(P478:AA478,_xlfn.ANCHORARRAY(D478),TRUE)/10*0.95)/1000,
IFERROR(IF(_xlpm.phase="3Phase", _xlpm.p3_calc, _xlpm.sp_calc),0))</f>
        <v>0</v>
      </c>
      <c r="AD478" s="29" t="str">
        <f ca="1"/>
        <v>Storage</v>
      </c>
      <c r="AE478" s="30" t="str">
        <f ca="1"/>
        <v>File/Block</v>
      </c>
      <c r="AF478" s="30" t="str">
        <f ca="1"/>
        <v>Live</v>
      </c>
      <c r="AG478" s="30">
        <f ca="1"/>
        <v>6</v>
      </c>
      <c r="AH478" s="31" t="str">
        <f ca="1"/>
        <v>Unknown</v>
      </c>
      <c r="AI478" s="49">
        <f t="shared" ca="1" si="15"/>
        <v>0</v>
      </c>
      <c r="AJ478" s="71">
        <f ca="1"/>
        <v>0</v>
      </c>
    </row>
    <row r="479" spans="2:36" x14ac:dyDescent="0.25">
      <c r="B479" s="29" t="str">
        <f ca="1"/>
        <v>dal10.sr01.rk469</v>
      </c>
      <c r="C479" s="10" t="s">
        <v>2070</v>
      </c>
      <c r="D479" s="2" t="b" cm="1">
        <f t="array" ref="D479:O479">_xlfn._xlws.FILTER(IF(ancillary!$E$4:$P$8="",FALSE,ancillary!$E$4:$P$8),ancillary!$B$4:$B$8=$C479)</f>
        <v>1</v>
      </c>
      <c r="E479" s="2" t="b">
        <v>1</v>
      </c>
      <c r="F479" s="2" t="b">
        <v>1</v>
      </c>
      <c r="G479" s="2" t="b">
        <v>1</v>
      </c>
      <c r="H479" s="2" t="b">
        <v>1</v>
      </c>
      <c r="I479" s="2" t="b">
        <v>1</v>
      </c>
      <c r="J479" s="2" t="b">
        <v>0</v>
      </c>
      <c r="K479" s="2" t="b">
        <v>0</v>
      </c>
      <c r="L479" s="2" t="b">
        <v>0</v>
      </c>
      <c r="M479" s="2" t="b">
        <v>0</v>
      </c>
      <c r="N479" s="2" t="b">
        <v>0</v>
      </c>
      <c r="O479" s="2" t="b">
        <v>0</v>
      </c>
      <c r="P479" s="68"/>
      <c r="R479" s="69"/>
      <c r="S479" s="68"/>
      <c r="U479" s="69"/>
      <c r="V479" s="68"/>
      <c r="X479" s="69"/>
      <c r="Y479" s="68"/>
      <c r="AA479" s="69"/>
      <c r="AB479" s="33">
        <f t="shared" si="14"/>
        <v>0</v>
      </c>
      <c r="AC479" s="45">
        <f>_xlfn.LET(_xlpm.ps_1,P479:R479, _xlpm.ps_2,S479:U479, _xlpm.ps_3,V479:X479, _xlpm.ps_4,Y479:AA479,
_xlpm.phase, MID(C479,SEARCH("-",C479)+1,256),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(_xlfn.XLOOKUP($C$7,site_assumptions[Details],site_assumptions[Volts])*SUMIFS(P479:AA479,_xlfn.ANCHORARRAY(D479),TRUE)/10*0.95)/1000,
IFERROR(IF(_xlpm.phase="3Phase", _xlpm.p3_calc, _xlpm.sp_calc),0))</f>
        <v>0</v>
      </c>
      <c r="AD479" s="29" t="str">
        <f ca="1"/>
        <v>Storage</v>
      </c>
      <c r="AE479" s="30" t="str">
        <f ca="1"/>
        <v>File/Block</v>
      </c>
      <c r="AF479" s="30" t="str">
        <f ca="1"/>
        <v>Live</v>
      </c>
      <c r="AG479" s="30">
        <f ca="1"/>
        <v>6</v>
      </c>
      <c r="AH479" s="31" t="str">
        <f ca="1"/>
        <v>Unknown</v>
      </c>
      <c r="AI479" s="49">
        <f t="shared" ca="1" si="15"/>
        <v>0</v>
      </c>
      <c r="AJ479" s="71">
        <f ca="1"/>
        <v>0</v>
      </c>
    </row>
    <row r="480" spans="2:36" x14ac:dyDescent="0.25">
      <c r="B480" s="29" t="str">
        <f ca="1"/>
        <v>dal10.sr01.rk470</v>
      </c>
      <c r="C480" s="10" t="s">
        <v>2070</v>
      </c>
      <c r="D480" s="2" t="b" cm="1">
        <f t="array" ref="D480:O480">_xlfn._xlws.FILTER(IF(ancillary!$E$4:$P$8="",FALSE,ancillary!$E$4:$P$8),ancillary!$B$4:$B$8=$C480)</f>
        <v>1</v>
      </c>
      <c r="E480" s="2" t="b">
        <v>1</v>
      </c>
      <c r="F480" s="2" t="b">
        <v>1</v>
      </c>
      <c r="G480" s="2" t="b">
        <v>1</v>
      </c>
      <c r="H480" s="2" t="b">
        <v>1</v>
      </c>
      <c r="I480" s="2" t="b">
        <v>1</v>
      </c>
      <c r="J480" s="2" t="b">
        <v>0</v>
      </c>
      <c r="K480" s="2" t="b">
        <v>0</v>
      </c>
      <c r="L480" s="2" t="b">
        <v>0</v>
      </c>
      <c r="M480" s="2" t="b">
        <v>0</v>
      </c>
      <c r="N480" s="2" t="b">
        <v>0</v>
      </c>
      <c r="O480" s="2" t="b">
        <v>0</v>
      </c>
      <c r="P480" s="68"/>
      <c r="R480" s="69"/>
      <c r="S480" s="68"/>
      <c r="U480" s="69"/>
      <c r="V480" s="68"/>
      <c r="X480" s="69"/>
      <c r="Y480" s="68"/>
      <c r="AA480" s="69"/>
      <c r="AB480" s="33">
        <f t="shared" si="14"/>
        <v>0</v>
      </c>
      <c r="AC480" s="45">
        <f>_xlfn.LET(_xlpm.ps_1,P480:R480, _xlpm.ps_2,S480:U480, _xlpm.ps_3,V480:X480, _xlpm.ps_4,Y480:AA480,
_xlpm.phase, MID(C480,SEARCH("-",C480)+1,256),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(_xlfn.XLOOKUP($C$7,site_assumptions[Details],site_assumptions[Volts])*SUMIFS(P480:AA480,_xlfn.ANCHORARRAY(D480),TRUE)/10*0.95)/1000,
IFERROR(IF(_xlpm.phase="3Phase", _xlpm.p3_calc, _xlpm.sp_calc),0))</f>
        <v>0</v>
      </c>
      <c r="AD480" s="29" t="str">
        <f ca="1"/>
        <v>Storage</v>
      </c>
      <c r="AE480" s="30" t="str">
        <f ca="1"/>
        <v>File/Block</v>
      </c>
      <c r="AF480" s="30" t="str">
        <f ca="1"/>
        <v>Live</v>
      </c>
      <c r="AG480" s="30">
        <f ca="1"/>
        <v>6</v>
      </c>
      <c r="AH480" s="31" t="str">
        <f ca="1"/>
        <v>Unknown</v>
      </c>
      <c r="AI480" s="49">
        <f t="shared" ca="1" si="15"/>
        <v>0</v>
      </c>
      <c r="AJ480" s="71">
        <f ca="1"/>
        <v>0</v>
      </c>
    </row>
    <row r="481" spans="2:36" x14ac:dyDescent="0.25">
      <c r="B481" s="29" t="str">
        <f ca="1"/>
        <v>dal10.sr01.rk471</v>
      </c>
      <c r="C481" s="10" t="s">
        <v>2070</v>
      </c>
      <c r="D481" s="2" t="b" cm="1">
        <f t="array" ref="D481:O481">_xlfn._xlws.FILTER(IF(ancillary!$E$4:$P$8="",FALSE,ancillary!$E$4:$P$8),ancillary!$B$4:$B$8=$C481)</f>
        <v>1</v>
      </c>
      <c r="E481" s="2" t="b">
        <v>1</v>
      </c>
      <c r="F481" s="2" t="b">
        <v>1</v>
      </c>
      <c r="G481" s="2" t="b">
        <v>1</v>
      </c>
      <c r="H481" s="2" t="b">
        <v>1</v>
      </c>
      <c r="I481" s="2" t="b">
        <v>1</v>
      </c>
      <c r="J481" s="2" t="b">
        <v>0</v>
      </c>
      <c r="K481" s="2" t="b">
        <v>0</v>
      </c>
      <c r="L481" s="2" t="b">
        <v>0</v>
      </c>
      <c r="M481" s="2" t="b">
        <v>0</v>
      </c>
      <c r="N481" s="2" t="b">
        <v>0</v>
      </c>
      <c r="O481" s="2" t="b">
        <v>0</v>
      </c>
      <c r="P481" s="68"/>
      <c r="R481" s="69"/>
      <c r="S481" s="68"/>
      <c r="U481" s="69"/>
      <c r="V481" s="68"/>
      <c r="X481" s="69"/>
      <c r="Y481" s="68"/>
      <c r="AA481" s="69"/>
      <c r="AB481" s="33">
        <f t="shared" si="14"/>
        <v>0</v>
      </c>
      <c r="AC481" s="45">
        <f>_xlfn.LET(_xlpm.ps_1,P481:R481, _xlpm.ps_2,S481:U481, _xlpm.ps_3,V481:X481, _xlpm.ps_4,Y481:AA481,
_xlpm.phase, MID(C481,SEARCH("-",C481)+1,256),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(_xlfn.XLOOKUP($C$7,site_assumptions[Details],site_assumptions[Volts])*SUMIFS(P481:AA481,_xlfn.ANCHORARRAY(D481),TRUE)/10*0.95)/1000,
IFERROR(IF(_xlpm.phase="3Phase", _xlpm.p3_calc, _xlpm.sp_calc),0))</f>
        <v>0</v>
      </c>
      <c r="AD481" s="29" t="str">
        <f ca="1"/>
        <v>Storage</v>
      </c>
      <c r="AE481" s="30" t="str">
        <f ca="1"/>
        <v>File/Block</v>
      </c>
      <c r="AF481" s="30" t="str">
        <f ca="1"/>
        <v>Live</v>
      </c>
      <c r="AG481" s="30">
        <f ca="1"/>
        <v>6</v>
      </c>
      <c r="AH481" s="31" t="str">
        <f ca="1"/>
        <v>Unknown</v>
      </c>
      <c r="AI481" s="49">
        <f t="shared" ca="1" si="15"/>
        <v>0</v>
      </c>
      <c r="AJ481" s="71">
        <f ca="1"/>
        <v>0</v>
      </c>
    </row>
    <row r="482" spans="2:36" x14ac:dyDescent="0.25">
      <c r="B482" s="29" t="str">
        <f ca="1"/>
        <v>dal10.sr01.rk472</v>
      </c>
      <c r="C482" s="10" t="s">
        <v>2070</v>
      </c>
      <c r="D482" s="2" t="b" cm="1">
        <f t="array" ref="D482:O482">_xlfn._xlws.FILTER(IF(ancillary!$E$4:$P$8="",FALSE,ancillary!$E$4:$P$8),ancillary!$B$4:$B$8=$C482)</f>
        <v>1</v>
      </c>
      <c r="E482" s="2" t="b">
        <v>1</v>
      </c>
      <c r="F482" s="2" t="b">
        <v>1</v>
      </c>
      <c r="G482" s="2" t="b">
        <v>1</v>
      </c>
      <c r="H482" s="2" t="b">
        <v>1</v>
      </c>
      <c r="I482" s="2" t="b">
        <v>1</v>
      </c>
      <c r="J482" s="2" t="b">
        <v>0</v>
      </c>
      <c r="K482" s="2" t="b">
        <v>0</v>
      </c>
      <c r="L482" s="2" t="b">
        <v>0</v>
      </c>
      <c r="M482" s="2" t="b">
        <v>0</v>
      </c>
      <c r="N482" s="2" t="b">
        <v>0</v>
      </c>
      <c r="O482" s="2" t="b">
        <v>0</v>
      </c>
      <c r="P482" s="68"/>
      <c r="R482" s="69"/>
      <c r="S482" s="68"/>
      <c r="U482" s="69"/>
      <c r="V482" s="68"/>
      <c r="X482" s="69"/>
      <c r="Y482" s="68"/>
      <c r="AA482" s="69"/>
      <c r="AB482" s="33">
        <f t="shared" si="14"/>
        <v>0</v>
      </c>
      <c r="AC482" s="45">
        <f>_xlfn.LET(_xlpm.ps_1,P482:R482, _xlpm.ps_2,S482:U482, _xlpm.ps_3,V482:X482, _xlpm.ps_4,Y482:AA482,
_xlpm.phase, MID(C482,SEARCH("-",C482)+1,256),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(_xlfn.XLOOKUP($C$7,site_assumptions[Details],site_assumptions[Volts])*SUMIFS(P482:AA482,_xlfn.ANCHORARRAY(D482),TRUE)/10*0.95)/1000,
IFERROR(IF(_xlpm.phase="3Phase", _xlpm.p3_calc, _xlpm.sp_calc),0))</f>
        <v>0</v>
      </c>
      <c r="AD482" s="29" t="str">
        <f ca="1"/>
        <v>Storage</v>
      </c>
      <c r="AE482" s="30" t="str">
        <f ca="1"/>
        <v>File/Block</v>
      </c>
      <c r="AF482" s="30" t="str">
        <f ca="1"/>
        <v>Live</v>
      </c>
      <c r="AG482" s="30">
        <f ca="1"/>
        <v>6</v>
      </c>
      <c r="AH482" s="31" t="str">
        <f ca="1"/>
        <v>Unknown</v>
      </c>
      <c r="AI482" s="49">
        <f t="shared" ca="1" si="15"/>
        <v>0</v>
      </c>
      <c r="AJ482" s="71">
        <f ca="1"/>
        <v>0</v>
      </c>
    </row>
    <row r="483" spans="2:36" x14ac:dyDescent="0.25">
      <c r="B483" s="29" t="str">
        <f ca="1"/>
        <v>dal10.sr01.rk473</v>
      </c>
      <c r="C483" s="10" t="s">
        <v>2070</v>
      </c>
      <c r="D483" s="2" t="b" cm="1">
        <f t="array" ref="D483:O483">_xlfn._xlws.FILTER(IF(ancillary!$E$4:$P$8="",FALSE,ancillary!$E$4:$P$8),ancillary!$B$4:$B$8=$C483)</f>
        <v>1</v>
      </c>
      <c r="E483" s="2" t="b">
        <v>1</v>
      </c>
      <c r="F483" s="2" t="b">
        <v>1</v>
      </c>
      <c r="G483" s="2" t="b">
        <v>1</v>
      </c>
      <c r="H483" s="2" t="b">
        <v>1</v>
      </c>
      <c r="I483" s="2" t="b">
        <v>1</v>
      </c>
      <c r="J483" s="2" t="b">
        <v>0</v>
      </c>
      <c r="K483" s="2" t="b">
        <v>0</v>
      </c>
      <c r="L483" s="2" t="b">
        <v>0</v>
      </c>
      <c r="M483" s="2" t="b">
        <v>0</v>
      </c>
      <c r="N483" s="2" t="b">
        <v>0</v>
      </c>
      <c r="O483" s="2" t="b">
        <v>0</v>
      </c>
      <c r="P483" s="68"/>
      <c r="R483" s="69"/>
      <c r="S483" s="68"/>
      <c r="U483" s="69"/>
      <c r="V483" s="68"/>
      <c r="X483" s="69"/>
      <c r="Y483" s="68"/>
      <c r="AA483" s="69"/>
      <c r="AB483" s="33">
        <f t="shared" si="14"/>
        <v>0</v>
      </c>
      <c r="AC483" s="45">
        <f>_xlfn.LET(_xlpm.ps_1,P483:R483, _xlpm.ps_2,S483:U483, _xlpm.ps_3,V483:X483, _xlpm.ps_4,Y483:AA483,
_xlpm.phase, MID(C483,SEARCH("-",C483)+1,256),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(_xlfn.XLOOKUP($C$7,site_assumptions[Details],site_assumptions[Volts])*SUMIFS(P483:AA483,_xlfn.ANCHORARRAY(D483),TRUE)/10*0.95)/1000,
IFERROR(IF(_xlpm.phase="3Phase", _xlpm.p3_calc, _xlpm.sp_calc),0))</f>
        <v>0</v>
      </c>
      <c r="AD483" s="29" t="str">
        <f ca="1"/>
        <v>Storage</v>
      </c>
      <c r="AE483" s="30" t="str">
        <f ca="1"/>
        <v>File/Block</v>
      </c>
      <c r="AF483" s="30" t="str">
        <f ca="1"/>
        <v>Live</v>
      </c>
      <c r="AG483" s="30">
        <f ca="1"/>
        <v>6</v>
      </c>
      <c r="AH483" s="31" t="str">
        <f ca="1"/>
        <v>Unknown</v>
      </c>
      <c r="AI483" s="49">
        <f t="shared" ca="1" si="15"/>
        <v>0</v>
      </c>
      <c r="AJ483" s="71">
        <f ca="1"/>
        <v>0</v>
      </c>
    </row>
    <row r="484" spans="2:36" x14ac:dyDescent="0.25">
      <c r="B484" s="29" t="str">
        <f ca="1"/>
        <v>dal10.sr01.rk474</v>
      </c>
      <c r="C484" s="10" t="s">
        <v>2070</v>
      </c>
      <c r="D484" s="2" t="b" cm="1">
        <f t="array" ref="D484:O484">_xlfn._xlws.FILTER(IF(ancillary!$E$4:$P$8="",FALSE,ancillary!$E$4:$P$8),ancillary!$B$4:$B$8=$C484)</f>
        <v>1</v>
      </c>
      <c r="E484" s="2" t="b">
        <v>1</v>
      </c>
      <c r="F484" s="2" t="b">
        <v>1</v>
      </c>
      <c r="G484" s="2" t="b">
        <v>1</v>
      </c>
      <c r="H484" s="2" t="b">
        <v>1</v>
      </c>
      <c r="I484" s="2" t="b">
        <v>1</v>
      </c>
      <c r="J484" s="2" t="b">
        <v>0</v>
      </c>
      <c r="K484" s="2" t="b">
        <v>0</v>
      </c>
      <c r="L484" s="2" t="b">
        <v>0</v>
      </c>
      <c r="M484" s="2" t="b">
        <v>0</v>
      </c>
      <c r="N484" s="2" t="b">
        <v>0</v>
      </c>
      <c r="O484" s="2" t="b">
        <v>0</v>
      </c>
      <c r="P484" s="68"/>
      <c r="R484" s="69"/>
      <c r="S484" s="68"/>
      <c r="U484" s="69"/>
      <c r="V484" s="68"/>
      <c r="X484" s="69"/>
      <c r="Y484" s="68"/>
      <c r="AA484" s="69"/>
      <c r="AB484" s="33">
        <f t="shared" si="14"/>
        <v>0</v>
      </c>
      <c r="AC484" s="45">
        <f>_xlfn.LET(_xlpm.ps_1,P484:R484, _xlpm.ps_2,S484:U484, _xlpm.ps_3,V484:X484, _xlpm.ps_4,Y484:AA484,
_xlpm.phase, MID(C484,SEARCH("-",C484)+1,256),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(_xlfn.XLOOKUP($C$7,site_assumptions[Details],site_assumptions[Volts])*SUMIFS(P484:AA484,_xlfn.ANCHORARRAY(D484),TRUE)/10*0.95)/1000,
IFERROR(IF(_xlpm.phase="3Phase", _xlpm.p3_calc, _xlpm.sp_calc),0))</f>
        <v>0</v>
      </c>
      <c r="AD484" s="29" t="str">
        <f ca="1"/>
        <v>Storage</v>
      </c>
      <c r="AE484" s="30" t="str">
        <f ca="1"/>
        <v>File/Block</v>
      </c>
      <c r="AF484" s="30" t="str">
        <f ca="1"/>
        <v>Live</v>
      </c>
      <c r="AG484" s="30">
        <f ca="1"/>
        <v>6</v>
      </c>
      <c r="AH484" s="31" t="str">
        <f ca="1"/>
        <v>Unknown</v>
      </c>
      <c r="AI484" s="49">
        <f t="shared" ca="1" si="15"/>
        <v>0</v>
      </c>
      <c r="AJ484" s="71">
        <f ca="1"/>
        <v>0</v>
      </c>
    </row>
    <row r="485" spans="2:36" x14ac:dyDescent="0.25">
      <c r="B485" s="29" t="str">
        <f ca="1"/>
        <v>dal10.sr01.rk475</v>
      </c>
      <c r="C485" s="10" t="s">
        <v>2070</v>
      </c>
      <c r="D485" s="2" t="b" cm="1">
        <f t="array" ref="D485:O485">_xlfn._xlws.FILTER(IF(ancillary!$E$4:$P$8="",FALSE,ancillary!$E$4:$P$8),ancillary!$B$4:$B$8=$C485)</f>
        <v>1</v>
      </c>
      <c r="E485" s="2" t="b">
        <v>1</v>
      </c>
      <c r="F485" s="2" t="b">
        <v>1</v>
      </c>
      <c r="G485" s="2" t="b">
        <v>1</v>
      </c>
      <c r="H485" s="2" t="b">
        <v>1</v>
      </c>
      <c r="I485" s="2" t="b">
        <v>1</v>
      </c>
      <c r="J485" s="2" t="b">
        <v>0</v>
      </c>
      <c r="K485" s="2" t="b">
        <v>0</v>
      </c>
      <c r="L485" s="2" t="b">
        <v>0</v>
      </c>
      <c r="M485" s="2" t="b">
        <v>0</v>
      </c>
      <c r="N485" s="2" t="b">
        <v>0</v>
      </c>
      <c r="O485" s="2" t="b">
        <v>0</v>
      </c>
      <c r="P485" s="68"/>
      <c r="R485" s="69"/>
      <c r="S485" s="68"/>
      <c r="U485" s="69"/>
      <c r="V485" s="68"/>
      <c r="X485" s="69"/>
      <c r="Y485" s="68"/>
      <c r="AA485" s="69"/>
      <c r="AB485" s="33">
        <f t="shared" si="14"/>
        <v>0</v>
      </c>
      <c r="AC485" s="45">
        <f>_xlfn.LET(_xlpm.ps_1,P485:R485, _xlpm.ps_2,S485:U485, _xlpm.ps_3,V485:X485, _xlpm.ps_4,Y485:AA485,
_xlpm.phase, MID(C485,SEARCH("-",C485)+1,256),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(_xlfn.XLOOKUP($C$7,site_assumptions[Details],site_assumptions[Volts])*SUMIFS(P485:AA485,_xlfn.ANCHORARRAY(D485),TRUE)/10*0.95)/1000,
IFERROR(IF(_xlpm.phase="3Phase", _xlpm.p3_calc, _xlpm.sp_calc),0))</f>
        <v>0</v>
      </c>
      <c r="AD485" s="29" t="str">
        <f ca="1"/>
        <v>Storage</v>
      </c>
      <c r="AE485" s="30" t="str">
        <f ca="1"/>
        <v>File/Block</v>
      </c>
      <c r="AF485" s="30" t="str">
        <f ca="1"/>
        <v>Live</v>
      </c>
      <c r="AG485" s="30">
        <f ca="1"/>
        <v>6</v>
      </c>
      <c r="AH485" s="31" t="str">
        <f ca="1"/>
        <v>Unknown</v>
      </c>
      <c r="AI485" s="49">
        <f t="shared" ca="1" si="15"/>
        <v>0</v>
      </c>
      <c r="AJ485" s="71">
        <f ca="1"/>
        <v>0</v>
      </c>
    </row>
    <row r="486" spans="2:36" x14ac:dyDescent="0.25">
      <c r="B486" s="29" t="str">
        <f ca="1"/>
        <v>dal10.sr01.rk476</v>
      </c>
      <c r="C486" s="10" t="s">
        <v>2070</v>
      </c>
      <c r="D486" s="2" t="b" cm="1">
        <f t="array" ref="D486:O486">_xlfn._xlws.FILTER(IF(ancillary!$E$4:$P$8="",FALSE,ancillary!$E$4:$P$8),ancillary!$B$4:$B$8=$C486)</f>
        <v>1</v>
      </c>
      <c r="E486" s="2" t="b">
        <v>1</v>
      </c>
      <c r="F486" s="2" t="b">
        <v>1</v>
      </c>
      <c r="G486" s="2" t="b">
        <v>1</v>
      </c>
      <c r="H486" s="2" t="b">
        <v>1</v>
      </c>
      <c r="I486" s="2" t="b">
        <v>1</v>
      </c>
      <c r="J486" s="2" t="b">
        <v>0</v>
      </c>
      <c r="K486" s="2" t="b">
        <v>0</v>
      </c>
      <c r="L486" s="2" t="b">
        <v>0</v>
      </c>
      <c r="M486" s="2" t="b">
        <v>0</v>
      </c>
      <c r="N486" s="2" t="b">
        <v>0</v>
      </c>
      <c r="O486" s="2" t="b">
        <v>0</v>
      </c>
      <c r="P486" s="68"/>
      <c r="R486" s="69"/>
      <c r="S486" s="68"/>
      <c r="U486" s="69"/>
      <c r="V486" s="68"/>
      <c r="X486" s="69"/>
      <c r="Y486" s="68"/>
      <c r="AA486" s="69"/>
      <c r="AB486" s="33">
        <f t="shared" si="14"/>
        <v>0</v>
      </c>
      <c r="AC486" s="45">
        <f>_xlfn.LET(_xlpm.ps_1,P486:R486, _xlpm.ps_2,S486:U486, _xlpm.ps_3,V486:X486, _xlpm.ps_4,Y486:AA486,
_xlpm.phase, MID(C486,SEARCH("-",C486)+1,256),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(_xlfn.XLOOKUP($C$7,site_assumptions[Details],site_assumptions[Volts])*SUMIFS(P486:AA486,_xlfn.ANCHORARRAY(D486),TRUE)/10*0.95)/1000,
IFERROR(IF(_xlpm.phase="3Phase", _xlpm.p3_calc, _xlpm.sp_calc),0))</f>
        <v>0</v>
      </c>
      <c r="AD486" s="29" t="str">
        <f ca="1"/>
        <v>Storage</v>
      </c>
      <c r="AE486" s="30" t="str">
        <f ca="1"/>
        <v>File/Block</v>
      </c>
      <c r="AF486" s="30" t="str">
        <f ca="1"/>
        <v>Live</v>
      </c>
      <c r="AG486" s="30">
        <f ca="1"/>
        <v>6</v>
      </c>
      <c r="AH486" s="31" t="str">
        <f ca="1"/>
        <v>Unknown</v>
      </c>
      <c r="AI486" s="49">
        <f t="shared" ca="1" si="15"/>
        <v>0</v>
      </c>
      <c r="AJ486" s="71">
        <f ca="1"/>
        <v>0</v>
      </c>
    </row>
    <row r="487" spans="2:36" x14ac:dyDescent="0.25">
      <c r="B487" s="29" t="str">
        <f ca="1"/>
        <v>dal10.sr01.rk477</v>
      </c>
      <c r="C487" s="10" t="s">
        <v>2070</v>
      </c>
      <c r="D487" s="2" t="b" cm="1">
        <f t="array" ref="D487:O487">_xlfn._xlws.FILTER(IF(ancillary!$E$4:$P$8="",FALSE,ancillary!$E$4:$P$8),ancillary!$B$4:$B$8=$C487)</f>
        <v>1</v>
      </c>
      <c r="E487" s="2" t="b">
        <v>1</v>
      </c>
      <c r="F487" s="2" t="b">
        <v>1</v>
      </c>
      <c r="G487" s="2" t="b">
        <v>1</v>
      </c>
      <c r="H487" s="2" t="b">
        <v>1</v>
      </c>
      <c r="I487" s="2" t="b">
        <v>1</v>
      </c>
      <c r="J487" s="2" t="b">
        <v>0</v>
      </c>
      <c r="K487" s="2" t="b">
        <v>0</v>
      </c>
      <c r="L487" s="2" t="b">
        <v>0</v>
      </c>
      <c r="M487" s="2" t="b">
        <v>0</v>
      </c>
      <c r="N487" s="2" t="b">
        <v>0</v>
      </c>
      <c r="O487" s="2" t="b">
        <v>0</v>
      </c>
      <c r="P487" s="68"/>
      <c r="R487" s="69"/>
      <c r="S487" s="68"/>
      <c r="U487" s="69"/>
      <c r="V487" s="68"/>
      <c r="X487" s="69"/>
      <c r="Y487" s="68"/>
      <c r="AA487" s="69"/>
      <c r="AB487" s="33">
        <f t="shared" si="14"/>
        <v>0</v>
      </c>
      <c r="AC487" s="45">
        <f>_xlfn.LET(_xlpm.ps_1,P487:R487, _xlpm.ps_2,S487:U487, _xlpm.ps_3,V487:X487, _xlpm.ps_4,Y487:AA487,
_xlpm.phase, MID(C487,SEARCH("-",C487)+1,256),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(_xlfn.XLOOKUP($C$7,site_assumptions[Details],site_assumptions[Volts])*SUMIFS(P487:AA487,_xlfn.ANCHORARRAY(D487),TRUE)/10*0.95)/1000,
IFERROR(IF(_xlpm.phase="3Phase", _xlpm.p3_calc, _xlpm.sp_calc),0))</f>
        <v>0</v>
      </c>
      <c r="AD487" s="29" t="str">
        <f ca="1"/>
        <v>Storage</v>
      </c>
      <c r="AE487" s="30" t="str">
        <f ca="1"/>
        <v>File/Block</v>
      </c>
      <c r="AF487" s="30" t="str">
        <f ca="1"/>
        <v>Live</v>
      </c>
      <c r="AG487" s="30">
        <f ca="1"/>
        <v>6</v>
      </c>
      <c r="AH487" s="31" t="str">
        <f ca="1"/>
        <v>Unknown</v>
      </c>
      <c r="AI487" s="49">
        <f t="shared" ca="1" si="15"/>
        <v>0</v>
      </c>
      <c r="AJ487" s="71">
        <f ca="1"/>
        <v>0</v>
      </c>
    </row>
    <row r="488" spans="2:36" x14ac:dyDescent="0.25">
      <c r="B488" s="29" t="str">
        <f ca="1"/>
        <v>dal10.sr01.rk478</v>
      </c>
      <c r="C488" s="10" t="s">
        <v>2070</v>
      </c>
      <c r="D488" s="2" t="b" cm="1">
        <f t="array" ref="D488:O488">_xlfn._xlws.FILTER(IF(ancillary!$E$4:$P$8="",FALSE,ancillary!$E$4:$P$8),ancillary!$B$4:$B$8=$C488)</f>
        <v>1</v>
      </c>
      <c r="E488" s="2" t="b">
        <v>1</v>
      </c>
      <c r="F488" s="2" t="b">
        <v>1</v>
      </c>
      <c r="G488" s="2" t="b">
        <v>1</v>
      </c>
      <c r="H488" s="2" t="b">
        <v>1</v>
      </c>
      <c r="I488" s="2" t="b">
        <v>1</v>
      </c>
      <c r="J488" s="2" t="b">
        <v>0</v>
      </c>
      <c r="K488" s="2" t="b">
        <v>0</v>
      </c>
      <c r="L488" s="2" t="b">
        <v>0</v>
      </c>
      <c r="M488" s="2" t="b">
        <v>0</v>
      </c>
      <c r="N488" s="2" t="b">
        <v>0</v>
      </c>
      <c r="O488" s="2" t="b">
        <v>0</v>
      </c>
      <c r="P488" s="68"/>
      <c r="R488" s="69"/>
      <c r="S488" s="68"/>
      <c r="U488" s="69"/>
      <c r="V488" s="68"/>
      <c r="X488" s="69"/>
      <c r="Y488" s="68"/>
      <c r="AA488" s="69"/>
      <c r="AB488" s="33">
        <f t="shared" si="14"/>
        <v>0</v>
      </c>
      <c r="AC488" s="45">
        <f>_xlfn.LET(_xlpm.ps_1,P488:R488, _xlpm.ps_2,S488:U488, _xlpm.ps_3,V488:X488, _xlpm.ps_4,Y488:AA488,
_xlpm.phase, MID(C488,SEARCH("-",C488)+1,256),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(_xlfn.XLOOKUP($C$7,site_assumptions[Details],site_assumptions[Volts])*SUMIFS(P488:AA488,_xlfn.ANCHORARRAY(D488),TRUE)/10*0.95)/1000,
IFERROR(IF(_xlpm.phase="3Phase", _xlpm.p3_calc, _xlpm.sp_calc),0))</f>
        <v>0</v>
      </c>
      <c r="AD488" s="29" t="str">
        <f ca="1"/>
        <v>Storage</v>
      </c>
      <c r="AE488" s="30" t="str">
        <f ca="1"/>
        <v>File/Block</v>
      </c>
      <c r="AF488" s="30" t="str">
        <f ca="1"/>
        <v>Live</v>
      </c>
      <c r="AG488" s="30">
        <f ca="1"/>
        <v>6</v>
      </c>
      <c r="AH488" s="31" t="str">
        <f ca="1"/>
        <v>Unknown</v>
      </c>
      <c r="AI488" s="49">
        <f t="shared" ca="1" si="15"/>
        <v>0</v>
      </c>
      <c r="AJ488" s="71">
        <f ca="1"/>
        <v>0</v>
      </c>
    </row>
    <row r="489" spans="2:36" x14ac:dyDescent="0.25">
      <c r="B489" s="29" t="str">
        <f ca="1"/>
        <v>dal10.sr01.rk479</v>
      </c>
      <c r="C489" s="10" t="s">
        <v>2070</v>
      </c>
      <c r="D489" s="2" t="b" cm="1">
        <f t="array" ref="D489:O489">_xlfn._xlws.FILTER(IF(ancillary!$E$4:$P$8="",FALSE,ancillary!$E$4:$P$8),ancillary!$B$4:$B$8=$C489)</f>
        <v>1</v>
      </c>
      <c r="E489" s="2" t="b">
        <v>1</v>
      </c>
      <c r="F489" s="2" t="b">
        <v>1</v>
      </c>
      <c r="G489" s="2" t="b">
        <v>1</v>
      </c>
      <c r="H489" s="2" t="b">
        <v>1</v>
      </c>
      <c r="I489" s="2" t="b">
        <v>1</v>
      </c>
      <c r="J489" s="2" t="b">
        <v>0</v>
      </c>
      <c r="K489" s="2" t="b">
        <v>0</v>
      </c>
      <c r="L489" s="2" t="b">
        <v>0</v>
      </c>
      <c r="M489" s="2" t="b">
        <v>0</v>
      </c>
      <c r="N489" s="2" t="b">
        <v>0</v>
      </c>
      <c r="O489" s="2" t="b">
        <v>0</v>
      </c>
      <c r="P489" s="68"/>
      <c r="R489" s="69"/>
      <c r="S489" s="68"/>
      <c r="U489" s="69"/>
      <c r="V489" s="68"/>
      <c r="X489" s="69"/>
      <c r="Y489" s="68"/>
      <c r="AA489" s="69"/>
      <c r="AB489" s="33">
        <f t="shared" si="14"/>
        <v>0</v>
      </c>
      <c r="AC489" s="45">
        <f>_xlfn.LET(_xlpm.ps_1,P489:R489, _xlpm.ps_2,S489:U489, _xlpm.ps_3,V489:X489, _xlpm.ps_4,Y489:AA489,
_xlpm.phase, MID(C489,SEARCH("-",C489)+1,256),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(_xlfn.XLOOKUP($C$7,site_assumptions[Details],site_assumptions[Volts])*SUMIFS(P489:AA489,_xlfn.ANCHORARRAY(D489),TRUE)/10*0.95)/1000,
IFERROR(IF(_xlpm.phase="3Phase", _xlpm.p3_calc, _xlpm.sp_calc),0))</f>
        <v>0</v>
      </c>
      <c r="AD489" s="29" t="str">
        <f ca="1"/>
        <v>Storage</v>
      </c>
      <c r="AE489" s="30" t="str">
        <f ca="1"/>
        <v>File/Block</v>
      </c>
      <c r="AF489" s="30" t="str">
        <f ca="1"/>
        <v>Live</v>
      </c>
      <c r="AG489" s="30">
        <f ca="1"/>
        <v>6</v>
      </c>
      <c r="AH489" s="31" t="str">
        <f ca="1"/>
        <v>Unknown</v>
      </c>
      <c r="AI489" s="49">
        <f t="shared" ca="1" si="15"/>
        <v>0</v>
      </c>
      <c r="AJ489" s="71">
        <f ca="1"/>
        <v>0</v>
      </c>
    </row>
    <row r="490" spans="2:36" x14ac:dyDescent="0.25">
      <c r="B490" s="29" t="str">
        <f ca="1"/>
        <v>dal10.sr01.rk480</v>
      </c>
      <c r="C490" s="10" t="s">
        <v>2070</v>
      </c>
      <c r="D490" s="2" t="b" cm="1">
        <f t="array" ref="D490:O490">_xlfn._xlws.FILTER(IF(ancillary!$E$4:$P$8="",FALSE,ancillary!$E$4:$P$8),ancillary!$B$4:$B$8=$C490)</f>
        <v>1</v>
      </c>
      <c r="E490" s="2" t="b">
        <v>1</v>
      </c>
      <c r="F490" s="2" t="b">
        <v>1</v>
      </c>
      <c r="G490" s="2" t="b">
        <v>1</v>
      </c>
      <c r="H490" s="2" t="b">
        <v>1</v>
      </c>
      <c r="I490" s="2" t="b">
        <v>1</v>
      </c>
      <c r="J490" s="2" t="b">
        <v>0</v>
      </c>
      <c r="K490" s="2" t="b">
        <v>0</v>
      </c>
      <c r="L490" s="2" t="b">
        <v>0</v>
      </c>
      <c r="M490" s="2" t="b">
        <v>0</v>
      </c>
      <c r="N490" s="2" t="b">
        <v>0</v>
      </c>
      <c r="O490" s="2" t="b">
        <v>0</v>
      </c>
      <c r="P490" s="68"/>
      <c r="R490" s="69"/>
      <c r="S490" s="68"/>
      <c r="U490" s="69"/>
      <c r="V490" s="68"/>
      <c r="X490" s="69"/>
      <c r="Y490" s="68"/>
      <c r="AA490" s="69"/>
      <c r="AB490" s="33">
        <f t="shared" si="14"/>
        <v>0</v>
      </c>
      <c r="AC490" s="45">
        <f>_xlfn.LET(_xlpm.ps_1,P490:R490, _xlpm.ps_2,S490:U490, _xlpm.ps_3,V490:X490, _xlpm.ps_4,Y490:AA490,
_xlpm.phase, MID(C490,SEARCH("-",C490)+1,256),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(_xlfn.XLOOKUP($C$7,site_assumptions[Details],site_assumptions[Volts])*SUMIFS(P490:AA490,_xlfn.ANCHORARRAY(D490),TRUE)/10*0.95)/1000,
IFERROR(IF(_xlpm.phase="3Phase", _xlpm.p3_calc, _xlpm.sp_calc),0))</f>
        <v>0</v>
      </c>
      <c r="AD490" s="29" t="str">
        <f ca="1"/>
        <v>Storage</v>
      </c>
      <c r="AE490" s="30" t="str">
        <f ca="1"/>
        <v>File/Block</v>
      </c>
      <c r="AF490" s="30" t="str">
        <f ca="1"/>
        <v>Live</v>
      </c>
      <c r="AG490" s="30">
        <f ca="1"/>
        <v>6</v>
      </c>
      <c r="AH490" s="31" t="str">
        <f ca="1"/>
        <v>Unknown</v>
      </c>
      <c r="AI490" s="49">
        <f t="shared" ca="1" si="15"/>
        <v>0</v>
      </c>
      <c r="AJ490" s="71">
        <f ca="1"/>
        <v>0</v>
      </c>
    </row>
    <row r="491" spans="2:36" x14ac:dyDescent="0.25">
      <c r="B491" s="29" t="str">
        <f ca="1"/>
        <v>dal10.sr01.rk481</v>
      </c>
      <c r="C491" s="10" t="s">
        <v>2070</v>
      </c>
      <c r="D491" s="2" t="b" cm="1">
        <f t="array" ref="D491:O491">_xlfn._xlws.FILTER(IF(ancillary!$E$4:$P$8="",FALSE,ancillary!$E$4:$P$8),ancillary!$B$4:$B$8=$C491)</f>
        <v>1</v>
      </c>
      <c r="E491" s="2" t="b">
        <v>1</v>
      </c>
      <c r="F491" s="2" t="b">
        <v>1</v>
      </c>
      <c r="G491" s="2" t="b">
        <v>1</v>
      </c>
      <c r="H491" s="2" t="b">
        <v>1</v>
      </c>
      <c r="I491" s="2" t="b">
        <v>1</v>
      </c>
      <c r="J491" s="2" t="b">
        <v>0</v>
      </c>
      <c r="K491" s="2" t="b">
        <v>0</v>
      </c>
      <c r="L491" s="2" t="b">
        <v>0</v>
      </c>
      <c r="M491" s="2" t="b">
        <v>0</v>
      </c>
      <c r="N491" s="2" t="b">
        <v>0</v>
      </c>
      <c r="O491" s="2" t="b">
        <v>0</v>
      </c>
      <c r="P491" s="68"/>
      <c r="R491" s="69"/>
      <c r="S491" s="68"/>
      <c r="U491" s="69"/>
      <c r="V491" s="68"/>
      <c r="X491" s="69"/>
      <c r="Y491" s="68"/>
      <c r="AA491" s="69"/>
      <c r="AB491" s="33">
        <f t="shared" si="14"/>
        <v>0</v>
      </c>
      <c r="AC491" s="45">
        <f>_xlfn.LET(_xlpm.ps_1,P491:R491, _xlpm.ps_2,S491:U491, _xlpm.ps_3,V491:X491, _xlpm.ps_4,Y491:AA491,
_xlpm.phase, MID(C491,SEARCH("-",C491)+1,256),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(_xlfn.XLOOKUP($C$7,site_assumptions[Details],site_assumptions[Volts])*SUMIFS(P491:AA491,_xlfn.ANCHORARRAY(D491),TRUE)/10*0.95)/1000,
IFERROR(IF(_xlpm.phase="3Phase", _xlpm.p3_calc, _xlpm.sp_calc),0))</f>
        <v>0</v>
      </c>
      <c r="AD491" s="29" t="str">
        <f ca="1"/>
        <v>Storage</v>
      </c>
      <c r="AE491" s="30" t="str">
        <f ca="1"/>
        <v>File/Block</v>
      </c>
      <c r="AF491" s="30" t="str">
        <f ca="1"/>
        <v>Live</v>
      </c>
      <c r="AG491" s="30">
        <f ca="1"/>
        <v>6</v>
      </c>
      <c r="AH491" s="31" t="str">
        <f ca="1"/>
        <v>Unknown</v>
      </c>
      <c r="AI491" s="49">
        <f t="shared" ca="1" si="15"/>
        <v>0</v>
      </c>
      <c r="AJ491" s="71">
        <f ca="1"/>
        <v>0</v>
      </c>
    </row>
    <row r="492" spans="2:36" x14ac:dyDescent="0.25">
      <c r="B492" s="29" t="str">
        <f ca="1"/>
        <v>dal10.sr01.rk482</v>
      </c>
      <c r="C492" s="10" t="s">
        <v>2070</v>
      </c>
      <c r="D492" s="2" t="b" cm="1">
        <f t="array" ref="D492:O492">_xlfn._xlws.FILTER(IF(ancillary!$E$4:$P$8="",FALSE,ancillary!$E$4:$P$8),ancillary!$B$4:$B$8=$C492)</f>
        <v>1</v>
      </c>
      <c r="E492" s="2" t="b">
        <v>1</v>
      </c>
      <c r="F492" s="2" t="b">
        <v>1</v>
      </c>
      <c r="G492" s="2" t="b">
        <v>1</v>
      </c>
      <c r="H492" s="2" t="b">
        <v>1</v>
      </c>
      <c r="I492" s="2" t="b">
        <v>1</v>
      </c>
      <c r="J492" s="2" t="b">
        <v>0</v>
      </c>
      <c r="K492" s="2" t="b">
        <v>0</v>
      </c>
      <c r="L492" s="2" t="b">
        <v>0</v>
      </c>
      <c r="M492" s="2" t="b">
        <v>0</v>
      </c>
      <c r="N492" s="2" t="b">
        <v>0</v>
      </c>
      <c r="O492" s="2" t="b">
        <v>0</v>
      </c>
      <c r="P492" s="68"/>
      <c r="R492" s="69"/>
      <c r="S492" s="68"/>
      <c r="U492" s="69"/>
      <c r="V492" s="68"/>
      <c r="X492" s="69"/>
      <c r="Y492" s="68"/>
      <c r="AA492" s="69"/>
      <c r="AB492" s="33">
        <f t="shared" si="14"/>
        <v>0</v>
      </c>
      <c r="AC492" s="45">
        <f>_xlfn.LET(_xlpm.ps_1,P492:R492, _xlpm.ps_2,S492:U492, _xlpm.ps_3,V492:X492, _xlpm.ps_4,Y492:AA492,
_xlpm.phase, MID(C492,SEARCH("-",C492)+1,256),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(_xlfn.XLOOKUP($C$7,site_assumptions[Details],site_assumptions[Volts])*SUMIFS(P492:AA492,_xlfn.ANCHORARRAY(D492),TRUE)/10*0.95)/1000,
IFERROR(IF(_xlpm.phase="3Phase", _xlpm.p3_calc, _xlpm.sp_calc),0))</f>
        <v>0</v>
      </c>
      <c r="AD492" s="29" t="str">
        <f ca="1"/>
        <v>Storage</v>
      </c>
      <c r="AE492" s="30" t="str">
        <f ca="1"/>
        <v>File/Block</v>
      </c>
      <c r="AF492" s="30" t="str">
        <f ca="1"/>
        <v>Live</v>
      </c>
      <c r="AG492" s="30">
        <f ca="1"/>
        <v>6</v>
      </c>
      <c r="AH492" s="31" t="str">
        <f ca="1"/>
        <v>Unknown</v>
      </c>
      <c r="AI492" s="49">
        <f t="shared" ca="1" si="15"/>
        <v>0</v>
      </c>
      <c r="AJ492" s="71">
        <f ca="1"/>
        <v>0</v>
      </c>
    </row>
    <row r="493" spans="2:36" x14ac:dyDescent="0.25">
      <c r="B493" s="29" t="str">
        <f ca="1"/>
        <v>dal10.sr01.rk483</v>
      </c>
      <c r="C493" s="10" t="s">
        <v>2070</v>
      </c>
      <c r="D493" s="2" t="b" cm="1">
        <f t="array" ref="D493:O493">_xlfn._xlws.FILTER(IF(ancillary!$E$4:$P$8="",FALSE,ancillary!$E$4:$P$8),ancillary!$B$4:$B$8=$C493)</f>
        <v>1</v>
      </c>
      <c r="E493" s="2" t="b">
        <v>1</v>
      </c>
      <c r="F493" s="2" t="b">
        <v>1</v>
      </c>
      <c r="G493" s="2" t="b">
        <v>1</v>
      </c>
      <c r="H493" s="2" t="b">
        <v>1</v>
      </c>
      <c r="I493" s="2" t="b">
        <v>1</v>
      </c>
      <c r="J493" s="2" t="b">
        <v>0</v>
      </c>
      <c r="K493" s="2" t="b">
        <v>0</v>
      </c>
      <c r="L493" s="2" t="b">
        <v>0</v>
      </c>
      <c r="M493" s="2" t="b">
        <v>0</v>
      </c>
      <c r="N493" s="2" t="b">
        <v>0</v>
      </c>
      <c r="O493" s="2" t="b">
        <v>0</v>
      </c>
      <c r="P493" s="68"/>
      <c r="R493" s="69"/>
      <c r="S493" s="68"/>
      <c r="U493" s="69"/>
      <c r="V493" s="68"/>
      <c r="X493" s="69"/>
      <c r="Y493" s="68"/>
      <c r="AA493" s="69"/>
      <c r="AB493" s="33">
        <f t="shared" si="14"/>
        <v>0</v>
      </c>
      <c r="AC493" s="45">
        <f>_xlfn.LET(_xlpm.ps_1,P493:R493, _xlpm.ps_2,S493:U493, _xlpm.ps_3,V493:X493, _xlpm.ps_4,Y493:AA493,
_xlpm.phase, MID(C493,SEARCH("-",C493)+1,256),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(_xlfn.XLOOKUP($C$7,site_assumptions[Details],site_assumptions[Volts])*SUMIFS(P493:AA493,_xlfn.ANCHORARRAY(D493),TRUE)/10*0.95)/1000,
IFERROR(IF(_xlpm.phase="3Phase", _xlpm.p3_calc, _xlpm.sp_calc),0))</f>
        <v>0</v>
      </c>
      <c r="AD493" s="29" t="str">
        <f ca="1"/>
        <v>Storage</v>
      </c>
      <c r="AE493" s="30" t="str">
        <f ca="1"/>
        <v>File/Block</v>
      </c>
      <c r="AF493" s="30" t="str">
        <f ca="1"/>
        <v>Live</v>
      </c>
      <c r="AG493" s="30">
        <f ca="1"/>
        <v>6</v>
      </c>
      <c r="AH493" s="31" t="str">
        <f ca="1"/>
        <v>Unknown</v>
      </c>
      <c r="AI493" s="49">
        <f t="shared" ca="1" si="15"/>
        <v>0</v>
      </c>
      <c r="AJ493" s="71">
        <f ca="1"/>
        <v>0</v>
      </c>
    </row>
    <row r="494" spans="2:36" x14ac:dyDescent="0.25">
      <c r="B494" s="29" t="str">
        <f ca="1"/>
        <v>dal10.sr01.rk484</v>
      </c>
      <c r="C494" s="10" t="s">
        <v>2070</v>
      </c>
      <c r="D494" s="2" t="b" cm="1">
        <f t="array" ref="D494:O494">_xlfn._xlws.FILTER(IF(ancillary!$E$4:$P$8="",FALSE,ancillary!$E$4:$P$8),ancillary!$B$4:$B$8=$C494)</f>
        <v>1</v>
      </c>
      <c r="E494" s="2" t="b">
        <v>1</v>
      </c>
      <c r="F494" s="2" t="b">
        <v>1</v>
      </c>
      <c r="G494" s="2" t="b">
        <v>1</v>
      </c>
      <c r="H494" s="2" t="b">
        <v>1</v>
      </c>
      <c r="I494" s="2" t="b">
        <v>1</v>
      </c>
      <c r="J494" s="2" t="b">
        <v>0</v>
      </c>
      <c r="K494" s="2" t="b">
        <v>0</v>
      </c>
      <c r="L494" s="2" t="b">
        <v>0</v>
      </c>
      <c r="M494" s="2" t="b">
        <v>0</v>
      </c>
      <c r="N494" s="2" t="b">
        <v>0</v>
      </c>
      <c r="O494" s="2" t="b">
        <v>0</v>
      </c>
      <c r="P494" s="68"/>
      <c r="R494" s="69"/>
      <c r="S494" s="68"/>
      <c r="U494" s="69"/>
      <c r="V494" s="68"/>
      <c r="X494" s="69"/>
      <c r="Y494" s="68"/>
      <c r="AA494" s="69"/>
      <c r="AB494" s="33">
        <f t="shared" si="14"/>
        <v>0</v>
      </c>
      <c r="AC494" s="45">
        <f>_xlfn.LET(_xlpm.ps_1,P494:R494, _xlpm.ps_2,S494:U494, _xlpm.ps_3,V494:X494, _xlpm.ps_4,Y494:AA494,
_xlpm.phase, MID(C494,SEARCH("-",C494)+1,256),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(_xlfn.XLOOKUP($C$7,site_assumptions[Details],site_assumptions[Volts])*SUMIFS(P494:AA494,_xlfn.ANCHORARRAY(D494),TRUE)/10*0.95)/1000,
IFERROR(IF(_xlpm.phase="3Phase", _xlpm.p3_calc, _xlpm.sp_calc),0))</f>
        <v>0</v>
      </c>
      <c r="AD494" s="29" t="str">
        <f ca="1"/>
        <v>Storage</v>
      </c>
      <c r="AE494" s="30" t="str">
        <f ca="1"/>
        <v>File/Block</v>
      </c>
      <c r="AF494" s="30" t="str">
        <f ca="1"/>
        <v>Live</v>
      </c>
      <c r="AG494" s="30">
        <f ca="1"/>
        <v>6</v>
      </c>
      <c r="AH494" s="31" t="str">
        <f ca="1"/>
        <v>Unknown</v>
      </c>
      <c r="AI494" s="49">
        <f t="shared" ca="1" si="15"/>
        <v>0</v>
      </c>
      <c r="AJ494" s="71">
        <f ca="1"/>
        <v>0</v>
      </c>
    </row>
    <row r="495" spans="2:36" x14ac:dyDescent="0.25">
      <c r="B495" s="29" t="str">
        <f ca="1"/>
        <v>dal10.sr01.rk485</v>
      </c>
      <c r="C495" s="10" t="s">
        <v>2070</v>
      </c>
      <c r="D495" s="2" t="b" cm="1">
        <f t="array" ref="D495:O495">_xlfn._xlws.FILTER(IF(ancillary!$E$4:$P$8="",FALSE,ancillary!$E$4:$P$8),ancillary!$B$4:$B$8=$C495)</f>
        <v>1</v>
      </c>
      <c r="E495" s="2" t="b">
        <v>1</v>
      </c>
      <c r="F495" s="2" t="b">
        <v>1</v>
      </c>
      <c r="G495" s="2" t="b">
        <v>1</v>
      </c>
      <c r="H495" s="2" t="b">
        <v>1</v>
      </c>
      <c r="I495" s="2" t="b">
        <v>1</v>
      </c>
      <c r="J495" s="2" t="b">
        <v>0</v>
      </c>
      <c r="K495" s="2" t="b">
        <v>0</v>
      </c>
      <c r="L495" s="2" t="b">
        <v>0</v>
      </c>
      <c r="M495" s="2" t="b">
        <v>0</v>
      </c>
      <c r="N495" s="2" t="b">
        <v>0</v>
      </c>
      <c r="O495" s="2" t="b">
        <v>0</v>
      </c>
      <c r="P495" s="68"/>
      <c r="R495" s="69"/>
      <c r="S495" s="68"/>
      <c r="U495" s="69"/>
      <c r="V495" s="68"/>
      <c r="X495" s="69"/>
      <c r="Y495" s="68"/>
      <c r="AA495" s="69"/>
      <c r="AB495" s="33">
        <f t="shared" si="14"/>
        <v>0</v>
      </c>
      <c r="AC495" s="45">
        <f>_xlfn.LET(_xlpm.ps_1,P495:R495, _xlpm.ps_2,S495:U495, _xlpm.ps_3,V495:X495, _xlpm.ps_4,Y495:AA495,
_xlpm.phase, MID(C495,SEARCH("-",C495)+1,256),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(_xlfn.XLOOKUP($C$7,site_assumptions[Details],site_assumptions[Volts])*SUMIFS(P495:AA495,_xlfn.ANCHORARRAY(D495),TRUE)/10*0.95)/1000,
IFERROR(IF(_xlpm.phase="3Phase", _xlpm.p3_calc, _xlpm.sp_calc),0))</f>
        <v>0</v>
      </c>
      <c r="AD495" s="29" t="str">
        <f ca="1"/>
        <v>Storage</v>
      </c>
      <c r="AE495" s="30" t="str">
        <f ca="1"/>
        <v>File/Block</v>
      </c>
      <c r="AF495" s="30" t="str">
        <f ca="1"/>
        <v>Live</v>
      </c>
      <c r="AG495" s="30">
        <f ca="1"/>
        <v>6</v>
      </c>
      <c r="AH495" s="31" t="str">
        <f ca="1"/>
        <v>Unknown</v>
      </c>
      <c r="AI495" s="49">
        <f t="shared" ca="1" si="15"/>
        <v>0</v>
      </c>
      <c r="AJ495" s="71">
        <f ca="1"/>
        <v>0</v>
      </c>
    </row>
    <row r="496" spans="2:36" x14ac:dyDescent="0.25">
      <c r="B496" s="29" t="str">
        <f ca="1"/>
        <v>dal10.sr01.rk486</v>
      </c>
      <c r="C496" s="10" t="s">
        <v>2070</v>
      </c>
      <c r="D496" s="2" t="b" cm="1">
        <f t="array" ref="D496:O496">_xlfn._xlws.FILTER(IF(ancillary!$E$4:$P$8="",FALSE,ancillary!$E$4:$P$8),ancillary!$B$4:$B$8=$C496)</f>
        <v>1</v>
      </c>
      <c r="E496" s="2" t="b">
        <v>1</v>
      </c>
      <c r="F496" s="2" t="b">
        <v>1</v>
      </c>
      <c r="G496" s="2" t="b">
        <v>1</v>
      </c>
      <c r="H496" s="2" t="b">
        <v>1</v>
      </c>
      <c r="I496" s="2" t="b">
        <v>1</v>
      </c>
      <c r="J496" s="2" t="b">
        <v>0</v>
      </c>
      <c r="K496" s="2" t="b">
        <v>0</v>
      </c>
      <c r="L496" s="2" t="b">
        <v>0</v>
      </c>
      <c r="M496" s="2" t="b">
        <v>0</v>
      </c>
      <c r="N496" s="2" t="b">
        <v>0</v>
      </c>
      <c r="O496" s="2" t="b">
        <v>0</v>
      </c>
      <c r="P496" s="68"/>
      <c r="R496" s="69"/>
      <c r="S496" s="68"/>
      <c r="U496" s="69"/>
      <c r="V496" s="68"/>
      <c r="X496" s="69"/>
      <c r="Y496" s="68"/>
      <c r="AA496" s="69"/>
      <c r="AB496" s="33">
        <f t="shared" si="14"/>
        <v>0</v>
      </c>
      <c r="AC496" s="45">
        <f>_xlfn.LET(_xlpm.ps_1,P496:R496, _xlpm.ps_2,S496:U496, _xlpm.ps_3,V496:X496, _xlpm.ps_4,Y496:AA496,
_xlpm.phase, MID(C496,SEARCH("-",C496)+1,256),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(_xlfn.XLOOKUP($C$7,site_assumptions[Details],site_assumptions[Volts])*SUMIFS(P496:AA496,_xlfn.ANCHORARRAY(D496),TRUE)/10*0.95)/1000,
IFERROR(IF(_xlpm.phase="3Phase", _xlpm.p3_calc, _xlpm.sp_calc),0))</f>
        <v>0</v>
      </c>
      <c r="AD496" s="29" t="str">
        <f ca="1"/>
        <v>Storage</v>
      </c>
      <c r="AE496" s="30" t="str">
        <f ca="1"/>
        <v>File/Block</v>
      </c>
      <c r="AF496" s="30" t="str">
        <f ca="1"/>
        <v>Live</v>
      </c>
      <c r="AG496" s="30">
        <f ca="1"/>
        <v>6</v>
      </c>
      <c r="AH496" s="31" t="str">
        <f ca="1"/>
        <v>Unknown</v>
      </c>
      <c r="AI496" s="49">
        <f t="shared" ca="1" si="15"/>
        <v>0</v>
      </c>
      <c r="AJ496" s="71">
        <f ca="1"/>
        <v>0</v>
      </c>
    </row>
    <row r="497" spans="2:36" x14ac:dyDescent="0.25">
      <c r="B497" s="29" t="str">
        <f ca="1"/>
        <v>dal10.sr01.rk487</v>
      </c>
      <c r="C497" s="10" t="s">
        <v>2070</v>
      </c>
      <c r="D497" s="2" t="b" cm="1">
        <f t="array" ref="D497:O497">_xlfn._xlws.FILTER(IF(ancillary!$E$4:$P$8="",FALSE,ancillary!$E$4:$P$8),ancillary!$B$4:$B$8=$C497)</f>
        <v>1</v>
      </c>
      <c r="E497" s="2" t="b">
        <v>1</v>
      </c>
      <c r="F497" s="2" t="b">
        <v>1</v>
      </c>
      <c r="G497" s="2" t="b">
        <v>1</v>
      </c>
      <c r="H497" s="2" t="b">
        <v>1</v>
      </c>
      <c r="I497" s="2" t="b">
        <v>1</v>
      </c>
      <c r="J497" s="2" t="b">
        <v>0</v>
      </c>
      <c r="K497" s="2" t="b">
        <v>0</v>
      </c>
      <c r="L497" s="2" t="b">
        <v>0</v>
      </c>
      <c r="M497" s="2" t="b">
        <v>0</v>
      </c>
      <c r="N497" s="2" t="b">
        <v>0</v>
      </c>
      <c r="O497" s="2" t="b">
        <v>0</v>
      </c>
      <c r="P497" s="68"/>
      <c r="R497" s="69"/>
      <c r="S497" s="68"/>
      <c r="U497" s="69"/>
      <c r="V497" s="68"/>
      <c r="X497" s="69"/>
      <c r="Y497" s="68"/>
      <c r="AA497" s="69"/>
      <c r="AB497" s="33">
        <f t="shared" si="14"/>
        <v>0</v>
      </c>
      <c r="AC497" s="45">
        <f>_xlfn.LET(_xlpm.ps_1,P497:R497, _xlpm.ps_2,S497:U497, _xlpm.ps_3,V497:X497, _xlpm.ps_4,Y497:AA497,
_xlpm.phase, MID(C497,SEARCH("-",C497)+1,256),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(_xlfn.XLOOKUP($C$7,site_assumptions[Details],site_assumptions[Volts])*SUMIFS(P497:AA497,_xlfn.ANCHORARRAY(D497),TRUE)/10*0.95)/1000,
IFERROR(IF(_xlpm.phase="3Phase", _xlpm.p3_calc, _xlpm.sp_calc),0))</f>
        <v>0</v>
      </c>
      <c r="AD497" s="29" t="str">
        <f ca="1"/>
        <v>Storage</v>
      </c>
      <c r="AE497" s="30" t="str">
        <f ca="1"/>
        <v>File/Block</v>
      </c>
      <c r="AF497" s="30" t="str">
        <f ca="1"/>
        <v>Live</v>
      </c>
      <c r="AG497" s="30">
        <f ca="1"/>
        <v>6</v>
      </c>
      <c r="AH497" s="31" t="str">
        <f ca="1"/>
        <v>Unknown</v>
      </c>
      <c r="AI497" s="49">
        <f t="shared" ca="1" si="15"/>
        <v>0</v>
      </c>
      <c r="AJ497" s="71">
        <f ca="1"/>
        <v>0</v>
      </c>
    </row>
    <row r="498" spans="2:36" x14ac:dyDescent="0.25">
      <c r="B498" s="29" t="str">
        <f ca="1"/>
        <v>dal10.sr01.rk488</v>
      </c>
      <c r="C498" s="10" t="s">
        <v>2070</v>
      </c>
      <c r="D498" s="2" t="b" cm="1">
        <f t="array" ref="D498:O498">_xlfn._xlws.FILTER(IF(ancillary!$E$4:$P$8="",FALSE,ancillary!$E$4:$P$8),ancillary!$B$4:$B$8=$C498)</f>
        <v>1</v>
      </c>
      <c r="E498" s="2" t="b">
        <v>1</v>
      </c>
      <c r="F498" s="2" t="b">
        <v>1</v>
      </c>
      <c r="G498" s="2" t="b">
        <v>1</v>
      </c>
      <c r="H498" s="2" t="b">
        <v>1</v>
      </c>
      <c r="I498" s="2" t="b">
        <v>1</v>
      </c>
      <c r="J498" s="2" t="b">
        <v>0</v>
      </c>
      <c r="K498" s="2" t="b">
        <v>0</v>
      </c>
      <c r="L498" s="2" t="b">
        <v>0</v>
      </c>
      <c r="M498" s="2" t="b">
        <v>0</v>
      </c>
      <c r="N498" s="2" t="b">
        <v>0</v>
      </c>
      <c r="O498" s="2" t="b">
        <v>0</v>
      </c>
      <c r="P498" s="68"/>
      <c r="R498" s="69"/>
      <c r="S498" s="68"/>
      <c r="U498" s="69"/>
      <c r="V498" s="68"/>
      <c r="X498" s="69"/>
      <c r="Y498" s="68"/>
      <c r="AA498" s="69"/>
      <c r="AB498" s="33">
        <f t="shared" si="14"/>
        <v>0</v>
      </c>
      <c r="AC498" s="45">
        <f>_xlfn.LET(_xlpm.ps_1,P498:R498, _xlpm.ps_2,S498:U498, _xlpm.ps_3,V498:X498, _xlpm.ps_4,Y498:AA498,
_xlpm.phase, MID(C498,SEARCH("-",C498)+1,256),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(_xlfn.XLOOKUP($C$7,site_assumptions[Details],site_assumptions[Volts])*SUMIFS(P498:AA498,_xlfn.ANCHORARRAY(D498),TRUE)/10*0.95)/1000,
IFERROR(IF(_xlpm.phase="3Phase", _xlpm.p3_calc, _xlpm.sp_calc),0))</f>
        <v>0</v>
      </c>
      <c r="AD498" s="29" t="str">
        <f ca="1"/>
        <v>Storage</v>
      </c>
      <c r="AE498" s="30" t="str">
        <f ca="1"/>
        <v>File/Block</v>
      </c>
      <c r="AF498" s="30" t="str">
        <f ca="1"/>
        <v>Live</v>
      </c>
      <c r="AG498" s="30">
        <f ca="1"/>
        <v>6</v>
      </c>
      <c r="AH498" s="31" t="str">
        <f ca="1"/>
        <v>Unknown</v>
      </c>
      <c r="AI498" s="49">
        <f t="shared" ca="1" si="15"/>
        <v>0</v>
      </c>
      <c r="AJ498" s="71">
        <f ca="1"/>
        <v>0</v>
      </c>
    </row>
    <row r="499" spans="2:36" x14ac:dyDescent="0.25">
      <c r="B499" s="29" t="str">
        <f ca="1"/>
        <v>dal10.sr01.rk489</v>
      </c>
      <c r="C499" s="10" t="s">
        <v>2070</v>
      </c>
      <c r="D499" s="2" t="b" cm="1">
        <f t="array" ref="D499:O499">_xlfn._xlws.FILTER(IF(ancillary!$E$4:$P$8="",FALSE,ancillary!$E$4:$P$8),ancillary!$B$4:$B$8=$C499)</f>
        <v>1</v>
      </c>
      <c r="E499" s="2" t="b">
        <v>1</v>
      </c>
      <c r="F499" s="2" t="b">
        <v>1</v>
      </c>
      <c r="G499" s="2" t="b">
        <v>1</v>
      </c>
      <c r="H499" s="2" t="b">
        <v>1</v>
      </c>
      <c r="I499" s="2" t="b">
        <v>1</v>
      </c>
      <c r="J499" s="2" t="b">
        <v>0</v>
      </c>
      <c r="K499" s="2" t="b">
        <v>0</v>
      </c>
      <c r="L499" s="2" t="b">
        <v>0</v>
      </c>
      <c r="M499" s="2" t="b">
        <v>0</v>
      </c>
      <c r="N499" s="2" t="b">
        <v>0</v>
      </c>
      <c r="O499" s="2" t="b">
        <v>0</v>
      </c>
      <c r="P499" s="68"/>
      <c r="R499" s="69"/>
      <c r="S499" s="68"/>
      <c r="U499" s="69"/>
      <c r="V499" s="68"/>
      <c r="X499" s="69"/>
      <c r="Y499" s="68"/>
      <c r="AA499" s="69"/>
      <c r="AB499" s="33">
        <f t="shared" si="14"/>
        <v>0</v>
      </c>
      <c r="AC499" s="45">
        <f>_xlfn.LET(_xlpm.ps_1,P499:R499, _xlpm.ps_2,S499:U499, _xlpm.ps_3,V499:X499, _xlpm.ps_4,Y499:AA499,
_xlpm.phase, MID(C499,SEARCH("-",C499)+1,256),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(_xlfn.XLOOKUP($C$7,site_assumptions[Details],site_assumptions[Volts])*SUMIFS(P499:AA499,_xlfn.ANCHORARRAY(D499),TRUE)/10*0.95)/1000,
IFERROR(IF(_xlpm.phase="3Phase", _xlpm.p3_calc, _xlpm.sp_calc),0))</f>
        <v>0</v>
      </c>
      <c r="AD499" s="29" t="str">
        <f ca="1"/>
        <v>Storage</v>
      </c>
      <c r="AE499" s="30" t="str">
        <f ca="1"/>
        <v>File/Block</v>
      </c>
      <c r="AF499" s="30" t="str">
        <f ca="1"/>
        <v>Live</v>
      </c>
      <c r="AG499" s="30">
        <f ca="1"/>
        <v>6</v>
      </c>
      <c r="AH499" s="31" t="str">
        <f ca="1"/>
        <v>Unknown</v>
      </c>
      <c r="AI499" s="49">
        <f t="shared" ca="1" si="15"/>
        <v>0</v>
      </c>
      <c r="AJ499" s="71">
        <f ca="1"/>
        <v>0</v>
      </c>
    </row>
    <row r="500" spans="2:36" x14ac:dyDescent="0.25">
      <c r="B500" s="29" t="str">
        <f ca="1"/>
        <v>dal10.sr01.rk490</v>
      </c>
      <c r="C500" s="10" t="s">
        <v>2070</v>
      </c>
      <c r="D500" s="2" t="b" cm="1">
        <f t="array" ref="D500:O500">_xlfn._xlws.FILTER(IF(ancillary!$E$4:$P$8="",FALSE,ancillary!$E$4:$P$8),ancillary!$B$4:$B$8=$C500)</f>
        <v>1</v>
      </c>
      <c r="E500" s="2" t="b">
        <v>1</v>
      </c>
      <c r="F500" s="2" t="b">
        <v>1</v>
      </c>
      <c r="G500" s="2" t="b">
        <v>1</v>
      </c>
      <c r="H500" s="2" t="b">
        <v>1</v>
      </c>
      <c r="I500" s="2" t="b">
        <v>1</v>
      </c>
      <c r="J500" s="2" t="b">
        <v>0</v>
      </c>
      <c r="K500" s="2" t="b">
        <v>0</v>
      </c>
      <c r="L500" s="2" t="b">
        <v>0</v>
      </c>
      <c r="M500" s="2" t="b">
        <v>0</v>
      </c>
      <c r="N500" s="2" t="b">
        <v>0</v>
      </c>
      <c r="O500" s="2" t="b">
        <v>0</v>
      </c>
      <c r="P500" s="68"/>
      <c r="R500" s="69"/>
      <c r="S500" s="68"/>
      <c r="U500" s="69"/>
      <c r="V500" s="68"/>
      <c r="X500" s="69"/>
      <c r="Y500" s="68"/>
      <c r="AA500" s="69"/>
      <c r="AB500" s="33">
        <f t="shared" si="14"/>
        <v>0</v>
      </c>
      <c r="AC500" s="45">
        <f>_xlfn.LET(_xlpm.ps_1,P500:R500, _xlpm.ps_2,S500:U500, _xlpm.ps_3,V500:X500, _xlpm.ps_4,Y500:AA500,
_xlpm.phase, MID(C500,SEARCH("-",C500)+1,256),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(_xlfn.XLOOKUP($C$7,site_assumptions[Details],site_assumptions[Volts])*SUMIFS(P500:AA500,_xlfn.ANCHORARRAY(D500),TRUE)/10*0.95)/1000,
IFERROR(IF(_xlpm.phase="3Phase", _xlpm.p3_calc, _xlpm.sp_calc),0))</f>
        <v>0</v>
      </c>
      <c r="AD500" s="29" t="str">
        <f ca="1"/>
        <v>Storage</v>
      </c>
      <c r="AE500" s="30" t="str">
        <f ca="1"/>
        <v>File/Block</v>
      </c>
      <c r="AF500" s="30" t="str">
        <f ca="1"/>
        <v>Live</v>
      </c>
      <c r="AG500" s="30">
        <f ca="1"/>
        <v>6</v>
      </c>
      <c r="AH500" s="31" t="str">
        <f ca="1"/>
        <v>Unknown</v>
      </c>
      <c r="AI500" s="49">
        <f t="shared" ca="1" si="15"/>
        <v>0</v>
      </c>
      <c r="AJ500" s="71">
        <f ca="1"/>
        <v>0</v>
      </c>
    </row>
    <row r="501" spans="2:36" x14ac:dyDescent="0.25">
      <c r="B501" s="29" t="str">
        <f ca="1"/>
        <v>dal10.sr01.rk491</v>
      </c>
      <c r="C501" s="10" t="s">
        <v>2070</v>
      </c>
      <c r="D501" s="2" t="b" cm="1">
        <f t="array" ref="D501:O501">_xlfn._xlws.FILTER(IF(ancillary!$E$4:$P$8="",FALSE,ancillary!$E$4:$P$8),ancillary!$B$4:$B$8=$C501)</f>
        <v>1</v>
      </c>
      <c r="E501" s="2" t="b">
        <v>1</v>
      </c>
      <c r="F501" s="2" t="b">
        <v>1</v>
      </c>
      <c r="G501" s="2" t="b">
        <v>1</v>
      </c>
      <c r="H501" s="2" t="b">
        <v>1</v>
      </c>
      <c r="I501" s="2" t="b">
        <v>1</v>
      </c>
      <c r="J501" s="2" t="b">
        <v>0</v>
      </c>
      <c r="K501" s="2" t="b">
        <v>0</v>
      </c>
      <c r="L501" s="2" t="b">
        <v>0</v>
      </c>
      <c r="M501" s="2" t="b">
        <v>0</v>
      </c>
      <c r="N501" s="2" t="b">
        <v>0</v>
      </c>
      <c r="O501" s="2" t="b">
        <v>0</v>
      </c>
      <c r="P501" s="68"/>
      <c r="R501" s="69"/>
      <c r="S501" s="68"/>
      <c r="U501" s="69"/>
      <c r="V501" s="68"/>
      <c r="X501" s="69"/>
      <c r="Y501" s="68"/>
      <c r="AA501" s="69"/>
      <c r="AB501" s="33">
        <f t="shared" si="14"/>
        <v>0</v>
      </c>
      <c r="AC501" s="45">
        <f>_xlfn.LET(_xlpm.ps_1,P501:R501, _xlpm.ps_2,S501:U501, _xlpm.ps_3,V501:X501, _xlpm.ps_4,Y501:AA501,
_xlpm.phase, MID(C501,SEARCH("-",C501)+1,256),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(_xlfn.XLOOKUP($C$7,site_assumptions[Details],site_assumptions[Volts])*SUMIFS(P501:AA501,_xlfn.ANCHORARRAY(D501),TRUE)/10*0.95)/1000,
IFERROR(IF(_xlpm.phase="3Phase", _xlpm.p3_calc, _xlpm.sp_calc),0))</f>
        <v>0</v>
      </c>
      <c r="AD501" s="29" t="str">
        <f ca="1"/>
        <v>Storage</v>
      </c>
      <c r="AE501" s="30" t="str">
        <f ca="1"/>
        <v>File/Block</v>
      </c>
      <c r="AF501" s="30" t="str">
        <f ca="1"/>
        <v>Live</v>
      </c>
      <c r="AG501" s="30">
        <f ca="1"/>
        <v>6</v>
      </c>
      <c r="AH501" s="31" t="str">
        <f ca="1"/>
        <v>Unknown</v>
      </c>
      <c r="AI501" s="49">
        <f t="shared" ca="1" si="15"/>
        <v>0</v>
      </c>
      <c r="AJ501" s="71">
        <f ca="1"/>
        <v>0</v>
      </c>
    </row>
    <row r="502" spans="2:36" x14ac:dyDescent="0.25">
      <c r="B502" s="29" t="str">
        <f ca="1"/>
        <v>dal10.sr01.rk492</v>
      </c>
      <c r="C502" s="10" t="s">
        <v>2070</v>
      </c>
      <c r="D502" s="2" t="b" cm="1">
        <f t="array" ref="D502:O502">_xlfn._xlws.FILTER(IF(ancillary!$E$4:$P$8="",FALSE,ancillary!$E$4:$P$8),ancillary!$B$4:$B$8=$C502)</f>
        <v>1</v>
      </c>
      <c r="E502" s="2" t="b">
        <v>1</v>
      </c>
      <c r="F502" s="2" t="b">
        <v>1</v>
      </c>
      <c r="G502" s="2" t="b">
        <v>1</v>
      </c>
      <c r="H502" s="2" t="b">
        <v>1</v>
      </c>
      <c r="I502" s="2" t="b">
        <v>1</v>
      </c>
      <c r="J502" s="2" t="b">
        <v>0</v>
      </c>
      <c r="K502" s="2" t="b">
        <v>0</v>
      </c>
      <c r="L502" s="2" t="b">
        <v>0</v>
      </c>
      <c r="M502" s="2" t="b">
        <v>0</v>
      </c>
      <c r="N502" s="2" t="b">
        <v>0</v>
      </c>
      <c r="O502" s="2" t="b">
        <v>0</v>
      </c>
      <c r="P502" s="68"/>
      <c r="R502" s="69"/>
      <c r="S502" s="68"/>
      <c r="U502" s="69"/>
      <c r="V502" s="68"/>
      <c r="X502" s="69"/>
      <c r="Y502" s="68"/>
      <c r="AA502" s="69"/>
      <c r="AB502" s="33">
        <f t="shared" si="14"/>
        <v>0</v>
      </c>
      <c r="AC502" s="45">
        <f>_xlfn.LET(_xlpm.ps_1,P502:R502, _xlpm.ps_2,S502:U502, _xlpm.ps_3,V502:X502, _xlpm.ps_4,Y502:AA502,
_xlpm.phase, MID(C502,SEARCH("-",C502)+1,256),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(_xlfn.XLOOKUP($C$7,site_assumptions[Details],site_assumptions[Volts])*SUMIFS(P502:AA502,_xlfn.ANCHORARRAY(D502),TRUE)/10*0.95)/1000,
IFERROR(IF(_xlpm.phase="3Phase", _xlpm.p3_calc, _xlpm.sp_calc),0))</f>
        <v>0</v>
      </c>
      <c r="AD502" s="29" t="str">
        <f ca="1"/>
        <v>Storage</v>
      </c>
      <c r="AE502" s="30" t="str">
        <f ca="1"/>
        <v>File/Block</v>
      </c>
      <c r="AF502" s="30" t="str">
        <f ca="1"/>
        <v>Live</v>
      </c>
      <c r="AG502" s="30">
        <f ca="1"/>
        <v>6</v>
      </c>
      <c r="AH502" s="31" t="str">
        <f ca="1"/>
        <v>Unknown</v>
      </c>
      <c r="AI502" s="49">
        <f t="shared" ca="1" si="15"/>
        <v>0</v>
      </c>
      <c r="AJ502" s="71">
        <f ca="1"/>
        <v>0</v>
      </c>
    </row>
    <row r="503" spans="2:36" x14ac:dyDescent="0.25">
      <c r="B503" s="29" t="str">
        <f ca="1"/>
        <v>dal10.sr01.rk493</v>
      </c>
      <c r="C503" s="10" t="s">
        <v>2070</v>
      </c>
      <c r="D503" s="2" t="b" cm="1">
        <f t="array" ref="D503:O503">_xlfn._xlws.FILTER(IF(ancillary!$E$4:$P$8="",FALSE,ancillary!$E$4:$P$8),ancillary!$B$4:$B$8=$C503)</f>
        <v>1</v>
      </c>
      <c r="E503" s="2" t="b">
        <v>1</v>
      </c>
      <c r="F503" s="2" t="b">
        <v>1</v>
      </c>
      <c r="G503" s="2" t="b">
        <v>1</v>
      </c>
      <c r="H503" s="2" t="b">
        <v>1</v>
      </c>
      <c r="I503" s="2" t="b">
        <v>1</v>
      </c>
      <c r="J503" s="2" t="b">
        <v>0</v>
      </c>
      <c r="K503" s="2" t="b">
        <v>0</v>
      </c>
      <c r="L503" s="2" t="b">
        <v>0</v>
      </c>
      <c r="M503" s="2" t="b">
        <v>0</v>
      </c>
      <c r="N503" s="2" t="b">
        <v>0</v>
      </c>
      <c r="O503" s="2" t="b">
        <v>0</v>
      </c>
      <c r="P503" s="68"/>
      <c r="R503" s="69"/>
      <c r="S503" s="68"/>
      <c r="U503" s="69"/>
      <c r="V503" s="68"/>
      <c r="X503" s="69"/>
      <c r="Y503" s="68"/>
      <c r="AA503" s="69"/>
      <c r="AB503" s="33">
        <f t="shared" si="14"/>
        <v>0</v>
      </c>
      <c r="AC503" s="45">
        <f>_xlfn.LET(_xlpm.ps_1,P503:R503, _xlpm.ps_2,S503:U503, _xlpm.ps_3,V503:X503, _xlpm.ps_4,Y503:AA503,
_xlpm.phase, MID(C503,SEARCH("-",C503)+1,256),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(_xlfn.XLOOKUP($C$7,site_assumptions[Details],site_assumptions[Volts])*SUMIFS(P503:AA503,_xlfn.ANCHORARRAY(D503),TRUE)/10*0.95)/1000,
IFERROR(IF(_xlpm.phase="3Phase", _xlpm.p3_calc, _xlpm.sp_calc),0))</f>
        <v>0</v>
      </c>
      <c r="AD503" s="29" t="str">
        <f ca="1"/>
        <v>Storage</v>
      </c>
      <c r="AE503" s="30" t="str">
        <f ca="1"/>
        <v>File/Block</v>
      </c>
      <c r="AF503" s="30" t="str">
        <f ca="1"/>
        <v>Live</v>
      </c>
      <c r="AG503" s="30">
        <f ca="1"/>
        <v>6</v>
      </c>
      <c r="AH503" s="31" t="str">
        <f ca="1"/>
        <v>Unknown</v>
      </c>
      <c r="AI503" s="49">
        <f t="shared" ca="1" si="15"/>
        <v>0</v>
      </c>
      <c r="AJ503" s="71">
        <f ca="1"/>
        <v>0</v>
      </c>
    </row>
    <row r="504" spans="2:36" x14ac:dyDescent="0.25">
      <c r="B504" s="29" t="str">
        <f ca="1"/>
        <v>dal10.sr01.rk494</v>
      </c>
      <c r="C504" s="10" t="s">
        <v>2070</v>
      </c>
      <c r="D504" s="2" t="b" cm="1">
        <f t="array" ref="D504:O504">_xlfn._xlws.FILTER(IF(ancillary!$E$4:$P$8="",FALSE,ancillary!$E$4:$P$8),ancillary!$B$4:$B$8=$C504)</f>
        <v>1</v>
      </c>
      <c r="E504" s="2" t="b">
        <v>1</v>
      </c>
      <c r="F504" s="2" t="b">
        <v>1</v>
      </c>
      <c r="G504" s="2" t="b">
        <v>1</v>
      </c>
      <c r="H504" s="2" t="b">
        <v>1</v>
      </c>
      <c r="I504" s="2" t="b">
        <v>1</v>
      </c>
      <c r="J504" s="2" t="b">
        <v>0</v>
      </c>
      <c r="K504" s="2" t="b">
        <v>0</v>
      </c>
      <c r="L504" s="2" t="b">
        <v>0</v>
      </c>
      <c r="M504" s="2" t="b">
        <v>0</v>
      </c>
      <c r="N504" s="2" t="b">
        <v>0</v>
      </c>
      <c r="O504" s="2" t="b">
        <v>0</v>
      </c>
      <c r="P504" s="68"/>
      <c r="R504" s="69"/>
      <c r="S504" s="68"/>
      <c r="U504" s="69"/>
      <c r="V504" s="68"/>
      <c r="X504" s="69"/>
      <c r="Y504" s="68"/>
      <c r="AA504" s="69"/>
      <c r="AB504" s="33">
        <f t="shared" si="14"/>
        <v>0</v>
      </c>
      <c r="AC504" s="45">
        <f>_xlfn.LET(_xlpm.ps_1,P504:R504, _xlpm.ps_2,S504:U504, _xlpm.ps_3,V504:X504, _xlpm.ps_4,Y504:AA504,
_xlpm.phase, MID(C504,SEARCH("-",C504)+1,256),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(_xlfn.XLOOKUP($C$7,site_assumptions[Details],site_assumptions[Volts])*SUMIFS(P504:AA504,_xlfn.ANCHORARRAY(D504),TRUE)/10*0.95)/1000,
IFERROR(IF(_xlpm.phase="3Phase", _xlpm.p3_calc, _xlpm.sp_calc),0))</f>
        <v>0</v>
      </c>
      <c r="AD504" s="29" t="str">
        <f ca="1"/>
        <v>Storage</v>
      </c>
      <c r="AE504" s="30" t="str">
        <f ca="1"/>
        <v>File/Block</v>
      </c>
      <c r="AF504" s="30" t="str">
        <f ca="1"/>
        <v>Live</v>
      </c>
      <c r="AG504" s="30">
        <f ca="1"/>
        <v>6</v>
      </c>
      <c r="AH504" s="31" t="str">
        <f ca="1"/>
        <v>Unknown</v>
      </c>
      <c r="AI504" s="49">
        <f t="shared" ca="1" si="15"/>
        <v>0</v>
      </c>
      <c r="AJ504" s="71">
        <f ca="1"/>
        <v>0</v>
      </c>
    </row>
    <row r="505" spans="2:36" x14ac:dyDescent="0.25">
      <c r="B505" s="29" t="str">
        <f ca="1"/>
        <v>dal10.sr01.rk495</v>
      </c>
      <c r="C505" s="10" t="s">
        <v>2070</v>
      </c>
      <c r="D505" s="2" t="b" cm="1">
        <f t="array" ref="D505:O505">_xlfn._xlws.FILTER(IF(ancillary!$E$4:$P$8="",FALSE,ancillary!$E$4:$P$8),ancillary!$B$4:$B$8=$C505)</f>
        <v>1</v>
      </c>
      <c r="E505" s="2" t="b">
        <v>1</v>
      </c>
      <c r="F505" s="2" t="b">
        <v>1</v>
      </c>
      <c r="G505" s="2" t="b">
        <v>1</v>
      </c>
      <c r="H505" s="2" t="b">
        <v>1</v>
      </c>
      <c r="I505" s="2" t="b">
        <v>1</v>
      </c>
      <c r="J505" s="2" t="b">
        <v>0</v>
      </c>
      <c r="K505" s="2" t="b">
        <v>0</v>
      </c>
      <c r="L505" s="2" t="b">
        <v>0</v>
      </c>
      <c r="M505" s="2" t="b">
        <v>0</v>
      </c>
      <c r="N505" s="2" t="b">
        <v>0</v>
      </c>
      <c r="O505" s="2" t="b">
        <v>0</v>
      </c>
      <c r="P505" s="68"/>
      <c r="R505" s="69"/>
      <c r="S505" s="68"/>
      <c r="U505" s="69"/>
      <c r="V505" s="68"/>
      <c r="X505" s="69"/>
      <c r="Y505" s="68"/>
      <c r="AA505" s="69"/>
      <c r="AB505" s="33">
        <f t="shared" si="14"/>
        <v>0</v>
      </c>
      <c r="AC505" s="45">
        <f>_xlfn.LET(_xlpm.ps_1,P505:R505, _xlpm.ps_2,S505:U505, _xlpm.ps_3,V505:X505, _xlpm.ps_4,Y505:AA505,
_xlpm.phase, MID(C505,SEARCH("-",C505)+1,256),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(_xlfn.XLOOKUP($C$7,site_assumptions[Details],site_assumptions[Volts])*SUMIFS(P505:AA505,_xlfn.ANCHORARRAY(D505),TRUE)/10*0.95)/1000,
IFERROR(IF(_xlpm.phase="3Phase", _xlpm.p3_calc, _xlpm.sp_calc),0))</f>
        <v>0</v>
      </c>
      <c r="AD505" s="29" t="str">
        <f ca="1"/>
        <v>Storage</v>
      </c>
      <c r="AE505" s="30" t="str">
        <f ca="1"/>
        <v>File/Block</v>
      </c>
      <c r="AF505" s="30" t="str">
        <f ca="1"/>
        <v>Live</v>
      </c>
      <c r="AG505" s="30">
        <f ca="1"/>
        <v>6</v>
      </c>
      <c r="AH505" s="31" t="str">
        <f ca="1"/>
        <v>Unknown</v>
      </c>
      <c r="AI505" s="49">
        <f t="shared" ca="1" si="15"/>
        <v>0</v>
      </c>
      <c r="AJ505" s="71">
        <f ca="1"/>
        <v>0</v>
      </c>
    </row>
    <row r="506" spans="2:36" x14ac:dyDescent="0.25">
      <c r="B506" s="29" t="str">
        <f ca="1"/>
        <v>dal10.sr01.rk496</v>
      </c>
      <c r="C506" s="10" t="s">
        <v>2070</v>
      </c>
      <c r="D506" s="2" t="b" cm="1">
        <f t="array" ref="D506:O506">_xlfn._xlws.FILTER(IF(ancillary!$E$4:$P$8="",FALSE,ancillary!$E$4:$P$8),ancillary!$B$4:$B$8=$C506)</f>
        <v>1</v>
      </c>
      <c r="E506" s="2" t="b">
        <v>1</v>
      </c>
      <c r="F506" s="2" t="b">
        <v>1</v>
      </c>
      <c r="G506" s="2" t="b">
        <v>1</v>
      </c>
      <c r="H506" s="2" t="b">
        <v>1</v>
      </c>
      <c r="I506" s="2" t="b">
        <v>1</v>
      </c>
      <c r="J506" s="2" t="b">
        <v>0</v>
      </c>
      <c r="K506" s="2" t="b">
        <v>0</v>
      </c>
      <c r="L506" s="2" t="b">
        <v>0</v>
      </c>
      <c r="M506" s="2" t="b">
        <v>0</v>
      </c>
      <c r="N506" s="2" t="b">
        <v>0</v>
      </c>
      <c r="O506" s="2" t="b">
        <v>0</v>
      </c>
      <c r="P506" s="68"/>
      <c r="R506" s="69"/>
      <c r="S506" s="68"/>
      <c r="U506" s="69"/>
      <c r="V506" s="68"/>
      <c r="X506" s="69"/>
      <c r="Y506" s="68"/>
      <c r="AA506" s="69"/>
      <c r="AB506" s="33">
        <f t="shared" si="14"/>
        <v>0</v>
      </c>
      <c r="AC506" s="45">
        <f>_xlfn.LET(_xlpm.ps_1,P506:R506, _xlpm.ps_2,S506:U506, _xlpm.ps_3,V506:X506, _xlpm.ps_4,Y506:AA506,
_xlpm.phase, MID(C506,SEARCH("-",C506)+1,256),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(_xlfn.XLOOKUP($C$7,site_assumptions[Details],site_assumptions[Volts])*SUMIFS(P506:AA506,_xlfn.ANCHORARRAY(D506),TRUE)/10*0.95)/1000,
IFERROR(IF(_xlpm.phase="3Phase", _xlpm.p3_calc, _xlpm.sp_calc),0))</f>
        <v>0</v>
      </c>
      <c r="AD506" s="29" t="str">
        <f ca="1"/>
        <v>Storage</v>
      </c>
      <c r="AE506" s="30" t="str">
        <f ca="1"/>
        <v>File/Block</v>
      </c>
      <c r="AF506" s="30" t="str">
        <f ca="1"/>
        <v>Live</v>
      </c>
      <c r="AG506" s="30">
        <f ca="1"/>
        <v>6</v>
      </c>
      <c r="AH506" s="31" t="str">
        <f ca="1"/>
        <v>Unknown</v>
      </c>
      <c r="AI506" s="49">
        <f t="shared" ca="1" si="15"/>
        <v>0</v>
      </c>
      <c r="AJ506" s="71">
        <f ca="1"/>
        <v>0</v>
      </c>
    </row>
    <row r="507" spans="2:36" x14ac:dyDescent="0.25">
      <c r="B507" s="29" t="str">
        <f ca="1"/>
        <v>dal10.sr01.rk497</v>
      </c>
      <c r="C507" s="10" t="s">
        <v>2070</v>
      </c>
      <c r="D507" s="2" t="b" cm="1">
        <f t="array" ref="D507:O507">_xlfn._xlws.FILTER(IF(ancillary!$E$4:$P$8="",FALSE,ancillary!$E$4:$P$8),ancillary!$B$4:$B$8=$C507)</f>
        <v>1</v>
      </c>
      <c r="E507" s="2" t="b">
        <v>1</v>
      </c>
      <c r="F507" s="2" t="b">
        <v>1</v>
      </c>
      <c r="G507" s="2" t="b">
        <v>1</v>
      </c>
      <c r="H507" s="2" t="b">
        <v>1</v>
      </c>
      <c r="I507" s="2" t="b">
        <v>1</v>
      </c>
      <c r="J507" s="2" t="b">
        <v>0</v>
      </c>
      <c r="K507" s="2" t="b">
        <v>0</v>
      </c>
      <c r="L507" s="2" t="b">
        <v>0</v>
      </c>
      <c r="M507" s="2" t="b">
        <v>0</v>
      </c>
      <c r="N507" s="2" t="b">
        <v>0</v>
      </c>
      <c r="O507" s="2" t="b">
        <v>0</v>
      </c>
      <c r="P507" s="68"/>
      <c r="R507" s="69"/>
      <c r="S507" s="68"/>
      <c r="U507" s="69"/>
      <c r="V507" s="68"/>
      <c r="X507" s="69"/>
      <c r="Y507" s="68"/>
      <c r="AA507" s="69"/>
      <c r="AB507" s="33">
        <f t="shared" si="14"/>
        <v>0</v>
      </c>
      <c r="AC507" s="45">
        <f>_xlfn.LET(_xlpm.ps_1,P507:R507, _xlpm.ps_2,S507:U507, _xlpm.ps_3,V507:X507, _xlpm.ps_4,Y507:AA507,
_xlpm.phase, MID(C507,SEARCH("-",C507)+1,256),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(_xlfn.XLOOKUP($C$7,site_assumptions[Details],site_assumptions[Volts])*SUMIFS(P507:AA507,_xlfn.ANCHORARRAY(D507),TRUE)/10*0.95)/1000,
IFERROR(IF(_xlpm.phase="3Phase", _xlpm.p3_calc, _xlpm.sp_calc),0))</f>
        <v>0</v>
      </c>
      <c r="AD507" s="29" t="str">
        <f ca="1"/>
        <v>Storage</v>
      </c>
      <c r="AE507" s="30" t="str">
        <f ca="1"/>
        <v>File/Block</v>
      </c>
      <c r="AF507" s="30" t="str">
        <f ca="1"/>
        <v>Live</v>
      </c>
      <c r="AG507" s="30">
        <f ca="1"/>
        <v>6</v>
      </c>
      <c r="AH507" s="31" t="str">
        <f ca="1"/>
        <v>Unknown</v>
      </c>
      <c r="AI507" s="49">
        <f t="shared" ca="1" si="15"/>
        <v>0</v>
      </c>
      <c r="AJ507" s="71">
        <f ca="1"/>
        <v>0</v>
      </c>
    </row>
    <row r="508" spans="2:36" x14ac:dyDescent="0.25">
      <c r="B508" s="29" t="str">
        <f ca="1"/>
        <v>dal10.sr01.rk498</v>
      </c>
      <c r="C508" s="10" t="s">
        <v>2070</v>
      </c>
      <c r="D508" s="2" t="b" cm="1">
        <f t="array" ref="D508:O508">_xlfn._xlws.FILTER(IF(ancillary!$E$4:$P$8="",FALSE,ancillary!$E$4:$P$8),ancillary!$B$4:$B$8=$C508)</f>
        <v>1</v>
      </c>
      <c r="E508" s="2" t="b">
        <v>1</v>
      </c>
      <c r="F508" s="2" t="b">
        <v>1</v>
      </c>
      <c r="G508" s="2" t="b">
        <v>1</v>
      </c>
      <c r="H508" s="2" t="b">
        <v>1</v>
      </c>
      <c r="I508" s="2" t="b">
        <v>1</v>
      </c>
      <c r="J508" s="2" t="b">
        <v>0</v>
      </c>
      <c r="K508" s="2" t="b">
        <v>0</v>
      </c>
      <c r="L508" s="2" t="b">
        <v>0</v>
      </c>
      <c r="M508" s="2" t="b">
        <v>0</v>
      </c>
      <c r="N508" s="2" t="b">
        <v>0</v>
      </c>
      <c r="O508" s="2" t="b">
        <v>0</v>
      </c>
      <c r="P508" s="68"/>
      <c r="R508" s="69"/>
      <c r="S508" s="68"/>
      <c r="U508" s="69"/>
      <c r="V508" s="68"/>
      <c r="X508" s="69"/>
      <c r="Y508" s="68"/>
      <c r="AA508" s="69"/>
      <c r="AB508" s="33">
        <f t="shared" si="14"/>
        <v>0</v>
      </c>
      <c r="AC508" s="45">
        <f>_xlfn.LET(_xlpm.ps_1,P508:R508, _xlpm.ps_2,S508:U508, _xlpm.ps_3,V508:X508, _xlpm.ps_4,Y508:AA508,
_xlpm.phase, MID(C508,SEARCH("-",C508)+1,256),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(_xlfn.XLOOKUP($C$7,site_assumptions[Details],site_assumptions[Volts])*SUMIFS(P508:AA508,_xlfn.ANCHORARRAY(D508),TRUE)/10*0.95)/1000,
IFERROR(IF(_xlpm.phase="3Phase", _xlpm.p3_calc, _xlpm.sp_calc),0))</f>
        <v>0</v>
      </c>
      <c r="AD508" s="29" t="str">
        <f ca="1"/>
        <v>Storage</v>
      </c>
      <c r="AE508" s="30" t="str">
        <f ca="1"/>
        <v>File/Block</v>
      </c>
      <c r="AF508" s="30" t="str">
        <f ca="1"/>
        <v>Live</v>
      </c>
      <c r="AG508" s="30">
        <f ca="1"/>
        <v>6</v>
      </c>
      <c r="AH508" s="31" t="str">
        <f ca="1"/>
        <v>Unknown</v>
      </c>
      <c r="AI508" s="49">
        <f t="shared" ca="1" si="15"/>
        <v>0</v>
      </c>
      <c r="AJ508" s="71">
        <f ca="1"/>
        <v>0</v>
      </c>
    </row>
    <row r="509" spans="2:36" x14ac:dyDescent="0.25">
      <c r="B509" s="29" t="str">
        <f ca="1"/>
        <v>dal10.sr01.rk499</v>
      </c>
      <c r="C509" s="10" t="s">
        <v>2070</v>
      </c>
      <c r="D509" s="2" t="b" cm="1">
        <f t="array" ref="D509:O509">_xlfn._xlws.FILTER(IF(ancillary!$E$4:$P$8="",FALSE,ancillary!$E$4:$P$8),ancillary!$B$4:$B$8=$C509)</f>
        <v>1</v>
      </c>
      <c r="E509" s="2" t="b">
        <v>1</v>
      </c>
      <c r="F509" s="2" t="b">
        <v>1</v>
      </c>
      <c r="G509" s="2" t="b">
        <v>1</v>
      </c>
      <c r="H509" s="2" t="b">
        <v>1</v>
      </c>
      <c r="I509" s="2" t="b">
        <v>1</v>
      </c>
      <c r="J509" s="2" t="b">
        <v>0</v>
      </c>
      <c r="K509" s="2" t="b">
        <v>0</v>
      </c>
      <c r="L509" s="2" t="b">
        <v>0</v>
      </c>
      <c r="M509" s="2" t="b">
        <v>0</v>
      </c>
      <c r="N509" s="2" t="b">
        <v>0</v>
      </c>
      <c r="O509" s="2" t="b">
        <v>0</v>
      </c>
      <c r="P509" s="68"/>
      <c r="R509" s="69"/>
      <c r="S509" s="68"/>
      <c r="U509" s="69"/>
      <c r="V509" s="68"/>
      <c r="X509" s="69"/>
      <c r="Y509" s="68"/>
      <c r="AA509" s="69"/>
      <c r="AB509" s="33">
        <f t="shared" si="14"/>
        <v>0</v>
      </c>
      <c r="AC509" s="45">
        <f>_xlfn.LET(_xlpm.ps_1,P509:R509, _xlpm.ps_2,S509:U509, _xlpm.ps_3,V509:X509, _xlpm.ps_4,Y509:AA509,
_xlpm.phase, MID(C509,SEARCH("-",C509)+1,256),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(_xlfn.XLOOKUP($C$7,site_assumptions[Details],site_assumptions[Volts])*SUMIFS(P509:AA509,_xlfn.ANCHORARRAY(D509),TRUE)/10*0.95)/1000,
IFERROR(IF(_xlpm.phase="3Phase", _xlpm.p3_calc, _xlpm.sp_calc),0))</f>
        <v>0</v>
      </c>
      <c r="AD509" s="29" t="str">
        <f ca="1"/>
        <v>Storage</v>
      </c>
      <c r="AE509" s="30" t="str">
        <f ca="1"/>
        <v>File/Block</v>
      </c>
      <c r="AF509" s="30" t="str">
        <f ca="1"/>
        <v>Live</v>
      </c>
      <c r="AG509" s="30">
        <f ca="1"/>
        <v>6</v>
      </c>
      <c r="AH509" s="31" t="str">
        <f ca="1"/>
        <v>Unknown</v>
      </c>
      <c r="AI509" s="49">
        <f t="shared" ca="1" si="15"/>
        <v>0</v>
      </c>
      <c r="AJ509" s="71">
        <f ca="1"/>
        <v>0</v>
      </c>
    </row>
    <row r="510" spans="2:36" x14ac:dyDescent="0.25">
      <c r="B510" s="29" t="str">
        <f ca="1"/>
        <v>dal10.sr01.rk500</v>
      </c>
      <c r="C510" s="10" t="s">
        <v>2070</v>
      </c>
      <c r="D510" s="2" t="b" cm="1">
        <f t="array" ref="D510:O510">_xlfn._xlws.FILTER(IF(ancillary!$E$4:$P$8="",FALSE,ancillary!$E$4:$P$8),ancillary!$B$4:$B$8=$C510)</f>
        <v>1</v>
      </c>
      <c r="E510" s="2" t="b">
        <v>1</v>
      </c>
      <c r="F510" s="2" t="b">
        <v>1</v>
      </c>
      <c r="G510" s="2" t="b">
        <v>1</v>
      </c>
      <c r="H510" s="2" t="b">
        <v>1</v>
      </c>
      <c r="I510" s="2" t="b">
        <v>1</v>
      </c>
      <c r="J510" s="2" t="b">
        <v>0</v>
      </c>
      <c r="K510" s="2" t="b">
        <v>0</v>
      </c>
      <c r="L510" s="2" t="b">
        <v>0</v>
      </c>
      <c r="M510" s="2" t="b">
        <v>0</v>
      </c>
      <c r="N510" s="2" t="b">
        <v>0</v>
      </c>
      <c r="O510" s="2" t="b">
        <v>0</v>
      </c>
      <c r="P510" s="68"/>
      <c r="R510" s="69"/>
      <c r="S510" s="68"/>
      <c r="U510" s="69"/>
      <c r="V510" s="68"/>
      <c r="X510" s="69"/>
      <c r="Y510" s="68"/>
      <c r="AA510" s="69"/>
      <c r="AB510" s="33">
        <f t="shared" si="14"/>
        <v>0</v>
      </c>
      <c r="AC510" s="45">
        <f>_xlfn.LET(_xlpm.ps_1,P510:R510, _xlpm.ps_2,S510:U510, _xlpm.ps_3,V510:X510, _xlpm.ps_4,Y510:AA510,
_xlpm.phase, MID(C510,SEARCH("-",C510)+1,256),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(_xlfn.XLOOKUP($C$7,site_assumptions[Details],site_assumptions[Volts])*SUMIFS(P510:AA510,_xlfn.ANCHORARRAY(D510),TRUE)/10*0.95)/1000,
IFERROR(IF(_xlpm.phase="3Phase", _xlpm.p3_calc, _xlpm.sp_calc),0))</f>
        <v>0</v>
      </c>
      <c r="AD510" s="29" t="str">
        <f ca="1"/>
        <v>Storage</v>
      </c>
      <c r="AE510" s="30" t="str">
        <f ca="1"/>
        <v>File/Block</v>
      </c>
      <c r="AF510" s="30" t="str">
        <f ca="1"/>
        <v>Live</v>
      </c>
      <c r="AG510" s="30">
        <f ca="1"/>
        <v>6</v>
      </c>
      <c r="AH510" s="31" t="str">
        <f ca="1"/>
        <v>Unknown</v>
      </c>
      <c r="AI510" s="49">
        <f t="shared" ca="1" si="15"/>
        <v>0</v>
      </c>
      <c r="AJ510" s="71">
        <f ca="1"/>
        <v>0</v>
      </c>
    </row>
    <row r="511" spans="2:36" x14ac:dyDescent="0.25">
      <c r="B511" s="29" t="str">
        <f ca="1"/>
        <v>dal10.sr01.rk501</v>
      </c>
      <c r="C511" s="10" t="s">
        <v>2070</v>
      </c>
      <c r="D511" s="2" t="b" cm="1">
        <f t="array" ref="D511:O511">_xlfn._xlws.FILTER(IF(ancillary!$E$4:$P$8="",FALSE,ancillary!$E$4:$P$8),ancillary!$B$4:$B$8=$C511)</f>
        <v>1</v>
      </c>
      <c r="E511" s="2" t="b">
        <v>1</v>
      </c>
      <c r="F511" s="2" t="b">
        <v>1</v>
      </c>
      <c r="G511" s="2" t="b">
        <v>1</v>
      </c>
      <c r="H511" s="2" t="b">
        <v>1</v>
      </c>
      <c r="I511" s="2" t="b">
        <v>1</v>
      </c>
      <c r="J511" s="2" t="b">
        <v>0</v>
      </c>
      <c r="K511" s="2" t="b">
        <v>0</v>
      </c>
      <c r="L511" s="2" t="b">
        <v>0</v>
      </c>
      <c r="M511" s="2" t="b">
        <v>0</v>
      </c>
      <c r="N511" s="2" t="b">
        <v>0</v>
      </c>
      <c r="O511" s="2" t="b">
        <v>0</v>
      </c>
      <c r="P511" s="68"/>
      <c r="R511" s="69"/>
      <c r="S511" s="68"/>
      <c r="U511" s="69"/>
      <c r="V511" s="68"/>
      <c r="X511" s="69"/>
      <c r="Y511" s="68"/>
      <c r="AA511" s="69"/>
      <c r="AB511" s="33">
        <f t="shared" si="14"/>
        <v>0</v>
      </c>
      <c r="AC511" s="45">
        <f>_xlfn.LET(_xlpm.ps_1,P511:R511, _xlpm.ps_2,S511:U511, _xlpm.ps_3,V511:X511, _xlpm.ps_4,Y511:AA511,
_xlpm.phase, MID(C511,SEARCH("-",C511)+1,256),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(_xlfn.XLOOKUP($C$7,site_assumptions[Details],site_assumptions[Volts])*SUMIFS(P511:AA511,_xlfn.ANCHORARRAY(D511),TRUE)/10*0.95)/1000,
IFERROR(IF(_xlpm.phase="3Phase", _xlpm.p3_calc, _xlpm.sp_calc),0))</f>
        <v>0</v>
      </c>
      <c r="AD511" s="29" t="str">
        <f ca="1"/>
        <v>Storage</v>
      </c>
      <c r="AE511" s="30" t="str">
        <f ca="1"/>
        <v>File/Block</v>
      </c>
      <c r="AF511" s="30" t="str">
        <f ca="1"/>
        <v>Live</v>
      </c>
      <c r="AG511" s="30">
        <f ca="1"/>
        <v>6</v>
      </c>
      <c r="AH511" s="31" t="str">
        <f ca="1"/>
        <v>Unknown</v>
      </c>
      <c r="AI511" s="49">
        <f t="shared" ca="1" si="15"/>
        <v>0</v>
      </c>
      <c r="AJ511" s="71">
        <f ca="1"/>
        <v>0</v>
      </c>
    </row>
    <row r="512" spans="2:36" x14ac:dyDescent="0.25">
      <c r="B512" s="29" t="str">
        <f ca="1"/>
        <v>dal10.sr01.rk502</v>
      </c>
      <c r="C512" s="10" t="s">
        <v>2070</v>
      </c>
      <c r="D512" s="2" t="b" cm="1">
        <f t="array" ref="D512:O512">_xlfn._xlws.FILTER(IF(ancillary!$E$4:$P$8="",FALSE,ancillary!$E$4:$P$8),ancillary!$B$4:$B$8=$C512)</f>
        <v>1</v>
      </c>
      <c r="E512" s="2" t="b">
        <v>1</v>
      </c>
      <c r="F512" s="2" t="b">
        <v>1</v>
      </c>
      <c r="G512" s="2" t="b">
        <v>1</v>
      </c>
      <c r="H512" s="2" t="b">
        <v>1</v>
      </c>
      <c r="I512" s="2" t="b">
        <v>1</v>
      </c>
      <c r="J512" s="2" t="b">
        <v>0</v>
      </c>
      <c r="K512" s="2" t="b">
        <v>0</v>
      </c>
      <c r="L512" s="2" t="b">
        <v>0</v>
      </c>
      <c r="M512" s="2" t="b">
        <v>0</v>
      </c>
      <c r="N512" s="2" t="b">
        <v>0</v>
      </c>
      <c r="O512" s="2" t="b">
        <v>0</v>
      </c>
      <c r="P512" s="68"/>
      <c r="R512" s="69"/>
      <c r="S512" s="68"/>
      <c r="U512" s="69"/>
      <c r="V512" s="68"/>
      <c r="X512" s="69"/>
      <c r="Y512" s="68"/>
      <c r="AA512" s="69"/>
      <c r="AB512" s="33">
        <f t="shared" si="14"/>
        <v>0</v>
      </c>
      <c r="AC512" s="45">
        <f>_xlfn.LET(_xlpm.ps_1,P512:R512, _xlpm.ps_2,S512:U512, _xlpm.ps_3,V512:X512, _xlpm.ps_4,Y512:AA512,
_xlpm.phase, MID(C512,SEARCH("-",C512)+1,256),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(_xlfn.XLOOKUP($C$7,site_assumptions[Details],site_assumptions[Volts])*SUMIFS(P512:AA512,_xlfn.ANCHORARRAY(D512),TRUE)/10*0.95)/1000,
IFERROR(IF(_xlpm.phase="3Phase", _xlpm.p3_calc, _xlpm.sp_calc),0))</f>
        <v>0</v>
      </c>
      <c r="AD512" s="29" t="str">
        <f ca="1"/>
        <v>Storage</v>
      </c>
      <c r="AE512" s="30" t="str">
        <f ca="1"/>
        <v>File/Block</v>
      </c>
      <c r="AF512" s="30" t="str">
        <f ca="1"/>
        <v>Live</v>
      </c>
      <c r="AG512" s="30">
        <f ca="1"/>
        <v>6</v>
      </c>
      <c r="AH512" s="31" t="str">
        <f ca="1"/>
        <v>Unknown</v>
      </c>
      <c r="AI512" s="49">
        <f t="shared" ca="1" si="15"/>
        <v>0</v>
      </c>
      <c r="AJ512" s="71">
        <f ca="1"/>
        <v>0</v>
      </c>
    </row>
    <row r="513" spans="2:36" x14ac:dyDescent="0.25">
      <c r="B513" s="29" t="str">
        <f ca="1"/>
        <v>dal10.sr01.rk503</v>
      </c>
      <c r="C513" s="10" t="s">
        <v>2070</v>
      </c>
      <c r="D513" s="2" t="b" cm="1">
        <f t="array" ref="D513:O513">_xlfn._xlws.FILTER(IF(ancillary!$E$4:$P$8="",FALSE,ancillary!$E$4:$P$8),ancillary!$B$4:$B$8=$C513)</f>
        <v>1</v>
      </c>
      <c r="E513" s="2" t="b">
        <v>1</v>
      </c>
      <c r="F513" s="2" t="b">
        <v>1</v>
      </c>
      <c r="G513" s="2" t="b">
        <v>1</v>
      </c>
      <c r="H513" s="2" t="b">
        <v>1</v>
      </c>
      <c r="I513" s="2" t="b">
        <v>1</v>
      </c>
      <c r="J513" s="2" t="b">
        <v>0</v>
      </c>
      <c r="K513" s="2" t="b">
        <v>0</v>
      </c>
      <c r="L513" s="2" t="b">
        <v>0</v>
      </c>
      <c r="M513" s="2" t="b">
        <v>0</v>
      </c>
      <c r="N513" s="2" t="b">
        <v>0</v>
      </c>
      <c r="O513" s="2" t="b">
        <v>0</v>
      </c>
      <c r="P513" s="68"/>
      <c r="R513" s="69"/>
      <c r="S513" s="68"/>
      <c r="U513" s="69"/>
      <c r="V513" s="68"/>
      <c r="X513" s="69"/>
      <c r="Y513" s="68"/>
      <c r="AA513" s="69"/>
      <c r="AB513" s="33">
        <f t="shared" si="14"/>
        <v>0</v>
      </c>
      <c r="AC513" s="45">
        <f>_xlfn.LET(_xlpm.ps_1,P513:R513, _xlpm.ps_2,S513:U513, _xlpm.ps_3,V513:X513, _xlpm.ps_4,Y513:AA513,
_xlpm.phase, MID(C513,SEARCH("-",C513)+1,256),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(_xlfn.XLOOKUP($C$7,site_assumptions[Details],site_assumptions[Volts])*SUMIFS(P513:AA513,_xlfn.ANCHORARRAY(D513),TRUE)/10*0.95)/1000,
IFERROR(IF(_xlpm.phase="3Phase", _xlpm.p3_calc, _xlpm.sp_calc),0))</f>
        <v>0</v>
      </c>
      <c r="AD513" s="29" t="str">
        <f ca="1"/>
        <v>Storage</v>
      </c>
      <c r="AE513" s="30" t="str">
        <f ca="1"/>
        <v>File/Block</v>
      </c>
      <c r="AF513" s="30" t="str">
        <f ca="1"/>
        <v>Live</v>
      </c>
      <c r="AG513" s="30">
        <f ca="1"/>
        <v>6</v>
      </c>
      <c r="AH513" s="31" t="str">
        <f ca="1"/>
        <v>Unknown</v>
      </c>
      <c r="AI513" s="49">
        <f t="shared" ca="1" si="15"/>
        <v>0</v>
      </c>
      <c r="AJ513" s="71">
        <f ca="1"/>
        <v>0</v>
      </c>
    </row>
    <row r="514" spans="2:36" x14ac:dyDescent="0.25">
      <c r="B514" s="29" t="str">
        <f ca="1"/>
        <v>dal10.sr01.rk504</v>
      </c>
      <c r="C514" s="10" t="s">
        <v>2070</v>
      </c>
      <c r="D514" s="2" t="b" cm="1">
        <f t="array" ref="D514:O514">_xlfn._xlws.FILTER(IF(ancillary!$E$4:$P$8="",FALSE,ancillary!$E$4:$P$8),ancillary!$B$4:$B$8=$C514)</f>
        <v>1</v>
      </c>
      <c r="E514" s="2" t="b">
        <v>1</v>
      </c>
      <c r="F514" s="2" t="b">
        <v>1</v>
      </c>
      <c r="G514" s="2" t="b">
        <v>1</v>
      </c>
      <c r="H514" s="2" t="b">
        <v>1</v>
      </c>
      <c r="I514" s="2" t="b">
        <v>1</v>
      </c>
      <c r="J514" s="2" t="b">
        <v>0</v>
      </c>
      <c r="K514" s="2" t="b">
        <v>0</v>
      </c>
      <c r="L514" s="2" t="b">
        <v>0</v>
      </c>
      <c r="M514" s="2" t="b">
        <v>0</v>
      </c>
      <c r="N514" s="2" t="b">
        <v>0</v>
      </c>
      <c r="O514" s="2" t="b">
        <v>0</v>
      </c>
      <c r="P514" s="68"/>
      <c r="R514" s="69"/>
      <c r="S514" s="68"/>
      <c r="U514" s="69"/>
      <c r="V514" s="68"/>
      <c r="X514" s="69"/>
      <c r="Y514" s="68"/>
      <c r="AA514" s="69"/>
      <c r="AB514" s="33">
        <f t="shared" si="14"/>
        <v>0</v>
      </c>
      <c r="AC514" s="45">
        <f>_xlfn.LET(_xlpm.ps_1,P514:R514, _xlpm.ps_2,S514:U514, _xlpm.ps_3,V514:X514, _xlpm.ps_4,Y514:AA514,
_xlpm.phase, MID(C514,SEARCH("-",C514)+1,256),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(_xlfn.XLOOKUP($C$7,site_assumptions[Details],site_assumptions[Volts])*SUMIFS(P514:AA514,_xlfn.ANCHORARRAY(D514),TRUE)/10*0.95)/1000,
IFERROR(IF(_xlpm.phase="3Phase", _xlpm.p3_calc, _xlpm.sp_calc),0))</f>
        <v>0</v>
      </c>
      <c r="AD514" s="29" t="str">
        <f ca="1"/>
        <v>Storage</v>
      </c>
      <c r="AE514" s="30" t="str">
        <f ca="1"/>
        <v>File/Block</v>
      </c>
      <c r="AF514" s="30" t="str">
        <f ca="1"/>
        <v>Live</v>
      </c>
      <c r="AG514" s="30">
        <f ca="1"/>
        <v>6</v>
      </c>
      <c r="AH514" s="31" t="str">
        <f ca="1"/>
        <v>Unknown</v>
      </c>
      <c r="AI514" s="49">
        <f t="shared" ca="1" si="15"/>
        <v>0</v>
      </c>
      <c r="AJ514" s="71">
        <f ca="1"/>
        <v>0</v>
      </c>
    </row>
    <row r="515" spans="2:36" x14ac:dyDescent="0.25">
      <c r="B515" s="29" t="str">
        <f ca="1"/>
        <v>dal10.sr01.rk505</v>
      </c>
      <c r="C515" s="10" t="s">
        <v>2070</v>
      </c>
      <c r="D515" s="2" t="b" cm="1">
        <f t="array" ref="D515:O515">_xlfn._xlws.FILTER(IF(ancillary!$E$4:$P$8="",FALSE,ancillary!$E$4:$P$8),ancillary!$B$4:$B$8=$C515)</f>
        <v>1</v>
      </c>
      <c r="E515" s="2" t="b">
        <v>1</v>
      </c>
      <c r="F515" s="2" t="b">
        <v>1</v>
      </c>
      <c r="G515" s="2" t="b">
        <v>1</v>
      </c>
      <c r="H515" s="2" t="b">
        <v>1</v>
      </c>
      <c r="I515" s="2" t="b">
        <v>1</v>
      </c>
      <c r="J515" s="2" t="b">
        <v>0</v>
      </c>
      <c r="K515" s="2" t="b">
        <v>0</v>
      </c>
      <c r="L515" s="2" t="b">
        <v>0</v>
      </c>
      <c r="M515" s="2" t="b">
        <v>0</v>
      </c>
      <c r="N515" s="2" t="b">
        <v>0</v>
      </c>
      <c r="O515" s="2" t="b">
        <v>0</v>
      </c>
      <c r="P515" s="68"/>
      <c r="R515" s="69"/>
      <c r="S515" s="68"/>
      <c r="U515" s="69"/>
      <c r="V515" s="68"/>
      <c r="X515" s="69"/>
      <c r="Y515" s="68"/>
      <c r="AA515" s="69"/>
      <c r="AB515" s="33">
        <f t="shared" si="14"/>
        <v>0</v>
      </c>
      <c r="AC515" s="45">
        <f>_xlfn.LET(_xlpm.ps_1,P515:R515, _xlpm.ps_2,S515:U515, _xlpm.ps_3,V515:X515, _xlpm.ps_4,Y515:AA515,
_xlpm.phase, MID(C515,SEARCH("-",C515)+1,256),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(_xlfn.XLOOKUP($C$7,site_assumptions[Details],site_assumptions[Volts])*SUMIFS(P515:AA515,_xlfn.ANCHORARRAY(D515),TRUE)/10*0.95)/1000,
IFERROR(IF(_xlpm.phase="3Phase", _xlpm.p3_calc, _xlpm.sp_calc),0))</f>
        <v>0</v>
      </c>
      <c r="AD515" s="29" t="str">
        <f ca="1"/>
        <v>Storage</v>
      </c>
      <c r="AE515" s="30" t="str">
        <f ca="1"/>
        <v>File/Block</v>
      </c>
      <c r="AF515" s="30" t="str">
        <f ca="1"/>
        <v>Live</v>
      </c>
      <c r="AG515" s="30">
        <f ca="1"/>
        <v>6</v>
      </c>
      <c r="AH515" s="31" t="str">
        <f ca="1"/>
        <v>Unknown</v>
      </c>
      <c r="AI515" s="49">
        <f t="shared" ca="1" si="15"/>
        <v>0</v>
      </c>
      <c r="AJ515" s="71">
        <f ca="1"/>
        <v>0</v>
      </c>
    </row>
    <row r="516" spans="2:36" x14ac:dyDescent="0.25">
      <c r="B516" s="29" t="str">
        <f ca="1"/>
        <v>dal10.sr01.rk506</v>
      </c>
      <c r="C516" s="10" t="s">
        <v>2070</v>
      </c>
      <c r="D516" s="2" t="b" cm="1">
        <f t="array" ref="D516:O516">_xlfn._xlws.FILTER(IF(ancillary!$E$4:$P$8="",FALSE,ancillary!$E$4:$P$8),ancillary!$B$4:$B$8=$C516)</f>
        <v>1</v>
      </c>
      <c r="E516" s="2" t="b">
        <v>1</v>
      </c>
      <c r="F516" s="2" t="b">
        <v>1</v>
      </c>
      <c r="G516" s="2" t="b">
        <v>1</v>
      </c>
      <c r="H516" s="2" t="b">
        <v>1</v>
      </c>
      <c r="I516" s="2" t="b">
        <v>1</v>
      </c>
      <c r="J516" s="2" t="b">
        <v>0</v>
      </c>
      <c r="K516" s="2" t="b">
        <v>0</v>
      </c>
      <c r="L516" s="2" t="b">
        <v>0</v>
      </c>
      <c r="M516" s="2" t="b">
        <v>0</v>
      </c>
      <c r="N516" s="2" t="b">
        <v>0</v>
      </c>
      <c r="O516" s="2" t="b">
        <v>0</v>
      </c>
      <c r="P516" s="68"/>
      <c r="R516" s="69"/>
      <c r="S516" s="68"/>
      <c r="U516" s="69"/>
      <c r="V516" s="68"/>
      <c r="X516" s="69"/>
      <c r="Y516" s="68"/>
      <c r="AA516" s="69"/>
      <c r="AB516" s="33">
        <f t="shared" si="14"/>
        <v>0</v>
      </c>
      <c r="AC516" s="45">
        <f>_xlfn.LET(_xlpm.ps_1,P516:R516, _xlpm.ps_2,S516:U516, _xlpm.ps_3,V516:X516, _xlpm.ps_4,Y516:AA516,
_xlpm.phase, MID(C516,SEARCH("-",C516)+1,256),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(_xlfn.XLOOKUP($C$7,site_assumptions[Details],site_assumptions[Volts])*SUMIFS(P516:AA516,_xlfn.ANCHORARRAY(D516),TRUE)/10*0.95)/1000,
IFERROR(IF(_xlpm.phase="3Phase", _xlpm.p3_calc, _xlpm.sp_calc),0))</f>
        <v>0</v>
      </c>
      <c r="AD516" s="29" t="str">
        <f ca="1"/>
        <v>Storage</v>
      </c>
      <c r="AE516" s="30" t="str">
        <f ca="1"/>
        <v>File/Block</v>
      </c>
      <c r="AF516" s="30" t="str">
        <f ca="1"/>
        <v>Live</v>
      </c>
      <c r="AG516" s="30">
        <f ca="1"/>
        <v>6</v>
      </c>
      <c r="AH516" s="31" t="str">
        <f ca="1"/>
        <v>Unknown</v>
      </c>
      <c r="AI516" s="49">
        <f t="shared" ca="1" si="15"/>
        <v>0</v>
      </c>
      <c r="AJ516" s="71">
        <f ca="1"/>
        <v>0</v>
      </c>
    </row>
    <row r="517" spans="2:36" x14ac:dyDescent="0.25">
      <c r="B517" s="29" t="str">
        <f ca="1"/>
        <v>dal10.sr01.rk507</v>
      </c>
      <c r="C517" s="10" t="s">
        <v>2070</v>
      </c>
      <c r="D517" s="2" t="b" cm="1">
        <f t="array" ref="D517:O517">_xlfn._xlws.FILTER(IF(ancillary!$E$4:$P$8="",FALSE,ancillary!$E$4:$P$8),ancillary!$B$4:$B$8=$C517)</f>
        <v>1</v>
      </c>
      <c r="E517" s="2" t="b">
        <v>1</v>
      </c>
      <c r="F517" s="2" t="b">
        <v>1</v>
      </c>
      <c r="G517" s="2" t="b">
        <v>1</v>
      </c>
      <c r="H517" s="2" t="b">
        <v>1</v>
      </c>
      <c r="I517" s="2" t="b">
        <v>1</v>
      </c>
      <c r="J517" s="2" t="b">
        <v>0</v>
      </c>
      <c r="K517" s="2" t="b">
        <v>0</v>
      </c>
      <c r="L517" s="2" t="b">
        <v>0</v>
      </c>
      <c r="M517" s="2" t="b">
        <v>0</v>
      </c>
      <c r="N517" s="2" t="b">
        <v>0</v>
      </c>
      <c r="O517" s="2" t="b">
        <v>0</v>
      </c>
      <c r="P517" s="68"/>
      <c r="R517" s="69"/>
      <c r="S517" s="68"/>
      <c r="U517" s="69"/>
      <c r="V517" s="68"/>
      <c r="X517" s="69"/>
      <c r="Y517" s="68"/>
      <c r="AA517" s="69"/>
      <c r="AB517" s="33">
        <f t="shared" si="14"/>
        <v>0</v>
      </c>
      <c r="AC517" s="45">
        <f>_xlfn.LET(_xlpm.ps_1,P517:R517, _xlpm.ps_2,S517:U517, _xlpm.ps_3,V517:X517, _xlpm.ps_4,Y517:AA517,
_xlpm.phase, MID(C517,SEARCH("-",C517)+1,256),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(_xlfn.XLOOKUP($C$7,site_assumptions[Details],site_assumptions[Volts])*SUMIFS(P517:AA517,_xlfn.ANCHORARRAY(D517),TRUE)/10*0.95)/1000,
IFERROR(IF(_xlpm.phase="3Phase", _xlpm.p3_calc, _xlpm.sp_calc),0))</f>
        <v>0</v>
      </c>
      <c r="AD517" s="29" t="str">
        <f ca="1"/>
        <v>Bare Metal</v>
      </c>
      <c r="AE517" s="30" t="str">
        <f ca="1"/>
        <v>Bare Metal</v>
      </c>
      <c r="AF517" s="30" t="str">
        <f ca="1"/>
        <v>Live</v>
      </c>
      <c r="AG517" s="30">
        <f ca="1"/>
        <v>6</v>
      </c>
      <c r="AH517" s="31" t="str">
        <f ca="1"/>
        <v>Unknown</v>
      </c>
      <c r="AI517" s="49">
        <f t="shared" ca="1" si="15"/>
        <v>0</v>
      </c>
      <c r="AJ517" s="71">
        <f ca="1"/>
        <v>2.9039999999999999</v>
      </c>
    </row>
    <row r="518" spans="2:36" x14ac:dyDescent="0.25">
      <c r="B518" s="29" t="str">
        <f ca="1"/>
        <v>dal10.sr01.rk508</v>
      </c>
      <c r="C518" s="10" t="s">
        <v>2070</v>
      </c>
      <c r="D518" s="2" t="b" cm="1">
        <f t="array" ref="D518:O518">_xlfn._xlws.FILTER(IF(ancillary!$E$4:$P$8="",FALSE,ancillary!$E$4:$P$8),ancillary!$B$4:$B$8=$C518)</f>
        <v>1</v>
      </c>
      <c r="E518" s="2" t="b">
        <v>1</v>
      </c>
      <c r="F518" s="2" t="b">
        <v>1</v>
      </c>
      <c r="G518" s="2" t="b">
        <v>1</v>
      </c>
      <c r="H518" s="2" t="b">
        <v>1</v>
      </c>
      <c r="I518" s="2" t="b">
        <v>1</v>
      </c>
      <c r="J518" s="2" t="b">
        <v>0</v>
      </c>
      <c r="K518" s="2" t="b">
        <v>0</v>
      </c>
      <c r="L518" s="2" t="b">
        <v>0</v>
      </c>
      <c r="M518" s="2" t="b">
        <v>0</v>
      </c>
      <c r="N518" s="2" t="b">
        <v>0</v>
      </c>
      <c r="O518" s="2" t="b">
        <v>0</v>
      </c>
      <c r="P518" s="68"/>
      <c r="R518" s="69"/>
      <c r="S518" s="68"/>
      <c r="U518" s="69"/>
      <c r="V518" s="68"/>
      <c r="X518" s="69"/>
      <c r="Y518" s="68"/>
      <c r="AA518" s="69"/>
      <c r="AB518" s="33">
        <f t="shared" si="14"/>
        <v>0</v>
      </c>
      <c r="AC518" s="45">
        <f>_xlfn.LET(_xlpm.ps_1,P518:R518, _xlpm.ps_2,S518:U518, _xlpm.ps_3,V518:X518, _xlpm.ps_4,Y518:AA518,
_xlpm.phase, MID(C518,SEARCH("-",C518)+1,256),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(_xlfn.XLOOKUP($C$7,site_assumptions[Details],site_assumptions[Volts])*SUMIFS(P518:AA518,_xlfn.ANCHORARRAY(D518),TRUE)/10*0.95)/1000,
IFERROR(IF(_xlpm.phase="3Phase", _xlpm.p3_calc, _xlpm.sp_calc),0))</f>
        <v>0</v>
      </c>
      <c r="AD518" s="29" t="str">
        <f ca="1"/>
        <v>Bare Metal</v>
      </c>
      <c r="AE518" s="30" t="str">
        <f ca="1"/>
        <v>Bare Metal</v>
      </c>
      <c r="AF518" s="30" t="str">
        <f ca="1"/>
        <v>Live</v>
      </c>
      <c r="AG518" s="30">
        <f ca="1"/>
        <v>6</v>
      </c>
      <c r="AH518" s="31" t="str">
        <f ca="1"/>
        <v>Unknown</v>
      </c>
      <c r="AI518" s="49">
        <f t="shared" ca="1" si="15"/>
        <v>0</v>
      </c>
      <c r="AJ518" s="71">
        <f ca="1"/>
        <v>2.6739999999999999</v>
      </c>
    </row>
    <row r="519" spans="2:36" x14ac:dyDescent="0.25">
      <c r="B519" s="29" t="str">
        <f ca="1"/>
        <v>dal10.sr01.rk509</v>
      </c>
      <c r="C519" s="10" t="s">
        <v>2070</v>
      </c>
      <c r="D519" s="2" t="b" cm="1">
        <f t="array" ref="D519:O519">_xlfn._xlws.FILTER(IF(ancillary!$E$4:$P$8="",FALSE,ancillary!$E$4:$P$8),ancillary!$B$4:$B$8=$C519)</f>
        <v>1</v>
      </c>
      <c r="E519" s="2" t="b">
        <v>1</v>
      </c>
      <c r="F519" s="2" t="b">
        <v>1</v>
      </c>
      <c r="G519" s="2" t="b">
        <v>1</v>
      </c>
      <c r="H519" s="2" t="b">
        <v>1</v>
      </c>
      <c r="I519" s="2" t="b">
        <v>1</v>
      </c>
      <c r="J519" s="2" t="b">
        <v>0</v>
      </c>
      <c r="K519" s="2" t="b">
        <v>0</v>
      </c>
      <c r="L519" s="2" t="b">
        <v>0</v>
      </c>
      <c r="M519" s="2" t="b">
        <v>0</v>
      </c>
      <c r="N519" s="2" t="b">
        <v>0</v>
      </c>
      <c r="O519" s="2" t="b">
        <v>0</v>
      </c>
      <c r="P519" s="68"/>
      <c r="R519" s="69"/>
      <c r="S519" s="68"/>
      <c r="U519" s="69"/>
      <c r="V519" s="68"/>
      <c r="X519" s="69"/>
      <c r="Y519" s="68"/>
      <c r="AA519" s="69"/>
      <c r="AB519" s="33">
        <f t="shared" si="14"/>
        <v>0</v>
      </c>
      <c r="AC519" s="45">
        <f>_xlfn.LET(_xlpm.ps_1,P519:R519, _xlpm.ps_2,S519:U519, _xlpm.ps_3,V519:X519, _xlpm.ps_4,Y519:AA519,
_xlpm.phase, MID(C519,SEARCH("-",C519)+1,256),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(_xlfn.XLOOKUP($C$7,site_assumptions[Details],site_assumptions[Volts])*SUMIFS(P519:AA519,_xlfn.ANCHORARRAY(D519),TRUE)/10*0.95)/1000,
IFERROR(IF(_xlpm.phase="3Phase", _xlpm.p3_calc, _xlpm.sp_calc),0))</f>
        <v>0</v>
      </c>
      <c r="AD519" s="29" t="str">
        <f ca="1"/>
        <v>Bare Metal</v>
      </c>
      <c r="AE519" s="30" t="str">
        <f ca="1"/>
        <v>Bare Metal</v>
      </c>
      <c r="AF519" s="30" t="str">
        <f ca="1"/>
        <v>Live</v>
      </c>
      <c r="AG519" s="30">
        <f ca="1"/>
        <v>6</v>
      </c>
      <c r="AH519" s="31" t="str">
        <f ca="1"/>
        <v>Unknown</v>
      </c>
      <c r="AI519" s="49">
        <f t="shared" ca="1" si="15"/>
        <v>0</v>
      </c>
      <c r="AJ519" s="71">
        <f ca="1"/>
        <v>2.4119999999999999</v>
      </c>
    </row>
    <row r="520" spans="2:36" x14ac:dyDescent="0.25">
      <c r="B520" s="29" t="str">
        <f ca="1"/>
        <v>dal10.sr01.rk510</v>
      </c>
      <c r="C520" s="10" t="s">
        <v>2070</v>
      </c>
      <c r="D520" s="2" t="b" cm="1">
        <f t="array" ref="D520:O520">_xlfn._xlws.FILTER(IF(ancillary!$E$4:$P$8="",FALSE,ancillary!$E$4:$P$8),ancillary!$B$4:$B$8=$C520)</f>
        <v>1</v>
      </c>
      <c r="E520" s="2" t="b">
        <v>1</v>
      </c>
      <c r="F520" s="2" t="b">
        <v>1</v>
      </c>
      <c r="G520" s="2" t="b">
        <v>1</v>
      </c>
      <c r="H520" s="2" t="b">
        <v>1</v>
      </c>
      <c r="I520" s="2" t="b">
        <v>1</v>
      </c>
      <c r="J520" s="2" t="b">
        <v>0</v>
      </c>
      <c r="K520" s="2" t="b">
        <v>0</v>
      </c>
      <c r="L520" s="2" t="b">
        <v>0</v>
      </c>
      <c r="M520" s="2" t="b">
        <v>0</v>
      </c>
      <c r="N520" s="2" t="b">
        <v>0</v>
      </c>
      <c r="O520" s="2" t="b">
        <v>0</v>
      </c>
      <c r="P520" s="68"/>
      <c r="R520" s="69"/>
      <c r="S520" s="68"/>
      <c r="U520" s="69"/>
      <c r="V520" s="68"/>
      <c r="X520" s="69"/>
      <c r="Y520" s="68"/>
      <c r="AA520" s="69"/>
      <c r="AB520" s="33">
        <f t="shared" si="14"/>
        <v>0</v>
      </c>
      <c r="AC520" s="45">
        <f>_xlfn.LET(_xlpm.ps_1,P520:R520, _xlpm.ps_2,S520:U520, _xlpm.ps_3,V520:X520, _xlpm.ps_4,Y520:AA520,
_xlpm.phase, MID(C520,SEARCH("-",C520)+1,256),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(_xlfn.XLOOKUP($C$7,site_assumptions[Details],site_assumptions[Volts])*SUMIFS(P520:AA520,_xlfn.ANCHORARRAY(D520),TRUE)/10*0.95)/1000,
IFERROR(IF(_xlpm.phase="3Phase", _xlpm.p3_calc, _xlpm.sp_calc),0))</f>
        <v>0</v>
      </c>
      <c r="AD520" s="29" t="str">
        <f ca="1"/>
        <v>Bare Metal</v>
      </c>
      <c r="AE520" s="30" t="str">
        <f ca="1"/>
        <v>Bare Metal</v>
      </c>
      <c r="AF520" s="30" t="str">
        <f ca="1"/>
        <v>Live</v>
      </c>
      <c r="AG520" s="30">
        <f ca="1"/>
        <v>6</v>
      </c>
      <c r="AH520" s="31" t="str">
        <f ca="1"/>
        <v>Unknown</v>
      </c>
      <c r="AI520" s="49">
        <f t="shared" ca="1" si="15"/>
        <v>0</v>
      </c>
      <c r="AJ520" s="71">
        <f ca="1"/>
        <v>0.80100000000000005</v>
      </c>
    </row>
    <row r="521" spans="2:36" x14ac:dyDescent="0.25">
      <c r="B521" s="29" t="str">
        <f ca="1"/>
        <v>dal10.sr01.rk511</v>
      </c>
      <c r="C521" s="10" t="s">
        <v>2070</v>
      </c>
      <c r="D521" s="2" t="b" cm="1">
        <f t="array" ref="D521:O521">_xlfn._xlws.FILTER(IF(ancillary!$E$4:$P$8="",FALSE,ancillary!$E$4:$P$8),ancillary!$B$4:$B$8=$C521)</f>
        <v>1</v>
      </c>
      <c r="E521" s="2" t="b">
        <v>1</v>
      </c>
      <c r="F521" s="2" t="b">
        <v>1</v>
      </c>
      <c r="G521" s="2" t="b">
        <v>1</v>
      </c>
      <c r="H521" s="2" t="b">
        <v>1</v>
      </c>
      <c r="I521" s="2" t="b">
        <v>1</v>
      </c>
      <c r="J521" s="2" t="b">
        <v>0</v>
      </c>
      <c r="K521" s="2" t="b">
        <v>0</v>
      </c>
      <c r="L521" s="2" t="b">
        <v>0</v>
      </c>
      <c r="M521" s="2" t="b">
        <v>0</v>
      </c>
      <c r="N521" s="2" t="b">
        <v>0</v>
      </c>
      <c r="O521" s="2" t="b">
        <v>0</v>
      </c>
      <c r="P521" s="68"/>
      <c r="R521" s="69"/>
      <c r="S521" s="68"/>
      <c r="U521" s="69"/>
      <c r="V521" s="68"/>
      <c r="X521" s="69"/>
      <c r="Y521" s="68"/>
      <c r="AA521" s="69"/>
      <c r="AB521" s="33">
        <f t="shared" si="14"/>
        <v>0</v>
      </c>
      <c r="AC521" s="45">
        <f>_xlfn.LET(_xlpm.ps_1,P521:R521, _xlpm.ps_2,S521:U521, _xlpm.ps_3,V521:X521, _xlpm.ps_4,Y521:AA521,
_xlpm.phase, MID(C521,SEARCH("-",C521)+1,256),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(_xlfn.XLOOKUP($C$7,site_assumptions[Details],site_assumptions[Volts])*SUMIFS(P521:AA521,_xlfn.ANCHORARRAY(D521),TRUE)/10*0.95)/1000,
IFERROR(IF(_xlpm.phase="3Phase", _xlpm.p3_calc, _xlpm.sp_calc),0))</f>
        <v>0</v>
      </c>
      <c r="AD521" s="29" t="str">
        <f ca="1"/>
        <v>Bare Metal</v>
      </c>
      <c r="AE521" s="30" t="str">
        <f ca="1"/>
        <v>Bare Metal</v>
      </c>
      <c r="AF521" s="30" t="str">
        <f ca="1"/>
        <v>Live</v>
      </c>
      <c r="AG521" s="30">
        <f ca="1"/>
        <v>6</v>
      </c>
      <c r="AH521" s="31" t="str">
        <f ca="1"/>
        <v>Unknown</v>
      </c>
      <c r="AI521" s="49">
        <f t="shared" ca="1" si="15"/>
        <v>0</v>
      </c>
      <c r="AJ521" s="71">
        <f ca="1"/>
        <v>2.7229999999999999</v>
      </c>
    </row>
    <row r="522" spans="2:36" x14ac:dyDescent="0.25">
      <c r="B522" s="29" t="str">
        <f ca="1"/>
        <v>dal10.sr01.rk512</v>
      </c>
      <c r="C522" s="10" t="s">
        <v>2070</v>
      </c>
      <c r="D522" s="2" t="b" cm="1">
        <f t="array" ref="D522:O522">_xlfn._xlws.FILTER(IF(ancillary!$E$4:$P$8="",FALSE,ancillary!$E$4:$P$8),ancillary!$B$4:$B$8=$C522)</f>
        <v>1</v>
      </c>
      <c r="E522" s="2" t="b">
        <v>1</v>
      </c>
      <c r="F522" s="2" t="b">
        <v>1</v>
      </c>
      <c r="G522" s="2" t="b">
        <v>1</v>
      </c>
      <c r="H522" s="2" t="b">
        <v>1</v>
      </c>
      <c r="I522" s="2" t="b">
        <v>1</v>
      </c>
      <c r="J522" s="2" t="b">
        <v>0</v>
      </c>
      <c r="K522" s="2" t="b">
        <v>0</v>
      </c>
      <c r="L522" s="2" t="b">
        <v>0</v>
      </c>
      <c r="M522" s="2" t="b">
        <v>0</v>
      </c>
      <c r="N522" s="2" t="b">
        <v>0</v>
      </c>
      <c r="O522" s="2" t="b">
        <v>0</v>
      </c>
      <c r="P522" s="68"/>
      <c r="R522" s="69"/>
      <c r="S522" s="68"/>
      <c r="U522" s="69"/>
      <c r="V522" s="68"/>
      <c r="X522" s="69"/>
      <c r="Y522" s="68"/>
      <c r="AA522" s="69"/>
      <c r="AB522" s="33">
        <f t="shared" si="14"/>
        <v>0</v>
      </c>
      <c r="AC522" s="45">
        <f>_xlfn.LET(_xlpm.ps_1,P522:R522, _xlpm.ps_2,S522:U522, _xlpm.ps_3,V522:X522, _xlpm.ps_4,Y522:AA522,
_xlpm.phase, MID(C522,SEARCH("-",C522)+1,256),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(_xlfn.XLOOKUP($C$7,site_assumptions[Details],site_assumptions[Volts])*SUMIFS(P522:AA522,_xlfn.ANCHORARRAY(D522),TRUE)/10*0.95)/1000,
IFERROR(IF(_xlpm.phase="3Phase", _xlpm.p3_calc, _xlpm.sp_calc),0))</f>
        <v>0</v>
      </c>
      <c r="AD522" s="29" t="str">
        <f ca="1"/>
        <v>Network</v>
      </c>
      <c r="AE522" s="30" t="str">
        <f ca="1"/>
        <v>Aggregate</v>
      </c>
      <c r="AF522" s="30" t="str">
        <f ca="1"/>
        <v>Live</v>
      </c>
      <c r="AG522" s="30">
        <f ca="1"/>
        <v>5</v>
      </c>
      <c r="AH522" s="31" t="str">
        <f ca="1"/>
        <v>Unknown</v>
      </c>
      <c r="AI522" s="49">
        <f t="shared" ca="1" si="15"/>
        <v>0</v>
      </c>
      <c r="AJ522" s="71">
        <f ca="1"/>
        <v>0</v>
      </c>
    </row>
    <row r="523" spans="2:36" x14ac:dyDescent="0.25">
      <c r="B523" s="29" t="str">
        <f ca="1"/>
        <v>dal10.sr01.rk513</v>
      </c>
      <c r="C523" s="10" t="s">
        <v>2070</v>
      </c>
      <c r="D523" s="2" t="b" cm="1">
        <f t="array" ref="D523:O523">_xlfn._xlws.FILTER(IF(ancillary!$E$4:$P$8="",FALSE,ancillary!$E$4:$P$8),ancillary!$B$4:$B$8=$C523)</f>
        <v>1</v>
      </c>
      <c r="E523" s="2" t="b">
        <v>1</v>
      </c>
      <c r="F523" s="2" t="b">
        <v>1</v>
      </c>
      <c r="G523" s="2" t="b">
        <v>1</v>
      </c>
      <c r="H523" s="2" t="b">
        <v>1</v>
      </c>
      <c r="I523" s="2" t="b">
        <v>1</v>
      </c>
      <c r="J523" s="2" t="b">
        <v>0</v>
      </c>
      <c r="K523" s="2" t="b">
        <v>0</v>
      </c>
      <c r="L523" s="2" t="b">
        <v>0</v>
      </c>
      <c r="M523" s="2" t="b">
        <v>0</v>
      </c>
      <c r="N523" s="2" t="b">
        <v>0</v>
      </c>
      <c r="O523" s="2" t="b">
        <v>0</v>
      </c>
      <c r="P523" s="68"/>
      <c r="R523" s="69"/>
      <c r="S523" s="68"/>
      <c r="U523" s="69"/>
      <c r="V523" s="68"/>
      <c r="X523" s="69"/>
      <c r="Y523" s="68"/>
      <c r="AA523" s="69"/>
      <c r="AB523" s="33">
        <f t="shared" si="14"/>
        <v>0</v>
      </c>
      <c r="AC523" s="45">
        <f>_xlfn.LET(_xlpm.ps_1,P523:R523, _xlpm.ps_2,S523:U523, _xlpm.ps_3,V523:X523, _xlpm.ps_4,Y523:AA523,
_xlpm.phase, MID(C523,SEARCH("-",C523)+1,256),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(_xlfn.XLOOKUP($C$7,site_assumptions[Details],site_assumptions[Volts])*SUMIFS(P523:AA523,_xlfn.ANCHORARRAY(D523),TRUE)/10*0.95)/1000,
IFERROR(IF(_xlpm.phase="3Phase", _xlpm.p3_calc, _xlpm.sp_calc),0))</f>
        <v>0</v>
      </c>
      <c r="AD523" s="29" t="str">
        <f ca="1"/>
        <v>Bare Metal</v>
      </c>
      <c r="AE523" s="30" t="str">
        <f ca="1"/>
        <v>Bare Metal</v>
      </c>
      <c r="AF523" s="30" t="str">
        <f ca="1"/>
        <v>Live</v>
      </c>
      <c r="AG523" s="30">
        <f ca="1"/>
        <v>6</v>
      </c>
      <c r="AH523" s="31" t="str">
        <f ca="1"/>
        <v>Unknown</v>
      </c>
      <c r="AI523" s="49">
        <f t="shared" ca="1" si="15"/>
        <v>0</v>
      </c>
      <c r="AJ523" s="71">
        <f ca="1"/>
        <v>3.2069999999999999</v>
      </c>
    </row>
    <row r="524" spans="2:36" x14ac:dyDescent="0.25">
      <c r="B524" s="29" t="str">
        <f ca="1"/>
        <v>dal10.sr01.rk514</v>
      </c>
      <c r="C524" s="10" t="s">
        <v>2070</v>
      </c>
      <c r="D524" s="2" t="b" cm="1">
        <f t="array" ref="D524:O524">_xlfn._xlws.FILTER(IF(ancillary!$E$4:$P$8="",FALSE,ancillary!$E$4:$P$8),ancillary!$B$4:$B$8=$C524)</f>
        <v>1</v>
      </c>
      <c r="E524" s="2" t="b">
        <v>1</v>
      </c>
      <c r="F524" s="2" t="b">
        <v>1</v>
      </c>
      <c r="G524" s="2" t="b">
        <v>1</v>
      </c>
      <c r="H524" s="2" t="b">
        <v>1</v>
      </c>
      <c r="I524" s="2" t="b">
        <v>1</v>
      </c>
      <c r="J524" s="2" t="b">
        <v>0</v>
      </c>
      <c r="K524" s="2" t="b">
        <v>0</v>
      </c>
      <c r="L524" s="2" t="b">
        <v>0</v>
      </c>
      <c r="M524" s="2" t="b">
        <v>0</v>
      </c>
      <c r="N524" s="2" t="b">
        <v>0</v>
      </c>
      <c r="O524" s="2" t="b">
        <v>0</v>
      </c>
      <c r="P524" s="68"/>
      <c r="R524" s="69"/>
      <c r="S524" s="68"/>
      <c r="U524" s="69"/>
      <c r="V524" s="68"/>
      <c r="X524" s="69"/>
      <c r="Y524" s="68"/>
      <c r="AA524" s="69"/>
      <c r="AB524" s="33">
        <f t="shared" si="14"/>
        <v>0</v>
      </c>
      <c r="AC524" s="45">
        <f>_xlfn.LET(_xlpm.ps_1,P524:R524, _xlpm.ps_2,S524:U524, _xlpm.ps_3,V524:X524, _xlpm.ps_4,Y524:AA524,
_xlpm.phase, MID(C524,SEARCH("-",C524)+1,256),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(_xlfn.XLOOKUP($C$7,site_assumptions[Details],site_assumptions[Volts])*SUMIFS(P524:AA524,_xlfn.ANCHORARRAY(D524),TRUE)/10*0.95)/1000,
IFERROR(IF(_xlpm.phase="3Phase", _xlpm.p3_calc, _xlpm.sp_calc),0))</f>
        <v>0</v>
      </c>
      <c r="AD524" s="29" t="str">
        <f ca="1"/>
        <v>Bare Metal</v>
      </c>
      <c r="AE524" s="30" t="str">
        <f ca="1"/>
        <v>Bare Metal</v>
      </c>
      <c r="AF524" s="30" t="str">
        <f ca="1"/>
        <v>Live</v>
      </c>
      <c r="AG524" s="30">
        <f ca="1"/>
        <v>6</v>
      </c>
      <c r="AH524" s="31" t="str">
        <f ca="1"/>
        <v>Unknown</v>
      </c>
      <c r="AI524" s="49">
        <f t="shared" ca="1" si="15"/>
        <v>0</v>
      </c>
      <c r="AJ524" s="71">
        <f ca="1"/>
        <v>2.2080000000000002</v>
      </c>
    </row>
    <row r="525" spans="2:36" x14ac:dyDescent="0.25">
      <c r="B525" s="29" t="str">
        <f ca="1"/>
        <v>dal10.sr01.rk515</v>
      </c>
      <c r="C525" s="10" t="s">
        <v>2070</v>
      </c>
      <c r="D525" s="2" t="b" cm="1">
        <f t="array" ref="D525:O525">_xlfn._xlws.FILTER(IF(ancillary!$E$4:$P$8="",FALSE,ancillary!$E$4:$P$8),ancillary!$B$4:$B$8=$C525)</f>
        <v>1</v>
      </c>
      <c r="E525" s="2" t="b">
        <v>1</v>
      </c>
      <c r="F525" s="2" t="b">
        <v>1</v>
      </c>
      <c r="G525" s="2" t="b">
        <v>1</v>
      </c>
      <c r="H525" s="2" t="b">
        <v>1</v>
      </c>
      <c r="I525" s="2" t="b">
        <v>1</v>
      </c>
      <c r="J525" s="2" t="b">
        <v>0</v>
      </c>
      <c r="K525" s="2" t="b">
        <v>0</v>
      </c>
      <c r="L525" s="2" t="b">
        <v>0</v>
      </c>
      <c r="M525" s="2" t="b">
        <v>0</v>
      </c>
      <c r="N525" s="2" t="b">
        <v>0</v>
      </c>
      <c r="O525" s="2" t="b">
        <v>0</v>
      </c>
      <c r="P525" s="68"/>
      <c r="R525" s="69"/>
      <c r="S525" s="68"/>
      <c r="U525" s="69"/>
      <c r="V525" s="68"/>
      <c r="X525" s="69"/>
      <c r="Y525" s="68"/>
      <c r="AA525" s="69"/>
      <c r="AB525" s="33">
        <f t="shared" si="14"/>
        <v>0</v>
      </c>
      <c r="AC525" s="45">
        <f>_xlfn.LET(_xlpm.ps_1,P525:R525, _xlpm.ps_2,S525:U525, _xlpm.ps_3,V525:X525, _xlpm.ps_4,Y525:AA525,
_xlpm.phase, MID(C525,SEARCH("-",C525)+1,256),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(_xlfn.XLOOKUP($C$7,site_assumptions[Details],site_assumptions[Volts])*SUMIFS(P525:AA525,_xlfn.ANCHORARRAY(D525),TRUE)/10*0.95)/1000,
IFERROR(IF(_xlpm.phase="3Phase", _xlpm.p3_calc, _xlpm.sp_calc),0))</f>
        <v>0</v>
      </c>
      <c r="AD525" s="29" t="str">
        <f ca="1"/>
        <v>Bare Metal</v>
      </c>
      <c r="AE525" s="30" t="str">
        <f ca="1"/>
        <v>Bare Metal</v>
      </c>
      <c r="AF525" s="30" t="str">
        <f ca="1"/>
        <v>Live</v>
      </c>
      <c r="AG525" s="30">
        <f ca="1"/>
        <v>6</v>
      </c>
      <c r="AH525" s="31" t="str">
        <f ca="1"/>
        <v>Unknown</v>
      </c>
      <c r="AI525" s="49">
        <f t="shared" ca="1" si="15"/>
        <v>0</v>
      </c>
      <c r="AJ525" s="71">
        <f ca="1"/>
        <v>3.57</v>
      </c>
    </row>
    <row r="526" spans="2:36" x14ac:dyDescent="0.25">
      <c r="B526" s="29" t="str">
        <f ca="1"/>
        <v>dal10.sr01.rk516</v>
      </c>
      <c r="C526" s="10" t="s">
        <v>2070</v>
      </c>
      <c r="D526" s="2" t="b" cm="1">
        <f t="array" ref="D526:O526">_xlfn._xlws.FILTER(IF(ancillary!$E$4:$P$8="",FALSE,ancillary!$E$4:$P$8),ancillary!$B$4:$B$8=$C526)</f>
        <v>1</v>
      </c>
      <c r="E526" s="2" t="b">
        <v>1</v>
      </c>
      <c r="F526" s="2" t="b">
        <v>1</v>
      </c>
      <c r="G526" s="2" t="b">
        <v>1</v>
      </c>
      <c r="H526" s="2" t="b">
        <v>1</v>
      </c>
      <c r="I526" s="2" t="b">
        <v>1</v>
      </c>
      <c r="J526" s="2" t="b">
        <v>0</v>
      </c>
      <c r="K526" s="2" t="b">
        <v>0</v>
      </c>
      <c r="L526" s="2" t="b">
        <v>0</v>
      </c>
      <c r="M526" s="2" t="b">
        <v>0</v>
      </c>
      <c r="N526" s="2" t="b">
        <v>0</v>
      </c>
      <c r="O526" s="2" t="b">
        <v>0</v>
      </c>
      <c r="P526" s="68"/>
      <c r="R526" s="69"/>
      <c r="S526" s="68"/>
      <c r="U526" s="69"/>
      <c r="V526" s="68"/>
      <c r="X526" s="69"/>
      <c r="Y526" s="68"/>
      <c r="AA526" s="69"/>
      <c r="AB526" s="33">
        <f t="shared" ref="AB526:AB589" si="16">IFERROR(AVERAGEIFS(P526:AA526,_xlfn.ANCHORARRAY(D526),TRUE),0)/10</f>
        <v>0</v>
      </c>
      <c r="AC526" s="45">
        <f>_xlfn.LET(_xlpm.ps_1,P526:R526, _xlpm.ps_2,S526:U526, _xlpm.ps_3,V526:X526, _xlpm.ps_4,Y526:AA526,
_xlpm.phase, MID(C526,SEARCH("-",C526)+1,256),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(_xlfn.XLOOKUP($C$7,site_assumptions[Details],site_assumptions[Volts])*SUMIFS(P526:AA526,_xlfn.ANCHORARRAY(D526),TRUE)/10*0.95)/1000,
IFERROR(IF(_xlpm.phase="3Phase", _xlpm.p3_calc, _xlpm.sp_calc),0))</f>
        <v>0</v>
      </c>
      <c r="AD526" s="29" t="str">
        <f ca="1"/>
        <v>Bare Metal</v>
      </c>
      <c r="AE526" s="30" t="str">
        <f ca="1"/>
        <v>Bare Metal</v>
      </c>
      <c r="AF526" s="30" t="str">
        <f ca="1"/>
        <v>Live</v>
      </c>
      <c r="AG526" s="30">
        <f ca="1"/>
        <v>6</v>
      </c>
      <c r="AH526" s="31" t="str">
        <f ca="1"/>
        <v>Unknown</v>
      </c>
      <c r="AI526" s="49">
        <f t="shared" ref="AI526:AI589" ca="1" si="17">IFERROR(AC526/AG526,0)</f>
        <v>0</v>
      </c>
      <c r="AJ526" s="71">
        <f ca="1"/>
        <v>3.9289999999999998</v>
      </c>
    </row>
    <row r="527" spans="2:36" x14ac:dyDescent="0.25">
      <c r="B527" s="29" t="str">
        <f ca="1"/>
        <v>dal10.sr01.rk517</v>
      </c>
      <c r="C527" s="10" t="s">
        <v>2070</v>
      </c>
      <c r="D527" s="2" t="b" cm="1">
        <f t="array" ref="D527:O527">_xlfn._xlws.FILTER(IF(ancillary!$E$4:$P$8="",FALSE,ancillary!$E$4:$P$8),ancillary!$B$4:$B$8=$C527)</f>
        <v>1</v>
      </c>
      <c r="E527" s="2" t="b">
        <v>1</v>
      </c>
      <c r="F527" s="2" t="b">
        <v>1</v>
      </c>
      <c r="G527" s="2" t="b">
        <v>1</v>
      </c>
      <c r="H527" s="2" t="b">
        <v>1</v>
      </c>
      <c r="I527" s="2" t="b">
        <v>1</v>
      </c>
      <c r="J527" s="2" t="b">
        <v>0</v>
      </c>
      <c r="K527" s="2" t="b">
        <v>0</v>
      </c>
      <c r="L527" s="2" t="b">
        <v>0</v>
      </c>
      <c r="M527" s="2" t="b">
        <v>0</v>
      </c>
      <c r="N527" s="2" t="b">
        <v>0</v>
      </c>
      <c r="O527" s="2" t="b">
        <v>0</v>
      </c>
      <c r="P527" s="68"/>
      <c r="R527" s="69"/>
      <c r="S527" s="68"/>
      <c r="U527" s="69"/>
      <c r="V527" s="68"/>
      <c r="X527" s="69"/>
      <c r="Y527" s="68"/>
      <c r="AA527" s="69"/>
      <c r="AB527" s="33">
        <f t="shared" si="16"/>
        <v>0</v>
      </c>
      <c r="AC527" s="45">
        <f>_xlfn.LET(_xlpm.ps_1,P527:R527, _xlpm.ps_2,S527:U527, _xlpm.ps_3,V527:X527, _xlpm.ps_4,Y527:AA527,
_xlpm.phase, MID(C527,SEARCH("-",C527)+1,256),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(_xlfn.XLOOKUP($C$7,site_assumptions[Details],site_assumptions[Volts])*SUMIFS(P527:AA527,_xlfn.ANCHORARRAY(D527),TRUE)/10*0.95)/1000,
IFERROR(IF(_xlpm.phase="3Phase", _xlpm.p3_calc, _xlpm.sp_calc),0))</f>
        <v>0</v>
      </c>
      <c r="AD527" s="29" t="str">
        <f ca="1"/>
        <v>Bare Metal</v>
      </c>
      <c r="AE527" s="30" t="str">
        <f ca="1"/>
        <v>Bare Metal</v>
      </c>
      <c r="AF527" s="30" t="str">
        <f ca="1"/>
        <v>Live</v>
      </c>
      <c r="AG527" s="30">
        <f ca="1"/>
        <v>6</v>
      </c>
      <c r="AH527" s="31" t="str">
        <f ca="1"/>
        <v>Unknown</v>
      </c>
      <c r="AI527" s="49">
        <f t="shared" ca="1" si="17"/>
        <v>0</v>
      </c>
      <c r="AJ527" s="71">
        <f ca="1"/>
        <v>2.5289999999999999</v>
      </c>
    </row>
    <row r="528" spans="2:36" x14ac:dyDescent="0.25">
      <c r="B528" s="29" t="str">
        <f ca="1"/>
        <v>dal10.sr01.rk518</v>
      </c>
      <c r="C528" s="10" t="s">
        <v>2070</v>
      </c>
      <c r="D528" s="2" t="b" cm="1">
        <f t="array" ref="D528:O528">_xlfn._xlws.FILTER(IF(ancillary!$E$4:$P$8="",FALSE,ancillary!$E$4:$P$8),ancillary!$B$4:$B$8=$C528)</f>
        <v>1</v>
      </c>
      <c r="E528" s="2" t="b">
        <v>1</v>
      </c>
      <c r="F528" s="2" t="b">
        <v>1</v>
      </c>
      <c r="G528" s="2" t="b">
        <v>1</v>
      </c>
      <c r="H528" s="2" t="b">
        <v>1</v>
      </c>
      <c r="I528" s="2" t="b">
        <v>1</v>
      </c>
      <c r="J528" s="2" t="b">
        <v>0</v>
      </c>
      <c r="K528" s="2" t="b">
        <v>0</v>
      </c>
      <c r="L528" s="2" t="b">
        <v>0</v>
      </c>
      <c r="M528" s="2" t="b">
        <v>0</v>
      </c>
      <c r="N528" s="2" t="b">
        <v>0</v>
      </c>
      <c r="O528" s="2" t="b">
        <v>0</v>
      </c>
      <c r="P528" s="68"/>
      <c r="R528" s="69"/>
      <c r="S528" s="68"/>
      <c r="U528" s="69"/>
      <c r="V528" s="68"/>
      <c r="X528" s="69"/>
      <c r="Y528" s="68"/>
      <c r="AA528" s="69"/>
      <c r="AB528" s="33">
        <f t="shared" si="16"/>
        <v>0</v>
      </c>
      <c r="AC528" s="45">
        <f>_xlfn.LET(_xlpm.ps_1,P528:R528, _xlpm.ps_2,S528:U528, _xlpm.ps_3,V528:X528, _xlpm.ps_4,Y528:AA528,
_xlpm.phase, MID(C528,SEARCH("-",C528)+1,256),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(_xlfn.XLOOKUP($C$7,site_assumptions[Details],site_assumptions[Volts])*SUMIFS(P528:AA528,_xlfn.ANCHORARRAY(D528),TRUE)/10*0.95)/1000,
IFERROR(IF(_xlpm.phase="3Phase", _xlpm.p3_calc, _xlpm.sp_calc),0))</f>
        <v>0</v>
      </c>
      <c r="AD528" s="29" t="str">
        <f ca="1"/>
        <v>Bare Metal</v>
      </c>
      <c r="AE528" s="30" t="str">
        <f ca="1"/>
        <v>Bare Metal</v>
      </c>
      <c r="AF528" s="30" t="str">
        <f ca="1"/>
        <v>Live</v>
      </c>
      <c r="AG528" s="30">
        <f ca="1"/>
        <v>6</v>
      </c>
      <c r="AH528" s="31" t="str">
        <f ca="1"/>
        <v>Unknown</v>
      </c>
      <c r="AI528" s="49">
        <f t="shared" ca="1" si="17"/>
        <v>0</v>
      </c>
      <c r="AJ528" s="71">
        <f ca="1"/>
        <v>2.0329999999999999</v>
      </c>
    </row>
    <row r="529" spans="2:36" x14ac:dyDescent="0.25">
      <c r="B529" s="29" t="str">
        <f ca="1"/>
        <v>dal10.sr01.rk519</v>
      </c>
      <c r="C529" s="10" t="s">
        <v>2070</v>
      </c>
      <c r="D529" s="2" t="b" cm="1">
        <f t="array" ref="D529:O529">_xlfn._xlws.FILTER(IF(ancillary!$E$4:$P$8="",FALSE,ancillary!$E$4:$P$8),ancillary!$B$4:$B$8=$C529)</f>
        <v>1</v>
      </c>
      <c r="E529" s="2" t="b">
        <v>1</v>
      </c>
      <c r="F529" s="2" t="b">
        <v>1</v>
      </c>
      <c r="G529" s="2" t="b">
        <v>1</v>
      </c>
      <c r="H529" s="2" t="b">
        <v>1</v>
      </c>
      <c r="I529" s="2" t="b">
        <v>1</v>
      </c>
      <c r="J529" s="2" t="b">
        <v>0</v>
      </c>
      <c r="K529" s="2" t="b">
        <v>0</v>
      </c>
      <c r="L529" s="2" t="b">
        <v>0</v>
      </c>
      <c r="M529" s="2" t="b">
        <v>0</v>
      </c>
      <c r="N529" s="2" t="b">
        <v>0</v>
      </c>
      <c r="O529" s="2" t="b">
        <v>0</v>
      </c>
      <c r="P529" s="68"/>
      <c r="R529" s="69"/>
      <c r="S529" s="68"/>
      <c r="U529" s="69"/>
      <c r="V529" s="68"/>
      <c r="X529" s="69"/>
      <c r="Y529" s="68"/>
      <c r="AA529" s="69"/>
      <c r="AB529" s="33">
        <f t="shared" si="16"/>
        <v>0</v>
      </c>
      <c r="AC529" s="45">
        <f>_xlfn.LET(_xlpm.ps_1,P529:R529, _xlpm.ps_2,S529:U529, _xlpm.ps_3,V529:X529, _xlpm.ps_4,Y529:AA529,
_xlpm.phase, MID(C529,SEARCH("-",C529)+1,256),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(_xlfn.XLOOKUP($C$7,site_assumptions[Details],site_assumptions[Volts])*SUMIFS(P529:AA529,_xlfn.ANCHORARRAY(D529),TRUE)/10*0.95)/1000,
IFERROR(IF(_xlpm.phase="3Phase", _xlpm.p3_calc, _xlpm.sp_calc),0))</f>
        <v>0</v>
      </c>
      <c r="AD529" s="29" t="str">
        <f ca="1"/>
        <v>Bare Metal</v>
      </c>
      <c r="AE529" s="30" t="str">
        <f ca="1"/>
        <v>Bare Metal</v>
      </c>
      <c r="AF529" s="30" t="str">
        <f ca="1"/>
        <v>Live</v>
      </c>
      <c r="AG529" s="30">
        <f ca="1"/>
        <v>6</v>
      </c>
      <c r="AH529" s="31" t="str">
        <f ca="1"/>
        <v>Unknown</v>
      </c>
      <c r="AI529" s="49">
        <f t="shared" ca="1" si="17"/>
        <v>0</v>
      </c>
      <c r="AJ529" s="71">
        <f ca="1"/>
        <v>2.8570000000000002</v>
      </c>
    </row>
    <row r="530" spans="2:36" x14ac:dyDescent="0.25">
      <c r="B530" s="29" t="str">
        <f ca="1"/>
        <v>dal10.sr01.rk520</v>
      </c>
      <c r="C530" s="10" t="s">
        <v>2070</v>
      </c>
      <c r="D530" s="2" t="b" cm="1">
        <f t="array" ref="D530:O530">_xlfn._xlws.FILTER(IF(ancillary!$E$4:$P$8="",FALSE,ancillary!$E$4:$P$8),ancillary!$B$4:$B$8=$C530)</f>
        <v>1</v>
      </c>
      <c r="E530" s="2" t="b">
        <v>1</v>
      </c>
      <c r="F530" s="2" t="b">
        <v>1</v>
      </c>
      <c r="G530" s="2" t="b">
        <v>1</v>
      </c>
      <c r="H530" s="2" t="b">
        <v>1</v>
      </c>
      <c r="I530" s="2" t="b">
        <v>1</v>
      </c>
      <c r="J530" s="2" t="b">
        <v>0</v>
      </c>
      <c r="K530" s="2" t="b">
        <v>0</v>
      </c>
      <c r="L530" s="2" t="b">
        <v>0</v>
      </c>
      <c r="M530" s="2" t="b">
        <v>0</v>
      </c>
      <c r="N530" s="2" t="b">
        <v>0</v>
      </c>
      <c r="O530" s="2" t="b">
        <v>0</v>
      </c>
      <c r="P530" s="68"/>
      <c r="R530" s="69"/>
      <c r="S530" s="68"/>
      <c r="U530" s="69"/>
      <c r="V530" s="68"/>
      <c r="X530" s="69"/>
      <c r="Y530" s="68"/>
      <c r="AA530" s="69"/>
      <c r="AB530" s="33">
        <f t="shared" si="16"/>
        <v>0</v>
      </c>
      <c r="AC530" s="45">
        <f>_xlfn.LET(_xlpm.ps_1,P530:R530, _xlpm.ps_2,S530:U530, _xlpm.ps_3,V530:X530, _xlpm.ps_4,Y530:AA530,
_xlpm.phase, MID(C530,SEARCH("-",C530)+1,256),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(_xlfn.XLOOKUP($C$7,site_assumptions[Details],site_assumptions[Volts])*SUMIFS(P530:AA530,_xlfn.ANCHORARRAY(D530),TRUE)/10*0.95)/1000,
IFERROR(IF(_xlpm.phase="3Phase", _xlpm.p3_calc, _xlpm.sp_calc),0))</f>
        <v>0</v>
      </c>
      <c r="AD530" s="29" t="str">
        <f ca="1"/>
        <v>Bare Metal</v>
      </c>
      <c r="AE530" s="30" t="str">
        <f ca="1"/>
        <v>Bare Metal</v>
      </c>
      <c r="AF530" s="30" t="str">
        <f ca="1"/>
        <v>Live</v>
      </c>
      <c r="AG530" s="30">
        <f ca="1"/>
        <v>6</v>
      </c>
      <c r="AH530" s="31" t="str">
        <f ca="1"/>
        <v>Unknown</v>
      </c>
      <c r="AI530" s="49">
        <f t="shared" ca="1" si="17"/>
        <v>0</v>
      </c>
      <c r="AJ530" s="71">
        <f ca="1"/>
        <v>1.361</v>
      </c>
    </row>
    <row r="531" spans="2:36" x14ac:dyDescent="0.25">
      <c r="B531" s="29" t="str">
        <f ca="1"/>
        <v>dal10.sr01.rk521</v>
      </c>
      <c r="C531" s="10" t="s">
        <v>2070</v>
      </c>
      <c r="D531" s="2" t="b" cm="1">
        <f t="array" ref="D531:O531">_xlfn._xlws.FILTER(IF(ancillary!$E$4:$P$8="",FALSE,ancillary!$E$4:$P$8),ancillary!$B$4:$B$8=$C531)</f>
        <v>1</v>
      </c>
      <c r="E531" s="2" t="b">
        <v>1</v>
      </c>
      <c r="F531" s="2" t="b">
        <v>1</v>
      </c>
      <c r="G531" s="2" t="b">
        <v>1</v>
      </c>
      <c r="H531" s="2" t="b">
        <v>1</v>
      </c>
      <c r="I531" s="2" t="b">
        <v>1</v>
      </c>
      <c r="J531" s="2" t="b">
        <v>0</v>
      </c>
      <c r="K531" s="2" t="b">
        <v>0</v>
      </c>
      <c r="L531" s="2" t="b">
        <v>0</v>
      </c>
      <c r="M531" s="2" t="b">
        <v>0</v>
      </c>
      <c r="N531" s="2" t="b">
        <v>0</v>
      </c>
      <c r="O531" s="2" t="b">
        <v>0</v>
      </c>
      <c r="P531" s="68"/>
      <c r="R531" s="69"/>
      <c r="S531" s="68"/>
      <c r="U531" s="69"/>
      <c r="V531" s="68"/>
      <c r="X531" s="69"/>
      <c r="Y531" s="68"/>
      <c r="AA531" s="69"/>
      <c r="AB531" s="33">
        <f t="shared" si="16"/>
        <v>0</v>
      </c>
      <c r="AC531" s="45">
        <f>_xlfn.LET(_xlpm.ps_1,P531:R531, _xlpm.ps_2,S531:U531, _xlpm.ps_3,V531:X531, _xlpm.ps_4,Y531:AA531,
_xlpm.phase, MID(C531,SEARCH("-",C531)+1,256),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(_xlfn.XLOOKUP($C$7,site_assumptions[Details],site_assumptions[Volts])*SUMIFS(P531:AA531,_xlfn.ANCHORARRAY(D531),TRUE)/10*0.95)/1000,
IFERROR(IF(_xlpm.phase="3Phase", _xlpm.p3_calc, _xlpm.sp_calc),0))</f>
        <v>0</v>
      </c>
      <c r="AD531" s="29" t="str">
        <f ca="1"/>
        <v>Bare Metal</v>
      </c>
      <c r="AE531" s="30" t="str">
        <f ca="1"/>
        <v>Bare Metal</v>
      </c>
      <c r="AF531" s="30" t="str">
        <f ca="1"/>
        <v>Live</v>
      </c>
      <c r="AG531" s="30">
        <f ca="1"/>
        <v>6</v>
      </c>
      <c r="AH531" s="31" t="str">
        <f ca="1"/>
        <v>Unknown</v>
      </c>
      <c r="AI531" s="49">
        <f t="shared" ca="1" si="17"/>
        <v>0</v>
      </c>
      <c r="AJ531" s="71">
        <f ca="1"/>
        <v>2.677</v>
      </c>
    </row>
    <row r="532" spans="2:36" x14ac:dyDescent="0.25">
      <c r="B532" s="29" t="str">
        <f ca="1"/>
        <v>dal10.sr01.rk522</v>
      </c>
      <c r="C532" s="10" t="s">
        <v>2070</v>
      </c>
      <c r="D532" s="2" t="b" cm="1">
        <f t="array" ref="D532:O532">_xlfn._xlws.FILTER(IF(ancillary!$E$4:$P$8="",FALSE,ancillary!$E$4:$P$8),ancillary!$B$4:$B$8=$C532)</f>
        <v>1</v>
      </c>
      <c r="E532" s="2" t="b">
        <v>1</v>
      </c>
      <c r="F532" s="2" t="b">
        <v>1</v>
      </c>
      <c r="G532" s="2" t="b">
        <v>1</v>
      </c>
      <c r="H532" s="2" t="b">
        <v>1</v>
      </c>
      <c r="I532" s="2" t="b">
        <v>1</v>
      </c>
      <c r="J532" s="2" t="b">
        <v>0</v>
      </c>
      <c r="K532" s="2" t="b">
        <v>0</v>
      </c>
      <c r="L532" s="2" t="b">
        <v>0</v>
      </c>
      <c r="M532" s="2" t="b">
        <v>0</v>
      </c>
      <c r="N532" s="2" t="b">
        <v>0</v>
      </c>
      <c r="O532" s="2" t="b">
        <v>0</v>
      </c>
      <c r="P532" s="68"/>
      <c r="R532" s="69"/>
      <c r="S532" s="68"/>
      <c r="U532" s="69"/>
      <c r="V532" s="68"/>
      <c r="X532" s="69"/>
      <c r="Y532" s="68"/>
      <c r="AA532" s="69"/>
      <c r="AB532" s="33">
        <f t="shared" si="16"/>
        <v>0</v>
      </c>
      <c r="AC532" s="45">
        <f>_xlfn.LET(_xlpm.ps_1,P532:R532, _xlpm.ps_2,S532:U532, _xlpm.ps_3,V532:X532, _xlpm.ps_4,Y532:AA532,
_xlpm.phase, MID(C532,SEARCH("-",C532)+1,256),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(_xlfn.XLOOKUP($C$7,site_assumptions[Details],site_assumptions[Volts])*SUMIFS(P532:AA532,_xlfn.ANCHORARRAY(D532),TRUE)/10*0.95)/1000,
IFERROR(IF(_xlpm.phase="3Phase", _xlpm.p3_calc, _xlpm.sp_calc),0))</f>
        <v>0</v>
      </c>
      <c r="AD532" s="29" t="str">
        <f ca="1"/>
        <v>Bare Metal</v>
      </c>
      <c r="AE532" s="30" t="str">
        <f ca="1"/>
        <v>Bare Metal</v>
      </c>
      <c r="AF532" s="30" t="str">
        <f ca="1"/>
        <v>Live</v>
      </c>
      <c r="AG532" s="30">
        <f ca="1"/>
        <v>6</v>
      </c>
      <c r="AH532" s="31" t="str">
        <f ca="1"/>
        <v>Unknown</v>
      </c>
      <c r="AI532" s="49">
        <f t="shared" ca="1" si="17"/>
        <v>0</v>
      </c>
      <c r="AJ532" s="71">
        <f ca="1"/>
        <v>3.907</v>
      </c>
    </row>
    <row r="533" spans="2:36" x14ac:dyDescent="0.25">
      <c r="B533" s="29" t="str">
        <f ca="1"/>
        <v>dal10.sr01.rk523</v>
      </c>
      <c r="C533" s="10" t="s">
        <v>2070</v>
      </c>
      <c r="D533" s="2" t="b" cm="1">
        <f t="array" ref="D533:O533">_xlfn._xlws.FILTER(IF(ancillary!$E$4:$P$8="",FALSE,ancillary!$E$4:$P$8),ancillary!$B$4:$B$8=$C533)</f>
        <v>1</v>
      </c>
      <c r="E533" s="2" t="b">
        <v>1</v>
      </c>
      <c r="F533" s="2" t="b">
        <v>1</v>
      </c>
      <c r="G533" s="2" t="b">
        <v>1</v>
      </c>
      <c r="H533" s="2" t="b">
        <v>1</v>
      </c>
      <c r="I533" s="2" t="b">
        <v>1</v>
      </c>
      <c r="J533" s="2" t="b">
        <v>0</v>
      </c>
      <c r="K533" s="2" t="b">
        <v>0</v>
      </c>
      <c r="L533" s="2" t="b">
        <v>0</v>
      </c>
      <c r="M533" s="2" t="b">
        <v>0</v>
      </c>
      <c r="N533" s="2" t="b">
        <v>0</v>
      </c>
      <c r="O533" s="2" t="b">
        <v>0</v>
      </c>
      <c r="P533" s="68"/>
      <c r="R533" s="69"/>
      <c r="S533" s="68"/>
      <c r="U533" s="69"/>
      <c r="V533" s="68"/>
      <c r="X533" s="69"/>
      <c r="Y533" s="68"/>
      <c r="AA533" s="69"/>
      <c r="AB533" s="33">
        <f t="shared" si="16"/>
        <v>0</v>
      </c>
      <c r="AC533" s="45">
        <f>_xlfn.LET(_xlpm.ps_1,P533:R533, _xlpm.ps_2,S533:U533, _xlpm.ps_3,V533:X533, _xlpm.ps_4,Y533:AA533,
_xlpm.phase, MID(C533,SEARCH("-",C533)+1,256),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(_xlfn.XLOOKUP($C$7,site_assumptions[Details],site_assumptions[Volts])*SUMIFS(P533:AA533,_xlfn.ANCHORARRAY(D533),TRUE)/10*0.95)/1000,
IFERROR(IF(_xlpm.phase="3Phase", _xlpm.p3_calc, _xlpm.sp_calc),0))</f>
        <v>0</v>
      </c>
      <c r="AD533" s="29" t="str">
        <f ca="1"/>
        <v>Network</v>
      </c>
      <c r="AE533" s="30" t="str">
        <f ca="1"/>
        <v>Aggregate</v>
      </c>
      <c r="AF533" s="30" t="str">
        <f ca="1"/>
        <v>Live</v>
      </c>
      <c r="AG533" s="30">
        <f ca="1"/>
        <v>5</v>
      </c>
      <c r="AH533" s="31" t="str">
        <f ca="1"/>
        <v>Unknown</v>
      </c>
      <c r="AI533" s="49">
        <f t="shared" ca="1" si="17"/>
        <v>0</v>
      </c>
      <c r="AJ533" s="71">
        <f ca="1"/>
        <v>0</v>
      </c>
    </row>
    <row r="534" spans="2:36" x14ac:dyDescent="0.25">
      <c r="B534" s="29" t="str">
        <f ca="1"/>
        <v>dal10.sr01.rk524</v>
      </c>
      <c r="C534" s="10" t="s">
        <v>2070</v>
      </c>
      <c r="D534" s="2" t="b" cm="1">
        <f t="array" ref="D534:O534">_xlfn._xlws.FILTER(IF(ancillary!$E$4:$P$8="",FALSE,ancillary!$E$4:$P$8),ancillary!$B$4:$B$8=$C534)</f>
        <v>1</v>
      </c>
      <c r="E534" s="2" t="b">
        <v>1</v>
      </c>
      <c r="F534" s="2" t="b">
        <v>1</v>
      </c>
      <c r="G534" s="2" t="b">
        <v>1</v>
      </c>
      <c r="H534" s="2" t="b">
        <v>1</v>
      </c>
      <c r="I534" s="2" t="b">
        <v>1</v>
      </c>
      <c r="J534" s="2" t="b">
        <v>0</v>
      </c>
      <c r="K534" s="2" t="b">
        <v>0</v>
      </c>
      <c r="L534" s="2" t="b">
        <v>0</v>
      </c>
      <c r="M534" s="2" t="b">
        <v>0</v>
      </c>
      <c r="N534" s="2" t="b">
        <v>0</v>
      </c>
      <c r="O534" s="2" t="b">
        <v>0</v>
      </c>
      <c r="P534" s="68"/>
      <c r="R534" s="69"/>
      <c r="S534" s="68"/>
      <c r="U534" s="69"/>
      <c r="V534" s="68"/>
      <c r="X534" s="69"/>
      <c r="Y534" s="68"/>
      <c r="AA534" s="69"/>
      <c r="AB534" s="33">
        <f t="shared" si="16"/>
        <v>0</v>
      </c>
      <c r="AC534" s="45">
        <f>_xlfn.LET(_xlpm.ps_1,P534:R534, _xlpm.ps_2,S534:U534, _xlpm.ps_3,V534:X534, _xlpm.ps_4,Y534:AA534,
_xlpm.phase, MID(C534,SEARCH("-",C534)+1,256),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(_xlfn.XLOOKUP($C$7,site_assumptions[Details],site_assumptions[Volts])*SUMIFS(P534:AA534,_xlfn.ANCHORARRAY(D534),TRUE)/10*0.95)/1000,
IFERROR(IF(_xlpm.phase="3Phase", _xlpm.p3_calc, _xlpm.sp_calc),0))</f>
        <v>0</v>
      </c>
      <c r="AD534" s="29" t="str">
        <f ca="1"/>
        <v>Bare Metal</v>
      </c>
      <c r="AE534" s="30" t="str">
        <f ca="1"/>
        <v>Bare Metal</v>
      </c>
      <c r="AF534" s="30" t="str">
        <f ca="1"/>
        <v>Live</v>
      </c>
      <c r="AG534" s="30">
        <f ca="1"/>
        <v>6</v>
      </c>
      <c r="AH534" s="31" t="str">
        <f ca="1"/>
        <v>Unknown</v>
      </c>
      <c r="AI534" s="49">
        <f t="shared" ca="1" si="17"/>
        <v>0</v>
      </c>
      <c r="AJ534" s="71">
        <f ca="1"/>
        <v>5.3940000000000001</v>
      </c>
    </row>
    <row r="535" spans="2:36" x14ac:dyDescent="0.25">
      <c r="B535" s="29" t="str">
        <f ca="1"/>
        <v>dal10.sr01.rk525</v>
      </c>
      <c r="C535" s="10" t="s">
        <v>2070</v>
      </c>
      <c r="D535" s="2" t="b" cm="1">
        <f t="array" ref="D535:O535">_xlfn._xlws.FILTER(IF(ancillary!$E$4:$P$8="",FALSE,ancillary!$E$4:$P$8),ancillary!$B$4:$B$8=$C535)</f>
        <v>1</v>
      </c>
      <c r="E535" s="2" t="b">
        <v>1</v>
      </c>
      <c r="F535" s="2" t="b">
        <v>1</v>
      </c>
      <c r="G535" s="2" t="b">
        <v>1</v>
      </c>
      <c r="H535" s="2" t="b">
        <v>1</v>
      </c>
      <c r="I535" s="2" t="b">
        <v>1</v>
      </c>
      <c r="J535" s="2" t="b">
        <v>0</v>
      </c>
      <c r="K535" s="2" t="b">
        <v>0</v>
      </c>
      <c r="L535" s="2" t="b">
        <v>0</v>
      </c>
      <c r="M535" s="2" t="b">
        <v>0</v>
      </c>
      <c r="N535" s="2" t="b">
        <v>0</v>
      </c>
      <c r="O535" s="2" t="b">
        <v>0</v>
      </c>
      <c r="P535" s="68"/>
      <c r="R535" s="69"/>
      <c r="S535" s="68"/>
      <c r="U535" s="69"/>
      <c r="V535" s="68"/>
      <c r="X535" s="69"/>
      <c r="Y535" s="68"/>
      <c r="AA535" s="69"/>
      <c r="AB535" s="33">
        <f t="shared" si="16"/>
        <v>0</v>
      </c>
      <c r="AC535" s="45">
        <f>_xlfn.LET(_xlpm.ps_1,P535:R535, _xlpm.ps_2,S535:U535, _xlpm.ps_3,V535:X535, _xlpm.ps_4,Y535:AA535,
_xlpm.phase, MID(C535,SEARCH("-",C535)+1,256),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(_xlfn.XLOOKUP($C$7,site_assumptions[Details],site_assumptions[Volts])*SUMIFS(P535:AA535,_xlfn.ANCHORARRAY(D535),TRUE)/10*0.95)/1000,
IFERROR(IF(_xlpm.phase="3Phase", _xlpm.p3_calc, _xlpm.sp_calc),0))</f>
        <v>0</v>
      </c>
      <c r="AD535" s="29" t="str">
        <f ca="1"/>
        <v>Bare Metal</v>
      </c>
      <c r="AE535" s="30" t="str">
        <f ca="1"/>
        <v>Bare Metal</v>
      </c>
      <c r="AF535" s="30" t="str">
        <f ca="1"/>
        <v>Live</v>
      </c>
      <c r="AG535" s="30">
        <f ca="1"/>
        <v>6</v>
      </c>
      <c r="AH535" s="31" t="str">
        <f ca="1"/>
        <v>Unknown</v>
      </c>
      <c r="AI535" s="49">
        <f t="shared" ca="1" si="17"/>
        <v>0</v>
      </c>
      <c r="AJ535" s="71">
        <f ca="1"/>
        <v>5.1749999999999998</v>
      </c>
    </row>
    <row r="536" spans="2:36" x14ac:dyDescent="0.25">
      <c r="B536" s="29" t="str">
        <f ca="1"/>
        <v>dal10.sr01.rk526</v>
      </c>
      <c r="C536" s="10" t="s">
        <v>2070</v>
      </c>
      <c r="D536" s="2" t="b" cm="1">
        <f t="array" ref="D536:O536">_xlfn._xlws.FILTER(IF(ancillary!$E$4:$P$8="",FALSE,ancillary!$E$4:$P$8),ancillary!$B$4:$B$8=$C536)</f>
        <v>1</v>
      </c>
      <c r="E536" s="2" t="b">
        <v>1</v>
      </c>
      <c r="F536" s="2" t="b">
        <v>1</v>
      </c>
      <c r="G536" s="2" t="b">
        <v>1</v>
      </c>
      <c r="H536" s="2" t="b">
        <v>1</v>
      </c>
      <c r="I536" s="2" t="b">
        <v>1</v>
      </c>
      <c r="J536" s="2" t="b">
        <v>0</v>
      </c>
      <c r="K536" s="2" t="b">
        <v>0</v>
      </c>
      <c r="L536" s="2" t="b">
        <v>0</v>
      </c>
      <c r="M536" s="2" t="b">
        <v>0</v>
      </c>
      <c r="N536" s="2" t="b">
        <v>0</v>
      </c>
      <c r="O536" s="2" t="b">
        <v>0</v>
      </c>
      <c r="P536" s="68"/>
      <c r="R536" s="69"/>
      <c r="S536" s="68"/>
      <c r="U536" s="69"/>
      <c r="V536" s="68"/>
      <c r="X536" s="69"/>
      <c r="Y536" s="68"/>
      <c r="AA536" s="69"/>
      <c r="AB536" s="33">
        <f t="shared" si="16"/>
        <v>0</v>
      </c>
      <c r="AC536" s="45">
        <f>_xlfn.LET(_xlpm.ps_1,P536:R536, _xlpm.ps_2,S536:U536, _xlpm.ps_3,V536:X536, _xlpm.ps_4,Y536:AA536,
_xlpm.phase, MID(C536,SEARCH("-",C536)+1,256),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(_xlfn.XLOOKUP($C$7,site_assumptions[Details],site_assumptions[Volts])*SUMIFS(P536:AA536,_xlfn.ANCHORARRAY(D536),TRUE)/10*0.95)/1000,
IFERROR(IF(_xlpm.phase="3Phase", _xlpm.p3_calc, _xlpm.sp_calc),0))</f>
        <v>0</v>
      </c>
      <c r="AD536" s="29" t="str">
        <f ca="1"/>
        <v>Bare Metal</v>
      </c>
      <c r="AE536" s="30" t="str">
        <f ca="1"/>
        <v>Bare Metal</v>
      </c>
      <c r="AF536" s="30" t="str">
        <f ca="1"/>
        <v>Live</v>
      </c>
      <c r="AG536" s="30">
        <f ca="1"/>
        <v>6</v>
      </c>
      <c r="AH536" s="31" t="str">
        <f ca="1"/>
        <v>Unknown</v>
      </c>
      <c r="AI536" s="49">
        <f t="shared" ca="1" si="17"/>
        <v>0</v>
      </c>
      <c r="AJ536" s="71">
        <f ca="1"/>
        <v>2.089</v>
      </c>
    </row>
    <row r="537" spans="2:36" x14ac:dyDescent="0.25">
      <c r="B537" s="29" t="str">
        <f ca="1"/>
        <v>dal10.sr01.rk527</v>
      </c>
      <c r="C537" s="10" t="s">
        <v>2070</v>
      </c>
      <c r="D537" s="2" t="b" cm="1">
        <f t="array" ref="D537:O537">_xlfn._xlws.FILTER(IF(ancillary!$E$4:$P$8="",FALSE,ancillary!$E$4:$P$8),ancillary!$B$4:$B$8=$C537)</f>
        <v>1</v>
      </c>
      <c r="E537" s="2" t="b">
        <v>1</v>
      </c>
      <c r="F537" s="2" t="b">
        <v>1</v>
      </c>
      <c r="G537" s="2" t="b">
        <v>1</v>
      </c>
      <c r="H537" s="2" t="b">
        <v>1</v>
      </c>
      <c r="I537" s="2" t="b">
        <v>1</v>
      </c>
      <c r="J537" s="2" t="b">
        <v>0</v>
      </c>
      <c r="K537" s="2" t="b">
        <v>0</v>
      </c>
      <c r="L537" s="2" t="b">
        <v>0</v>
      </c>
      <c r="M537" s="2" t="b">
        <v>0</v>
      </c>
      <c r="N537" s="2" t="b">
        <v>0</v>
      </c>
      <c r="O537" s="2" t="b">
        <v>0</v>
      </c>
      <c r="P537" s="68"/>
      <c r="R537" s="69"/>
      <c r="S537" s="68"/>
      <c r="U537" s="69"/>
      <c r="V537" s="68"/>
      <c r="X537" s="69"/>
      <c r="Y537" s="68"/>
      <c r="AA537" s="69"/>
      <c r="AB537" s="33">
        <f t="shared" si="16"/>
        <v>0</v>
      </c>
      <c r="AC537" s="45">
        <f>_xlfn.LET(_xlpm.ps_1,P537:R537, _xlpm.ps_2,S537:U537, _xlpm.ps_3,V537:X537, _xlpm.ps_4,Y537:AA537,
_xlpm.phase, MID(C537,SEARCH("-",C537)+1,256),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(_xlfn.XLOOKUP($C$7,site_assumptions[Details],site_assumptions[Volts])*SUMIFS(P537:AA537,_xlfn.ANCHORARRAY(D537),TRUE)/10*0.95)/1000,
IFERROR(IF(_xlpm.phase="3Phase", _xlpm.p3_calc, _xlpm.sp_calc),0))</f>
        <v>0</v>
      </c>
      <c r="AD537" s="29" t="str">
        <f ca="1"/>
        <v>Bare Metal</v>
      </c>
      <c r="AE537" s="30" t="str">
        <f ca="1"/>
        <v>Bare Metal</v>
      </c>
      <c r="AF537" s="30" t="str">
        <f ca="1"/>
        <v>Live</v>
      </c>
      <c r="AG537" s="30">
        <f ca="1"/>
        <v>6</v>
      </c>
      <c r="AH537" s="31" t="str">
        <f ca="1"/>
        <v>Unknown</v>
      </c>
      <c r="AI537" s="49">
        <f t="shared" ca="1" si="17"/>
        <v>0</v>
      </c>
      <c r="AJ537" s="71">
        <f ca="1"/>
        <v>3.0110000000000001</v>
      </c>
    </row>
    <row r="538" spans="2:36" x14ac:dyDescent="0.25">
      <c r="B538" s="29" t="str">
        <f ca="1"/>
        <v>dal10.sr01.rk528</v>
      </c>
      <c r="C538" s="10" t="s">
        <v>2070</v>
      </c>
      <c r="D538" s="2" t="b" cm="1">
        <f t="array" ref="D538:O538">_xlfn._xlws.FILTER(IF(ancillary!$E$4:$P$8="",FALSE,ancillary!$E$4:$P$8),ancillary!$B$4:$B$8=$C538)</f>
        <v>1</v>
      </c>
      <c r="E538" s="2" t="b">
        <v>1</v>
      </c>
      <c r="F538" s="2" t="b">
        <v>1</v>
      </c>
      <c r="G538" s="2" t="b">
        <v>1</v>
      </c>
      <c r="H538" s="2" t="b">
        <v>1</v>
      </c>
      <c r="I538" s="2" t="b">
        <v>1</v>
      </c>
      <c r="J538" s="2" t="b">
        <v>0</v>
      </c>
      <c r="K538" s="2" t="b">
        <v>0</v>
      </c>
      <c r="L538" s="2" t="b">
        <v>0</v>
      </c>
      <c r="M538" s="2" t="b">
        <v>0</v>
      </c>
      <c r="N538" s="2" t="b">
        <v>0</v>
      </c>
      <c r="O538" s="2" t="b">
        <v>0</v>
      </c>
      <c r="P538" s="68"/>
      <c r="R538" s="69"/>
      <c r="S538" s="68"/>
      <c r="U538" s="69"/>
      <c r="V538" s="68"/>
      <c r="X538" s="69"/>
      <c r="Y538" s="68"/>
      <c r="AA538" s="69"/>
      <c r="AB538" s="33">
        <f t="shared" si="16"/>
        <v>0</v>
      </c>
      <c r="AC538" s="45">
        <f>_xlfn.LET(_xlpm.ps_1,P538:R538, _xlpm.ps_2,S538:U538, _xlpm.ps_3,V538:X538, _xlpm.ps_4,Y538:AA538,
_xlpm.phase, MID(C538,SEARCH("-",C538)+1,256),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(_xlfn.XLOOKUP($C$7,site_assumptions[Details],site_assumptions[Volts])*SUMIFS(P538:AA538,_xlfn.ANCHORARRAY(D538),TRUE)/10*0.95)/1000,
IFERROR(IF(_xlpm.phase="3Phase", _xlpm.p3_calc, _xlpm.sp_calc),0))</f>
        <v>0</v>
      </c>
      <c r="AD538" s="29" t="str">
        <f ca="1"/>
        <v>Bare Metal</v>
      </c>
      <c r="AE538" s="30" t="str">
        <f ca="1"/>
        <v>Bare Metal</v>
      </c>
      <c r="AF538" s="30" t="str">
        <f ca="1"/>
        <v>Live</v>
      </c>
      <c r="AG538" s="30">
        <f ca="1"/>
        <v>6</v>
      </c>
      <c r="AH538" s="31" t="str">
        <f ca="1"/>
        <v>Unknown</v>
      </c>
      <c r="AI538" s="49">
        <f t="shared" ca="1" si="17"/>
        <v>0</v>
      </c>
      <c r="AJ538" s="71">
        <f ca="1"/>
        <v>4.46</v>
      </c>
    </row>
    <row r="539" spans="2:36" x14ac:dyDescent="0.25">
      <c r="B539" s="29" t="str">
        <f ca="1"/>
        <v>dal10.sr01.rk529</v>
      </c>
      <c r="C539" s="10" t="s">
        <v>2070</v>
      </c>
      <c r="D539" s="2" t="b" cm="1">
        <f t="array" ref="D539:O539">_xlfn._xlws.FILTER(IF(ancillary!$E$4:$P$8="",FALSE,ancillary!$E$4:$P$8),ancillary!$B$4:$B$8=$C539)</f>
        <v>1</v>
      </c>
      <c r="E539" s="2" t="b">
        <v>1</v>
      </c>
      <c r="F539" s="2" t="b">
        <v>1</v>
      </c>
      <c r="G539" s="2" t="b">
        <v>1</v>
      </c>
      <c r="H539" s="2" t="b">
        <v>1</v>
      </c>
      <c r="I539" s="2" t="b">
        <v>1</v>
      </c>
      <c r="J539" s="2" t="b">
        <v>0</v>
      </c>
      <c r="K539" s="2" t="b">
        <v>0</v>
      </c>
      <c r="L539" s="2" t="b">
        <v>0</v>
      </c>
      <c r="M539" s="2" t="b">
        <v>0</v>
      </c>
      <c r="N539" s="2" t="b">
        <v>0</v>
      </c>
      <c r="O539" s="2" t="b">
        <v>0</v>
      </c>
      <c r="P539" s="68"/>
      <c r="R539" s="69"/>
      <c r="S539" s="68"/>
      <c r="U539" s="69"/>
      <c r="V539" s="68"/>
      <c r="X539" s="69"/>
      <c r="Y539" s="68"/>
      <c r="AA539" s="69"/>
      <c r="AB539" s="33">
        <f t="shared" si="16"/>
        <v>0</v>
      </c>
      <c r="AC539" s="45">
        <f>_xlfn.LET(_xlpm.ps_1,P539:R539, _xlpm.ps_2,S539:U539, _xlpm.ps_3,V539:X539, _xlpm.ps_4,Y539:AA539,
_xlpm.phase, MID(C539,SEARCH("-",C539)+1,256),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(_xlfn.XLOOKUP($C$7,site_assumptions[Details],site_assumptions[Volts])*SUMIFS(P539:AA539,_xlfn.ANCHORARRAY(D539),TRUE)/10*0.95)/1000,
IFERROR(IF(_xlpm.phase="3Phase", _xlpm.p3_calc, _xlpm.sp_calc),0))</f>
        <v>0</v>
      </c>
      <c r="AD539" s="29" t="str">
        <f ca="1"/>
        <v>Storage</v>
      </c>
      <c r="AE539" s="30" t="str">
        <f ca="1"/>
        <v>File/Block</v>
      </c>
      <c r="AF539" s="30" t="str">
        <f ca="1"/>
        <v>Planned</v>
      </c>
      <c r="AG539" s="30">
        <f ca="1"/>
        <v>6</v>
      </c>
      <c r="AH539" s="31" t="str">
        <f ca="1"/>
        <v>Unknown</v>
      </c>
      <c r="AI539" s="49">
        <f t="shared" ca="1" si="17"/>
        <v>0</v>
      </c>
      <c r="AJ539" s="71">
        <f ca="1"/>
        <v>0</v>
      </c>
    </row>
    <row r="540" spans="2:36" x14ac:dyDescent="0.25">
      <c r="B540" s="29" t="str">
        <f ca="1"/>
        <v>dal10.sr01.rk530</v>
      </c>
      <c r="C540" s="10" t="s">
        <v>2070</v>
      </c>
      <c r="D540" s="2" t="b" cm="1">
        <f t="array" ref="D540:O540">_xlfn._xlws.FILTER(IF(ancillary!$E$4:$P$8="",FALSE,ancillary!$E$4:$P$8),ancillary!$B$4:$B$8=$C540)</f>
        <v>1</v>
      </c>
      <c r="E540" s="2" t="b">
        <v>1</v>
      </c>
      <c r="F540" s="2" t="b">
        <v>1</v>
      </c>
      <c r="G540" s="2" t="b">
        <v>1</v>
      </c>
      <c r="H540" s="2" t="b">
        <v>1</v>
      </c>
      <c r="I540" s="2" t="b">
        <v>1</v>
      </c>
      <c r="J540" s="2" t="b">
        <v>0</v>
      </c>
      <c r="K540" s="2" t="b">
        <v>0</v>
      </c>
      <c r="L540" s="2" t="b">
        <v>0</v>
      </c>
      <c r="M540" s="2" t="b">
        <v>0</v>
      </c>
      <c r="N540" s="2" t="b">
        <v>0</v>
      </c>
      <c r="O540" s="2" t="b">
        <v>0</v>
      </c>
      <c r="P540" s="68"/>
      <c r="R540" s="69"/>
      <c r="S540" s="68"/>
      <c r="U540" s="69"/>
      <c r="V540" s="68"/>
      <c r="X540" s="69"/>
      <c r="Y540" s="68"/>
      <c r="AA540" s="69"/>
      <c r="AB540" s="33">
        <f t="shared" si="16"/>
        <v>0</v>
      </c>
      <c r="AC540" s="45">
        <f>_xlfn.LET(_xlpm.ps_1,P540:R540, _xlpm.ps_2,S540:U540, _xlpm.ps_3,V540:X540, _xlpm.ps_4,Y540:AA540,
_xlpm.phase, MID(C540,SEARCH("-",C540)+1,256),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(_xlfn.XLOOKUP($C$7,site_assumptions[Details],site_assumptions[Volts])*SUMIFS(P540:AA540,_xlfn.ANCHORARRAY(D540),TRUE)/10*0.95)/1000,
IFERROR(IF(_xlpm.phase="3Phase", _xlpm.p3_calc, _xlpm.sp_calc),0))</f>
        <v>0</v>
      </c>
      <c r="AD540" s="29" t="str">
        <f ca="1"/>
        <v>Storage</v>
      </c>
      <c r="AE540" s="30" t="str">
        <f ca="1"/>
        <v>File/Block</v>
      </c>
      <c r="AF540" s="30" t="str">
        <f ca="1"/>
        <v>Planned</v>
      </c>
      <c r="AG540" s="30">
        <f ca="1"/>
        <v>6</v>
      </c>
      <c r="AH540" s="31" t="str">
        <f ca="1"/>
        <v>Unknown</v>
      </c>
      <c r="AI540" s="49">
        <f t="shared" ca="1" si="17"/>
        <v>0</v>
      </c>
      <c r="AJ540" s="71">
        <f ca="1"/>
        <v>0</v>
      </c>
    </row>
    <row r="541" spans="2:36" x14ac:dyDescent="0.25">
      <c r="B541" s="29" t="str">
        <f ca="1"/>
        <v>dal10.sr01.rk531</v>
      </c>
      <c r="C541" s="10" t="s">
        <v>2070</v>
      </c>
      <c r="D541" s="2" t="b" cm="1">
        <f t="array" ref="D541:O541">_xlfn._xlws.FILTER(IF(ancillary!$E$4:$P$8="",FALSE,ancillary!$E$4:$P$8),ancillary!$B$4:$B$8=$C541)</f>
        <v>1</v>
      </c>
      <c r="E541" s="2" t="b">
        <v>1</v>
      </c>
      <c r="F541" s="2" t="b">
        <v>1</v>
      </c>
      <c r="G541" s="2" t="b">
        <v>1</v>
      </c>
      <c r="H541" s="2" t="b">
        <v>1</v>
      </c>
      <c r="I541" s="2" t="b">
        <v>1</v>
      </c>
      <c r="J541" s="2" t="b">
        <v>0</v>
      </c>
      <c r="K541" s="2" t="b">
        <v>0</v>
      </c>
      <c r="L541" s="2" t="b">
        <v>0</v>
      </c>
      <c r="M541" s="2" t="b">
        <v>0</v>
      </c>
      <c r="N541" s="2" t="b">
        <v>0</v>
      </c>
      <c r="O541" s="2" t="b">
        <v>0</v>
      </c>
      <c r="P541" s="68"/>
      <c r="R541" s="69"/>
      <c r="S541" s="68"/>
      <c r="U541" s="69"/>
      <c r="V541" s="68"/>
      <c r="X541" s="69"/>
      <c r="Y541" s="68"/>
      <c r="AA541" s="69"/>
      <c r="AB541" s="33">
        <f t="shared" si="16"/>
        <v>0</v>
      </c>
      <c r="AC541" s="45">
        <f>_xlfn.LET(_xlpm.ps_1,P541:R541, _xlpm.ps_2,S541:U541, _xlpm.ps_3,V541:X541, _xlpm.ps_4,Y541:AA541,
_xlpm.phase, MID(C541,SEARCH("-",C541)+1,256),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(_xlfn.XLOOKUP($C$7,site_assumptions[Details],site_assumptions[Volts])*SUMIFS(P541:AA541,_xlfn.ANCHORARRAY(D541),TRUE)/10*0.95)/1000,
IFERROR(IF(_xlpm.phase="3Phase", _xlpm.p3_calc, _xlpm.sp_calc),0))</f>
        <v>0</v>
      </c>
      <c r="AD541" s="29" t="str">
        <f ca="1"/>
        <v>Storage</v>
      </c>
      <c r="AE541" s="30" t="str">
        <f ca="1"/>
        <v>File/Block</v>
      </c>
      <c r="AF541" s="30" t="str">
        <f ca="1"/>
        <v>Planned</v>
      </c>
      <c r="AG541" s="30">
        <f ca="1"/>
        <v>6</v>
      </c>
      <c r="AH541" s="31" t="str">
        <f ca="1"/>
        <v>Unknown</v>
      </c>
      <c r="AI541" s="49">
        <f t="shared" ca="1" si="17"/>
        <v>0</v>
      </c>
      <c r="AJ541" s="71">
        <f ca="1"/>
        <v>0</v>
      </c>
    </row>
    <row r="542" spans="2:36" x14ac:dyDescent="0.25">
      <c r="B542" s="29" t="str">
        <f ca="1"/>
        <v>dal10.sr01.rk532</v>
      </c>
      <c r="C542" s="10" t="s">
        <v>2070</v>
      </c>
      <c r="D542" s="2" t="b" cm="1">
        <f t="array" ref="D542:O542">_xlfn._xlws.FILTER(IF(ancillary!$E$4:$P$8="",FALSE,ancillary!$E$4:$P$8),ancillary!$B$4:$B$8=$C542)</f>
        <v>1</v>
      </c>
      <c r="E542" s="2" t="b">
        <v>1</v>
      </c>
      <c r="F542" s="2" t="b">
        <v>1</v>
      </c>
      <c r="G542" s="2" t="b">
        <v>1</v>
      </c>
      <c r="H542" s="2" t="b">
        <v>1</v>
      </c>
      <c r="I542" s="2" t="b">
        <v>1</v>
      </c>
      <c r="J542" s="2" t="b">
        <v>0</v>
      </c>
      <c r="K542" s="2" t="b">
        <v>0</v>
      </c>
      <c r="L542" s="2" t="b">
        <v>0</v>
      </c>
      <c r="M542" s="2" t="b">
        <v>0</v>
      </c>
      <c r="N542" s="2" t="b">
        <v>0</v>
      </c>
      <c r="O542" s="2" t="b">
        <v>0</v>
      </c>
      <c r="P542" s="68"/>
      <c r="R542" s="69"/>
      <c r="S542" s="68"/>
      <c r="U542" s="69"/>
      <c r="V542" s="68"/>
      <c r="X542" s="69"/>
      <c r="Y542" s="68"/>
      <c r="AA542" s="69"/>
      <c r="AB542" s="33">
        <f t="shared" si="16"/>
        <v>0</v>
      </c>
      <c r="AC542" s="45">
        <f>_xlfn.LET(_xlpm.ps_1,P542:R542, _xlpm.ps_2,S542:U542, _xlpm.ps_3,V542:X542, _xlpm.ps_4,Y542:AA542,
_xlpm.phase, MID(C542,SEARCH("-",C542)+1,256),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(_xlfn.XLOOKUP($C$7,site_assumptions[Details],site_assumptions[Volts])*SUMIFS(P542:AA542,_xlfn.ANCHORARRAY(D542),TRUE)/10*0.95)/1000,
IFERROR(IF(_xlpm.phase="3Phase", _xlpm.p3_calc, _xlpm.sp_calc),0))</f>
        <v>0</v>
      </c>
      <c r="AD542" s="29" t="str">
        <f ca="1"/>
        <v>Storage</v>
      </c>
      <c r="AE542" s="30" t="str">
        <f ca="1"/>
        <v>File/Block</v>
      </c>
      <c r="AF542" s="30" t="str">
        <f ca="1"/>
        <v>Planned</v>
      </c>
      <c r="AG542" s="30">
        <f ca="1"/>
        <v>6</v>
      </c>
      <c r="AH542" s="31" t="str">
        <f ca="1"/>
        <v>Unknown</v>
      </c>
      <c r="AI542" s="49">
        <f t="shared" ca="1" si="17"/>
        <v>0</v>
      </c>
      <c r="AJ542" s="71">
        <f ca="1"/>
        <v>0</v>
      </c>
    </row>
    <row r="543" spans="2:36" x14ac:dyDescent="0.25">
      <c r="B543" s="29" t="str">
        <f ca="1"/>
        <v>dal10.sr01.rk533</v>
      </c>
      <c r="C543" s="10" t="s">
        <v>2070</v>
      </c>
      <c r="D543" s="2" t="b" cm="1">
        <f t="array" ref="D543:O543">_xlfn._xlws.FILTER(IF(ancillary!$E$4:$P$8="",FALSE,ancillary!$E$4:$P$8),ancillary!$B$4:$B$8=$C543)</f>
        <v>1</v>
      </c>
      <c r="E543" s="2" t="b">
        <v>1</v>
      </c>
      <c r="F543" s="2" t="b">
        <v>1</v>
      </c>
      <c r="G543" s="2" t="b">
        <v>1</v>
      </c>
      <c r="H543" s="2" t="b">
        <v>1</v>
      </c>
      <c r="I543" s="2" t="b">
        <v>1</v>
      </c>
      <c r="J543" s="2" t="b">
        <v>0</v>
      </c>
      <c r="K543" s="2" t="b">
        <v>0</v>
      </c>
      <c r="L543" s="2" t="b">
        <v>0</v>
      </c>
      <c r="M543" s="2" t="b">
        <v>0</v>
      </c>
      <c r="N543" s="2" t="b">
        <v>0</v>
      </c>
      <c r="O543" s="2" t="b">
        <v>0</v>
      </c>
      <c r="P543" s="68"/>
      <c r="R543" s="69"/>
      <c r="S543" s="68"/>
      <c r="U543" s="69"/>
      <c r="V543" s="68"/>
      <c r="X543" s="69"/>
      <c r="Y543" s="68"/>
      <c r="AA543" s="69"/>
      <c r="AB543" s="33">
        <f t="shared" si="16"/>
        <v>0</v>
      </c>
      <c r="AC543" s="45">
        <f>_xlfn.LET(_xlpm.ps_1,P543:R543, _xlpm.ps_2,S543:U543, _xlpm.ps_3,V543:X543, _xlpm.ps_4,Y543:AA543,
_xlpm.phase, MID(C543,SEARCH("-",C543)+1,256),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(_xlfn.XLOOKUP($C$7,site_assumptions[Details],site_assumptions[Volts])*SUMIFS(P543:AA543,_xlfn.ANCHORARRAY(D543),TRUE)/10*0.95)/1000,
IFERROR(IF(_xlpm.phase="3Phase", _xlpm.p3_calc, _xlpm.sp_calc),0))</f>
        <v>0</v>
      </c>
      <c r="AD543" s="29" t="str">
        <f ca="1"/>
        <v>Storage</v>
      </c>
      <c r="AE543" s="30" t="str">
        <f ca="1"/>
        <v>File/Block</v>
      </c>
      <c r="AF543" s="30" t="str">
        <f ca="1"/>
        <v>Planned</v>
      </c>
      <c r="AG543" s="30">
        <f ca="1"/>
        <v>6</v>
      </c>
      <c r="AH543" s="31" t="str">
        <f ca="1"/>
        <v>Unknown</v>
      </c>
      <c r="AI543" s="49">
        <f t="shared" ca="1" si="17"/>
        <v>0</v>
      </c>
      <c r="AJ543" s="71">
        <f ca="1"/>
        <v>0</v>
      </c>
    </row>
    <row r="544" spans="2:36" x14ac:dyDescent="0.25">
      <c r="B544" s="29" t="str">
        <f ca="1"/>
        <v>dal10.sr01.rk534</v>
      </c>
      <c r="C544" s="10" t="s">
        <v>2070</v>
      </c>
      <c r="D544" s="2" t="b" cm="1">
        <f t="array" ref="D544:O544">_xlfn._xlws.FILTER(IF(ancillary!$E$4:$P$8="",FALSE,ancillary!$E$4:$P$8),ancillary!$B$4:$B$8=$C544)</f>
        <v>1</v>
      </c>
      <c r="E544" s="2" t="b">
        <v>1</v>
      </c>
      <c r="F544" s="2" t="b">
        <v>1</v>
      </c>
      <c r="G544" s="2" t="b">
        <v>1</v>
      </c>
      <c r="H544" s="2" t="b">
        <v>1</v>
      </c>
      <c r="I544" s="2" t="b">
        <v>1</v>
      </c>
      <c r="J544" s="2" t="b">
        <v>0</v>
      </c>
      <c r="K544" s="2" t="b">
        <v>0</v>
      </c>
      <c r="L544" s="2" t="b">
        <v>0</v>
      </c>
      <c r="M544" s="2" t="b">
        <v>0</v>
      </c>
      <c r="N544" s="2" t="b">
        <v>0</v>
      </c>
      <c r="O544" s="2" t="b">
        <v>0</v>
      </c>
      <c r="P544" s="68"/>
      <c r="R544" s="69"/>
      <c r="S544" s="68"/>
      <c r="U544" s="69"/>
      <c r="V544" s="68"/>
      <c r="X544" s="69"/>
      <c r="Y544" s="68"/>
      <c r="AA544" s="69"/>
      <c r="AB544" s="33">
        <f t="shared" si="16"/>
        <v>0</v>
      </c>
      <c r="AC544" s="45">
        <f>_xlfn.LET(_xlpm.ps_1,P544:R544, _xlpm.ps_2,S544:U544, _xlpm.ps_3,V544:X544, _xlpm.ps_4,Y544:AA544,
_xlpm.phase, MID(C544,SEARCH("-",C544)+1,256),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(_xlfn.XLOOKUP($C$7,site_assumptions[Details],site_assumptions[Volts])*SUMIFS(P544:AA544,_xlfn.ANCHORARRAY(D544),TRUE)/10*0.95)/1000,
IFERROR(IF(_xlpm.phase="3Phase", _xlpm.p3_calc, _xlpm.sp_calc),0))</f>
        <v>0</v>
      </c>
      <c r="AD544" s="29" t="str">
        <f ca="1"/>
        <v>Storage</v>
      </c>
      <c r="AE544" s="30" t="str">
        <f ca="1"/>
        <v>File/Block</v>
      </c>
      <c r="AF544" s="30" t="str">
        <f ca="1"/>
        <v>Planned</v>
      </c>
      <c r="AG544" s="30">
        <f ca="1"/>
        <v>6</v>
      </c>
      <c r="AH544" s="31" t="str">
        <f ca="1"/>
        <v>Unknown</v>
      </c>
      <c r="AI544" s="49">
        <f t="shared" ca="1" si="17"/>
        <v>0</v>
      </c>
      <c r="AJ544" s="71">
        <f ca="1"/>
        <v>0</v>
      </c>
    </row>
    <row r="545" spans="2:36" x14ac:dyDescent="0.25">
      <c r="B545" s="29" t="str">
        <f ca="1"/>
        <v>dal10.sr01.rk535</v>
      </c>
      <c r="C545" s="10" t="s">
        <v>2070</v>
      </c>
      <c r="D545" s="2" t="b" cm="1">
        <f t="array" ref="D545:O545">_xlfn._xlws.FILTER(IF(ancillary!$E$4:$P$8="",FALSE,ancillary!$E$4:$P$8),ancillary!$B$4:$B$8=$C545)</f>
        <v>1</v>
      </c>
      <c r="E545" s="2" t="b">
        <v>1</v>
      </c>
      <c r="F545" s="2" t="b">
        <v>1</v>
      </c>
      <c r="G545" s="2" t="b">
        <v>1</v>
      </c>
      <c r="H545" s="2" t="b">
        <v>1</v>
      </c>
      <c r="I545" s="2" t="b">
        <v>1</v>
      </c>
      <c r="J545" s="2" t="b">
        <v>0</v>
      </c>
      <c r="K545" s="2" t="b">
        <v>0</v>
      </c>
      <c r="L545" s="2" t="b">
        <v>0</v>
      </c>
      <c r="M545" s="2" t="b">
        <v>0</v>
      </c>
      <c r="N545" s="2" t="b">
        <v>0</v>
      </c>
      <c r="O545" s="2" t="b">
        <v>0</v>
      </c>
      <c r="P545" s="68"/>
      <c r="R545" s="69"/>
      <c r="S545" s="68"/>
      <c r="U545" s="69"/>
      <c r="V545" s="68"/>
      <c r="X545" s="69"/>
      <c r="Y545" s="68"/>
      <c r="AA545" s="69"/>
      <c r="AB545" s="33">
        <f t="shared" si="16"/>
        <v>0</v>
      </c>
      <c r="AC545" s="45">
        <f>_xlfn.LET(_xlpm.ps_1,P545:R545, _xlpm.ps_2,S545:U545, _xlpm.ps_3,V545:X545, _xlpm.ps_4,Y545:AA545,
_xlpm.phase, MID(C545,SEARCH("-",C545)+1,256),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(_xlfn.XLOOKUP($C$7,site_assumptions[Details],site_assumptions[Volts])*SUMIFS(P545:AA545,_xlfn.ANCHORARRAY(D545),TRUE)/10*0.95)/1000,
IFERROR(IF(_xlpm.phase="3Phase", _xlpm.p3_calc, _xlpm.sp_calc),0))</f>
        <v>0</v>
      </c>
      <c r="AD545" s="29" t="str">
        <f ca="1"/>
        <v>Storage</v>
      </c>
      <c r="AE545" s="30" t="str">
        <f ca="1"/>
        <v>File/Block</v>
      </c>
      <c r="AF545" s="30" t="str">
        <f ca="1"/>
        <v>Planned</v>
      </c>
      <c r="AG545" s="30">
        <f ca="1"/>
        <v>6</v>
      </c>
      <c r="AH545" s="31" t="str">
        <f ca="1"/>
        <v>Unknown</v>
      </c>
      <c r="AI545" s="49">
        <f t="shared" ca="1" si="17"/>
        <v>0</v>
      </c>
      <c r="AJ545" s="71">
        <f ca="1"/>
        <v>0</v>
      </c>
    </row>
    <row r="546" spans="2:36" x14ac:dyDescent="0.25">
      <c r="B546" s="29" t="str">
        <f ca="1"/>
        <v>dal10.sr01.rk536</v>
      </c>
      <c r="C546" s="10" t="s">
        <v>2070</v>
      </c>
      <c r="D546" s="2" t="b" cm="1">
        <f t="array" ref="D546:O546">_xlfn._xlws.FILTER(IF(ancillary!$E$4:$P$8="",FALSE,ancillary!$E$4:$P$8),ancillary!$B$4:$B$8=$C546)</f>
        <v>1</v>
      </c>
      <c r="E546" s="2" t="b">
        <v>1</v>
      </c>
      <c r="F546" s="2" t="b">
        <v>1</v>
      </c>
      <c r="G546" s="2" t="b">
        <v>1</v>
      </c>
      <c r="H546" s="2" t="b">
        <v>1</v>
      </c>
      <c r="I546" s="2" t="b">
        <v>1</v>
      </c>
      <c r="J546" s="2" t="b">
        <v>0</v>
      </c>
      <c r="K546" s="2" t="b">
        <v>0</v>
      </c>
      <c r="L546" s="2" t="b">
        <v>0</v>
      </c>
      <c r="M546" s="2" t="b">
        <v>0</v>
      </c>
      <c r="N546" s="2" t="b">
        <v>0</v>
      </c>
      <c r="O546" s="2" t="b">
        <v>0</v>
      </c>
      <c r="P546" s="68"/>
      <c r="R546" s="69"/>
      <c r="S546" s="68"/>
      <c r="U546" s="69"/>
      <c r="V546" s="68"/>
      <c r="X546" s="69"/>
      <c r="Y546" s="68"/>
      <c r="AA546" s="69"/>
      <c r="AB546" s="33">
        <f t="shared" si="16"/>
        <v>0</v>
      </c>
      <c r="AC546" s="45">
        <f>_xlfn.LET(_xlpm.ps_1,P546:R546, _xlpm.ps_2,S546:U546, _xlpm.ps_3,V546:X546, _xlpm.ps_4,Y546:AA546,
_xlpm.phase, MID(C546,SEARCH("-",C546)+1,256),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(_xlfn.XLOOKUP($C$7,site_assumptions[Details],site_assumptions[Volts])*SUMIFS(P546:AA546,_xlfn.ANCHORARRAY(D546),TRUE)/10*0.95)/1000,
IFERROR(IF(_xlpm.phase="3Phase", _xlpm.p3_calc, _xlpm.sp_calc),0))</f>
        <v>0</v>
      </c>
      <c r="AD546" s="29" t="str">
        <f ca="1"/>
        <v>Storage</v>
      </c>
      <c r="AE546" s="30" t="str">
        <f ca="1"/>
        <v>File/Block</v>
      </c>
      <c r="AF546" s="30" t="str">
        <f ca="1"/>
        <v>Planned</v>
      </c>
      <c r="AG546" s="30">
        <f ca="1"/>
        <v>6</v>
      </c>
      <c r="AH546" s="31" t="str">
        <f ca="1"/>
        <v>Unknown</v>
      </c>
      <c r="AI546" s="49">
        <f t="shared" ca="1" si="17"/>
        <v>0</v>
      </c>
      <c r="AJ546" s="71">
        <f ca="1"/>
        <v>0</v>
      </c>
    </row>
    <row r="547" spans="2:36" x14ac:dyDescent="0.25">
      <c r="B547" s="29" t="str">
        <f ca="1"/>
        <v>dal10.sr01.rk537</v>
      </c>
      <c r="C547" s="10" t="s">
        <v>2070</v>
      </c>
      <c r="D547" s="2" t="b" cm="1">
        <f t="array" ref="D547:O547">_xlfn._xlws.FILTER(IF(ancillary!$E$4:$P$8="",FALSE,ancillary!$E$4:$P$8),ancillary!$B$4:$B$8=$C547)</f>
        <v>1</v>
      </c>
      <c r="E547" s="2" t="b">
        <v>1</v>
      </c>
      <c r="F547" s="2" t="b">
        <v>1</v>
      </c>
      <c r="G547" s="2" t="b">
        <v>1</v>
      </c>
      <c r="H547" s="2" t="b">
        <v>1</v>
      </c>
      <c r="I547" s="2" t="b">
        <v>1</v>
      </c>
      <c r="J547" s="2" t="b">
        <v>0</v>
      </c>
      <c r="K547" s="2" t="b">
        <v>0</v>
      </c>
      <c r="L547" s="2" t="b">
        <v>0</v>
      </c>
      <c r="M547" s="2" t="b">
        <v>0</v>
      </c>
      <c r="N547" s="2" t="b">
        <v>0</v>
      </c>
      <c r="O547" s="2" t="b">
        <v>0</v>
      </c>
      <c r="P547" s="68"/>
      <c r="R547" s="69"/>
      <c r="S547" s="68"/>
      <c r="U547" s="69"/>
      <c r="V547" s="68"/>
      <c r="X547" s="69"/>
      <c r="Y547" s="68"/>
      <c r="AA547" s="69"/>
      <c r="AB547" s="33">
        <f t="shared" si="16"/>
        <v>0</v>
      </c>
      <c r="AC547" s="45">
        <f>_xlfn.LET(_xlpm.ps_1,P547:R547, _xlpm.ps_2,S547:U547, _xlpm.ps_3,V547:X547, _xlpm.ps_4,Y547:AA547,
_xlpm.phase, MID(C547,SEARCH("-",C547)+1,256),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(_xlfn.XLOOKUP($C$7,site_assumptions[Details],site_assumptions[Volts])*SUMIFS(P547:AA547,_xlfn.ANCHORARRAY(D547),TRUE)/10*0.95)/1000,
IFERROR(IF(_xlpm.phase="3Phase", _xlpm.p3_calc, _xlpm.sp_calc),0))</f>
        <v>0</v>
      </c>
      <c r="AD547" s="29" t="str">
        <f ca="1"/>
        <v>Storage</v>
      </c>
      <c r="AE547" s="30" t="str">
        <f ca="1"/>
        <v>File/Block</v>
      </c>
      <c r="AF547" s="30" t="str">
        <f ca="1"/>
        <v>Planned</v>
      </c>
      <c r="AG547" s="30">
        <f ca="1"/>
        <v>6</v>
      </c>
      <c r="AH547" s="31" t="str">
        <f ca="1"/>
        <v>Unknown</v>
      </c>
      <c r="AI547" s="49">
        <f t="shared" ca="1" si="17"/>
        <v>0</v>
      </c>
      <c r="AJ547" s="71">
        <f ca="1"/>
        <v>0</v>
      </c>
    </row>
    <row r="548" spans="2:36" x14ac:dyDescent="0.25">
      <c r="B548" s="29" t="str">
        <f ca="1"/>
        <v>dal10.sr01.rk538</v>
      </c>
      <c r="C548" s="10" t="s">
        <v>2070</v>
      </c>
      <c r="D548" s="2" t="b" cm="1">
        <f t="array" ref="D548:O548">_xlfn._xlws.FILTER(IF(ancillary!$E$4:$P$8="",FALSE,ancillary!$E$4:$P$8),ancillary!$B$4:$B$8=$C548)</f>
        <v>1</v>
      </c>
      <c r="E548" s="2" t="b">
        <v>1</v>
      </c>
      <c r="F548" s="2" t="b">
        <v>1</v>
      </c>
      <c r="G548" s="2" t="b">
        <v>1</v>
      </c>
      <c r="H548" s="2" t="b">
        <v>1</v>
      </c>
      <c r="I548" s="2" t="b">
        <v>1</v>
      </c>
      <c r="J548" s="2" t="b">
        <v>0</v>
      </c>
      <c r="K548" s="2" t="b">
        <v>0</v>
      </c>
      <c r="L548" s="2" t="b">
        <v>0</v>
      </c>
      <c r="M548" s="2" t="b">
        <v>0</v>
      </c>
      <c r="N548" s="2" t="b">
        <v>0</v>
      </c>
      <c r="O548" s="2" t="b">
        <v>0</v>
      </c>
      <c r="P548" s="68"/>
      <c r="R548" s="69"/>
      <c r="S548" s="68"/>
      <c r="U548" s="69"/>
      <c r="V548" s="68"/>
      <c r="X548" s="69"/>
      <c r="Y548" s="68"/>
      <c r="AA548" s="69"/>
      <c r="AB548" s="33">
        <f t="shared" si="16"/>
        <v>0</v>
      </c>
      <c r="AC548" s="45">
        <f>_xlfn.LET(_xlpm.ps_1,P548:R548, _xlpm.ps_2,S548:U548, _xlpm.ps_3,V548:X548, _xlpm.ps_4,Y548:AA548,
_xlpm.phase, MID(C548,SEARCH("-",C548)+1,256),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(_xlfn.XLOOKUP($C$7,site_assumptions[Details],site_assumptions[Volts])*SUMIFS(P548:AA548,_xlfn.ANCHORARRAY(D548),TRUE)/10*0.95)/1000,
IFERROR(IF(_xlpm.phase="3Phase", _xlpm.p3_calc, _xlpm.sp_calc),0))</f>
        <v>0</v>
      </c>
      <c r="AD548" s="29" t="str">
        <f ca="1"/>
        <v>Storage</v>
      </c>
      <c r="AE548" s="30" t="str">
        <f ca="1"/>
        <v>File/Block</v>
      </c>
      <c r="AF548" s="30" t="str">
        <f ca="1"/>
        <v>Planned</v>
      </c>
      <c r="AG548" s="30">
        <f ca="1"/>
        <v>6</v>
      </c>
      <c r="AH548" s="31" t="str">
        <f ca="1"/>
        <v>Unknown</v>
      </c>
      <c r="AI548" s="49">
        <f t="shared" ca="1" si="17"/>
        <v>0</v>
      </c>
      <c r="AJ548" s="71">
        <f ca="1"/>
        <v>0</v>
      </c>
    </row>
    <row r="549" spans="2:36" x14ac:dyDescent="0.25">
      <c r="B549" s="29" t="str">
        <f ca="1"/>
        <v>dal10.sr01.rk539</v>
      </c>
      <c r="C549" s="10" t="s">
        <v>2070</v>
      </c>
      <c r="D549" s="2" t="b" cm="1">
        <f t="array" ref="D549:O549">_xlfn._xlws.FILTER(IF(ancillary!$E$4:$P$8="",FALSE,ancillary!$E$4:$P$8),ancillary!$B$4:$B$8=$C549)</f>
        <v>1</v>
      </c>
      <c r="E549" s="2" t="b">
        <v>1</v>
      </c>
      <c r="F549" s="2" t="b">
        <v>1</v>
      </c>
      <c r="G549" s="2" t="b">
        <v>1</v>
      </c>
      <c r="H549" s="2" t="b">
        <v>1</v>
      </c>
      <c r="I549" s="2" t="b">
        <v>1</v>
      </c>
      <c r="J549" s="2" t="b">
        <v>0</v>
      </c>
      <c r="K549" s="2" t="b">
        <v>0</v>
      </c>
      <c r="L549" s="2" t="b">
        <v>0</v>
      </c>
      <c r="M549" s="2" t="b">
        <v>0</v>
      </c>
      <c r="N549" s="2" t="b">
        <v>0</v>
      </c>
      <c r="O549" s="2" t="b">
        <v>0</v>
      </c>
      <c r="P549" s="68"/>
      <c r="R549" s="69"/>
      <c r="S549" s="68"/>
      <c r="U549" s="69"/>
      <c r="V549" s="68"/>
      <c r="X549" s="69"/>
      <c r="Y549" s="68"/>
      <c r="AA549" s="69"/>
      <c r="AB549" s="33">
        <f t="shared" si="16"/>
        <v>0</v>
      </c>
      <c r="AC549" s="45">
        <f>_xlfn.LET(_xlpm.ps_1,P549:R549, _xlpm.ps_2,S549:U549, _xlpm.ps_3,V549:X549, _xlpm.ps_4,Y549:AA549,
_xlpm.phase, MID(C549,SEARCH("-",C549)+1,256),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(_xlfn.XLOOKUP($C$7,site_assumptions[Details],site_assumptions[Volts])*SUMIFS(P549:AA549,_xlfn.ANCHORARRAY(D549),TRUE)/10*0.95)/1000,
IFERROR(IF(_xlpm.phase="3Phase", _xlpm.p3_calc, _xlpm.sp_calc),0))</f>
        <v>0</v>
      </c>
      <c r="AD549" s="29" t="str">
        <f ca="1"/>
        <v>Storage</v>
      </c>
      <c r="AE549" s="30" t="str">
        <f ca="1"/>
        <v>File/Block</v>
      </c>
      <c r="AF549" s="30" t="str">
        <f ca="1"/>
        <v>Planned</v>
      </c>
      <c r="AG549" s="30">
        <f ca="1"/>
        <v>6</v>
      </c>
      <c r="AH549" s="31" t="str">
        <f ca="1"/>
        <v>Unknown</v>
      </c>
      <c r="AI549" s="49">
        <f t="shared" ca="1" si="17"/>
        <v>0</v>
      </c>
      <c r="AJ549" s="71">
        <f ca="1"/>
        <v>0</v>
      </c>
    </row>
    <row r="550" spans="2:36" x14ac:dyDescent="0.25">
      <c r="B550" s="29" t="str">
        <f ca="1"/>
        <v>dal10.sr01.rk540</v>
      </c>
      <c r="C550" s="10" t="s">
        <v>2070</v>
      </c>
      <c r="D550" s="2" t="b" cm="1">
        <f t="array" ref="D550:O550">_xlfn._xlws.FILTER(IF(ancillary!$E$4:$P$8="",FALSE,ancillary!$E$4:$P$8),ancillary!$B$4:$B$8=$C550)</f>
        <v>1</v>
      </c>
      <c r="E550" s="2" t="b">
        <v>1</v>
      </c>
      <c r="F550" s="2" t="b">
        <v>1</v>
      </c>
      <c r="G550" s="2" t="b">
        <v>1</v>
      </c>
      <c r="H550" s="2" t="b">
        <v>1</v>
      </c>
      <c r="I550" s="2" t="b">
        <v>1</v>
      </c>
      <c r="J550" s="2" t="b">
        <v>0</v>
      </c>
      <c r="K550" s="2" t="b">
        <v>0</v>
      </c>
      <c r="L550" s="2" t="b">
        <v>0</v>
      </c>
      <c r="M550" s="2" t="b">
        <v>0</v>
      </c>
      <c r="N550" s="2" t="b">
        <v>0</v>
      </c>
      <c r="O550" s="2" t="b">
        <v>0</v>
      </c>
      <c r="P550" s="68"/>
      <c r="R550" s="69"/>
      <c r="S550" s="68"/>
      <c r="U550" s="69"/>
      <c r="V550" s="68"/>
      <c r="X550" s="69"/>
      <c r="Y550" s="68"/>
      <c r="AA550" s="69"/>
      <c r="AB550" s="33">
        <f t="shared" si="16"/>
        <v>0</v>
      </c>
      <c r="AC550" s="45">
        <f>_xlfn.LET(_xlpm.ps_1,P550:R550, _xlpm.ps_2,S550:U550, _xlpm.ps_3,V550:X550, _xlpm.ps_4,Y550:AA550,
_xlpm.phase, MID(C550,SEARCH("-",C550)+1,256),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(_xlfn.XLOOKUP($C$7,site_assumptions[Details],site_assumptions[Volts])*SUMIFS(P550:AA550,_xlfn.ANCHORARRAY(D550),TRUE)/10*0.95)/1000,
IFERROR(IF(_xlpm.phase="3Phase", _xlpm.p3_calc, _xlpm.sp_calc),0))</f>
        <v>0</v>
      </c>
      <c r="AD550" s="29" t="str">
        <f ca="1"/>
        <v>Compute</v>
      </c>
      <c r="AE550" s="30" t="str">
        <f ca="1"/>
        <v>Hybrid</v>
      </c>
      <c r="AF550" s="30" t="str">
        <f ca="1"/>
        <v>Live</v>
      </c>
      <c r="AG550" s="30">
        <f ca="1"/>
        <v>10</v>
      </c>
      <c r="AH550" s="31" t="str">
        <f ca="1"/>
        <v>Unknown</v>
      </c>
      <c r="AI550" s="49">
        <f t="shared" ca="1" si="17"/>
        <v>0</v>
      </c>
      <c r="AJ550" s="71">
        <f ca="1"/>
        <v>9.4619999999999997</v>
      </c>
    </row>
    <row r="551" spans="2:36" x14ac:dyDescent="0.25">
      <c r="B551" s="29" t="str">
        <f ca="1"/>
        <v>dal10.sr01.rk541</v>
      </c>
      <c r="C551" s="10" t="s">
        <v>2070</v>
      </c>
      <c r="D551" s="2" t="b" cm="1">
        <f t="array" ref="D551:O551">_xlfn._xlws.FILTER(IF(ancillary!$E$4:$P$8="",FALSE,ancillary!$E$4:$P$8),ancillary!$B$4:$B$8=$C551)</f>
        <v>1</v>
      </c>
      <c r="E551" s="2" t="b">
        <v>1</v>
      </c>
      <c r="F551" s="2" t="b">
        <v>1</v>
      </c>
      <c r="G551" s="2" t="b">
        <v>1</v>
      </c>
      <c r="H551" s="2" t="b">
        <v>1</v>
      </c>
      <c r="I551" s="2" t="b">
        <v>1</v>
      </c>
      <c r="J551" s="2" t="b">
        <v>0</v>
      </c>
      <c r="K551" s="2" t="b">
        <v>0</v>
      </c>
      <c r="L551" s="2" t="b">
        <v>0</v>
      </c>
      <c r="M551" s="2" t="b">
        <v>0</v>
      </c>
      <c r="N551" s="2" t="b">
        <v>0</v>
      </c>
      <c r="O551" s="2" t="b">
        <v>0</v>
      </c>
      <c r="P551" s="68"/>
      <c r="R551" s="69"/>
      <c r="S551" s="68"/>
      <c r="U551" s="69"/>
      <c r="V551" s="68"/>
      <c r="X551" s="69"/>
      <c r="Y551" s="68"/>
      <c r="AA551" s="69"/>
      <c r="AB551" s="33">
        <f t="shared" si="16"/>
        <v>0</v>
      </c>
      <c r="AC551" s="45">
        <f>_xlfn.LET(_xlpm.ps_1,P551:R551, _xlpm.ps_2,S551:U551, _xlpm.ps_3,V551:X551, _xlpm.ps_4,Y551:AA551,
_xlpm.phase, MID(C551,SEARCH("-",C551)+1,256),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(_xlfn.XLOOKUP($C$7,site_assumptions[Details],site_assumptions[Volts])*SUMIFS(P551:AA551,_xlfn.ANCHORARRAY(D551),TRUE)/10*0.95)/1000,
IFERROR(IF(_xlpm.phase="3Phase", _xlpm.p3_calc, _xlpm.sp_calc),0))</f>
        <v>0</v>
      </c>
      <c r="AD551" s="29" t="str">
        <f ca="1"/>
        <v>Bare Metal</v>
      </c>
      <c r="AE551" s="30" t="str">
        <f ca="1"/>
        <v>Bare Metal</v>
      </c>
      <c r="AF551" s="30" t="str">
        <f ca="1"/>
        <v>Live</v>
      </c>
      <c r="AG551" s="30">
        <f ca="1"/>
        <v>6</v>
      </c>
      <c r="AH551" s="31" t="str">
        <f ca="1"/>
        <v>Unknown</v>
      </c>
      <c r="AI551" s="49">
        <f t="shared" ca="1" si="17"/>
        <v>0</v>
      </c>
      <c r="AJ551" s="71">
        <f ca="1"/>
        <v>2.85</v>
      </c>
    </row>
    <row r="552" spans="2:36" x14ac:dyDescent="0.25">
      <c r="B552" s="29" t="str">
        <f ca="1"/>
        <v>dal10.sr01.rk542</v>
      </c>
      <c r="C552" s="10" t="s">
        <v>2070</v>
      </c>
      <c r="D552" s="2" t="b" cm="1">
        <f t="array" ref="D552:O552">_xlfn._xlws.FILTER(IF(ancillary!$E$4:$P$8="",FALSE,ancillary!$E$4:$P$8),ancillary!$B$4:$B$8=$C552)</f>
        <v>1</v>
      </c>
      <c r="E552" s="2" t="b">
        <v>1</v>
      </c>
      <c r="F552" s="2" t="b">
        <v>1</v>
      </c>
      <c r="G552" s="2" t="b">
        <v>1</v>
      </c>
      <c r="H552" s="2" t="b">
        <v>1</v>
      </c>
      <c r="I552" s="2" t="b">
        <v>1</v>
      </c>
      <c r="J552" s="2" t="b">
        <v>0</v>
      </c>
      <c r="K552" s="2" t="b">
        <v>0</v>
      </c>
      <c r="L552" s="2" t="b">
        <v>0</v>
      </c>
      <c r="M552" s="2" t="b">
        <v>0</v>
      </c>
      <c r="N552" s="2" t="b">
        <v>0</v>
      </c>
      <c r="O552" s="2" t="b">
        <v>0</v>
      </c>
      <c r="P552" s="68"/>
      <c r="R552" s="69"/>
      <c r="S552" s="68"/>
      <c r="U552" s="69"/>
      <c r="V552" s="68"/>
      <c r="X552" s="69"/>
      <c r="Y552" s="68"/>
      <c r="AA552" s="69"/>
      <c r="AB552" s="33">
        <f t="shared" si="16"/>
        <v>0</v>
      </c>
      <c r="AC552" s="45">
        <f>_xlfn.LET(_xlpm.ps_1,P552:R552, _xlpm.ps_2,S552:U552, _xlpm.ps_3,V552:X552, _xlpm.ps_4,Y552:AA552,
_xlpm.phase, MID(C552,SEARCH("-",C552)+1,256),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(_xlfn.XLOOKUP($C$7,site_assumptions[Details],site_assumptions[Volts])*SUMIFS(P552:AA552,_xlfn.ANCHORARRAY(D552),TRUE)/10*0.95)/1000,
IFERROR(IF(_xlpm.phase="3Phase", _xlpm.p3_calc, _xlpm.sp_calc),0))</f>
        <v>0</v>
      </c>
      <c r="AD552" s="29" t="str">
        <f ca="1"/>
        <v>Bare Metal</v>
      </c>
      <c r="AE552" s="30" t="str">
        <f ca="1"/>
        <v>Bare Metal</v>
      </c>
      <c r="AF552" s="30" t="str">
        <f ca="1"/>
        <v>Live</v>
      </c>
      <c r="AG552" s="30">
        <f ca="1"/>
        <v>6</v>
      </c>
      <c r="AH552" s="31" t="str">
        <f ca="1"/>
        <v>Unknown</v>
      </c>
      <c r="AI552" s="49">
        <f t="shared" ca="1" si="17"/>
        <v>0</v>
      </c>
      <c r="AJ552" s="71">
        <f ca="1"/>
        <v>3.758</v>
      </c>
    </row>
    <row r="553" spans="2:36" x14ac:dyDescent="0.25">
      <c r="B553" s="29" t="str">
        <f ca="1"/>
        <v>dal10.sr01.rk543</v>
      </c>
      <c r="C553" s="10" t="s">
        <v>2070</v>
      </c>
      <c r="D553" s="2" t="b" cm="1">
        <f t="array" ref="D553:O553">_xlfn._xlws.FILTER(IF(ancillary!$E$4:$P$8="",FALSE,ancillary!$E$4:$P$8),ancillary!$B$4:$B$8=$C553)</f>
        <v>1</v>
      </c>
      <c r="E553" s="2" t="b">
        <v>1</v>
      </c>
      <c r="F553" s="2" t="b">
        <v>1</v>
      </c>
      <c r="G553" s="2" t="b">
        <v>1</v>
      </c>
      <c r="H553" s="2" t="b">
        <v>1</v>
      </c>
      <c r="I553" s="2" t="b">
        <v>1</v>
      </c>
      <c r="J553" s="2" t="b">
        <v>0</v>
      </c>
      <c r="K553" s="2" t="b">
        <v>0</v>
      </c>
      <c r="L553" s="2" t="b">
        <v>0</v>
      </c>
      <c r="M553" s="2" t="b">
        <v>0</v>
      </c>
      <c r="N553" s="2" t="b">
        <v>0</v>
      </c>
      <c r="O553" s="2" t="b">
        <v>0</v>
      </c>
      <c r="P553" s="68"/>
      <c r="R553" s="69"/>
      <c r="S553" s="68"/>
      <c r="U553" s="69"/>
      <c r="V553" s="68"/>
      <c r="X553" s="69"/>
      <c r="Y553" s="68"/>
      <c r="AA553" s="69"/>
      <c r="AB553" s="33">
        <f t="shared" si="16"/>
        <v>0</v>
      </c>
      <c r="AC553" s="45">
        <f>_xlfn.LET(_xlpm.ps_1,P553:R553, _xlpm.ps_2,S553:U553, _xlpm.ps_3,V553:X553, _xlpm.ps_4,Y553:AA553,
_xlpm.phase, MID(C553,SEARCH("-",C553)+1,256),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(_xlfn.XLOOKUP($C$7,site_assumptions[Details],site_assumptions[Volts])*SUMIFS(P553:AA553,_xlfn.ANCHORARRAY(D553),TRUE)/10*0.95)/1000,
IFERROR(IF(_xlpm.phase="3Phase", _xlpm.p3_calc, _xlpm.sp_calc),0))</f>
        <v>0</v>
      </c>
      <c r="AD553" s="29" t="str">
        <f ca="1"/>
        <v>Bare Metal</v>
      </c>
      <c r="AE553" s="30" t="str">
        <f ca="1"/>
        <v>Bare Metal</v>
      </c>
      <c r="AF553" s="30" t="str">
        <f ca="1"/>
        <v>Live</v>
      </c>
      <c r="AG553" s="30">
        <f ca="1"/>
        <v>6</v>
      </c>
      <c r="AH553" s="31" t="str">
        <f ca="1"/>
        <v>Unknown</v>
      </c>
      <c r="AI553" s="49">
        <f t="shared" ca="1" si="17"/>
        <v>0</v>
      </c>
      <c r="AJ553" s="71">
        <f ca="1"/>
        <v>4.6879999999999997</v>
      </c>
    </row>
    <row r="554" spans="2:36" x14ac:dyDescent="0.25">
      <c r="B554" s="29" t="str">
        <f ca="1"/>
        <v>dal10.sr01.rk544</v>
      </c>
      <c r="C554" s="10" t="s">
        <v>2070</v>
      </c>
      <c r="D554" s="2" t="b" cm="1">
        <f t="array" ref="D554:O554">_xlfn._xlws.FILTER(IF(ancillary!$E$4:$P$8="",FALSE,ancillary!$E$4:$P$8),ancillary!$B$4:$B$8=$C554)</f>
        <v>1</v>
      </c>
      <c r="E554" s="2" t="b">
        <v>1</v>
      </c>
      <c r="F554" s="2" t="b">
        <v>1</v>
      </c>
      <c r="G554" s="2" t="b">
        <v>1</v>
      </c>
      <c r="H554" s="2" t="b">
        <v>1</v>
      </c>
      <c r="I554" s="2" t="b">
        <v>1</v>
      </c>
      <c r="J554" s="2" t="b">
        <v>0</v>
      </c>
      <c r="K554" s="2" t="b">
        <v>0</v>
      </c>
      <c r="L554" s="2" t="b">
        <v>0</v>
      </c>
      <c r="M554" s="2" t="b">
        <v>0</v>
      </c>
      <c r="N554" s="2" t="b">
        <v>0</v>
      </c>
      <c r="O554" s="2" t="b">
        <v>0</v>
      </c>
      <c r="P554" s="68"/>
      <c r="R554" s="69"/>
      <c r="S554" s="68"/>
      <c r="U554" s="69"/>
      <c r="V554" s="68"/>
      <c r="X554" s="69"/>
      <c r="Y554" s="68"/>
      <c r="AA554" s="69"/>
      <c r="AB554" s="33">
        <f t="shared" si="16"/>
        <v>0</v>
      </c>
      <c r="AC554" s="45">
        <f>_xlfn.LET(_xlpm.ps_1,P554:R554, _xlpm.ps_2,S554:U554, _xlpm.ps_3,V554:X554, _xlpm.ps_4,Y554:AA554,
_xlpm.phase, MID(C554,SEARCH("-",C554)+1,256),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(_xlfn.XLOOKUP($C$7,site_assumptions[Details],site_assumptions[Volts])*SUMIFS(P554:AA554,_xlfn.ANCHORARRAY(D554),TRUE)/10*0.95)/1000,
IFERROR(IF(_xlpm.phase="3Phase", _xlpm.p3_calc, _xlpm.sp_calc),0))</f>
        <v>0</v>
      </c>
      <c r="AD554" s="29" t="str">
        <f ca="1"/>
        <v>Bare Metal</v>
      </c>
      <c r="AE554" s="30" t="str">
        <f ca="1"/>
        <v>Bare Metal</v>
      </c>
      <c r="AF554" s="30" t="str">
        <f ca="1"/>
        <v>Live</v>
      </c>
      <c r="AG554" s="30">
        <f ca="1"/>
        <v>6</v>
      </c>
      <c r="AH554" s="31" t="str">
        <f ca="1"/>
        <v>Unknown</v>
      </c>
      <c r="AI554" s="49">
        <f t="shared" ca="1" si="17"/>
        <v>0</v>
      </c>
      <c r="AJ554" s="71">
        <f ca="1"/>
        <v>3.84</v>
      </c>
    </row>
    <row r="555" spans="2:36" x14ac:dyDescent="0.25">
      <c r="B555" s="29" t="str">
        <f ca="1"/>
        <v>dal10.sr01.rk545</v>
      </c>
      <c r="C555" s="10" t="s">
        <v>2070</v>
      </c>
      <c r="D555" s="2" t="b" cm="1">
        <f t="array" ref="D555:O555">_xlfn._xlws.FILTER(IF(ancillary!$E$4:$P$8="",FALSE,ancillary!$E$4:$P$8),ancillary!$B$4:$B$8=$C555)</f>
        <v>1</v>
      </c>
      <c r="E555" s="2" t="b">
        <v>1</v>
      </c>
      <c r="F555" s="2" t="b">
        <v>1</v>
      </c>
      <c r="G555" s="2" t="b">
        <v>1</v>
      </c>
      <c r="H555" s="2" t="b">
        <v>1</v>
      </c>
      <c r="I555" s="2" t="b">
        <v>1</v>
      </c>
      <c r="J555" s="2" t="b">
        <v>0</v>
      </c>
      <c r="K555" s="2" t="b">
        <v>0</v>
      </c>
      <c r="L555" s="2" t="b">
        <v>0</v>
      </c>
      <c r="M555" s="2" t="b">
        <v>0</v>
      </c>
      <c r="N555" s="2" t="b">
        <v>0</v>
      </c>
      <c r="O555" s="2" t="b">
        <v>0</v>
      </c>
      <c r="P555" s="68"/>
      <c r="R555" s="69"/>
      <c r="S555" s="68"/>
      <c r="U555" s="69"/>
      <c r="V555" s="68"/>
      <c r="X555" s="69"/>
      <c r="Y555" s="68"/>
      <c r="AA555" s="69"/>
      <c r="AB555" s="33">
        <f t="shared" si="16"/>
        <v>0</v>
      </c>
      <c r="AC555" s="45">
        <f>_xlfn.LET(_xlpm.ps_1,P555:R555, _xlpm.ps_2,S555:U555, _xlpm.ps_3,V555:X555, _xlpm.ps_4,Y555:AA555,
_xlpm.phase, MID(C555,SEARCH("-",C555)+1,256),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(_xlfn.XLOOKUP($C$7,site_assumptions[Details],site_assumptions[Volts])*SUMIFS(P555:AA555,_xlfn.ANCHORARRAY(D555),TRUE)/10*0.95)/1000,
IFERROR(IF(_xlpm.phase="3Phase", _xlpm.p3_calc, _xlpm.sp_calc),0))</f>
        <v>0</v>
      </c>
      <c r="AD555" s="29" t="str">
        <f ca="1"/>
        <v>Network</v>
      </c>
      <c r="AE555" s="30" t="str">
        <f ca="1"/>
        <v>Aggregate</v>
      </c>
      <c r="AF555" s="30" t="str">
        <f ca="1"/>
        <v>Live</v>
      </c>
      <c r="AG555" s="30">
        <f ca="1"/>
        <v>5</v>
      </c>
      <c r="AH555" s="31" t="str">
        <f ca="1"/>
        <v>Unknown</v>
      </c>
      <c r="AI555" s="49">
        <f t="shared" ca="1" si="17"/>
        <v>0</v>
      </c>
      <c r="AJ555" s="71">
        <f ca="1"/>
        <v>0</v>
      </c>
    </row>
    <row r="556" spans="2:36" x14ac:dyDescent="0.25">
      <c r="B556" s="29" t="str">
        <f ca="1"/>
        <v>dal10.sr01.rk546</v>
      </c>
      <c r="C556" s="10" t="s">
        <v>2070</v>
      </c>
      <c r="D556" s="2" t="b" cm="1">
        <f t="array" ref="D556:O556">_xlfn._xlws.FILTER(IF(ancillary!$E$4:$P$8="",FALSE,ancillary!$E$4:$P$8),ancillary!$B$4:$B$8=$C556)</f>
        <v>1</v>
      </c>
      <c r="E556" s="2" t="b">
        <v>1</v>
      </c>
      <c r="F556" s="2" t="b">
        <v>1</v>
      </c>
      <c r="G556" s="2" t="b">
        <v>1</v>
      </c>
      <c r="H556" s="2" t="b">
        <v>1</v>
      </c>
      <c r="I556" s="2" t="b">
        <v>1</v>
      </c>
      <c r="J556" s="2" t="b">
        <v>0</v>
      </c>
      <c r="K556" s="2" t="b">
        <v>0</v>
      </c>
      <c r="L556" s="2" t="b">
        <v>0</v>
      </c>
      <c r="M556" s="2" t="b">
        <v>0</v>
      </c>
      <c r="N556" s="2" t="b">
        <v>0</v>
      </c>
      <c r="O556" s="2" t="b">
        <v>0</v>
      </c>
      <c r="P556" s="68"/>
      <c r="R556" s="69"/>
      <c r="S556" s="68"/>
      <c r="U556" s="69"/>
      <c r="V556" s="68"/>
      <c r="X556" s="69"/>
      <c r="Y556" s="68"/>
      <c r="AA556" s="69"/>
      <c r="AB556" s="33">
        <f t="shared" si="16"/>
        <v>0</v>
      </c>
      <c r="AC556" s="45">
        <f>_xlfn.LET(_xlpm.ps_1,P556:R556, _xlpm.ps_2,S556:U556, _xlpm.ps_3,V556:X556, _xlpm.ps_4,Y556:AA556,
_xlpm.phase, MID(C556,SEARCH("-",C556)+1,256),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(_xlfn.XLOOKUP($C$7,site_assumptions[Details],site_assumptions[Volts])*SUMIFS(P556:AA556,_xlfn.ANCHORARRAY(D556),TRUE)/10*0.95)/1000,
IFERROR(IF(_xlpm.phase="3Phase", _xlpm.p3_calc, _xlpm.sp_calc),0))</f>
        <v>0</v>
      </c>
      <c r="AD556" s="29" t="str">
        <f ca="1"/>
        <v>Bare Metal</v>
      </c>
      <c r="AE556" s="30" t="str">
        <f ca="1"/>
        <v>Bare Metal</v>
      </c>
      <c r="AF556" s="30" t="str">
        <f ca="1"/>
        <v>Live</v>
      </c>
      <c r="AG556" s="30">
        <f ca="1"/>
        <v>6</v>
      </c>
      <c r="AH556" s="31" t="str">
        <f ca="1"/>
        <v>Unknown</v>
      </c>
      <c r="AI556" s="49">
        <f t="shared" ca="1" si="17"/>
        <v>0</v>
      </c>
      <c r="AJ556" s="71">
        <f ca="1"/>
        <v>2.9860000000000002</v>
      </c>
    </row>
    <row r="557" spans="2:36" x14ac:dyDescent="0.25">
      <c r="B557" s="29" t="str">
        <f ca="1"/>
        <v>dal10.sr01.rk547</v>
      </c>
      <c r="C557" s="10" t="s">
        <v>2070</v>
      </c>
      <c r="D557" s="2" t="b" cm="1">
        <f t="array" ref="D557:O557">_xlfn._xlws.FILTER(IF(ancillary!$E$4:$P$8="",FALSE,ancillary!$E$4:$P$8),ancillary!$B$4:$B$8=$C557)</f>
        <v>1</v>
      </c>
      <c r="E557" s="2" t="b">
        <v>1</v>
      </c>
      <c r="F557" s="2" t="b">
        <v>1</v>
      </c>
      <c r="G557" s="2" t="b">
        <v>1</v>
      </c>
      <c r="H557" s="2" t="b">
        <v>1</v>
      </c>
      <c r="I557" s="2" t="b">
        <v>1</v>
      </c>
      <c r="J557" s="2" t="b">
        <v>0</v>
      </c>
      <c r="K557" s="2" t="b">
        <v>0</v>
      </c>
      <c r="L557" s="2" t="b">
        <v>0</v>
      </c>
      <c r="M557" s="2" t="b">
        <v>0</v>
      </c>
      <c r="N557" s="2" t="b">
        <v>0</v>
      </c>
      <c r="O557" s="2" t="b">
        <v>0</v>
      </c>
      <c r="P557" s="68"/>
      <c r="R557" s="69"/>
      <c r="S557" s="68"/>
      <c r="U557" s="69"/>
      <c r="V557" s="68"/>
      <c r="X557" s="69"/>
      <c r="Y557" s="68"/>
      <c r="AA557" s="69"/>
      <c r="AB557" s="33">
        <f t="shared" si="16"/>
        <v>0</v>
      </c>
      <c r="AC557" s="45">
        <f>_xlfn.LET(_xlpm.ps_1,P557:R557, _xlpm.ps_2,S557:U557, _xlpm.ps_3,V557:X557, _xlpm.ps_4,Y557:AA557,
_xlpm.phase, MID(C557,SEARCH("-",C557)+1,256),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(_xlfn.XLOOKUP($C$7,site_assumptions[Details],site_assumptions[Volts])*SUMIFS(P557:AA557,_xlfn.ANCHORARRAY(D557),TRUE)/10*0.95)/1000,
IFERROR(IF(_xlpm.phase="3Phase", _xlpm.p3_calc, _xlpm.sp_calc),0))</f>
        <v>0</v>
      </c>
      <c r="AD557" s="29" t="str">
        <f ca="1"/>
        <v>Bare Metal</v>
      </c>
      <c r="AE557" s="30" t="str">
        <f ca="1"/>
        <v>Bare Metal</v>
      </c>
      <c r="AF557" s="30" t="str">
        <f ca="1"/>
        <v>Live</v>
      </c>
      <c r="AG557" s="30">
        <f ca="1"/>
        <v>6</v>
      </c>
      <c r="AH557" s="31" t="str">
        <f ca="1"/>
        <v>Unknown</v>
      </c>
      <c r="AI557" s="49">
        <f t="shared" ca="1" si="17"/>
        <v>0</v>
      </c>
      <c r="AJ557" s="71">
        <f ca="1"/>
        <v>3.8660000000000001</v>
      </c>
    </row>
    <row r="558" spans="2:36" x14ac:dyDescent="0.25">
      <c r="B558" s="29" t="str">
        <f ca="1"/>
        <v>dal10.sr01.rk548</v>
      </c>
      <c r="C558" s="10" t="s">
        <v>2070</v>
      </c>
      <c r="D558" s="2" t="b" cm="1">
        <f t="array" ref="D558:O558">_xlfn._xlws.FILTER(IF(ancillary!$E$4:$P$8="",FALSE,ancillary!$E$4:$P$8),ancillary!$B$4:$B$8=$C558)</f>
        <v>1</v>
      </c>
      <c r="E558" s="2" t="b">
        <v>1</v>
      </c>
      <c r="F558" s="2" t="b">
        <v>1</v>
      </c>
      <c r="G558" s="2" t="b">
        <v>1</v>
      </c>
      <c r="H558" s="2" t="b">
        <v>1</v>
      </c>
      <c r="I558" s="2" t="b">
        <v>1</v>
      </c>
      <c r="J558" s="2" t="b">
        <v>0</v>
      </c>
      <c r="K558" s="2" t="b">
        <v>0</v>
      </c>
      <c r="L558" s="2" t="b">
        <v>0</v>
      </c>
      <c r="M558" s="2" t="b">
        <v>0</v>
      </c>
      <c r="N558" s="2" t="b">
        <v>0</v>
      </c>
      <c r="O558" s="2" t="b">
        <v>0</v>
      </c>
      <c r="P558" s="68"/>
      <c r="R558" s="69"/>
      <c r="S558" s="68"/>
      <c r="U558" s="69"/>
      <c r="V558" s="68"/>
      <c r="X558" s="69"/>
      <c r="Y558" s="68"/>
      <c r="AA558" s="69"/>
      <c r="AB558" s="33">
        <f t="shared" si="16"/>
        <v>0</v>
      </c>
      <c r="AC558" s="45">
        <f>_xlfn.LET(_xlpm.ps_1,P558:R558, _xlpm.ps_2,S558:U558, _xlpm.ps_3,V558:X558, _xlpm.ps_4,Y558:AA558,
_xlpm.phase, MID(C558,SEARCH("-",C558)+1,256),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(_xlfn.XLOOKUP($C$7,site_assumptions[Details],site_assumptions[Volts])*SUMIFS(P558:AA558,_xlfn.ANCHORARRAY(D558),TRUE)/10*0.95)/1000,
IFERROR(IF(_xlpm.phase="3Phase", _xlpm.p3_calc, _xlpm.sp_calc),0))</f>
        <v>0</v>
      </c>
      <c r="AD558" s="29" t="str">
        <f ca="1"/>
        <v>Bare Metal</v>
      </c>
      <c r="AE558" s="30" t="str">
        <f ca="1"/>
        <v>Bare Metal</v>
      </c>
      <c r="AF558" s="30" t="str">
        <f ca="1"/>
        <v>Live</v>
      </c>
      <c r="AG558" s="30">
        <f ca="1"/>
        <v>6</v>
      </c>
      <c r="AH558" s="31" t="str">
        <f ca="1"/>
        <v>Unknown</v>
      </c>
      <c r="AI558" s="49">
        <f t="shared" ca="1" si="17"/>
        <v>0</v>
      </c>
      <c r="AJ558" s="71">
        <f ca="1"/>
        <v>4.7030000000000003</v>
      </c>
    </row>
    <row r="559" spans="2:36" x14ac:dyDescent="0.25">
      <c r="B559" s="29" t="str">
        <f ca="1"/>
        <v>dal10.sr01.rk549</v>
      </c>
      <c r="C559" s="10" t="s">
        <v>2070</v>
      </c>
      <c r="D559" s="2" t="b" cm="1">
        <f t="array" ref="D559:O559">_xlfn._xlws.FILTER(IF(ancillary!$E$4:$P$8="",FALSE,ancillary!$E$4:$P$8),ancillary!$B$4:$B$8=$C559)</f>
        <v>1</v>
      </c>
      <c r="E559" s="2" t="b">
        <v>1</v>
      </c>
      <c r="F559" s="2" t="b">
        <v>1</v>
      </c>
      <c r="G559" s="2" t="b">
        <v>1</v>
      </c>
      <c r="H559" s="2" t="b">
        <v>1</v>
      </c>
      <c r="I559" s="2" t="b">
        <v>1</v>
      </c>
      <c r="J559" s="2" t="b">
        <v>0</v>
      </c>
      <c r="K559" s="2" t="b">
        <v>0</v>
      </c>
      <c r="L559" s="2" t="b">
        <v>0</v>
      </c>
      <c r="M559" s="2" t="b">
        <v>0</v>
      </c>
      <c r="N559" s="2" t="b">
        <v>0</v>
      </c>
      <c r="O559" s="2" t="b">
        <v>0</v>
      </c>
      <c r="P559" s="68"/>
      <c r="R559" s="69"/>
      <c r="S559" s="68"/>
      <c r="U559" s="69"/>
      <c r="V559" s="68"/>
      <c r="X559" s="69"/>
      <c r="Y559" s="68"/>
      <c r="AA559" s="69"/>
      <c r="AB559" s="33">
        <f t="shared" si="16"/>
        <v>0</v>
      </c>
      <c r="AC559" s="45">
        <f>_xlfn.LET(_xlpm.ps_1,P559:R559, _xlpm.ps_2,S559:U559, _xlpm.ps_3,V559:X559, _xlpm.ps_4,Y559:AA559,
_xlpm.phase, MID(C559,SEARCH("-",C559)+1,256),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(_xlfn.XLOOKUP($C$7,site_assumptions[Details],site_assumptions[Volts])*SUMIFS(P559:AA559,_xlfn.ANCHORARRAY(D559),TRUE)/10*0.95)/1000,
IFERROR(IF(_xlpm.phase="3Phase", _xlpm.p3_calc, _xlpm.sp_calc),0))</f>
        <v>0</v>
      </c>
      <c r="AD559" s="29" t="str">
        <f ca="1"/>
        <v>Bare Metal</v>
      </c>
      <c r="AE559" s="30" t="str">
        <f ca="1"/>
        <v>Bare Metal</v>
      </c>
      <c r="AF559" s="30" t="str">
        <f ca="1"/>
        <v>Live</v>
      </c>
      <c r="AG559" s="30">
        <f ca="1"/>
        <v>6</v>
      </c>
      <c r="AH559" s="31" t="str">
        <f ca="1"/>
        <v>Unknown</v>
      </c>
      <c r="AI559" s="49">
        <f t="shared" ca="1" si="17"/>
        <v>0</v>
      </c>
      <c r="AJ559" s="71">
        <f ca="1"/>
        <v>3.577</v>
      </c>
    </row>
    <row r="560" spans="2:36" x14ac:dyDescent="0.25">
      <c r="B560" s="29" t="str">
        <f ca="1"/>
        <v>dal10.sr01.rk550</v>
      </c>
      <c r="C560" s="10" t="s">
        <v>2070</v>
      </c>
      <c r="D560" s="2" t="b" cm="1">
        <f t="array" ref="D560:O560">_xlfn._xlws.FILTER(IF(ancillary!$E$4:$P$8="",FALSE,ancillary!$E$4:$P$8),ancillary!$B$4:$B$8=$C560)</f>
        <v>1</v>
      </c>
      <c r="E560" s="2" t="b">
        <v>1</v>
      </c>
      <c r="F560" s="2" t="b">
        <v>1</v>
      </c>
      <c r="G560" s="2" t="b">
        <v>1</v>
      </c>
      <c r="H560" s="2" t="b">
        <v>1</v>
      </c>
      <c r="I560" s="2" t="b">
        <v>1</v>
      </c>
      <c r="J560" s="2" t="b">
        <v>0</v>
      </c>
      <c r="K560" s="2" t="b">
        <v>0</v>
      </c>
      <c r="L560" s="2" t="b">
        <v>0</v>
      </c>
      <c r="M560" s="2" t="b">
        <v>0</v>
      </c>
      <c r="N560" s="2" t="b">
        <v>0</v>
      </c>
      <c r="O560" s="2" t="b">
        <v>0</v>
      </c>
      <c r="P560" s="68"/>
      <c r="R560" s="69"/>
      <c r="S560" s="68"/>
      <c r="U560" s="69"/>
      <c r="V560" s="68"/>
      <c r="X560" s="69"/>
      <c r="Y560" s="68"/>
      <c r="AA560" s="69"/>
      <c r="AB560" s="33">
        <f t="shared" si="16"/>
        <v>0</v>
      </c>
      <c r="AC560" s="45">
        <f>_xlfn.LET(_xlpm.ps_1,P560:R560, _xlpm.ps_2,S560:U560, _xlpm.ps_3,V560:X560, _xlpm.ps_4,Y560:AA560,
_xlpm.phase, MID(C560,SEARCH("-",C560)+1,256),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(_xlfn.XLOOKUP($C$7,site_assumptions[Details],site_assumptions[Volts])*SUMIFS(P560:AA560,_xlfn.ANCHORARRAY(D560),TRUE)/10*0.95)/1000,
IFERROR(IF(_xlpm.phase="3Phase", _xlpm.p3_calc, _xlpm.sp_calc),0))</f>
        <v>0</v>
      </c>
      <c r="AD560" s="29" t="str">
        <f ca="1"/>
        <v>Bare Metal</v>
      </c>
      <c r="AE560" s="30" t="str">
        <f ca="1"/>
        <v>Bare Metal</v>
      </c>
      <c r="AF560" s="30" t="str">
        <f ca="1"/>
        <v>Live</v>
      </c>
      <c r="AG560" s="30">
        <f ca="1"/>
        <v>6</v>
      </c>
      <c r="AH560" s="31" t="str">
        <f ca="1"/>
        <v>Unknown</v>
      </c>
      <c r="AI560" s="49">
        <f t="shared" ca="1" si="17"/>
        <v>0</v>
      </c>
      <c r="AJ560" s="71">
        <f ca="1"/>
        <v>4.992</v>
      </c>
    </row>
    <row r="561" spans="2:36" x14ac:dyDescent="0.25">
      <c r="B561" s="29" t="str">
        <f ca="1"/>
        <v>dal10.sr01.rk551</v>
      </c>
      <c r="C561" s="10" t="s">
        <v>2070</v>
      </c>
      <c r="D561" s="2" t="b" cm="1">
        <f t="array" ref="D561:O561">_xlfn._xlws.FILTER(IF(ancillary!$E$4:$P$8="",FALSE,ancillary!$E$4:$P$8),ancillary!$B$4:$B$8=$C561)</f>
        <v>1</v>
      </c>
      <c r="E561" s="2" t="b">
        <v>1</v>
      </c>
      <c r="F561" s="2" t="b">
        <v>1</v>
      </c>
      <c r="G561" s="2" t="b">
        <v>1</v>
      </c>
      <c r="H561" s="2" t="b">
        <v>1</v>
      </c>
      <c r="I561" s="2" t="b">
        <v>1</v>
      </c>
      <c r="J561" s="2" t="b">
        <v>0</v>
      </c>
      <c r="K561" s="2" t="b">
        <v>0</v>
      </c>
      <c r="L561" s="2" t="b">
        <v>0</v>
      </c>
      <c r="M561" s="2" t="b">
        <v>0</v>
      </c>
      <c r="N561" s="2" t="b">
        <v>0</v>
      </c>
      <c r="O561" s="2" t="b">
        <v>0</v>
      </c>
      <c r="P561" s="68"/>
      <c r="R561" s="69"/>
      <c r="S561" s="68"/>
      <c r="U561" s="69"/>
      <c r="V561" s="68"/>
      <c r="X561" s="69"/>
      <c r="Y561" s="68"/>
      <c r="AA561" s="69"/>
      <c r="AB561" s="33">
        <f t="shared" si="16"/>
        <v>0</v>
      </c>
      <c r="AC561" s="45">
        <f>_xlfn.LET(_xlpm.ps_1,P561:R561, _xlpm.ps_2,S561:U561, _xlpm.ps_3,V561:X561, _xlpm.ps_4,Y561:AA561,
_xlpm.phase, MID(C561,SEARCH("-",C561)+1,256),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(_xlfn.XLOOKUP($C$7,site_assumptions[Details],site_assumptions[Volts])*SUMIFS(P561:AA561,_xlfn.ANCHORARRAY(D561),TRUE)/10*0.95)/1000,
IFERROR(IF(_xlpm.phase="3Phase", _xlpm.p3_calc, _xlpm.sp_calc),0))</f>
        <v>0</v>
      </c>
      <c r="AD561" s="29" t="str">
        <f ca="1"/>
        <v>Storage</v>
      </c>
      <c r="AE561" s="30" t="str">
        <f ca="1"/>
        <v>COS</v>
      </c>
      <c r="AF561" s="30" t="str">
        <f ca="1"/>
        <v>Planned</v>
      </c>
      <c r="AG561" s="30">
        <f ca="1"/>
        <v>6</v>
      </c>
      <c r="AH561" s="31" t="str">
        <f ca="1"/>
        <v>Unknown</v>
      </c>
      <c r="AI561" s="49">
        <f t="shared" ca="1" si="17"/>
        <v>0</v>
      </c>
      <c r="AJ561" s="71">
        <f ca="1"/>
        <v>0</v>
      </c>
    </row>
    <row r="562" spans="2:36" x14ac:dyDescent="0.25">
      <c r="B562" s="29" t="str">
        <f ca="1"/>
        <v>dal10.sr01.rk552</v>
      </c>
      <c r="C562" s="10" t="s">
        <v>2070</v>
      </c>
      <c r="D562" s="2" t="b" cm="1">
        <f t="array" ref="D562:O562">_xlfn._xlws.FILTER(IF(ancillary!$E$4:$P$8="",FALSE,ancillary!$E$4:$P$8),ancillary!$B$4:$B$8=$C562)</f>
        <v>1</v>
      </c>
      <c r="E562" s="2" t="b">
        <v>1</v>
      </c>
      <c r="F562" s="2" t="b">
        <v>1</v>
      </c>
      <c r="G562" s="2" t="b">
        <v>1</v>
      </c>
      <c r="H562" s="2" t="b">
        <v>1</v>
      </c>
      <c r="I562" s="2" t="b">
        <v>1</v>
      </c>
      <c r="J562" s="2" t="b">
        <v>0</v>
      </c>
      <c r="K562" s="2" t="b">
        <v>0</v>
      </c>
      <c r="L562" s="2" t="b">
        <v>0</v>
      </c>
      <c r="M562" s="2" t="b">
        <v>0</v>
      </c>
      <c r="N562" s="2" t="b">
        <v>0</v>
      </c>
      <c r="O562" s="2" t="b">
        <v>0</v>
      </c>
      <c r="P562" s="68"/>
      <c r="R562" s="69"/>
      <c r="S562" s="68"/>
      <c r="U562" s="69"/>
      <c r="V562" s="68"/>
      <c r="X562" s="69"/>
      <c r="Y562" s="68"/>
      <c r="AA562" s="69"/>
      <c r="AB562" s="33">
        <f t="shared" si="16"/>
        <v>0</v>
      </c>
      <c r="AC562" s="45">
        <f>_xlfn.LET(_xlpm.ps_1,P562:R562, _xlpm.ps_2,S562:U562, _xlpm.ps_3,V562:X562, _xlpm.ps_4,Y562:AA562,
_xlpm.phase, MID(C562,SEARCH("-",C562)+1,256),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(_xlfn.XLOOKUP($C$7,site_assumptions[Details],site_assumptions[Volts])*SUMIFS(P562:AA562,_xlfn.ANCHORARRAY(D562),TRUE)/10*0.95)/1000,
IFERROR(IF(_xlpm.phase="3Phase", _xlpm.p3_calc, _xlpm.sp_calc),0))</f>
        <v>0</v>
      </c>
      <c r="AD562" s="29" t="str">
        <f ca="1"/>
        <v>Storage</v>
      </c>
      <c r="AE562" s="30" t="str">
        <f ca="1"/>
        <v>COS</v>
      </c>
      <c r="AF562" s="30" t="str">
        <f ca="1"/>
        <v>Planned</v>
      </c>
      <c r="AG562" s="30">
        <f ca="1"/>
        <v>6</v>
      </c>
      <c r="AH562" s="31" t="str">
        <f ca="1"/>
        <v>Unknown</v>
      </c>
      <c r="AI562" s="49">
        <f t="shared" ca="1" si="17"/>
        <v>0</v>
      </c>
      <c r="AJ562" s="71">
        <f ca="1"/>
        <v>0</v>
      </c>
    </row>
    <row r="563" spans="2:36" x14ac:dyDescent="0.25">
      <c r="B563" s="29" t="str">
        <f ca="1"/>
        <v>dal10.sr01.rk553</v>
      </c>
      <c r="C563" s="10" t="s">
        <v>2070</v>
      </c>
      <c r="D563" s="2" t="b" cm="1">
        <f t="array" ref="D563:O563">_xlfn._xlws.FILTER(IF(ancillary!$E$4:$P$8="",FALSE,ancillary!$E$4:$P$8),ancillary!$B$4:$B$8=$C563)</f>
        <v>1</v>
      </c>
      <c r="E563" s="2" t="b">
        <v>1</v>
      </c>
      <c r="F563" s="2" t="b">
        <v>1</v>
      </c>
      <c r="G563" s="2" t="b">
        <v>1</v>
      </c>
      <c r="H563" s="2" t="b">
        <v>1</v>
      </c>
      <c r="I563" s="2" t="b">
        <v>1</v>
      </c>
      <c r="J563" s="2" t="b">
        <v>0</v>
      </c>
      <c r="K563" s="2" t="b">
        <v>0</v>
      </c>
      <c r="L563" s="2" t="b">
        <v>0</v>
      </c>
      <c r="M563" s="2" t="b">
        <v>0</v>
      </c>
      <c r="N563" s="2" t="b">
        <v>0</v>
      </c>
      <c r="O563" s="2" t="b">
        <v>0</v>
      </c>
      <c r="P563" s="68"/>
      <c r="R563" s="69"/>
      <c r="S563" s="68"/>
      <c r="U563" s="69"/>
      <c r="V563" s="68"/>
      <c r="X563" s="69"/>
      <c r="Y563" s="68"/>
      <c r="AA563" s="69"/>
      <c r="AB563" s="33">
        <f t="shared" si="16"/>
        <v>0</v>
      </c>
      <c r="AC563" s="45">
        <f>_xlfn.LET(_xlpm.ps_1,P563:R563, _xlpm.ps_2,S563:U563, _xlpm.ps_3,V563:X563, _xlpm.ps_4,Y563:AA563,
_xlpm.phase, MID(C563,SEARCH("-",C563)+1,256),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(_xlfn.XLOOKUP($C$7,site_assumptions[Details],site_assumptions[Volts])*SUMIFS(P563:AA563,_xlfn.ANCHORARRAY(D563),TRUE)/10*0.95)/1000,
IFERROR(IF(_xlpm.phase="3Phase", _xlpm.p3_calc, _xlpm.sp_calc),0))</f>
        <v>0</v>
      </c>
      <c r="AD563" s="29" t="str">
        <f ca="1"/>
        <v>Storage</v>
      </c>
      <c r="AE563" s="30" t="str">
        <f ca="1"/>
        <v>COS</v>
      </c>
      <c r="AF563" s="30" t="str">
        <f ca="1"/>
        <v>Planned</v>
      </c>
      <c r="AG563" s="30">
        <f ca="1"/>
        <v>6</v>
      </c>
      <c r="AH563" s="31" t="str">
        <f ca="1"/>
        <v>Unknown</v>
      </c>
      <c r="AI563" s="49">
        <f t="shared" ca="1" si="17"/>
        <v>0</v>
      </c>
      <c r="AJ563" s="71">
        <f ca="1"/>
        <v>0</v>
      </c>
    </row>
    <row r="564" spans="2:36" x14ac:dyDescent="0.25">
      <c r="B564" s="29" t="str">
        <f ca="1"/>
        <v>dal10.sr01.rk554</v>
      </c>
      <c r="C564" s="10" t="s">
        <v>2070</v>
      </c>
      <c r="D564" s="2" t="b" cm="1">
        <f t="array" ref="D564:O564">_xlfn._xlws.FILTER(IF(ancillary!$E$4:$P$8="",FALSE,ancillary!$E$4:$P$8),ancillary!$B$4:$B$8=$C564)</f>
        <v>1</v>
      </c>
      <c r="E564" s="2" t="b">
        <v>1</v>
      </c>
      <c r="F564" s="2" t="b">
        <v>1</v>
      </c>
      <c r="G564" s="2" t="b">
        <v>1</v>
      </c>
      <c r="H564" s="2" t="b">
        <v>1</v>
      </c>
      <c r="I564" s="2" t="b">
        <v>1</v>
      </c>
      <c r="J564" s="2" t="b">
        <v>0</v>
      </c>
      <c r="K564" s="2" t="b">
        <v>0</v>
      </c>
      <c r="L564" s="2" t="b">
        <v>0</v>
      </c>
      <c r="M564" s="2" t="b">
        <v>0</v>
      </c>
      <c r="N564" s="2" t="b">
        <v>0</v>
      </c>
      <c r="O564" s="2" t="b">
        <v>0</v>
      </c>
      <c r="P564" s="68"/>
      <c r="R564" s="69"/>
      <c r="S564" s="68"/>
      <c r="U564" s="69"/>
      <c r="V564" s="68"/>
      <c r="X564" s="69"/>
      <c r="Y564" s="68"/>
      <c r="AA564" s="69"/>
      <c r="AB564" s="33">
        <f t="shared" si="16"/>
        <v>0</v>
      </c>
      <c r="AC564" s="45">
        <f>_xlfn.LET(_xlpm.ps_1,P564:R564, _xlpm.ps_2,S564:U564, _xlpm.ps_3,V564:X564, _xlpm.ps_4,Y564:AA564,
_xlpm.phase, MID(C564,SEARCH("-",C564)+1,256),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(_xlfn.XLOOKUP($C$7,site_assumptions[Details],site_assumptions[Volts])*SUMIFS(P564:AA564,_xlfn.ANCHORARRAY(D564),TRUE)/10*0.95)/1000,
IFERROR(IF(_xlpm.phase="3Phase", _xlpm.p3_calc, _xlpm.sp_calc),0))</f>
        <v>0</v>
      </c>
      <c r="AD564" s="29" t="str">
        <f ca="1"/>
        <v>Storage</v>
      </c>
      <c r="AE564" s="30" t="str">
        <f ca="1"/>
        <v>COS</v>
      </c>
      <c r="AF564" s="30" t="str">
        <f ca="1"/>
        <v>Planned</v>
      </c>
      <c r="AG564" s="30">
        <f ca="1"/>
        <v>6</v>
      </c>
      <c r="AH564" s="31" t="str">
        <f ca="1"/>
        <v>Unknown</v>
      </c>
      <c r="AI564" s="49">
        <f t="shared" ca="1" si="17"/>
        <v>0</v>
      </c>
      <c r="AJ564" s="71">
        <f ca="1"/>
        <v>0</v>
      </c>
    </row>
    <row r="565" spans="2:36" x14ac:dyDescent="0.25">
      <c r="B565" s="29" t="str">
        <f ca="1"/>
        <v>dal10.sr01.rk555</v>
      </c>
      <c r="C565" s="10" t="s">
        <v>2070</v>
      </c>
      <c r="D565" s="2" t="b" cm="1">
        <f t="array" ref="D565:O565">_xlfn._xlws.FILTER(IF(ancillary!$E$4:$P$8="",FALSE,ancillary!$E$4:$P$8),ancillary!$B$4:$B$8=$C565)</f>
        <v>1</v>
      </c>
      <c r="E565" s="2" t="b">
        <v>1</v>
      </c>
      <c r="F565" s="2" t="b">
        <v>1</v>
      </c>
      <c r="G565" s="2" t="b">
        <v>1</v>
      </c>
      <c r="H565" s="2" t="b">
        <v>1</v>
      </c>
      <c r="I565" s="2" t="b">
        <v>1</v>
      </c>
      <c r="J565" s="2" t="b">
        <v>0</v>
      </c>
      <c r="K565" s="2" t="b">
        <v>0</v>
      </c>
      <c r="L565" s="2" t="b">
        <v>0</v>
      </c>
      <c r="M565" s="2" t="b">
        <v>0</v>
      </c>
      <c r="N565" s="2" t="b">
        <v>0</v>
      </c>
      <c r="O565" s="2" t="b">
        <v>0</v>
      </c>
      <c r="P565" s="68"/>
      <c r="R565" s="69"/>
      <c r="S565" s="68"/>
      <c r="U565" s="69"/>
      <c r="V565" s="68"/>
      <c r="X565" s="69"/>
      <c r="Y565" s="68"/>
      <c r="AA565" s="69"/>
      <c r="AB565" s="33">
        <f t="shared" si="16"/>
        <v>0</v>
      </c>
      <c r="AC565" s="45">
        <f>_xlfn.LET(_xlpm.ps_1,P565:R565, _xlpm.ps_2,S565:U565, _xlpm.ps_3,V565:X565, _xlpm.ps_4,Y565:AA565,
_xlpm.phase, MID(C565,SEARCH("-",C565)+1,256),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(_xlfn.XLOOKUP($C$7,site_assumptions[Details],site_assumptions[Volts])*SUMIFS(P565:AA565,_xlfn.ANCHORARRAY(D565),TRUE)/10*0.95)/1000,
IFERROR(IF(_xlpm.phase="3Phase", _xlpm.p3_calc, _xlpm.sp_calc),0))</f>
        <v>0</v>
      </c>
      <c r="AD565" s="29" t="str">
        <f ca="1"/>
        <v>Storage</v>
      </c>
      <c r="AE565" s="30" t="str">
        <f ca="1"/>
        <v>COS</v>
      </c>
      <c r="AF565" s="30" t="str">
        <f ca="1"/>
        <v>Planned</v>
      </c>
      <c r="AG565" s="30">
        <f ca="1"/>
        <v>6</v>
      </c>
      <c r="AH565" s="31" t="str">
        <f ca="1"/>
        <v>Unknown</v>
      </c>
      <c r="AI565" s="49">
        <f t="shared" ca="1" si="17"/>
        <v>0</v>
      </c>
      <c r="AJ565" s="71">
        <f ca="1"/>
        <v>0</v>
      </c>
    </row>
    <row r="566" spans="2:36" x14ac:dyDescent="0.25">
      <c r="B566" s="29" t="str">
        <f ca="1"/>
        <v>dal10.sr01.rk556</v>
      </c>
      <c r="C566" s="10" t="s">
        <v>2070</v>
      </c>
      <c r="D566" s="2" t="b" cm="1">
        <f t="array" ref="D566:O566">_xlfn._xlws.FILTER(IF(ancillary!$E$4:$P$8="",FALSE,ancillary!$E$4:$P$8),ancillary!$B$4:$B$8=$C566)</f>
        <v>1</v>
      </c>
      <c r="E566" s="2" t="b">
        <v>1</v>
      </c>
      <c r="F566" s="2" t="b">
        <v>1</v>
      </c>
      <c r="G566" s="2" t="b">
        <v>1</v>
      </c>
      <c r="H566" s="2" t="b">
        <v>1</v>
      </c>
      <c r="I566" s="2" t="b">
        <v>1</v>
      </c>
      <c r="J566" s="2" t="b">
        <v>0</v>
      </c>
      <c r="K566" s="2" t="b">
        <v>0</v>
      </c>
      <c r="L566" s="2" t="b">
        <v>0</v>
      </c>
      <c r="M566" s="2" t="b">
        <v>0</v>
      </c>
      <c r="N566" s="2" t="b">
        <v>0</v>
      </c>
      <c r="O566" s="2" t="b">
        <v>0</v>
      </c>
      <c r="P566" s="68"/>
      <c r="R566" s="69"/>
      <c r="S566" s="68"/>
      <c r="U566" s="69"/>
      <c r="V566" s="68"/>
      <c r="X566" s="69"/>
      <c r="Y566" s="68"/>
      <c r="AA566" s="69"/>
      <c r="AB566" s="33">
        <f t="shared" si="16"/>
        <v>0</v>
      </c>
      <c r="AC566" s="45">
        <f>_xlfn.LET(_xlpm.ps_1,P566:R566, _xlpm.ps_2,S566:U566, _xlpm.ps_3,V566:X566, _xlpm.ps_4,Y566:AA566,
_xlpm.phase, MID(C566,SEARCH("-",C566)+1,256),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(_xlfn.XLOOKUP($C$7,site_assumptions[Details],site_assumptions[Volts])*SUMIFS(P566:AA566,_xlfn.ANCHORARRAY(D566),TRUE)/10*0.95)/1000,
IFERROR(IF(_xlpm.phase="3Phase", _xlpm.p3_calc, _xlpm.sp_calc),0))</f>
        <v>0</v>
      </c>
      <c r="AD566" s="29" t="str">
        <f ca="1"/>
        <v>Storage</v>
      </c>
      <c r="AE566" s="30" t="str">
        <f ca="1"/>
        <v>COS</v>
      </c>
      <c r="AF566" s="30" t="str">
        <f ca="1"/>
        <v>Planned</v>
      </c>
      <c r="AG566" s="30">
        <f ca="1"/>
        <v>6</v>
      </c>
      <c r="AH566" s="31" t="str">
        <f ca="1"/>
        <v>Unknown</v>
      </c>
      <c r="AI566" s="49">
        <f t="shared" ca="1" si="17"/>
        <v>0</v>
      </c>
      <c r="AJ566" s="71">
        <f ca="1"/>
        <v>0</v>
      </c>
    </row>
    <row r="567" spans="2:36" x14ac:dyDescent="0.25">
      <c r="B567" s="29" t="str">
        <f ca="1"/>
        <v>dal10.sr01.rk557</v>
      </c>
      <c r="C567" s="10" t="s">
        <v>2070</v>
      </c>
      <c r="D567" s="2" t="b" cm="1">
        <f t="array" ref="D567:O567">_xlfn._xlws.FILTER(IF(ancillary!$E$4:$P$8="",FALSE,ancillary!$E$4:$P$8),ancillary!$B$4:$B$8=$C567)</f>
        <v>1</v>
      </c>
      <c r="E567" s="2" t="b">
        <v>1</v>
      </c>
      <c r="F567" s="2" t="b">
        <v>1</v>
      </c>
      <c r="G567" s="2" t="b">
        <v>1</v>
      </c>
      <c r="H567" s="2" t="b">
        <v>1</v>
      </c>
      <c r="I567" s="2" t="b">
        <v>1</v>
      </c>
      <c r="J567" s="2" t="b">
        <v>0</v>
      </c>
      <c r="K567" s="2" t="b">
        <v>0</v>
      </c>
      <c r="L567" s="2" t="b">
        <v>0</v>
      </c>
      <c r="M567" s="2" t="b">
        <v>0</v>
      </c>
      <c r="N567" s="2" t="b">
        <v>0</v>
      </c>
      <c r="O567" s="2" t="b">
        <v>0</v>
      </c>
      <c r="P567" s="68"/>
      <c r="R567" s="69"/>
      <c r="S567" s="68"/>
      <c r="U567" s="69"/>
      <c r="V567" s="68"/>
      <c r="X567" s="69"/>
      <c r="Y567" s="68"/>
      <c r="AA567" s="69"/>
      <c r="AB567" s="33">
        <f t="shared" si="16"/>
        <v>0</v>
      </c>
      <c r="AC567" s="45">
        <f>_xlfn.LET(_xlpm.ps_1,P567:R567, _xlpm.ps_2,S567:U567, _xlpm.ps_3,V567:X567, _xlpm.ps_4,Y567:AA567,
_xlpm.phase, MID(C567,SEARCH("-",C567)+1,256),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(_xlfn.XLOOKUP($C$7,site_assumptions[Details],site_assumptions[Volts])*SUMIFS(P567:AA567,_xlfn.ANCHORARRAY(D567),TRUE)/10*0.95)/1000,
IFERROR(IF(_xlpm.phase="3Phase", _xlpm.p3_calc, _xlpm.sp_calc),0))</f>
        <v>0</v>
      </c>
      <c r="AD567" s="29" t="str">
        <f ca="1"/>
        <v>Storage</v>
      </c>
      <c r="AE567" s="30" t="str">
        <f ca="1"/>
        <v>COS</v>
      </c>
      <c r="AF567" s="30" t="str">
        <f ca="1"/>
        <v>Planned</v>
      </c>
      <c r="AG567" s="30">
        <f ca="1"/>
        <v>6</v>
      </c>
      <c r="AH567" s="31" t="str">
        <f ca="1"/>
        <v>Unknown</v>
      </c>
      <c r="AI567" s="49">
        <f t="shared" ca="1" si="17"/>
        <v>0</v>
      </c>
      <c r="AJ567" s="71">
        <f ca="1"/>
        <v>0</v>
      </c>
    </row>
    <row r="568" spans="2:36" x14ac:dyDescent="0.25">
      <c r="B568" s="29" t="str">
        <f ca="1"/>
        <v>dal10.sr01.rk558</v>
      </c>
      <c r="C568" s="10" t="s">
        <v>2070</v>
      </c>
      <c r="D568" s="2" t="b" cm="1">
        <f t="array" ref="D568:O568">_xlfn._xlws.FILTER(IF(ancillary!$E$4:$P$8="",FALSE,ancillary!$E$4:$P$8),ancillary!$B$4:$B$8=$C568)</f>
        <v>1</v>
      </c>
      <c r="E568" s="2" t="b">
        <v>1</v>
      </c>
      <c r="F568" s="2" t="b">
        <v>1</v>
      </c>
      <c r="G568" s="2" t="b">
        <v>1</v>
      </c>
      <c r="H568" s="2" t="b">
        <v>1</v>
      </c>
      <c r="I568" s="2" t="b">
        <v>1</v>
      </c>
      <c r="J568" s="2" t="b">
        <v>0</v>
      </c>
      <c r="K568" s="2" t="b">
        <v>0</v>
      </c>
      <c r="L568" s="2" t="b">
        <v>0</v>
      </c>
      <c r="M568" s="2" t="b">
        <v>0</v>
      </c>
      <c r="N568" s="2" t="b">
        <v>0</v>
      </c>
      <c r="O568" s="2" t="b">
        <v>0</v>
      </c>
      <c r="P568" s="68"/>
      <c r="R568" s="69"/>
      <c r="S568" s="68"/>
      <c r="U568" s="69"/>
      <c r="V568" s="68"/>
      <c r="X568" s="69"/>
      <c r="Y568" s="68"/>
      <c r="AA568" s="69"/>
      <c r="AB568" s="33">
        <f t="shared" si="16"/>
        <v>0</v>
      </c>
      <c r="AC568" s="45">
        <f>_xlfn.LET(_xlpm.ps_1,P568:R568, _xlpm.ps_2,S568:U568, _xlpm.ps_3,V568:X568, _xlpm.ps_4,Y568:AA568,
_xlpm.phase, MID(C568,SEARCH("-",C568)+1,256),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(_xlfn.XLOOKUP($C$7,site_assumptions[Details],site_assumptions[Volts])*SUMIFS(P568:AA568,_xlfn.ANCHORARRAY(D568),TRUE)/10*0.95)/1000,
IFERROR(IF(_xlpm.phase="3Phase", _xlpm.p3_calc, _xlpm.sp_calc),0))</f>
        <v>0</v>
      </c>
      <c r="AD568" s="29" t="str">
        <f ca="1"/>
        <v>Storage</v>
      </c>
      <c r="AE568" s="30" t="str">
        <f ca="1"/>
        <v>COS</v>
      </c>
      <c r="AF568" s="30" t="str">
        <f ca="1"/>
        <v>Planned</v>
      </c>
      <c r="AG568" s="30">
        <f ca="1"/>
        <v>6</v>
      </c>
      <c r="AH568" s="31" t="str">
        <f ca="1"/>
        <v>Unknown</v>
      </c>
      <c r="AI568" s="49">
        <f t="shared" ca="1" si="17"/>
        <v>0</v>
      </c>
      <c r="AJ568" s="71">
        <f ca="1"/>
        <v>0</v>
      </c>
    </row>
    <row r="569" spans="2:36" x14ac:dyDescent="0.25">
      <c r="B569" s="29" t="str">
        <f ca="1"/>
        <v>dal10.sr01.rk559</v>
      </c>
      <c r="C569" s="10" t="s">
        <v>2070</v>
      </c>
      <c r="D569" s="2" t="b" cm="1">
        <f t="array" ref="D569:O569">_xlfn._xlws.FILTER(IF(ancillary!$E$4:$P$8="",FALSE,ancillary!$E$4:$P$8),ancillary!$B$4:$B$8=$C569)</f>
        <v>1</v>
      </c>
      <c r="E569" s="2" t="b">
        <v>1</v>
      </c>
      <c r="F569" s="2" t="b">
        <v>1</v>
      </c>
      <c r="G569" s="2" t="b">
        <v>1</v>
      </c>
      <c r="H569" s="2" t="b">
        <v>1</v>
      </c>
      <c r="I569" s="2" t="b">
        <v>1</v>
      </c>
      <c r="J569" s="2" t="b">
        <v>0</v>
      </c>
      <c r="K569" s="2" t="b">
        <v>0</v>
      </c>
      <c r="L569" s="2" t="b">
        <v>0</v>
      </c>
      <c r="M569" s="2" t="b">
        <v>0</v>
      </c>
      <c r="N569" s="2" t="b">
        <v>0</v>
      </c>
      <c r="O569" s="2" t="b">
        <v>0</v>
      </c>
      <c r="P569" s="68"/>
      <c r="R569" s="69"/>
      <c r="S569" s="68"/>
      <c r="U569" s="69"/>
      <c r="V569" s="68"/>
      <c r="X569" s="69"/>
      <c r="Y569" s="68"/>
      <c r="AA569" s="69"/>
      <c r="AB569" s="33">
        <f t="shared" si="16"/>
        <v>0</v>
      </c>
      <c r="AC569" s="45">
        <f>_xlfn.LET(_xlpm.ps_1,P569:R569, _xlpm.ps_2,S569:U569, _xlpm.ps_3,V569:X569, _xlpm.ps_4,Y569:AA569,
_xlpm.phase, MID(C569,SEARCH("-",C569)+1,256),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(_xlfn.XLOOKUP($C$7,site_assumptions[Details],site_assumptions[Volts])*SUMIFS(P569:AA569,_xlfn.ANCHORARRAY(D569),TRUE)/10*0.95)/1000,
IFERROR(IF(_xlpm.phase="3Phase", _xlpm.p3_calc, _xlpm.sp_calc),0))</f>
        <v>0</v>
      </c>
      <c r="AD569" s="29" t="str">
        <f ca="1"/>
        <v>Storage</v>
      </c>
      <c r="AE569" s="30" t="str">
        <f ca="1"/>
        <v>COS</v>
      </c>
      <c r="AF569" s="30" t="str">
        <f ca="1"/>
        <v>Planned</v>
      </c>
      <c r="AG569" s="30">
        <f ca="1"/>
        <v>6</v>
      </c>
      <c r="AH569" s="31" t="str">
        <f ca="1"/>
        <v>Unknown</v>
      </c>
      <c r="AI569" s="49">
        <f t="shared" ca="1" si="17"/>
        <v>0</v>
      </c>
      <c r="AJ569" s="71">
        <f ca="1"/>
        <v>0</v>
      </c>
    </row>
    <row r="570" spans="2:36" x14ac:dyDescent="0.25">
      <c r="B570" s="29" t="str">
        <f ca="1"/>
        <v>dal10.sr01.rk560</v>
      </c>
      <c r="C570" s="10" t="s">
        <v>2070</v>
      </c>
      <c r="D570" s="2" t="b" cm="1">
        <f t="array" ref="D570:O570">_xlfn._xlws.FILTER(IF(ancillary!$E$4:$P$8="",FALSE,ancillary!$E$4:$P$8),ancillary!$B$4:$B$8=$C570)</f>
        <v>1</v>
      </c>
      <c r="E570" s="2" t="b">
        <v>1</v>
      </c>
      <c r="F570" s="2" t="b">
        <v>1</v>
      </c>
      <c r="G570" s="2" t="b">
        <v>1</v>
      </c>
      <c r="H570" s="2" t="b">
        <v>1</v>
      </c>
      <c r="I570" s="2" t="b">
        <v>1</v>
      </c>
      <c r="J570" s="2" t="b">
        <v>0</v>
      </c>
      <c r="K570" s="2" t="b">
        <v>0</v>
      </c>
      <c r="L570" s="2" t="b">
        <v>0</v>
      </c>
      <c r="M570" s="2" t="b">
        <v>0</v>
      </c>
      <c r="N570" s="2" t="b">
        <v>0</v>
      </c>
      <c r="O570" s="2" t="b">
        <v>0</v>
      </c>
      <c r="P570" s="68"/>
      <c r="R570" s="69"/>
      <c r="S570" s="68"/>
      <c r="U570" s="69"/>
      <c r="V570" s="68"/>
      <c r="X570" s="69"/>
      <c r="Y570" s="68"/>
      <c r="AA570" s="69"/>
      <c r="AB570" s="33">
        <f t="shared" si="16"/>
        <v>0</v>
      </c>
      <c r="AC570" s="45">
        <f>_xlfn.LET(_xlpm.ps_1,P570:R570, _xlpm.ps_2,S570:U570, _xlpm.ps_3,V570:X570, _xlpm.ps_4,Y570:AA570,
_xlpm.phase, MID(C570,SEARCH("-",C570)+1,256),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(_xlfn.XLOOKUP($C$7,site_assumptions[Details],site_assumptions[Volts])*SUMIFS(P570:AA570,_xlfn.ANCHORARRAY(D570),TRUE)/10*0.95)/1000,
IFERROR(IF(_xlpm.phase="3Phase", _xlpm.p3_calc, _xlpm.sp_calc),0))</f>
        <v>0</v>
      </c>
      <c r="AD570" s="29" t="str">
        <f ca="1"/>
        <v>Storage</v>
      </c>
      <c r="AE570" s="30" t="str">
        <f ca="1"/>
        <v>COS</v>
      </c>
      <c r="AF570" s="30" t="str">
        <f ca="1"/>
        <v>Planned</v>
      </c>
      <c r="AG570" s="30">
        <f ca="1"/>
        <v>6</v>
      </c>
      <c r="AH570" s="31" t="str">
        <f ca="1"/>
        <v>Unknown</v>
      </c>
      <c r="AI570" s="49">
        <f t="shared" ca="1" si="17"/>
        <v>0</v>
      </c>
      <c r="AJ570" s="71">
        <f ca="1"/>
        <v>0</v>
      </c>
    </row>
    <row r="571" spans="2:36" x14ac:dyDescent="0.25">
      <c r="B571" s="29" t="str">
        <f ca="1"/>
        <v>dal10.sr01.rk561</v>
      </c>
      <c r="C571" s="10" t="s">
        <v>2070</v>
      </c>
      <c r="D571" s="2" t="b" cm="1">
        <f t="array" ref="D571:O571">_xlfn._xlws.FILTER(IF(ancillary!$E$4:$P$8="",FALSE,ancillary!$E$4:$P$8),ancillary!$B$4:$B$8=$C571)</f>
        <v>1</v>
      </c>
      <c r="E571" s="2" t="b">
        <v>1</v>
      </c>
      <c r="F571" s="2" t="b">
        <v>1</v>
      </c>
      <c r="G571" s="2" t="b">
        <v>1</v>
      </c>
      <c r="H571" s="2" t="b">
        <v>1</v>
      </c>
      <c r="I571" s="2" t="b">
        <v>1</v>
      </c>
      <c r="J571" s="2" t="b">
        <v>0</v>
      </c>
      <c r="K571" s="2" t="b">
        <v>0</v>
      </c>
      <c r="L571" s="2" t="b">
        <v>0</v>
      </c>
      <c r="M571" s="2" t="b">
        <v>0</v>
      </c>
      <c r="N571" s="2" t="b">
        <v>0</v>
      </c>
      <c r="O571" s="2" t="b">
        <v>0</v>
      </c>
      <c r="P571" s="68"/>
      <c r="R571" s="69"/>
      <c r="S571" s="68"/>
      <c r="U571" s="69"/>
      <c r="V571" s="68"/>
      <c r="X571" s="69"/>
      <c r="Y571" s="68"/>
      <c r="AA571" s="69"/>
      <c r="AB571" s="33">
        <f t="shared" si="16"/>
        <v>0</v>
      </c>
      <c r="AC571" s="45">
        <f>_xlfn.LET(_xlpm.ps_1,P571:R571, _xlpm.ps_2,S571:U571, _xlpm.ps_3,V571:X571, _xlpm.ps_4,Y571:AA571,
_xlpm.phase, MID(C571,SEARCH("-",C571)+1,256),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(_xlfn.XLOOKUP($C$7,site_assumptions[Details],site_assumptions[Volts])*SUMIFS(P571:AA571,_xlfn.ANCHORARRAY(D571),TRUE)/10*0.95)/1000,
IFERROR(IF(_xlpm.phase="3Phase", _xlpm.p3_calc, _xlpm.sp_calc),0))</f>
        <v>0</v>
      </c>
      <c r="AD571" s="29" t="str">
        <f ca="1"/>
        <v>Storage</v>
      </c>
      <c r="AE571" s="30" t="str">
        <f ca="1"/>
        <v>COS</v>
      </c>
      <c r="AF571" s="30" t="str">
        <f ca="1"/>
        <v>Planned</v>
      </c>
      <c r="AG571" s="30">
        <f ca="1"/>
        <v>6</v>
      </c>
      <c r="AH571" s="31" t="str">
        <f ca="1"/>
        <v>Unknown</v>
      </c>
      <c r="AI571" s="49">
        <f t="shared" ca="1" si="17"/>
        <v>0</v>
      </c>
      <c r="AJ571" s="71">
        <f ca="1"/>
        <v>0</v>
      </c>
    </row>
    <row r="572" spans="2:36" x14ac:dyDescent="0.25">
      <c r="B572" s="29" t="str">
        <f ca="1"/>
        <v>dal10.sr01.rk562</v>
      </c>
      <c r="C572" s="10" t="s">
        <v>2070</v>
      </c>
      <c r="D572" s="2" t="b" cm="1">
        <f t="array" ref="D572:O572">_xlfn._xlws.FILTER(IF(ancillary!$E$4:$P$8="",FALSE,ancillary!$E$4:$P$8),ancillary!$B$4:$B$8=$C572)</f>
        <v>1</v>
      </c>
      <c r="E572" s="2" t="b">
        <v>1</v>
      </c>
      <c r="F572" s="2" t="b">
        <v>1</v>
      </c>
      <c r="G572" s="2" t="b">
        <v>1</v>
      </c>
      <c r="H572" s="2" t="b">
        <v>1</v>
      </c>
      <c r="I572" s="2" t="b">
        <v>1</v>
      </c>
      <c r="J572" s="2" t="b">
        <v>0</v>
      </c>
      <c r="K572" s="2" t="b">
        <v>0</v>
      </c>
      <c r="L572" s="2" t="b">
        <v>0</v>
      </c>
      <c r="M572" s="2" t="b">
        <v>0</v>
      </c>
      <c r="N572" s="2" t="b">
        <v>0</v>
      </c>
      <c r="O572" s="2" t="b">
        <v>0</v>
      </c>
      <c r="P572" s="68"/>
      <c r="R572" s="69"/>
      <c r="S572" s="68"/>
      <c r="U572" s="69"/>
      <c r="V572" s="68"/>
      <c r="X572" s="69"/>
      <c r="Y572" s="68"/>
      <c r="AA572" s="69"/>
      <c r="AB572" s="33">
        <f t="shared" si="16"/>
        <v>0</v>
      </c>
      <c r="AC572" s="45">
        <f>_xlfn.LET(_xlpm.ps_1,P572:R572, _xlpm.ps_2,S572:U572, _xlpm.ps_3,V572:X572, _xlpm.ps_4,Y572:AA572,
_xlpm.phase, MID(C572,SEARCH("-",C572)+1,256),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(_xlfn.XLOOKUP($C$7,site_assumptions[Details],site_assumptions[Volts])*SUMIFS(P572:AA572,_xlfn.ANCHORARRAY(D572),TRUE)/10*0.95)/1000,
IFERROR(IF(_xlpm.phase="3Phase", _xlpm.p3_calc, _xlpm.sp_calc),0))</f>
        <v>0</v>
      </c>
      <c r="AD572" s="29" t="str">
        <f ca="1"/>
        <v>Gen2</v>
      </c>
      <c r="AE572" s="30" t="str">
        <f ca="1"/>
        <v>Compute</v>
      </c>
      <c r="AF572" s="30" t="str">
        <f ca="1"/>
        <v>Live</v>
      </c>
      <c r="AG572" s="30">
        <f ca="1"/>
        <v>20</v>
      </c>
      <c r="AH572" s="31" t="str">
        <f ca="1"/>
        <v>Unknown</v>
      </c>
      <c r="AI572" s="49">
        <f t="shared" ca="1" si="17"/>
        <v>0</v>
      </c>
      <c r="AJ572" s="71">
        <f ca="1"/>
        <v>0</v>
      </c>
    </row>
    <row r="573" spans="2:36" x14ac:dyDescent="0.25">
      <c r="B573" s="29" t="str">
        <f ca="1"/>
        <v>dal10.sr01.rk563</v>
      </c>
      <c r="C573" s="10" t="s">
        <v>2070</v>
      </c>
      <c r="D573" s="2" t="b" cm="1">
        <f t="array" ref="D573:O573">_xlfn._xlws.FILTER(IF(ancillary!$E$4:$P$8="",FALSE,ancillary!$E$4:$P$8),ancillary!$B$4:$B$8=$C573)</f>
        <v>1</v>
      </c>
      <c r="E573" s="2" t="b">
        <v>1</v>
      </c>
      <c r="F573" s="2" t="b">
        <v>1</v>
      </c>
      <c r="G573" s="2" t="b">
        <v>1</v>
      </c>
      <c r="H573" s="2" t="b">
        <v>1</v>
      </c>
      <c r="I573" s="2" t="b">
        <v>1</v>
      </c>
      <c r="J573" s="2" t="b">
        <v>0</v>
      </c>
      <c r="K573" s="2" t="b">
        <v>0</v>
      </c>
      <c r="L573" s="2" t="b">
        <v>0</v>
      </c>
      <c r="M573" s="2" t="b">
        <v>0</v>
      </c>
      <c r="N573" s="2" t="b">
        <v>0</v>
      </c>
      <c r="O573" s="2" t="b">
        <v>0</v>
      </c>
      <c r="P573" s="68"/>
      <c r="R573" s="69"/>
      <c r="S573" s="68"/>
      <c r="U573" s="69"/>
      <c r="V573" s="68"/>
      <c r="X573" s="69"/>
      <c r="Y573" s="68"/>
      <c r="AA573" s="69"/>
      <c r="AB573" s="33">
        <f t="shared" si="16"/>
        <v>0</v>
      </c>
      <c r="AC573" s="45">
        <f>_xlfn.LET(_xlpm.ps_1,P573:R573, _xlpm.ps_2,S573:U573, _xlpm.ps_3,V573:X573, _xlpm.ps_4,Y573:AA573,
_xlpm.phase, MID(C573,SEARCH("-",C573)+1,256),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(_xlfn.XLOOKUP($C$7,site_assumptions[Details],site_assumptions[Volts])*SUMIFS(P573:AA573,_xlfn.ANCHORARRAY(D573),TRUE)/10*0.95)/1000,
IFERROR(IF(_xlpm.phase="3Phase", _xlpm.p3_calc, _xlpm.sp_calc),0))</f>
        <v>0</v>
      </c>
      <c r="AD573" s="29" t="str">
        <f ca="1"/>
        <v>Gen2</v>
      </c>
      <c r="AE573" s="30" t="str">
        <f ca="1"/>
        <v>Compute</v>
      </c>
      <c r="AF573" s="30" t="str">
        <f ca="1"/>
        <v>Live</v>
      </c>
      <c r="AG573" s="30">
        <f ca="1"/>
        <v>20</v>
      </c>
      <c r="AH573" s="31" t="str">
        <f ca="1"/>
        <v>Unknown</v>
      </c>
      <c r="AI573" s="49">
        <f t="shared" ca="1" si="17"/>
        <v>0</v>
      </c>
      <c r="AJ573" s="71">
        <f ca="1"/>
        <v>0</v>
      </c>
    </row>
    <row r="574" spans="2:36" x14ac:dyDescent="0.25">
      <c r="B574" s="29" t="str">
        <f ca="1"/>
        <v>dal10.sr01.rk564</v>
      </c>
      <c r="C574" s="10" t="s">
        <v>2070</v>
      </c>
      <c r="D574" s="2" t="b" cm="1">
        <f t="array" ref="D574:O574">_xlfn._xlws.FILTER(IF(ancillary!$E$4:$P$8="",FALSE,ancillary!$E$4:$P$8),ancillary!$B$4:$B$8=$C574)</f>
        <v>1</v>
      </c>
      <c r="E574" s="2" t="b">
        <v>1</v>
      </c>
      <c r="F574" s="2" t="b">
        <v>1</v>
      </c>
      <c r="G574" s="2" t="b">
        <v>1</v>
      </c>
      <c r="H574" s="2" t="b">
        <v>1</v>
      </c>
      <c r="I574" s="2" t="b">
        <v>1</v>
      </c>
      <c r="J574" s="2" t="b">
        <v>0</v>
      </c>
      <c r="K574" s="2" t="b">
        <v>0</v>
      </c>
      <c r="L574" s="2" t="b">
        <v>0</v>
      </c>
      <c r="M574" s="2" t="b">
        <v>0</v>
      </c>
      <c r="N574" s="2" t="b">
        <v>0</v>
      </c>
      <c r="O574" s="2" t="b">
        <v>0</v>
      </c>
      <c r="P574" s="68"/>
      <c r="R574" s="69"/>
      <c r="S574" s="68"/>
      <c r="U574" s="69"/>
      <c r="V574" s="68"/>
      <c r="X574" s="69"/>
      <c r="Y574" s="68"/>
      <c r="AA574" s="69"/>
      <c r="AB574" s="33">
        <f t="shared" si="16"/>
        <v>0</v>
      </c>
      <c r="AC574" s="45">
        <f>_xlfn.LET(_xlpm.ps_1,P574:R574, _xlpm.ps_2,S574:U574, _xlpm.ps_3,V574:X574, _xlpm.ps_4,Y574:AA574,
_xlpm.phase, MID(C574,SEARCH("-",C574)+1,256),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(_xlfn.XLOOKUP($C$7,site_assumptions[Details],site_assumptions[Volts])*SUMIFS(P574:AA574,_xlfn.ANCHORARRAY(D574),TRUE)/10*0.95)/1000,
IFERROR(IF(_xlpm.phase="3Phase", _xlpm.p3_calc, _xlpm.sp_calc),0))</f>
        <v>0</v>
      </c>
      <c r="AD574" s="29" t="str">
        <f ca="1"/>
        <v>Gen2</v>
      </c>
      <c r="AE574" s="30" t="str">
        <f ca="1"/>
        <v>Compute</v>
      </c>
      <c r="AF574" s="30" t="str">
        <f ca="1"/>
        <v>Live</v>
      </c>
      <c r="AG574" s="30">
        <f ca="1"/>
        <v>20</v>
      </c>
      <c r="AH574" s="31" t="str">
        <f ca="1"/>
        <v>Unknown</v>
      </c>
      <c r="AI574" s="49">
        <f t="shared" ca="1" si="17"/>
        <v>0</v>
      </c>
      <c r="AJ574" s="71">
        <f ca="1"/>
        <v>0</v>
      </c>
    </row>
    <row r="575" spans="2:36" x14ac:dyDescent="0.25">
      <c r="B575" s="29" t="str">
        <f ca="1"/>
        <v>dal10.sr01.rk565</v>
      </c>
      <c r="C575" s="10" t="s">
        <v>2070</v>
      </c>
      <c r="D575" s="2" t="b" cm="1">
        <f t="array" ref="D575:O575">_xlfn._xlws.FILTER(IF(ancillary!$E$4:$P$8="",FALSE,ancillary!$E$4:$P$8),ancillary!$B$4:$B$8=$C575)</f>
        <v>1</v>
      </c>
      <c r="E575" s="2" t="b">
        <v>1</v>
      </c>
      <c r="F575" s="2" t="b">
        <v>1</v>
      </c>
      <c r="G575" s="2" t="b">
        <v>1</v>
      </c>
      <c r="H575" s="2" t="b">
        <v>1</v>
      </c>
      <c r="I575" s="2" t="b">
        <v>1</v>
      </c>
      <c r="J575" s="2" t="b">
        <v>0</v>
      </c>
      <c r="K575" s="2" t="b">
        <v>0</v>
      </c>
      <c r="L575" s="2" t="b">
        <v>0</v>
      </c>
      <c r="M575" s="2" t="b">
        <v>0</v>
      </c>
      <c r="N575" s="2" t="b">
        <v>0</v>
      </c>
      <c r="O575" s="2" t="b">
        <v>0</v>
      </c>
      <c r="P575" s="68"/>
      <c r="R575" s="69"/>
      <c r="S575" s="68"/>
      <c r="U575" s="69"/>
      <c r="V575" s="68"/>
      <c r="X575" s="69"/>
      <c r="Y575" s="68"/>
      <c r="AA575" s="69"/>
      <c r="AB575" s="33">
        <f t="shared" si="16"/>
        <v>0</v>
      </c>
      <c r="AC575" s="45">
        <f>_xlfn.LET(_xlpm.ps_1,P575:R575, _xlpm.ps_2,S575:U575, _xlpm.ps_3,V575:X575, _xlpm.ps_4,Y575:AA575,
_xlpm.phase, MID(C575,SEARCH("-",C575)+1,256),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(_xlfn.XLOOKUP($C$7,site_assumptions[Details],site_assumptions[Volts])*SUMIFS(P575:AA575,_xlfn.ANCHORARRAY(D575),TRUE)/10*0.95)/1000,
IFERROR(IF(_xlpm.phase="3Phase", _xlpm.p3_calc, _xlpm.sp_calc),0))</f>
        <v>0</v>
      </c>
      <c r="AD575" s="29" t="str">
        <f ca="1"/>
        <v>Gen2</v>
      </c>
      <c r="AE575" s="30" t="str">
        <f ca="1"/>
        <v>Compute</v>
      </c>
      <c r="AF575" s="30" t="str">
        <f ca="1"/>
        <v>Planned</v>
      </c>
      <c r="AG575" s="30">
        <f ca="1"/>
        <v>20</v>
      </c>
      <c r="AH575" s="31" t="str">
        <f ca="1"/>
        <v>Unknown</v>
      </c>
      <c r="AI575" s="49">
        <f t="shared" ca="1" si="17"/>
        <v>0</v>
      </c>
      <c r="AJ575" s="71">
        <f ca="1"/>
        <v>0</v>
      </c>
    </row>
    <row r="576" spans="2:36" x14ac:dyDescent="0.25">
      <c r="B576" s="29" t="str">
        <f ca="1"/>
        <v>dal10.sr01.rk566</v>
      </c>
      <c r="C576" s="10" t="s">
        <v>2070</v>
      </c>
      <c r="D576" s="2" t="b" cm="1">
        <f t="array" ref="D576:O576">_xlfn._xlws.FILTER(IF(ancillary!$E$4:$P$8="",FALSE,ancillary!$E$4:$P$8),ancillary!$B$4:$B$8=$C576)</f>
        <v>1</v>
      </c>
      <c r="E576" s="2" t="b">
        <v>1</v>
      </c>
      <c r="F576" s="2" t="b">
        <v>1</v>
      </c>
      <c r="G576" s="2" t="b">
        <v>1</v>
      </c>
      <c r="H576" s="2" t="b">
        <v>1</v>
      </c>
      <c r="I576" s="2" t="b">
        <v>1</v>
      </c>
      <c r="J576" s="2" t="b">
        <v>0</v>
      </c>
      <c r="K576" s="2" t="b">
        <v>0</v>
      </c>
      <c r="L576" s="2" t="b">
        <v>0</v>
      </c>
      <c r="M576" s="2" t="b">
        <v>0</v>
      </c>
      <c r="N576" s="2" t="b">
        <v>0</v>
      </c>
      <c r="O576" s="2" t="b">
        <v>0</v>
      </c>
      <c r="P576" s="68"/>
      <c r="R576" s="69"/>
      <c r="S576" s="68"/>
      <c r="U576" s="69"/>
      <c r="V576" s="68"/>
      <c r="X576" s="69"/>
      <c r="Y576" s="68"/>
      <c r="AA576" s="69"/>
      <c r="AB576" s="33">
        <f t="shared" si="16"/>
        <v>0</v>
      </c>
      <c r="AC576" s="45">
        <f>_xlfn.LET(_xlpm.ps_1,P576:R576, _xlpm.ps_2,S576:U576, _xlpm.ps_3,V576:X576, _xlpm.ps_4,Y576:AA576,
_xlpm.phase, MID(C576,SEARCH("-",C576)+1,256),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(_xlfn.XLOOKUP($C$7,site_assumptions[Details],site_assumptions[Volts])*SUMIFS(P576:AA576,_xlfn.ANCHORARRAY(D576),TRUE)/10*0.95)/1000,
IFERROR(IF(_xlpm.phase="3Phase", _xlpm.p3_calc, _xlpm.sp_calc),0))</f>
        <v>0</v>
      </c>
      <c r="AD576" s="29" t="str">
        <f ca="1"/>
        <v>Unallocated</v>
      </c>
      <c r="AE576" s="30" t="str">
        <f ca="1"/>
        <v>Unallocated</v>
      </c>
      <c r="AF576" s="30" t="str">
        <f ca="1"/>
        <v>Power Limit</v>
      </c>
      <c r="AG576" s="30">
        <f ca="1"/>
        <v>0</v>
      </c>
      <c r="AH576" s="31" t="str">
        <f ca="1"/>
        <v>Unknown</v>
      </c>
      <c r="AI576" s="49">
        <f t="shared" ca="1" si="17"/>
        <v>0</v>
      </c>
      <c r="AJ576" s="71">
        <f ca="1"/>
        <v>0</v>
      </c>
    </row>
    <row r="577" spans="2:36" x14ac:dyDescent="0.25">
      <c r="B577" s="29" t="str">
        <f ca="1"/>
        <v>dal10.sr01.rk567</v>
      </c>
      <c r="C577" s="10" t="s">
        <v>2070</v>
      </c>
      <c r="D577" s="2" t="b" cm="1">
        <f t="array" ref="D577:O577">_xlfn._xlws.FILTER(IF(ancillary!$E$4:$P$8="",FALSE,ancillary!$E$4:$P$8),ancillary!$B$4:$B$8=$C577)</f>
        <v>1</v>
      </c>
      <c r="E577" s="2" t="b">
        <v>1</v>
      </c>
      <c r="F577" s="2" t="b">
        <v>1</v>
      </c>
      <c r="G577" s="2" t="b">
        <v>1</v>
      </c>
      <c r="H577" s="2" t="b">
        <v>1</v>
      </c>
      <c r="I577" s="2" t="b">
        <v>1</v>
      </c>
      <c r="J577" s="2" t="b">
        <v>0</v>
      </c>
      <c r="K577" s="2" t="b">
        <v>0</v>
      </c>
      <c r="L577" s="2" t="b">
        <v>0</v>
      </c>
      <c r="M577" s="2" t="b">
        <v>0</v>
      </c>
      <c r="N577" s="2" t="b">
        <v>0</v>
      </c>
      <c r="O577" s="2" t="b">
        <v>0</v>
      </c>
      <c r="P577" s="68"/>
      <c r="R577" s="69"/>
      <c r="S577" s="68"/>
      <c r="U577" s="69"/>
      <c r="V577" s="68"/>
      <c r="X577" s="69"/>
      <c r="Y577" s="68"/>
      <c r="AA577" s="69"/>
      <c r="AB577" s="33">
        <f t="shared" si="16"/>
        <v>0</v>
      </c>
      <c r="AC577" s="45">
        <f>_xlfn.LET(_xlpm.ps_1,P577:R577, _xlpm.ps_2,S577:U577, _xlpm.ps_3,V577:X577, _xlpm.ps_4,Y577:AA577,
_xlpm.phase, MID(C577,SEARCH("-",C577)+1,256),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(_xlfn.XLOOKUP($C$7,site_assumptions[Details],site_assumptions[Volts])*SUMIFS(P577:AA577,_xlfn.ANCHORARRAY(D577),TRUE)/10*0.95)/1000,
IFERROR(IF(_xlpm.phase="3Phase", _xlpm.p3_calc, _xlpm.sp_calc),0))</f>
        <v>0</v>
      </c>
      <c r="AD577" s="29" t="str">
        <f ca="1"/>
        <v>Unallocated</v>
      </c>
      <c r="AE577" s="30" t="str">
        <f ca="1"/>
        <v>Unallocated</v>
      </c>
      <c r="AF577" s="30" t="str">
        <f ca="1"/>
        <v>Power Limit</v>
      </c>
      <c r="AG577" s="30">
        <f ca="1"/>
        <v>0</v>
      </c>
      <c r="AH577" s="31" t="str">
        <f ca="1"/>
        <v>Unknown</v>
      </c>
      <c r="AI577" s="49">
        <f t="shared" ca="1" si="17"/>
        <v>0</v>
      </c>
      <c r="AJ577" s="71">
        <f ca="1"/>
        <v>0</v>
      </c>
    </row>
    <row r="578" spans="2:36" x14ac:dyDescent="0.25">
      <c r="B578" s="29" t="str">
        <f ca="1"/>
        <v>dal10.sr01.rk568</v>
      </c>
      <c r="C578" s="10" t="s">
        <v>2070</v>
      </c>
      <c r="D578" s="2" t="b" cm="1">
        <f t="array" ref="D578:O578">_xlfn._xlws.FILTER(IF(ancillary!$E$4:$P$8="",FALSE,ancillary!$E$4:$P$8),ancillary!$B$4:$B$8=$C578)</f>
        <v>1</v>
      </c>
      <c r="E578" s="2" t="b">
        <v>1</v>
      </c>
      <c r="F578" s="2" t="b">
        <v>1</v>
      </c>
      <c r="G578" s="2" t="b">
        <v>1</v>
      </c>
      <c r="H578" s="2" t="b">
        <v>1</v>
      </c>
      <c r="I578" s="2" t="b">
        <v>1</v>
      </c>
      <c r="J578" s="2" t="b">
        <v>0</v>
      </c>
      <c r="K578" s="2" t="b">
        <v>0</v>
      </c>
      <c r="L578" s="2" t="b">
        <v>0</v>
      </c>
      <c r="M578" s="2" t="b">
        <v>0</v>
      </c>
      <c r="N578" s="2" t="b">
        <v>0</v>
      </c>
      <c r="O578" s="2" t="b">
        <v>0</v>
      </c>
      <c r="P578" s="68"/>
      <c r="R578" s="69"/>
      <c r="S578" s="68"/>
      <c r="U578" s="69"/>
      <c r="V578" s="68"/>
      <c r="X578" s="69"/>
      <c r="Y578" s="68"/>
      <c r="AA578" s="69"/>
      <c r="AB578" s="33">
        <f t="shared" si="16"/>
        <v>0</v>
      </c>
      <c r="AC578" s="45">
        <f>_xlfn.LET(_xlpm.ps_1,P578:R578, _xlpm.ps_2,S578:U578, _xlpm.ps_3,V578:X578, _xlpm.ps_4,Y578:AA578,
_xlpm.phase, MID(C578,SEARCH("-",C578)+1,256),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(_xlfn.XLOOKUP($C$7,site_assumptions[Details],site_assumptions[Volts])*SUMIFS(P578:AA578,_xlfn.ANCHORARRAY(D578),TRUE)/10*0.95)/1000,
IFERROR(IF(_xlpm.phase="3Phase", _xlpm.p3_calc, _xlpm.sp_calc),0))</f>
        <v>0</v>
      </c>
      <c r="AD578" s="29" t="str">
        <f ca="1"/>
        <v>Unallocated</v>
      </c>
      <c r="AE578" s="30" t="str">
        <f ca="1"/>
        <v>Unallocated</v>
      </c>
      <c r="AF578" s="30" t="str">
        <f ca="1"/>
        <v>Power Limit</v>
      </c>
      <c r="AG578" s="30">
        <f ca="1"/>
        <v>0</v>
      </c>
      <c r="AH578" s="31" t="str">
        <f ca="1"/>
        <v>Unknown</v>
      </c>
      <c r="AI578" s="49">
        <f t="shared" ca="1" si="17"/>
        <v>0</v>
      </c>
      <c r="AJ578" s="71">
        <f ca="1"/>
        <v>0</v>
      </c>
    </row>
    <row r="579" spans="2:36" x14ac:dyDescent="0.25">
      <c r="B579" s="29" t="str">
        <f ca="1"/>
        <v>dal10.sr01.rk569</v>
      </c>
      <c r="C579" s="10" t="s">
        <v>2070</v>
      </c>
      <c r="D579" s="2" t="b" cm="1">
        <f t="array" ref="D579:O579">_xlfn._xlws.FILTER(IF(ancillary!$E$4:$P$8="",FALSE,ancillary!$E$4:$P$8),ancillary!$B$4:$B$8=$C579)</f>
        <v>1</v>
      </c>
      <c r="E579" s="2" t="b">
        <v>1</v>
      </c>
      <c r="F579" s="2" t="b">
        <v>1</v>
      </c>
      <c r="G579" s="2" t="b">
        <v>1</v>
      </c>
      <c r="H579" s="2" t="b">
        <v>1</v>
      </c>
      <c r="I579" s="2" t="b">
        <v>1</v>
      </c>
      <c r="J579" s="2" t="b">
        <v>0</v>
      </c>
      <c r="K579" s="2" t="b">
        <v>0</v>
      </c>
      <c r="L579" s="2" t="b">
        <v>0</v>
      </c>
      <c r="M579" s="2" t="b">
        <v>0</v>
      </c>
      <c r="N579" s="2" t="b">
        <v>0</v>
      </c>
      <c r="O579" s="2" t="b">
        <v>0</v>
      </c>
      <c r="P579" s="68"/>
      <c r="R579" s="69"/>
      <c r="S579" s="68"/>
      <c r="U579" s="69"/>
      <c r="V579" s="68"/>
      <c r="X579" s="69"/>
      <c r="Y579" s="68"/>
      <c r="AA579" s="69"/>
      <c r="AB579" s="33">
        <f t="shared" si="16"/>
        <v>0</v>
      </c>
      <c r="AC579" s="45">
        <f>_xlfn.LET(_xlpm.ps_1,P579:R579, _xlpm.ps_2,S579:U579, _xlpm.ps_3,V579:X579, _xlpm.ps_4,Y579:AA579,
_xlpm.phase, MID(C579,SEARCH("-",C579)+1,256),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(_xlfn.XLOOKUP($C$7,site_assumptions[Details],site_assumptions[Volts])*SUMIFS(P579:AA579,_xlfn.ANCHORARRAY(D579),TRUE)/10*0.95)/1000,
IFERROR(IF(_xlpm.phase="3Phase", _xlpm.p3_calc, _xlpm.sp_calc),0))</f>
        <v>0</v>
      </c>
      <c r="AD579" s="29" t="str">
        <f ca="1"/>
        <v>Unallocated</v>
      </c>
      <c r="AE579" s="30" t="str">
        <f ca="1"/>
        <v>Unallocated</v>
      </c>
      <c r="AF579" s="30" t="str">
        <f ca="1"/>
        <v>Power Limit</v>
      </c>
      <c r="AG579" s="30">
        <f ca="1"/>
        <v>0</v>
      </c>
      <c r="AH579" s="31" t="str">
        <f ca="1"/>
        <v>Unknown</v>
      </c>
      <c r="AI579" s="49">
        <f t="shared" ca="1" si="17"/>
        <v>0</v>
      </c>
      <c r="AJ579" s="71">
        <f ca="1"/>
        <v>0</v>
      </c>
    </row>
    <row r="580" spans="2:36" x14ac:dyDescent="0.25">
      <c r="B580" s="29" t="str">
        <f ca="1"/>
        <v>dal10.sr01.rk570</v>
      </c>
      <c r="C580" s="10" t="s">
        <v>2070</v>
      </c>
      <c r="D580" s="2" t="b" cm="1">
        <f t="array" ref="D580:O580">_xlfn._xlws.FILTER(IF(ancillary!$E$4:$P$8="",FALSE,ancillary!$E$4:$P$8),ancillary!$B$4:$B$8=$C580)</f>
        <v>1</v>
      </c>
      <c r="E580" s="2" t="b">
        <v>1</v>
      </c>
      <c r="F580" s="2" t="b">
        <v>1</v>
      </c>
      <c r="G580" s="2" t="b">
        <v>1</v>
      </c>
      <c r="H580" s="2" t="b">
        <v>1</v>
      </c>
      <c r="I580" s="2" t="b">
        <v>1</v>
      </c>
      <c r="J580" s="2" t="b">
        <v>0</v>
      </c>
      <c r="K580" s="2" t="b">
        <v>0</v>
      </c>
      <c r="L580" s="2" t="b">
        <v>0</v>
      </c>
      <c r="M580" s="2" t="b">
        <v>0</v>
      </c>
      <c r="N580" s="2" t="b">
        <v>0</v>
      </c>
      <c r="O580" s="2" t="b">
        <v>0</v>
      </c>
      <c r="P580" s="68"/>
      <c r="R580" s="69"/>
      <c r="S580" s="68"/>
      <c r="U580" s="69"/>
      <c r="V580" s="68"/>
      <c r="X580" s="69"/>
      <c r="Y580" s="68"/>
      <c r="AA580" s="69"/>
      <c r="AB580" s="33">
        <f t="shared" si="16"/>
        <v>0</v>
      </c>
      <c r="AC580" s="45">
        <f>_xlfn.LET(_xlpm.ps_1,P580:R580, _xlpm.ps_2,S580:U580, _xlpm.ps_3,V580:X580, _xlpm.ps_4,Y580:AA580,
_xlpm.phase, MID(C580,SEARCH("-",C580)+1,256),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(_xlfn.XLOOKUP($C$7,site_assumptions[Details],site_assumptions[Volts])*SUMIFS(P580:AA580,_xlfn.ANCHORARRAY(D580),TRUE)/10*0.95)/1000,
IFERROR(IF(_xlpm.phase="3Phase", _xlpm.p3_calc, _xlpm.sp_calc),0))</f>
        <v>0</v>
      </c>
      <c r="AD580" s="29" t="str">
        <f ca="1"/>
        <v>Unallocated</v>
      </c>
      <c r="AE580" s="30" t="str">
        <f ca="1"/>
        <v>Unallocated</v>
      </c>
      <c r="AF580" s="30" t="str">
        <f ca="1"/>
        <v>Power Limit</v>
      </c>
      <c r="AG580" s="30">
        <f ca="1"/>
        <v>0</v>
      </c>
      <c r="AH580" s="31" t="str">
        <f ca="1"/>
        <v>Unknown</v>
      </c>
      <c r="AI580" s="49">
        <f t="shared" ca="1" si="17"/>
        <v>0</v>
      </c>
      <c r="AJ580" s="71">
        <f ca="1"/>
        <v>0</v>
      </c>
    </row>
    <row r="581" spans="2:36" x14ac:dyDescent="0.25">
      <c r="B581" s="29" t="str">
        <f ca="1"/>
        <v>dal10.sr01.rk571</v>
      </c>
      <c r="C581" s="10" t="s">
        <v>2070</v>
      </c>
      <c r="D581" s="2" t="b" cm="1">
        <f t="array" ref="D581:O581">_xlfn._xlws.FILTER(IF(ancillary!$E$4:$P$8="",FALSE,ancillary!$E$4:$P$8),ancillary!$B$4:$B$8=$C581)</f>
        <v>1</v>
      </c>
      <c r="E581" s="2" t="b">
        <v>1</v>
      </c>
      <c r="F581" s="2" t="b">
        <v>1</v>
      </c>
      <c r="G581" s="2" t="b">
        <v>1</v>
      </c>
      <c r="H581" s="2" t="b">
        <v>1</v>
      </c>
      <c r="I581" s="2" t="b">
        <v>1</v>
      </c>
      <c r="J581" s="2" t="b">
        <v>0</v>
      </c>
      <c r="K581" s="2" t="b">
        <v>0</v>
      </c>
      <c r="L581" s="2" t="b">
        <v>0</v>
      </c>
      <c r="M581" s="2" t="b">
        <v>0</v>
      </c>
      <c r="N581" s="2" t="b">
        <v>0</v>
      </c>
      <c r="O581" s="2" t="b">
        <v>0</v>
      </c>
      <c r="P581" s="68"/>
      <c r="R581" s="69"/>
      <c r="S581" s="68"/>
      <c r="U581" s="69"/>
      <c r="V581" s="68"/>
      <c r="X581" s="69"/>
      <c r="Y581" s="68"/>
      <c r="AA581" s="69"/>
      <c r="AB581" s="33">
        <f t="shared" si="16"/>
        <v>0</v>
      </c>
      <c r="AC581" s="45">
        <f>_xlfn.LET(_xlpm.ps_1,P581:R581, _xlpm.ps_2,S581:U581, _xlpm.ps_3,V581:X581, _xlpm.ps_4,Y581:AA581,
_xlpm.phase, MID(C581,SEARCH("-",C581)+1,256),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(_xlfn.XLOOKUP($C$7,site_assumptions[Details],site_assumptions[Volts])*SUMIFS(P581:AA581,_xlfn.ANCHORARRAY(D581),TRUE)/10*0.95)/1000,
IFERROR(IF(_xlpm.phase="3Phase", _xlpm.p3_calc, _xlpm.sp_calc),0))</f>
        <v>0</v>
      </c>
      <c r="AD581" s="29" t="str">
        <f ca="1"/>
        <v>Unallocated</v>
      </c>
      <c r="AE581" s="30" t="str">
        <f ca="1"/>
        <v>Unallocated</v>
      </c>
      <c r="AF581" s="30" t="str">
        <f ca="1"/>
        <v>Power Limit</v>
      </c>
      <c r="AG581" s="30">
        <f ca="1"/>
        <v>0</v>
      </c>
      <c r="AH581" s="31" t="str">
        <f ca="1"/>
        <v>Unknown</v>
      </c>
      <c r="AI581" s="49">
        <f t="shared" ca="1" si="17"/>
        <v>0</v>
      </c>
      <c r="AJ581" s="71">
        <f ca="1"/>
        <v>0</v>
      </c>
    </row>
    <row r="582" spans="2:36" x14ac:dyDescent="0.25">
      <c r="B582" s="29" t="str">
        <f ca="1"/>
        <v>dal10.sr01.rk572</v>
      </c>
      <c r="C582" s="10" t="s">
        <v>2070</v>
      </c>
      <c r="D582" s="2" t="b" cm="1">
        <f t="array" ref="D582:O582">_xlfn._xlws.FILTER(IF(ancillary!$E$4:$P$8="",FALSE,ancillary!$E$4:$P$8),ancillary!$B$4:$B$8=$C582)</f>
        <v>1</v>
      </c>
      <c r="E582" s="2" t="b">
        <v>1</v>
      </c>
      <c r="F582" s="2" t="b">
        <v>1</v>
      </c>
      <c r="G582" s="2" t="b">
        <v>1</v>
      </c>
      <c r="H582" s="2" t="b">
        <v>1</v>
      </c>
      <c r="I582" s="2" t="b">
        <v>1</v>
      </c>
      <c r="J582" s="2" t="b">
        <v>0</v>
      </c>
      <c r="K582" s="2" t="b">
        <v>0</v>
      </c>
      <c r="L582" s="2" t="b">
        <v>0</v>
      </c>
      <c r="M582" s="2" t="b">
        <v>0</v>
      </c>
      <c r="N582" s="2" t="b">
        <v>0</v>
      </c>
      <c r="O582" s="2" t="b">
        <v>0</v>
      </c>
      <c r="P582" s="68"/>
      <c r="R582" s="69"/>
      <c r="S582" s="68"/>
      <c r="U582" s="69"/>
      <c r="V582" s="68"/>
      <c r="X582" s="69"/>
      <c r="Y582" s="68"/>
      <c r="AA582" s="69"/>
      <c r="AB582" s="33">
        <f t="shared" si="16"/>
        <v>0</v>
      </c>
      <c r="AC582" s="45">
        <f>_xlfn.LET(_xlpm.ps_1,P582:R582, _xlpm.ps_2,S582:U582, _xlpm.ps_3,V582:X582, _xlpm.ps_4,Y582:AA582,
_xlpm.phase, MID(C582,SEARCH("-",C582)+1,256),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(_xlfn.XLOOKUP($C$7,site_assumptions[Details],site_assumptions[Volts])*SUMIFS(P582:AA582,_xlfn.ANCHORARRAY(D582),TRUE)/10*0.95)/1000,
IFERROR(IF(_xlpm.phase="3Phase", _xlpm.p3_calc, _xlpm.sp_calc),0))</f>
        <v>0</v>
      </c>
      <c r="AD582" s="29" t="str">
        <f ca="1"/>
        <v>Unallocated</v>
      </c>
      <c r="AE582" s="30" t="str">
        <f ca="1"/>
        <v>Unallocated</v>
      </c>
      <c r="AF582" s="30" t="str">
        <f ca="1"/>
        <v>Power Limit</v>
      </c>
      <c r="AG582" s="30">
        <f ca="1"/>
        <v>0</v>
      </c>
      <c r="AH582" s="31" t="str">
        <f ca="1"/>
        <v>Unknown</v>
      </c>
      <c r="AI582" s="49">
        <f t="shared" ca="1" si="17"/>
        <v>0</v>
      </c>
      <c r="AJ582" s="71">
        <f ca="1"/>
        <v>0</v>
      </c>
    </row>
    <row r="583" spans="2:36" x14ac:dyDescent="0.25">
      <c r="B583" s="29" t="str">
        <f ca="1"/>
        <v>dal10.sr01.rk573</v>
      </c>
      <c r="C583" s="10" t="s">
        <v>2070</v>
      </c>
      <c r="D583" s="2" t="b" cm="1">
        <f t="array" ref="D583:O583">_xlfn._xlws.FILTER(IF(ancillary!$E$4:$P$8="",FALSE,ancillary!$E$4:$P$8),ancillary!$B$4:$B$8=$C583)</f>
        <v>1</v>
      </c>
      <c r="E583" s="2" t="b">
        <v>1</v>
      </c>
      <c r="F583" s="2" t="b">
        <v>1</v>
      </c>
      <c r="G583" s="2" t="b">
        <v>1</v>
      </c>
      <c r="H583" s="2" t="b">
        <v>1</v>
      </c>
      <c r="I583" s="2" t="b">
        <v>1</v>
      </c>
      <c r="J583" s="2" t="b">
        <v>0</v>
      </c>
      <c r="K583" s="2" t="b">
        <v>0</v>
      </c>
      <c r="L583" s="2" t="b">
        <v>0</v>
      </c>
      <c r="M583" s="2" t="b">
        <v>0</v>
      </c>
      <c r="N583" s="2" t="b">
        <v>0</v>
      </c>
      <c r="O583" s="2" t="b">
        <v>0</v>
      </c>
      <c r="P583" s="68"/>
      <c r="R583" s="69"/>
      <c r="S583" s="68"/>
      <c r="U583" s="69"/>
      <c r="V583" s="68"/>
      <c r="X583" s="69"/>
      <c r="Y583" s="68"/>
      <c r="AA583" s="69"/>
      <c r="AB583" s="33">
        <f t="shared" si="16"/>
        <v>0</v>
      </c>
      <c r="AC583" s="45">
        <f>_xlfn.LET(_xlpm.ps_1,P583:R583, _xlpm.ps_2,S583:U583, _xlpm.ps_3,V583:X583, _xlpm.ps_4,Y583:AA583,
_xlpm.phase, MID(C583,SEARCH("-",C583)+1,256),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(_xlfn.XLOOKUP($C$7,site_assumptions[Details],site_assumptions[Volts])*SUMIFS(P583:AA583,_xlfn.ANCHORARRAY(D583),TRUE)/10*0.95)/1000,
IFERROR(IF(_xlpm.phase="3Phase", _xlpm.p3_calc, _xlpm.sp_calc),0))</f>
        <v>0</v>
      </c>
      <c r="AD583" s="29" t="str">
        <f ca="1"/>
        <v>Gen2</v>
      </c>
      <c r="AE583" s="30" t="str">
        <f ca="1"/>
        <v>Compute</v>
      </c>
      <c r="AF583" s="30" t="str">
        <f ca="1"/>
        <v>Planned</v>
      </c>
      <c r="AG583" s="30">
        <f ca="1"/>
        <v>20</v>
      </c>
      <c r="AH583" s="31" t="str">
        <f ca="1"/>
        <v>Unknown</v>
      </c>
      <c r="AI583" s="49">
        <f t="shared" ca="1" si="17"/>
        <v>0</v>
      </c>
      <c r="AJ583" s="71">
        <f ca="1"/>
        <v>0</v>
      </c>
    </row>
    <row r="584" spans="2:36" x14ac:dyDescent="0.25">
      <c r="B584" s="29" t="str">
        <f ca="1"/>
        <v>dal10.sr01.rk574</v>
      </c>
      <c r="C584" s="10" t="s">
        <v>2070</v>
      </c>
      <c r="D584" s="2" t="b" cm="1">
        <f t="array" ref="D584:O584">_xlfn._xlws.FILTER(IF(ancillary!$E$4:$P$8="",FALSE,ancillary!$E$4:$P$8),ancillary!$B$4:$B$8=$C584)</f>
        <v>1</v>
      </c>
      <c r="E584" s="2" t="b">
        <v>1</v>
      </c>
      <c r="F584" s="2" t="b">
        <v>1</v>
      </c>
      <c r="G584" s="2" t="b">
        <v>1</v>
      </c>
      <c r="H584" s="2" t="b">
        <v>1</v>
      </c>
      <c r="I584" s="2" t="b">
        <v>1</v>
      </c>
      <c r="J584" s="2" t="b">
        <v>0</v>
      </c>
      <c r="K584" s="2" t="b">
        <v>0</v>
      </c>
      <c r="L584" s="2" t="b">
        <v>0</v>
      </c>
      <c r="M584" s="2" t="b">
        <v>0</v>
      </c>
      <c r="N584" s="2" t="b">
        <v>0</v>
      </c>
      <c r="O584" s="2" t="b">
        <v>0</v>
      </c>
      <c r="P584" s="68"/>
      <c r="R584" s="69"/>
      <c r="S584" s="68"/>
      <c r="U584" s="69"/>
      <c r="V584" s="68"/>
      <c r="X584" s="69"/>
      <c r="Y584" s="68"/>
      <c r="AA584" s="69"/>
      <c r="AB584" s="33">
        <f t="shared" si="16"/>
        <v>0</v>
      </c>
      <c r="AC584" s="45">
        <f>_xlfn.LET(_xlpm.ps_1,P584:R584, _xlpm.ps_2,S584:U584, _xlpm.ps_3,V584:X584, _xlpm.ps_4,Y584:AA584,
_xlpm.phase, MID(C584,SEARCH("-",C584)+1,256),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(_xlfn.XLOOKUP($C$7,site_assumptions[Details],site_assumptions[Volts])*SUMIFS(P584:AA584,_xlfn.ANCHORARRAY(D584),TRUE)/10*0.95)/1000,
IFERROR(IF(_xlpm.phase="3Phase", _xlpm.p3_calc, _xlpm.sp_calc),0))</f>
        <v>0</v>
      </c>
      <c r="AD584" s="29" t="str">
        <f ca="1"/>
        <v>Gen2</v>
      </c>
      <c r="AE584" s="30" t="str">
        <f ca="1"/>
        <v>Compute</v>
      </c>
      <c r="AF584" s="30" t="str">
        <f ca="1"/>
        <v>Planned</v>
      </c>
      <c r="AG584" s="30">
        <f ca="1"/>
        <v>20</v>
      </c>
      <c r="AH584" s="31" t="str">
        <f ca="1"/>
        <v>Unknown</v>
      </c>
      <c r="AI584" s="49">
        <f t="shared" ca="1" si="17"/>
        <v>0</v>
      </c>
      <c r="AJ584" s="71">
        <f ca="1"/>
        <v>0</v>
      </c>
    </row>
    <row r="585" spans="2:36" x14ac:dyDescent="0.25">
      <c r="B585" s="29" t="str">
        <f ca="1"/>
        <v>dal10.sr01.rk575</v>
      </c>
      <c r="C585" s="10" t="s">
        <v>2070</v>
      </c>
      <c r="D585" s="2" t="b" cm="1">
        <f t="array" ref="D585:O585">_xlfn._xlws.FILTER(IF(ancillary!$E$4:$P$8="",FALSE,ancillary!$E$4:$P$8),ancillary!$B$4:$B$8=$C585)</f>
        <v>1</v>
      </c>
      <c r="E585" s="2" t="b">
        <v>1</v>
      </c>
      <c r="F585" s="2" t="b">
        <v>1</v>
      </c>
      <c r="G585" s="2" t="b">
        <v>1</v>
      </c>
      <c r="H585" s="2" t="b">
        <v>1</v>
      </c>
      <c r="I585" s="2" t="b">
        <v>1</v>
      </c>
      <c r="J585" s="2" t="b">
        <v>0</v>
      </c>
      <c r="K585" s="2" t="b">
        <v>0</v>
      </c>
      <c r="L585" s="2" t="b">
        <v>0</v>
      </c>
      <c r="M585" s="2" t="b">
        <v>0</v>
      </c>
      <c r="N585" s="2" t="b">
        <v>0</v>
      </c>
      <c r="O585" s="2" t="b">
        <v>0</v>
      </c>
      <c r="P585" s="68"/>
      <c r="R585" s="69"/>
      <c r="S585" s="68"/>
      <c r="U585" s="69"/>
      <c r="V585" s="68"/>
      <c r="X585" s="69"/>
      <c r="Y585" s="68"/>
      <c r="AA585" s="69"/>
      <c r="AB585" s="33">
        <f t="shared" si="16"/>
        <v>0</v>
      </c>
      <c r="AC585" s="45">
        <f>_xlfn.LET(_xlpm.ps_1,P585:R585, _xlpm.ps_2,S585:U585, _xlpm.ps_3,V585:X585, _xlpm.ps_4,Y585:AA585,
_xlpm.phase, MID(C585,SEARCH("-",C585)+1,256),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(_xlfn.XLOOKUP($C$7,site_assumptions[Details],site_assumptions[Volts])*SUMIFS(P585:AA585,_xlfn.ANCHORARRAY(D585),TRUE)/10*0.95)/1000,
IFERROR(IF(_xlpm.phase="3Phase", _xlpm.p3_calc, _xlpm.sp_calc),0))</f>
        <v>0</v>
      </c>
      <c r="AD585" s="29" t="str">
        <f ca="1"/>
        <v>Gen2</v>
      </c>
      <c r="AE585" s="30" t="str">
        <f ca="1"/>
        <v>Compute</v>
      </c>
      <c r="AF585" s="30" t="str">
        <f ca="1"/>
        <v>Live</v>
      </c>
      <c r="AG585" s="30">
        <f ca="1"/>
        <v>20</v>
      </c>
      <c r="AH585" s="31" t="str">
        <f ca="1"/>
        <v>Unknown</v>
      </c>
      <c r="AI585" s="49">
        <f t="shared" ca="1" si="17"/>
        <v>0</v>
      </c>
      <c r="AJ585" s="71">
        <f ca="1"/>
        <v>0</v>
      </c>
    </row>
    <row r="586" spans="2:36" x14ac:dyDescent="0.25">
      <c r="B586" s="29" t="str">
        <f ca="1"/>
        <v>dal10.sr01.rk576</v>
      </c>
      <c r="C586" s="10" t="s">
        <v>2070</v>
      </c>
      <c r="D586" s="2" t="b" cm="1">
        <f t="array" ref="D586:O586">_xlfn._xlws.FILTER(IF(ancillary!$E$4:$P$8="",FALSE,ancillary!$E$4:$P$8),ancillary!$B$4:$B$8=$C586)</f>
        <v>1</v>
      </c>
      <c r="E586" s="2" t="b">
        <v>1</v>
      </c>
      <c r="F586" s="2" t="b">
        <v>1</v>
      </c>
      <c r="G586" s="2" t="b">
        <v>1</v>
      </c>
      <c r="H586" s="2" t="b">
        <v>1</v>
      </c>
      <c r="I586" s="2" t="b">
        <v>1</v>
      </c>
      <c r="J586" s="2" t="b">
        <v>0</v>
      </c>
      <c r="K586" s="2" t="b">
        <v>0</v>
      </c>
      <c r="L586" s="2" t="b">
        <v>0</v>
      </c>
      <c r="M586" s="2" t="b">
        <v>0</v>
      </c>
      <c r="N586" s="2" t="b">
        <v>0</v>
      </c>
      <c r="O586" s="2" t="b">
        <v>0</v>
      </c>
      <c r="P586" s="68"/>
      <c r="R586" s="69"/>
      <c r="S586" s="68"/>
      <c r="U586" s="69"/>
      <c r="V586" s="68"/>
      <c r="X586" s="69"/>
      <c r="Y586" s="68"/>
      <c r="AA586" s="69"/>
      <c r="AB586" s="33">
        <f t="shared" si="16"/>
        <v>0</v>
      </c>
      <c r="AC586" s="45">
        <f>_xlfn.LET(_xlpm.ps_1,P586:R586, _xlpm.ps_2,S586:U586, _xlpm.ps_3,V586:X586, _xlpm.ps_4,Y586:AA586,
_xlpm.phase, MID(C586,SEARCH("-",C586)+1,256),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(_xlfn.XLOOKUP($C$7,site_assumptions[Details],site_assumptions[Volts])*SUMIFS(P586:AA586,_xlfn.ANCHORARRAY(D586),TRUE)/10*0.95)/1000,
IFERROR(IF(_xlpm.phase="3Phase", _xlpm.p3_calc, _xlpm.sp_calc),0))</f>
        <v>0</v>
      </c>
      <c r="AD586" s="29" t="str">
        <f ca="1"/>
        <v>Gen2</v>
      </c>
      <c r="AE586" s="30" t="str">
        <f ca="1"/>
        <v>Compute</v>
      </c>
      <c r="AF586" s="30" t="str">
        <f ca="1"/>
        <v>Planned</v>
      </c>
      <c r="AG586" s="30">
        <f ca="1"/>
        <v>20</v>
      </c>
      <c r="AH586" s="31" t="str">
        <f ca="1"/>
        <v>Unknown</v>
      </c>
      <c r="AI586" s="49">
        <f t="shared" ca="1" si="17"/>
        <v>0</v>
      </c>
      <c r="AJ586" s="71">
        <f ca="1"/>
        <v>0</v>
      </c>
    </row>
    <row r="587" spans="2:36" x14ac:dyDescent="0.25">
      <c r="B587" s="29" t="str">
        <f ca="1"/>
        <v>dal10.sr01.rk577</v>
      </c>
      <c r="C587" s="10" t="s">
        <v>2070</v>
      </c>
      <c r="D587" s="2" t="b" cm="1">
        <f t="array" ref="D587:O587">_xlfn._xlws.FILTER(IF(ancillary!$E$4:$P$8="",FALSE,ancillary!$E$4:$P$8),ancillary!$B$4:$B$8=$C587)</f>
        <v>1</v>
      </c>
      <c r="E587" s="2" t="b">
        <v>1</v>
      </c>
      <c r="F587" s="2" t="b">
        <v>1</v>
      </c>
      <c r="G587" s="2" t="b">
        <v>1</v>
      </c>
      <c r="H587" s="2" t="b">
        <v>1</v>
      </c>
      <c r="I587" s="2" t="b">
        <v>1</v>
      </c>
      <c r="J587" s="2" t="b">
        <v>0</v>
      </c>
      <c r="K587" s="2" t="b">
        <v>0</v>
      </c>
      <c r="L587" s="2" t="b">
        <v>0</v>
      </c>
      <c r="M587" s="2" t="b">
        <v>0</v>
      </c>
      <c r="N587" s="2" t="b">
        <v>0</v>
      </c>
      <c r="O587" s="2" t="b">
        <v>0</v>
      </c>
      <c r="P587" s="68"/>
      <c r="R587" s="69"/>
      <c r="S587" s="68"/>
      <c r="U587" s="69"/>
      <c r="V587" s="68"/>
      <c r="X587" s="69"/>
      <c r="Y587" s="68"/>
      <c r="AA587" s="69"/>
      <c r="AB587" s="33">
        <f t="shared" si="16"/>
        <v>0</v>
      </c>
      <c r="AC587" s="45">
        <f>_xlfn.LET(_xlpm.ps_1,P587:R587, _xlpm.ps_2,S587:U587, _xlpm.ps_3,V587:X587, _xlpm.ps_4,Y587:AA587,
_xlpm.phase, MID(C587,SEARCH("-",C587)+1,256),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(_xlfn.XLOOKUP($C$7,site_assumptions[Details],site_assumptions[Volts])*SUMIFS(P587:AA587,_xlfn.ANCHORARRAY(D587),TRUE)/10*0.95)/1000,
IFERROR(IF(_xlpm.phase="3Phase", _xlpm.p3_calc, _xlpm.sp_calc),0))</f>
        <v>0</v>
      </c>
      <c r="AD587" s="29" t="str">
        <f ca="1"/>
        <v>Unallocated</v>
      </c>
      <c r="AE587" s="30" t="str">
        <f ca="1"/>
        <v>Unallocated</v>
      </c>
      <c r="AF587" s="30" t="str">
        <f ca="1"/>
        <v>Power Limit</v>
      </c>
      <c r="AG587" s="30">
        <f ca="1"/>
        <v>0</v>
      </c>
      <c r="AH587" s="31" t="str">
        <f ca="1"/>
        <v>Unknown</v>
      </c>
      <c r="AI587" s="49">
        <f t="shared" ca="1" si="17"/>
        <v>0</v>
      </c>
      <c r="AJ587" s="71">
        <f ca="1"/>
        <v>0</v>
      </c>
    </row>
    <row r="588" spans="2:36" x14ac:dyDescent="0.25">
      <c r="B588" s="29" t="str">
        <f ca="1"/>
        <v>dal10.sr01.rk578</v>
      </c>
      <c r="C588" s="10" t="s">
        <v>2070</v>
      </c>
      <c r="D588" s="2" t="b" cm="1">
        <f t="array" ref="D588:O588">_xlfn._xlws.FILTER(IF(ancillary!$E$4:$P$8="",FALSE,ancillary!$E$4:$P$8),ancillary!$B$4:$B$8=$C588)</f>
        <v>1</v>
      </c>
      <c r="E588" s="2" t="b">
        <v>1</v>
      </c>
      <c r="F588" s="2" t="b">
        <v>1</v>
      </c>
      <c r="G588" s="2" t="b">
        <v>1</v>
      </c>
      <c r="H588" s="2" t="b">
        <v>1</v>
      </c>
      <c r="I588" s="2" t="b">
        <v>1</v>
      </c>
      <c r="J588" s="2" t="b">
        <v>0</v>
      </c>
      <c r="K588" s="2" t="b">
        <v>0</v>
      </c>
      <c r="L588" s="2" t="b">
        <v>0</v>
      </c>
      <c r="M588" s="2" t="b">
        <v>0</v>
      </c>
      <c r="N588" s="2" t="b">
        <v>0</v>
      </c>
      <c r="O588" s="2" t="b">
        <v>0</v>
      </c>
      <c r="P588" s="68"/>
      <c r="R588" s="69"/>
      <c r="S588" s="68"/>
      <c r="U588" s="69"/>
      <c r="V588" s="68"/>
      <c r="X588" s="69"/>
      <c r="Y588" s="68"/>
      <c r="AA588" s="69"/>
      <c r="AB588" s="33">
        <f t="shared" si="16"/>
        <v>0</v>
      </c>
      <c r="AC588" s="45">
        <f>_xlfn.LET(_xlpm.ps_1,P588:R588, _xlpm.ps_2,S588:U588, _xlpm.ps_3,V588:X588, _xlpm.ps_4,Y588:AA588,
_xlpm.phase, MID(C588,SEARCH("-",C588)+1,256),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(_xlfn.XLOOKUP($C$7,site_assumptions[Details],site_assumptions[Volts])*SUMIFS(P588:AA588,_xlfn.ANCHORARRAY(D588),TRUE)/10*0.95)/1000,
IFERROR(IF(_xlpm.phase="3Phase", _xlpm.p3_calc, _xlpm.sp_calc),0))</f>
        <v>0</v>
      </c>
      <c r="AD588" s="29" t="str">
        <f ca="1"/>
        <v>Unallocated</v>
      </c>
      <c r="AE588" s="30" t="str">
        <f ca="1"/>
        <v>Unallocated</v>
      </c>
      <c r="AF588" s="30" t="str">
        <f ca="1"/>
        <v>Power Limit</v>
      </c>
      <c r="AG588" s="30">
        <f ca="1"/>
        <v>0</v>
      </c>
      <c r="AH588" s="31" t="str">
        <f ca="1"/>
        <v>Unknown</v>
      </c>
      <c r="AI588" s="49">
        <f t="shared" ca="1" si="17"/>
        <v>0</v>
      </c>
      <c r="AJ588" s="71">
        <f ca="1"/>
        <v>0</v>
      </c>
    </row>
    <row r="589" spans="2:36" x14ac:dyDescent="0.25">
      <c r="B589" s="29" t="str">
        <f ca="1"/>
        <v>dal10.sr01.rk579</v>
      </c>
      <c r="C589" s="10" t="s">
        <v>2070</v>
      </c>
      <c r="D589" s="2" t="b" cm="1">
        <f t="array" ref="D589:O589">_xlfn._xlws.FILTER(IF(ancillary!$E$4:$P$8="",FALSE,ancillary!$E$4:$P$8),ancillary!$B$4:$B$8=$C589)</f>
        <v>1</v>
      </c>
      <c r="E589" s="2" t="b">
        <v>1</v>
      </c>
      <c r="F589" s="2" t="b">
        <v>1</v>
      </c>
      <c r="G589" s="2" t="b">
        <v>1</v>
      </c>
      <c r="H589" s="2" t="b">
        <v>1</v>
      </c>
      <c r="I589" s="2" t="b">
        <v>1</v>
      </c>
      <c r="J589" s="2" t="b">
        <v>0</v>
      </c>
      <c r="K589" s="2" t="b">
        <v>0</v>
      </c>
      <c r="L589" s="2" t="b">
        <v>0</v>
      </c>
      <c r="M589" s="2" t="b">
        <v>0</v>
      </c>
      <c r="N589" s="2" t="b">
        <v>0</v>
      </c>
      <c r="O589" s="2" t="b">
        <v>0</v>
      </c>
      <c r="P589" s="68"/>
      <c r="R589" s="69"/>
      <c r="S589" s="68"/>
      <c r="U589" s="69"/>
      <c r="V589" s="68"/>
      <c r="X589" s="69"/>
      <c r="Y589" s="68"/>
      <c r="AA589" s="69"/>
      <c r="AB589" s="33">
        <f t="shared" si="16"/>
        <v>0</v>
      </c>
      <c r="AC589" s="45">
        <f>_xlfn.LET(_xlpm.ps_1,P589:R589, _xlpm.ps_2,S589:U589, _xlpm.ps_3,V589:X589, _xlpm.ps_4,Y589:AA589,
_xlpm.phase, MID(C589,SEARCH("-",C589)+1,256),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(_xlfn.XLOOKUP($C$7,site_assumptions[Details],site_assumptions[Volts])*SUMIFS(P589:AA589,_xlfn.ANCHORARRAY(D589),TRUE)/10*0.95)/1000,
IFERROR(IF(_xlpm.phase="3Phase", _xlpm.p3_calc, _xlpm.sp_calc),0))</f>
        <v>0</v>
      </c>
      <c r="AD589" s="29" t="str">
        <f ca="1"/>
        <v>Unallocated</v>
      </c>
      <c r="AE589" s="30" t="str">
        <f ca="1"/>
        <v>Unallocated</v>
      </c>
      <c r="AF589" s="30" t="str">
        <f ca="1"/>
        <v>Power Limit</v>
      </c>
      <c r="AG589" s="30">
        <f ca="1"/>
        <v>0</v>
      </c>
      <c r="AH589" s="31" t="str">
        <f ca="1"/>
        <v>Unknown</v>
      </c>
      <c r="AI589" s="49">
        <f t="shared" ca="1" si="17"/>
        <v>0</v>
      </c>
      <c r="AJ589" s="71">
        <f ca="1"/>
        <v>0</v>
      </c>
    </row>
    <row r="590" spans="2:36" x14ac:dyDescent="0.25">
      <c r="B590" s="29" t="str">
        <f ca="1"/>
        <v>dal10.sr01.rk580</v>
      </c>
      <c r="C590" s="10" t="s">
        <v>2070</v>
      </c>
      <c r="D590" s="2" t="b" cm="1">
        <f t="array" ref="D590:O590">_xlfn._xlws.FILTER(IF(ancillary!$E$4:$P$8="",FALSE,ancillary!$E$4:$P$8),ancillary!$B$4:$B$8=$C590)</f>
        <v>1</v>
      </c>
      <c r="E590" s="2" t="b">
        <v>1</v>
      </c>
      <c r="F590" s="2" t="b">
        <v>1</v>
      </c>
      <c r="G590" s="2" t="b">
        <v>1</v>
      </c>
      <c r="H590" s="2" t="b">
        <v>1</v>
      </c>
      <c r="I590" s="2" t="b">
        <v>1</v>
      </c>
      <c r="J590" s="2" t="b">
        <v>0</v>
      </c>
      <c r="K590" s="2" t="b">
        <v>0</v>
      </c>
      <c r="L590" s="2" t="b">
        <v>0</v>
      </c>
      <c r="M590" s="2" t="b">
        <v>0</v>
      </c>
      <c r="N590" s="2" t="b">
        <v>0</v>
      </c>
      <c r="O590" s="2" t="b">
        <v>0</v>
      </c>
      <c r="P590" s="68"/>
      <c r="R590" s="69"/>
      <c r="S590" s="68"/>
      <c r="U590" s="69"/>
      <c r="V590" s="68"/>
      <c r="X590" s="69"/>
      <c r="Y590" s="68"/>
      <c r="AA590" s="69"/>
      <c r="AB590" s="33">
        <f t="shared" ref="AB590:AB653" si="18">IFERROR(AVERAGEIFS(P590:AA590,_xlfn.ANCHORARRAY(D590),TRUE),0)/10</f>
        <v>0</v>
      </c>
      <c r="AC590" s="45">
        <f>_xlfn.LET(_xlpm.ps_1,P590:R590, _xlpm.ps_2,S590:U590, _xlpm.ps_3,V590:X590, _xlpm.ps_4,Y590:AA590,
_xlpm.phase, MID(C590,SEARCH("-",C590)+1,256),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(_xlfn.XLOOKUP($C$7,site_assumptions[Details],site_assumptions[Volts])*SUMIFS(P590:AA590,_xlfn.ANCHORARRAY(D590),TRUE)/10*0.95)/1000,
IFERROR(IF(_xlpm.phase="3Phase", _xlpm.p3_calc, _xlpm.sp_calc),0))</f>
        <v>0</v>
      </c>
      <c r="AD590" s="29" t="str">
        <f ca="1"/>
        <v>Unallocated</v>
      </c>
      <c r="AE590" s="30" t="str">
        <f ca="1"/>
        <v>Unallocated</v>
      </c>
      <c r="AF590" s="30" t="str">
        <f ca="1"/>
        <v>Power Limit</v>
      </c>
      <c r="AG590" s="30">
        <f ca="1"/>
        <v>0</v>
      </c>
      <c r="AH590" s="31" t="str">
        <f ca="1"/>
        <v>Unknown</v>
      </c>
      <c r="AI590" s="49">
        <f t="shared" ref="AI590:AI627" ca="1" si="19">IFERROR(AC590/AG590,0)</f>
        <v>0</v>
      </c>
      <c r="AJ590" s="71">
        <f ca="1"/>
        <v>0</v>
      </c>
    </row>
    <row r="591" spans="2:36" x14ac:dyDescent="0.25">
      <c r="B591" s="29" t="str">
        <f ca="1"/>
        <v>dal10.sr01.rk581</v>
      </c>
      <c r="C591" s="10" t="s">
        <v>2070</v>
      </c>
      <c r="D591" s="2" t="b" cm="1">
        <f t="array" ref="D591:O591">_xlfn._xlws.FILTER(IF(ancillary!$E$4:$P$8="",FALSE,ancillary!$E$4:$P$8),ancillary!$B$4:$B$8=$C591)</f>
        <v>1</v>
      </c>
      <c r="E591" s="2" t="b">
        <v>1</v>
      </c>
      <c r="F591" s="2" t="b">
        <v>1</v>
      </c>
      <c r="G591" s="2" t="b">
        <v>1</v>
      </c>
      <c r="H591" s="2" t="b">
        <v>1</v>
      </c>
      <c r="I591" s="2" t="b">
        <v>1</v>
      </c>
      <c r="J591" s="2" t="b">
        <v>0</v>
      </c>
      <c r="K591" s="2" t="b">
        <v>0</v>
      </c>
      <c r="L591" s="2" t="b">
        <v>0</v>
      </c>
      <c r="M591" s="2" t="b">
        <v>0</v>
      </c>
      <c r="N591" s="2" t="b">
        <v>0</v>
      </c>
      <c r="O591" s="2" t="b">
        <v>0</v>
      </c>
      <c r="P591" s="68"/>
      <c r="R591" s="69"/>
      <c r="S591" s="68"/>
      <c r="U591" s="69"/>
      <c r="V591" s="68"/>
      <c r="X591" s="69"/>
      <c r="Y591" s="68"/>
      <c r="AA591" s="69"/>
      <c r="AB591" s="33">
        <f t="shared" si="18"/>
        <v>0</v>
      </c>
      <c r="AC591" s="45">
        <f>_xlfn.LET(_xlpm.ps_1,P591:R591, _xlpm.ps_2,S591:U591, _xlpm.ps_3,V591:X591, _xlpm.ps_4,Y591:AA591,
_xlpm.phase, MID(C591,SEARCH("-",C591)+1,256),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(_xlfn.XLOOKUP($C$7,site_assumptions[Details],site_assumptions[Volts])*SUMIFS(P591:AA591,_xlfn.ANCHORARRAY(D591),TRUE)/10*0.95)/1000,
IFERROR(IF(_xlpm.phase="3Phase", _xlpm.p3_calc, _xlpm.sp_calc),0))</f>
        <v>0</v>
      </c>
      <c r="AD591" s="29" t="str">
        <f ca="1"/>
        <v>Unallocated</v>
      </c>
      <c r="AE591" s="30" t="str">
        <f ca="1"/>
        <v>Unallocated</v>
      </c>
      <c r="AF591" s="30" t="str">
        <f ca="1"/>
        <v>Power Limit</v>
      </c>
      <c r="AG591" s="30">
        <f ca="1"/>
        <v>0</v>
      </c>
      <c r="AH591" s="31" t="str">
        <f ca="1"/>
        <v>Unknown</v>
      </c>
      <c r="AI591" s="49">
        <f t="shared" ca="1" si="19"/>
        <v>0</v>
      </c>
      <c r="AJ591" s="71">
        <f ca="1"/>
        <v>0</v>
      </c>
    </row>
    <row r="592" spans="2:36" x14ac:dyDescent="0.25">
      <c r="B592" s="29" t="str">
        <f ca="1"/>
        <v>dal10.sr01.rk582</v>
      </c>
      <c r="C592" s="10" t="s">
        <v>2070</v>
      </c>
      <c r="D592" s="2" t="b" cm="1">
        <f t="array" ref="D592:O592">_xlfn._xlws.FILTER(IF(ancillary!$E$4:$P$8="",FALSE,ancillary!$E$4:$P$8),ancillary!$B$4:$B$8=$C592)</f>
        <v>1</v>
      </c>
      <c r="E592" s="2" t="b">
        <v>1</v>
      </c>
      <c r="F592" s="2" t="b">
        <v>1</v>
      </c>
      <c r="G592" s="2" t="b">
        <v>1</v>
      </c>
      <c r="H592" s="2" t="b">
        <v>1</v>
      </c>
      <c r="I592" s="2" t="b">
        <v>1</v>
      </c>
      <c r="J592" s="2" t="b">
        <v>0</v>
      </c>
      <c r="K592" s="2" t="b">
        <v>0</v>
      </c>
      <c r="L592" s="2" t="b">
        <v>0</v>
      </c>
      <c r="M592" s="2" t="b">
        <v>0</v>
      </c>
      <c r="N592" s="2" t="b">
        <v>0</v>
      </c>
      <c r="O592" s="2" t="b">
        <v>0</v>
      </c>
      <c r="P592" s="68"/>
      <c r="R592" s="69"/>
      <c r="S592" s="68"/>
      <c r="U592" s="69"/>
      <c r="V592" s="68"/>
      <c r="X592" s="69"/>
      <c r="Y592" s="68"/>
      <c r="AA592" s="69"/>
      <c r="AB592" s="33">
        <f t="shared" si="18"/>
        <v>0</v>
      </c>
      <c r="AC592" s="45">
        <f>_xlfn.LET(_xlpm.ps_1,P592:R592, _xlpm.ps_2,S592:U592, _xlpm.ps_3,V592:X592, _xlpm.ps_4,Y592:AA592,
_xlpm.phase, MID(C592,SEARCH("-",C592)+1,256),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(_xlfn.XLOOKUP($C$7,site_assumptions[Details],site_assumptions[Volts])*SUMIFS(P592:AA592,_xlfn.ANCHORARRAY(D592),TRUE)/10*0.95)/1000,
IFERROR(IF(_xlpm.phase="3Phase", _xlpm.p3_calc, _xlpm.sp_calc),0))</f>
        <v>0</v>
      </c>
      <c r="AD592" s="29" t="str">
        <f ca="1"/>
        <v>Unallocated</v>
      </c>
      <c r="AE592" s="30" t="str">
        <f ca="1"/>
        <v>Unallocated</v>
      </c>
      <c r="AF592" s="30" t="str">
        <f ca="1"/>
        <v>Power Limit</v>
      </c>
      <c r="AG592" s="30">
        <f ca="1"/>
        <v>0</v>
      </c>
      <c r="AH592" s="31" t="str">
        <f ca="1"/>
        <v>Unknown</v>
      </c>
      <c r="AI592" s="49">
        <f t="shared" ca="1" si="19"/>
        <v>0</v>
      </c>
      <c r="AJ592" s="71">
        <f ca="1"/>
        <v>0</v>
      </c>
    </row>
    <row r="593" spans="2:36" x14ac:dyDescent="0.25">
      <c r="B593" s="29" t="str">
        <f ca="1"/>
        <v>dal10.sr01.rk583</v>
      </c>
      <c r="C593" s="10" t="s">
        <v>2070</v>
      </c>
      <c r="D593" s="2" t="b" cm="1">
        <f t="array" ref="D593:O593">_xlfn._xlws.FILTER(IF(ancillary!$E$4:$P$8="",FALSE,ancillary!$E$4:$P$8),ancillary!$B$4:$B$8=$C593)</f>
        <v>1</v>
      </c>
      <c r="E593" s="2" t="b">
        <v>1</v>
      </c>
      <c r="F593" s="2" t="b">
        <v>1</v>
      </c>
      <c r="G593" s="2" t="b">
        <v>1</v>
      </c>
      <c r="H593" s="2" t="b">
        <v>1</v>
      </c>
      <c r="I593" s="2" t="b">
        <v>1</v>
      </c>
      <c r="J593" s="2" t="b">
        <v>0</v>
      </c>
      <c r="K593" s="2" t="b">
        <v>0</v>
      </c>
      <c r="L593" s="2" t="b">
        <v>0</v>
      </c>
      <c r="M593" s="2" t="b">
        <v>0</v>
      </c>
      <c r="N593" s="2" t="b">
        <v>0</v>
      </c>
      <c r="O593" s="2" t="b">
        <v>0</v>
      </c>
      <c r="P593" s="68"/>
      <c r="R593" s="69"/>
      <c r="S593" s="68"/>
      <c r="U593" s="69"/>
      <c r="V593" s="68"/>
      <c r="X593" s="69"/>
      <c r="Y593" s="68"/>
      <c r="AA593" s="69"/>
      <c r="AB593" s="33">
        <f t="shared" si="18"/>
        <v>0</v>
      </c>
      <c r="AC593" s="45">
        <f>_xlfn.LET(_xlpm.ps_1,P593:R593, _xlpm.ps_2,S593:U593, _xlpm.ps_3,V593:X593, _xlpm.ps_4,Y593:AA593,
_xlpm.phase, MID(C593,SEARCH("-",C593)+1,256),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(_xlfn.XLOOKUP($C$7,site_assumptions[Details],site_assumptions[Volts])*SUMIFS(P593:AA593,_xlfn.ANCHORARRAY(D593),TRUE)/10*0.95)/1000,
IFERROR(IF(_xlpm.phase="3Phase", _xlpm.p3_calc, _xlpm.sp_calc),0))</f>
        <v>0</v>
      </c>
      <c r="AD593" s="29" t="str">
        <f ca="1"/>
        <v>Unallocated</v>
      </c>
      <c r="AE593" s="30" t="str">
        <f ca="1"/>
        <v>Unallocated</v>
      </c>
      <c r="AF593" s="30" t="str">
        <f ca="1"/>
        <v>Power Limit</v>
      </c>
      <c r="AG593" s="30">
        <f ca="1"/>
        <v>0</v>
      </c>
      <c r="AH593" s="31" t="str">
        <f ca="1"/>
        <v>Unknown</v>
      </c>
      <c r="AI593" s="49">
        <f t="shared" ca="1" si="19"/>
        <v>0</v>
      </c>
      <c r="AJ593" s="71">
        <f ca="1"/>
        <v>0</v>
      </c>
    </row>
    <row r="594" spans="2:36" x14ac:dyDescent="0.25">
      <c r="B594" s="29" t="str">
        <f ca="1"/>
        <v>dal10.sr01.rk584</v>
      </c>
      <c r="C594" s="10" t="s">
        <v>2070</v>
      </c>
      <c r="D594" s="2" t="b" cm="1">
        <f t="array" ref="D594:O594">_xlfn._xlws.FILTER(IF(ancillary!$E$4:$P$8="",FALSE,ancillary!$E$4:$P$8),ancillary!$B$4:$B$8=$C594)</f>
        <v>1</v>
      </c>
      <c r="E594" s="2" t="b">
        <v>1</v>
      </c>
      <c r="F594" s="2" t="b">
        <v>1</v>
      </c>
      <c r="G594" s="2" t="b">
        <v>1</v>
      </c>
      <c r="H594" s="2" t="b">
        <v>1</v>
      </c>
      <c r="I594" s="2" t="b">
        <v>1</v>
      </c>
      <c r="J594" s="2" t="b">
        <v>0</v>
      </c>
      <c r="K594" s="2" t="b">
        <v>0</v>
      </c>
      <c r="L594" s="2" t="b">
        <v>0</v>
      </c>
      <c r="M594" s="2" t="b">
        <v>0</v>
      </c>
      <c r="N594" s="2" t="b">
        <v>0</v>
      </c>
      <c r="O594" s="2" t="b">
        <v>0</v>
      </c>
      <c r="P594" s="68"/>
      <c r="R594" s="69"/>
      <c r="S594" s="68"/>
      <c r="U594" s="69"/>
      <c r="V594" s="68"/>
      <c r="X594" s="69"/>
      <c r="Y594" s="68"/>
      <c r="AA594" s="69"/>
      <c r="AB594" s="33">
        <f t="shared" si="18"/>
        <v>0</v>
      </c>
      <c r="AC594" s="45">
        <f>_xlfn.LET(_xlpm.ps_1,P594:R594, _xlpm.ps_2,S594:U594, _xlpm.ps_3,V594:X594, _xlpm.ps_4,Y594:AA594,
_xlpm.phase, MID(C594,SEARCH("-",C594)+1,256),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(_xlfn.XLOOKUP($C$7,site_assumptions[Details],site_assumptions[Volts])*SUMIFS(P594:AA594,_xlfn.ANCHORARRAY(D594),TRUE)/10*0.95)/1000,
IFERROR(IF(_xlpm.phase="3Phase", _xlpm.p3_calc, _xlpm.sp_calc),0))</f>
        <v>0</v>
      </c>
      <c r="AD594" s="29" t="str">
        <f ca="1"/>
        <v>Storage</v>
      </c>
      <c r="AE594" s="30" t="str">
        <f ca="1"/>
        <v>File/Block</v>
      </c>
      <c r="AF594" s="30" t="str">
        <f ca="1"/>
        <v>Live</v>
      </c>
      <c r="AG594" s="30">
        <f ca="1"/>
        <v>6</v>
      </c>
      <c r="AH594" s="31" t="str">
        <f ca="1"/>
        <v>Unknown</v>
      </c>
      <c r="AI594" s="49">
        <f t="shared" ca="1" si="19"/>
        <v>0</v>
      </c>
      <c r="AJ594" s="71">
        <f ca="1"/>
        <v>0</v>
      </c>
    </row>
    <row r="595" spans="2:36" x14ac:dyDescent="0.25">
      <c r="B595" s="29" t="str">
        <f ca="1"/>
        <v>dal10.sr01.rk585</v>
      </c>
      <c r="C595" s="10" t="s">
        <v>2070</v>
      </c>
      <c r="D595" s="2" t="b" cm="1">
        <f t="array" ref="D595:O595">_xlfn._xlws.FILTER(IF(ancillary!$E$4:$P$8="",FALSE,ancillary!$E$4:$P$8),ancillary!$B$4:$B$8=$C595)</f>
        <v>1</v>
      </c>
      <c r="E595" s="2" t="b">
        <v>1</v>
      </c>
      <c r="F595" s="2" t="b">
        <v>1</v>
      </c>
      <c r="G595" s="2" t="b">
        <v>1</v>
      </c>
      <c r="H595" s="2" t="b">
        <v>1</v>
      </c>
      <c r="I595" s="2" t="b">
        <v>1</v>
      </c>
      <c r="J595" s="2" t="b">
        <v>0</v>
      </c>
      <c r="K595" s="2" t="b">
        <v>0</v>
      </c>
      <c r="L595" s="2" t="b">
        <v>0</v>
      </c>
      <c r="M595" s="2" t="b">
        <v>0</v>
      </c>
      <c r="N595" s="2" t="b">
        <v>0</v>
      </c>
      <c r="O595" s="2" t="b">
        <v>0</v>
      </c>
      <c r="P595" s="68"/>
      <c r="R595" s="69"/>
      <c r="S595" s="68"/>
      <c r="U595" s="69"/>
      <c r="V595" s="68"/>
      <c r="X595" s="69"/>
      <c r="Y595" s="68"/>
      <c r="AA595" s="69"/>
      <c r="AB595" s="33">
        <f t="shared" si="18"/>
        <v>0</v>
      </c>
      <c r="AC595" s="45">
        <f>_xlfn.LET(_xlpm.ps_1,P595:R595, _xlpm.ps_2,S595:U595, _xlpm.ps_3,V595:X595, _xlpm.ps_4,Y595:AA595,
_xlpm.phase, MID(C595,SEARCH("-",C595)+1,256),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(_xlfn.XLOOKUP($C$7,site_assumptions[Details],site_assumptions[Volts])*SUMIFS(P595:AA595,_xlfn.ANCHORARRAY(D595),TRUE)/10*0.95)/1000,
IFERROR(IF(_xlpm.phase="3Phase", _xlpm.p3_calc, _xlpm.sp_calc),0))</f>
        <v>0</v>
      </c>
      <c r="AD595" s="29" t="str">
        <f ca="1"/>
        <v>Storage</v>
      </c>
      <c r="AE595" s="30" t="str">
        <f ca="1"/>
        <v>File/Block</v>
      </c>
      <c r="AF595" s="30" t="str">
        <f ca="1"/>
        <v>Live</v>
      </c>
      <c r="AG595" s="30">
        <f ca="1"/>
        <v>6</v>
      </c>
      <c r="AH595" s="31" t="str">
        <f ca="1"/>
        <v>Unknown</v>
      </c>
      <c r="AI595" s="49">
        <f t="shared" ca="1" si="19"/>
        <v>0</v>
      </c>
      <c r="AJ595" s="71">
        <f ca="1"/>
        <v>0</v>
      </c>
    </row>
    <row r="596" spans="2:36" x14ac:dyDescent="0.25">
      <c r="B596" s="29" t="str">
        <f ca="1"/>
        <v>dal10.sr01.rk586</v>
      </c>
      <c r="C596" s="10" t="s">
        <v>2070</v>
      </c>
      <c r="D596" s="2" t="b" cm="1">
        <f t="array" ref="D596:O596">_xlfn._xlws.FILTER(IF(ancillary!$E$4:$P$8="",FALSE,ancillary!$E$4:$P$8),ancillary!$B$4:$B$8=$C596)</f>
        <v>1</v>
      </c>
      <c r="E596" s="2" t="b">
        <v>1</v>
      </c>
      <c r="F596" s="2" t="b">
        <v>1</v>
      </c>
      <c r="G596" s="2" t="b">
        <v>1</v>
      </c>
      <c r="H596" s="2" t="b">
        <v>1</v>
      </c>
      <c r="I596" s="2" t="b">
        <v>1</v>
      </c>
      <c r="J596" s="2" t="b">
        <v>0</v>
      </c>
      <c r="K596" s="2" t="b">
        <v>0</v>
      </c>
      <c r="L596" s="2" t="b">
        <v>0</v>
      </c>
      <c r="M596" s="2" t="b">
        <v>0</v>
      </c>
      <c r="N596" s="2" t="b">
        <v>0</v>
      </c>
      <c r="O596" s="2" t="b">
        <v>0</v>
      </c>
      <c r="P596" s="68"/>
      <c r="R596" s="69"/>
      <c r="S596" s="68"/>
      <c r="U596" s="69"/>
      <c r="V596" s="68"/>
      <c r="X596" s="69"/>
      <c r="Y596" s="68"/>
      <c r="AA596" s="69"/>
      <c r="AB596" s="33">
        <f t="shared" si="18"/>
        <v>0</v>
      </c>
      <c r="AC596" s="45">
        <f>_xlfn.LET(_xlpm.ps_1,P596:R596, _xlpm.ps_2,S596:U596, _xlpm.ps_3,V596:X596, _xlpm.ps_4,Y596:AA596,
_xlpm.phase, MID(C596,SEARCH("-",C596)+1,256),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(_xlfn.XLOOKUP($C$7,site_assumptions[Details],site_assumptions[Volts])*SUMIFS(P596:AA596,_xlfn.ANCHORARRAY(D596),TRUE)/10*0.95)/1000,
IFERROR(IF(_xlpm.phase="3Phase", _xlpm.p3_calc, _xlpm.sp_calc),0))</f>
        <v>0</v>
      </c>
      <c r="AD596" s="29" t="str">
        <f ca="1"/>
        <v>Storage</v>
      </c>
      <c r="AE596" s="30" t="str">
        <f ca="1"/>
        <v>File/Block</v>
      </c>
      <c r="AF596" s="30" t="str">
        <f ca="1"/>
        <v>Live</v>
      </c>
      <c r="AG596" s="30">
        <f ca="1"/>
        <v>6</v>
      </c>
      <c r="AH596" s="31" t="str">
        <f ca="1"/>
        <v>Unknown</v>
      </c>
      <c r="AI596" s="49">
        <f t="shared" ca="1" si="19"/>
        <v>0</v>
      </c>
      <c r="AJ596" s="71">
        <f ca="1"/>
        <v>0</v>
      </c>
    </row>
    <row r="597" spans="2:36" x14ac:dyDescent="0.25">
      <c r="B597" s="29" t="str">
        <f ca="1"/>
        <v>dal10.sr01.rk587</v>
      </c>
      <c r="C597" s="10" t="s">
        <v>2070</v>
      </c>
      <c r="D597" s="2" t="b" cm="1">
        <f t="array" ref="D597:O597">_xlfn._xlws.FILTER(IF(ancillary!$E$4:$P$8="",FALSE,ancillary!$E$4:$P$8),ancillary!$B$4:$B$8=$C597)</f>
        <v>1</v>
      </c>
      <c r="E597" s="2" t="b">
        <v>1</v>
      </c>
      <c r="F597" s="2" t="b">
        <v>1</v>
      </c>
      <c r="G597" s="2" t="b">
        <v>1</v>
      </c>
      <c r="H597" s="2" t="b">
        <v>1</v>
      </c>
      <c r="I597" s="2" t="b">
        <v>1</v>
      </c>
      <c r="J597" s="2" t="b">
        <v>0</v>
      </c>
      <c r="K597" s="2" t="b">
        <v>0</v>
      </c>
      <c r="L597" s="2" t="b">
        <v>0</v>
      </c>
      <c r="M597" s="2" t="b">
        <v>0</v>
      </c>
      <c r="N597" s="2" t="b">
        <v>0</v>
      </c>
      <c r="O597" s="2" t="b">
        <v>0</v>
      </c>
      <c r="P597" s="68"/>
      <c r="R597" s="69"/>
      <c r="S597" s="68"/>
      <c r="U597" s="69"/>
      <c r="V597" s="68"/>
      <c r="X597" s="69"/>
      <c r="Y597" s="68"/>
      <c r="AA597" s="69"/>
      <c r="AB597" s="33">
        <f t="shared" si="18"/>
        <v>0</v>
      </c>
      <c r="AC597" s="45">
        <f>_xlfn.LET(_xlpm.ps_1,P597:R597, _xlpm.ps_2,S597:U597, _xlpm.ps_3,V597:X597, _xlpm.ps_4,Y597:AA597,
_xlpm.phase, MID(C597,SEARCH("-",C597)+1,256),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(_xlfn.XLOOKUP($C$7,site_assumptions[Details],site_assumptions[Volts])*SUMIFS(P597:AA597,_xlfn.ANCHORARRAY(D597),TRUE)/10*0.95)/1000,
IFERROR(IF(_xlpm.phase="3Phase", _xlpm.p3_calc, _xlpm.sp_calc),0))</f>
        <v>0</v>
      </c>
      <c r="AD597" s="29" t="str">
        <f ca="1"/>
        <v>Storage</v>
      </c>
      <c r="AE597" s="30" t="str">
        <f ca="1"/>
        <v>File/Block</v>
      </c>
      <c r="AF597" s="30" t="str">
        <f ca="1"/>
        <v>Live</v>
      </c>
      <c r="AG597" s="30">
        <f ca="1"/>
        <v>6</v>
      </c>
      <c r="AH597" s="31" t="str">
        <f ca="1"/>
        <v>Unknown</v>
      </c>
      <c r="AI597" s="49">
        <f t="shared" ca="1" si="19"/>
        <v>0</v>
      </c>
      <c r="AJ597" s="71">
        <f ca="1"/>
        <v>0</v>
      </c>
    </row>
    <row r="598" spans="2:36" x14ac:dyDescent="0.25">
      <c r="B598" s="29" t="str">
        <f ca="1"/>
        <v>dal10.sr01.rk588</v>
      </c>
      <c r="C598" s="10" t="s">
        <v>2070</v>
      </c>
      <c r="D598" s="2" t="b" cm="1">
        <f t="array" ref="D598:O598">_xlfn._xlws.FILTER(IF(ancillary!$E$4:$P$8="",FALSE,ancillary!$E$4:$P$8),ancillary!$B$4:$B$8=$C598)</f>
        <v>1</v>
      </c>
      <c r="E598" s="2" t="b">
        <v>1</v>
      </c>
      <c r="F598" s="2" t="b">
        <v>1</v>
      </c>
      <c r="G598" s="2" t="b">
        <v>1</v>
      </c>
      <c r="H598" s="2" t="b">
        <v>1</v>
      </c>
      <c r="I598" s="2" t="b">
        <v>1</v>
      </c>
      <c r="J598" s="2" t="b">
        <v>0</v>
      </c>
      <c r="K598" s="2" t="b">
        <v>0</v>
      </c>
      <c r="L598" s="2" t="b">
        <v>0</v>
      </c>
      <c r="M598" s="2" t="b">
        <v>0</v>
      </c>
      <c r="N598" s="2" t="b">
        <v>0</v>
      </c>
      <c r="O598" s="2" t="b">
        <v>0</v>
      </c>
      <c r="P598" s="68"/>
      <c r="R598" s="69"/>
      <c r="S598" s="68"/>
      <c r="U598" s="69"/>
      <c r="V598" s="68"/>
      <c r="X598" s="69"/>
      <c r="Y598" s="68"/>
      <c r="AA598" s="69"/>
      <c r="AB598" s="33">
        <f t="shared" si="18"/>
        <v>0</v>
      </c>
      <c r="AC598" s="45">
        <f>_xlfn.LET(_xlpm.ps_1,P598:R598, _xlpm.ps_2,S598:U598, _xlpm.ps_3,V598:X598, _xlpm.ps_4,Y598:AA598,
_xlpm.phase, MID(C598,SEARCH("-",C598)+1,256),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(_xlfn.XLOOKUP($C$7,site_assumptions[Details],site_assumptions[Volts])*SUMIFS(P598:AA598,_xlfn.ANCHORARRAY(D598),TRUE)/10*0.95)/1000,
IFERROR(IF(_xlpm.phase="3Phase", _xlpm.p3_calc, _xlpm.sp_calc),0))</f>
        <v>0</v>
      </c>
      <c r="AD598" s="29" t="str">
        <f ca="1"/>
        <v>Storage</v>
      </c>
      <c r="AE598" s="30" t="str">
        <f ca="1"/>
        <v>File/Block</v>
      </c>
      <c r="AF598" s="30" t="str">
        <f ca="1"/>
        <v>Live</v>
      </c>
      <c r="AG598" s="30">
        <f ca="1"/>
        <v>6</v>
      </c>
      <c r="AH598" s="31" t="str">
        <f ca="1"/>
        <v>Unknown</v>
      </c>
      <c r="AI598" s="49">
        <f t="shared" ca="1" si="19"/>
        <v>0</v>
      </c>
      <c r="AJ598" s="71">
        <f ca="1"/>
        <v>0</v>
      </c>
    </row>
    <row r="599" spans="2:36" x14ac:dyDescent="0.25">
      <c r="B599" s="29" t="str">
        <f ca="1"/>
        <v>dal10.sr01.rk589</v>
      </c>
      <c r="C599" s="10" t="s">
        <v>2070</v>
      </c>
      <c r="D599" s="2" t="b" cm="1">
        <f t="array" ref="D599:O599">_xlfn._xlws.FILTER(IF(ancillary!$E$4:$P$8="",FALSE,ancillary!$E$4:$P$8),ancillary!$B$4:$B$8=$C599)</f>
        <v>1</v>
      </c>
      <c r="E599" s="2" t="b">
        <v>1</v>
      </c>
      <c r="F599" s="2" t="b">
        <v>1</v>
      </c>
      <c r="G599" s="2" t="b">
        <v>1</v>
      </c>
      <c r="H599" s="2" t="b">
        <v>1</v>
      </c>
      <c r="I599" s="2" t="b">
        <v>1</v>
      </c>
      <c r="J599" s="2" t="b">
        <v>0</v>
      </c>
      <c r="K599" s="2" t="b">
        <v>0</v>
      </c>
      <c r="L599" s="2" t="b">
        <v>0</v>
      </c>
      <c r="M599" s="2" t="b">
        <v>0</v>
      </c>
      <c r="N599" s="2" t="b">
        <v>0</v>
      </c>
      <c r="O599" s="2" t="b">
        <v>0</v>
      </c>
      <c r="P599" s="68"/>
      <c r="R599" s="69"/>
      <c r="S599" s="68"/>
      <c r="U599" s="69"/>
      <c r="V599" s="68"/>
      <c r="X599" s="69"/>
      <c r="Y599" s="68"/>
      <c r="AA599" s="69"/>
      <c r="AB599" s="33">
        <f t="shared" si="18"/>
        <v>0</v>
      </c>
      <c r="AC599" s="45">
        <f>_xlfn.LET(_xlpm.ps_1,P599:R599, _xlpm.ps_2,S599:U599, _xlpm.ps_3,V599:X599, _xlpm.ps_4,Y599:AA599,
_xlpm.phase, MID(C599,SEARCH("-",C599)+1,256),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(_xlfn.XLOOKUP($C$7,site_assumptions[Details],site_assumptions[Volts])*SUMIFS(P599:AA599,_xlfn.ANCHORARRAY(D599),TRUE)/10*0.95)/1000,
IFERROR(IF(_xlpm.phase="3Phase", _xlpm.p3_calc, _xlpm.sp_calc),0))</f>
        <v>0</v>
      </c>
      <c r="AD599" s="29" t="str">
        <f ca="1"/>
        <v>Storage</v>
      </c>
      <c r="AE599" s="30" t="str">
        <f ca="1"/>
        <v>File/Block</v>
      </c>
      <c r="AF599" s="30" t="str">
        <f ca="1"/>
        <v>Live</v>
      </c>
      <c r="AG599" s="30">
        <f ca="1"/>
        <v>6</v>
      </c>
      <c r="AH599" s="31" t="str">
        <f ca="1"/>
        <v>Unknown</v>
      </c>
      <c r="AI599" s="49">
        <f t="shared" ca="1" si="19"/>
        <v>0</v>
      </c>
      <c r="AJ599" s="71">
        <f ca="1"/>
        <v>0</v>
      </c>
    </row>
    <row r="600" spans="2:36" x14ac:dyDescent="0.25">
      <c r="B600" s="29" t="str">
        <f ca="1"/>
        <v>dal10.sr01.rk590</v>
      </c>
      <c r="C600" s="10" t="s">
        <v>2070</v>
      </c>
      <c r="D600" s="2" t="b" cm="1">
        <f t="array" ref="D600:O600">_xlfn._xlws.FILTER(IF(ancillary!$E$4:$P$8="",FALSE,ancillary!$E$4:$P$8),ancillary!$B$4:$B$8=$C600)</f>
        <v>1</v>
      </c>
      <c r="E600" s="2" t="b">
        <v>1</v>
      </c>
      <c r="F600" s="2" t="b">
        <v>1</v>
      </c>
      <c r="G600" s="2" t="b">
        <v>1</v>
      </c>
      <c r="H600" s="2" t="b">
        <v>1</v>
      </c>
      <c r="I600" s="2" t="b">
        <v>1</v>
      </c>
      <c r="J600" s="2" t="b">
        <v>0</v>
      </c>
      <c r="K600" s="2" t="b">
        <v>0</v>
      </c>
      <c r="L600" s="2" t="b">
        <v>0</v>
      </c>
      <c r="M600" s="2" t="b">
        <v>0</v>
      </c>
      <c r="N600" s="2" t="b">
        <v>0</v>
      </c>
      <c r="O600" s="2" t="b">
        <v>0</v>
      </c>
      <c r="P600" s="68"/>
      <c r="R600" s="69"/>
      <c r="S600" s="68"/>
      <c r="U600" s="69"/>
      <c r="V600" s="68"/>
      <c r="X600" s="69"/>
      <c r="Y600" s="68"/>
      <c r="AA600" s="69"/>
      <c r="AB600" s="33">
        <f t="shared" si="18"/>
        <v>0</v>
      </c>
      <c r="AC600" s="45">
        <f>_xlfn.LET(_xlpm.ps_1,P600:R600, _xlpm.ps_2,S600:U600, _xlpm.ps_3,V600:X600, _xlpm.ps_4,Y600:AA600,
_xlpm.phase, MID(C600,SEARCH("-",C600)+1,256),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(_xlfn.XLOOKUP($C$7,site_assumptions[Details],site_assumptions[Volts])*SUMIFS(P600:AA600,_xlfn.ANCHORARRAY(D600),TRUE)/10*0.95)/1000,
IFERROR(IF(_xlpm.phase="3Phase", _xlpm.p3_calc, _xlpm.sp_calc),0))</f>
        <v>0</v>
      </c>
      <c r="AD600" s="29" t="str">
        <f ca="1"/>
        <v>Storage</v>
      </c>
      <c r="AE600" s="30" t="str">
        <f ca="1"/>
        <v>File/Block</v>
      </c>
      <c r="AF600" s="30" t="str">
        <f ca="1"/>
        <v>Live</v>
      </c>
      <c r="AG600" s="30">
        <f ca="1"/>
        <v>6</v>
      </c>
      <c r="AH600" s="31" t="str">
        <f ca="1"/>
        <v>Unknown</v>
      </c>
      <c r="AI600" s="49">
        <f t="shared" ca="1" si="19"/>
        <v>0</v>
      </c>
      <c r="AJ600" s="71">
        <f ca="1"/>
        <v>0</v>
      </c>
    </row>
    <row r="601" spans="2:36" x14ac:dyDescent="0.25">
      <c r="B601" s="29" t="str">
        <f ca="1"/>
        <v>dal10.sr01.rk591</v>
      </c>
      <c r="C601" s="10" t="s">
        <v>2070</v>
      </c>
      <c r="D601" s="2" t="b" cm="1">
        <f t="array" ref="D601:O601">_xlfn._xlws.FILTER(IF(ancillary!$E$4:$P$8="",FALSE,ancillary!$E$4:$P$8),ancillary!$B$4:$B$8=$C601)</f>
        <v>1</v>
      </c>
      <c r="E601" s="2" t="b">
        <v>1</v>
      </c>
      <c r="F601" s="2" t="b">
        <v>1</v>
      </c>
      <c r="G601" s="2" t="b">
        <v>1</v>
      </c>
      <c r="H601" s="2" t="b">
        <v>1</v>
      </c>
      <c r="I601" s="2" t="b">
        <v>1</v>
      </c>
      <c r="J601" s="2" t="b">
        <v>0</v>
      </c>
      <c r="K601" s="2" t="b">
        <v>0</v>
      </c>
      <c r="L601" s="2" t="b">
        <v>0</v>
      </c>
      <c r="M601" s="2" t="b">
        <v>0</v>
      </c>
      <c r="N601" s="2" t="b">
        <v>0</v>
      </c>
      <c r="O601" s="2" t="b">
        <v>0</v>
      </c>
      <c r="P601" s="68"/>
      <c r="R601" s="69"/>
      <c r="S601" s="68"/>
      <c r="U601" s="69"/>
      <c r="V601" s="68"/>
      <c r="X601" s="69"/>
      <c r="Y601" s="68"/>
      <c r="AA601" s="69"/>
      <c r="AB601" s="33">
        <f t="shared" si="18"/>
        <v>0</v>
      </c>
      <c r="AC601" s="45">
        <f>_xlfn.LET(_xlpm.ps_1,P601:R601, _xlpm.ps_2,S601:U601, _xlpm.ps_3,V601:X601, _xlpm.ps_4,Y601:AA601,
_xlpm.phase, MID(C601,SEARCH("-",C601)+1,256),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(_xlfn.XLOOKUP($C$7,site_assumptions[Details],site_assumptions[Volts])*SUMIFS(P601:AA601,_xlfn.ANCHORARRAY(D601),TRUE)/10*0.95)/1000,
IFERROR(IF(_xlpm.phase="3Phase", _xlpm.p3_calc, _xlpm.sp_calc),0))</f>
        <v>0</v>
      </c>
      <c r="AD601" s="29" t="str">
        <f ca="1"/>
        <v>Storage</v>
      </c>
      <c r="AE601" s="30" t="str">
        <f ca="1"/>
        <v>File/Block</v>
      </c>
      <c r="AF601" s="30" t="str">
        <f ca="1"/>
        <v>Live</v>
      </c>
      <c r="AG601" s="30">
        <f ca="1"/>
        <v>6</v>
      </c>
      <c r="AH601" s="31" t="str">
        <f ca="1"/>
        <v>Unknown</v>
      </c>
      <c r="AI601" s="49">
        <f t="shared" ca="1" si="19"/>
        <v>0</v>
      </c>
      <c r="AJ601" s="71">
        <f ca="1"/>
        <v>0</v>
      </c>
    </row>
    <row r="602" spans="2:36" x14ac:dyDescent="0.25">
      <c r="B602" s="29" t="str">
        <f ca="1"/>
        <v>dal10.sr01.rk592</v>
      </c>
      <c r="C602" s="10" t="s">
        <v>2070</v>
      </c>
      <c r="D602" s="2" t="b" cm="1">
        <f t="array" ref="D602:O602">_xlfn._xlws.FILTER(IF(ancillary!$E$4:$P$8="",FALSE,ancillary!$E$4:$P$8),ancillary!$B$4:$B$8=$C602)</f>
        <v>1</v>
      </c>
      <c r="E602" s="2" t="b">
        <v>1</v>
      </c>
      <c r="F602" s="2" t="b">
        <v>1</v>
      </c>
      <c r="G602" s="2" t="b">
        <v>1</v>
      </c>
      <c r="H602" s="2" t="b">
        <v>1</v>
      </c>
      <c r="I602" s="2" t="b">
        <v>1</v>
      </c>
      <c r="J602" s="2" t="b">
        <v>0</v>
      </c>
      <c r="K602" s="2" t="b">
        <v>0</v>
      </c>
      <c r="L602" s="2" t="b">
        <v>0</v>
      </c>
      <c r="M602" s="2" t="b">
        <v>0</v>
      </c>
      <c r="N602" s="2" t="b">
        <v>0</v>
      </c>
      <c r="O602" s="2" t="b">
        <v>0</v>
      </c>
      <c r="P602" s="68"/>
      <c r="R602" s="69"/>
      <c r="S602" s="68"/>
      <c r="U602" s="69"/>
      <c r="V602" s="68"/>
      <c r="X602" s="69"/>
      <c r="Y602" s="68"/>
      <c r="AA602" s="69"/>
      <c r="AB602" s="33">
        <f t="shared" si="18"/>
        <v>0</v>
      </c>
      <c r="AC602" s="45">
        <f>_xlfn.LET(_xlpm.ps_1,P602:R602, _xlpm.ps_2,S602:U602, _xlpm.ps_3,V602:X602, _xlpm.ps_4,Y602:AA602,
_xlpm.phase, MID(C602,SEARCH("-",C602)+1,256),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(_xlfn.XLOOKUP($C$7,site_assumptions[Details],site_assumptions[Volts])*SUMIFS(P602:AA602,_xlfn.ANCHORARRAY(D602),TRUE)/10*0.95)/1000,
IFERROR(IF(_xlpm.phase="3Phase", _xlpm.p3_calc, _xlpm.sp_calc),0))</f>
        <v>0</v>
      </c>
      <c r="AD602" s="29" t="str">
        <f ca="1"/>
        <v>Storage</v>
      </c>
      <c r="AE602" s="30" t="str">
        <f ca="1"/>
        <v>File/Block</v>
      </c>
      <c r="AF602" s="30" t="str">
        <f ca="1"/>
        <v>Live</v>
      </c>
      <c r="AG602" s="30">
        <f ca="1"/>
        <v>6</v>
      </c>
      <c r="AH602" s="31" t="str">
        <f ca="1"/>
        <v>Unknown</v>
      </c>
      <c r="AI602" s="49">
        <f t="shared" ca="1" si="19"/>
        <v>0</v>
      </c>
      <c r="AJ602" s="71">
        <f ca="1"/>
        <v>0</v>
      </c>
    </row>
    <row r="603" spans="2:36" x14ac:dyDescent="0.25">
      <c r="B603" s="29" t="str">
        <f ca="1"/>
        <v>dal10.sr01.rk593</v>
      </c>
      <c r="C603" s="10" t="s">
        <v>2070</v>
      </c>
      <c r="D603" s="2" t="b" cm="1">
        <f t="array" ref="D603:O603">_xlfn._xlws.FILTER(IF(ancillary!$E$4:$P$8="",FALSE,ancillary!$E$4:$P$8),ancillary!$B$4:$B$8=$C603)</f>
        <v>1</v>
      </c>
      <c r="E603" s="2" t="b">
        <v>1</v>
      </c>
      <c r="F603" s="2" t="b">
        <v>1</v>
      </c>
      <c r="G603" s="2" t="b">
        <v>1</v>
      </c>
      <c r="H603" s="2" t="b">
        <v>1</v>
      </c>
      <c r="I603" s="2" t="b">
        <v>1</v>
      </c>
      <c r="J603" s="2" t="b">
        <v>0</v>
      </c>
      <c r="K603" s="2" t="b">
        <v>0</v>
      </c>
      <c r="L603" s="2" t="b">
        <v>0</v>
      </c>
      <c r="M603" s="2" t="b">
        <v>0</v>
      </c>
      <c r="N603" s="2" t="b">
        <v>0</v>
      </c>
      <c r="O603" s="2" t="b">
        <v>0</v>
      </c>
      <c r="P603" s="68"/>
      <c r="R603" s="69"/>
      <c r="S603" s="68"/>
      <c r="U603" s="69"/>
      <c r="V603" s="68"/>
      <c r="X603" s="69"/>
      <c r="Y603" s="68"/>
      <c r="AA603" s="69"/>
      <c r="AB603" s="33">
        <f t="shared" si="18"/>
        <v>0</v>
      </c>
      <c r="AC603" s="45">
        <f>_xlfn.LET(_xlpm.ps_1,P603:R603, _xlpm.ps_2,S603:U603, _xlpm.ps_3,V603:X603, _xlpm.ps_4,Y603:AA603,
_xlpm.phase, MID(C603,SEARCH("-",C603)+1,256),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(_xlfn.XLOOKUP($C$7,site_assumptions[Details],site_assumptions[Volts])*SUMIFS(P603:AA603,_xlfn.ANCHORARRAY(D603),TRUE)/10*0.95)/1000,
IFERROR(IF(_xlpm.phase="3Phase", _xlpm.p3_calc, _xlpm.sp_calc),0))</f>
        <v>0</v>
      </c>
      <c r="AD603" s="29" t="str">
        <f ca="1"/>
        <v>Storage</v>
      </c>
      <c r="AE603" s="30" t="str">
        <f ca="1"/>
        <v>File/Block</v>
      </c>
      <c r="AF603" s="30" t="str">
        <f ca="1"/>
        <v>Live</v>
      </c>
      <c r="AG603" s="30">
        <f ca="1"/>
        <v>6</v>
      </c>
      <c r="AH603" s="31" t="str">
        <f ca="1"/>
        <v>Unknown</v>
      </c>
      <c r="AI603" s="49">
        <f t="shared" ca="1" si="19"/>
        <v>0</v>
      </c>
      <c r="AJ603" s="71">
        <f ca="1"/>
        <v>0</v>
      </c>
    </row>
    <row r="604" spans="2:36" x14ac:dyDescent="0.25">
      <c r="B604" s="29" t="str">
        <f ca="1"/>
        <v>dal10.sr01.rk594</v>
      </c>
      <c r="C604" s="10" t="s">
        <v>2070</v>
      </c>
      <c r="D604" s="2" t="b" cm="1">
        <f t="array" ref="D604:O604">_xlfn._xlws.FILTER(IF(ancillary!$E$4:$P$8="",FALSE,ancillary!$E$4:$P$8),ancillary!$B$4:$B$8=$C604)</f>
        <v>1</v>
      </c>
      <c r="E604" s="2" t="b">
        <v>1</v>
      </c>
      <c r="F604" s="2" t="b">
        <v>1</v>
      </c>
      <c r="G604" s="2" t="b">
        <v>1</v>
      </c>
      <c r="H604" s="2" t="b">
        <v>1</v>
      </c>
      <c r="I604" s="2" t="b">
        <v>1</v>
      </c>
      <c r="J604" s="2" t="b">
        <v>0</v>
      </c>
      <c r="K604" s="2" t="b">
        <v>0</v>
      </c>
      <c r="L604" s="2" t="b">
        <v>0</v>
      </c>
      <c r="M604" s="2" t="b">
        <v>0</v>
      </c>
      <c r="N604" s="2" t="b">
        <v>0</v>
      </c>
      <c r="O604" s="2" t="b">
        <v>0</v>
      </c>
      <c r="P604" s="68"/>
      <c r="R604" s="69"/>
      <c r="S604" s="68"/>
      <c r="U604" s="69"/>
      <c r="V604" s="68"/>
      <c r="X604" s="69"/>
      <c r="Y604" s="68"/>
      <c r="AA604" s="69"/>
      <c r="AB604" s="33">
        <f t="shared" si="18"/>
        <v>0</v>
      </c>
      <c r="AC604" s="45">
        <f>_xlfn.LET(_xlpm.ps_1,P604:R604, _xlpm.ps_2,S604:U604, _xlpm.ps_3,V604:X604, _xlpm.ps_4,Y604:AA604,
_xlpm.phase, MID(C604,SEARCH("-",C604)+1,256),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(_xlfn.XLOOKUP($C$7,site_assumptions[Details],site_assumptions[Volts])*SUMIFS(P604:AA604,_xlfn.ANCHORARRAY(D604),TRUE)/10*0.95)/1000,
IFERROR(IF(_xlpm.phase="3Phase", _xlpm.p3_calc, _xlpm.sp_calc),0))</f>
        <v>0</v>
      </c>
      <c r="AD604" s="29" t="str">
        <f ca="1"/>
        <v>Storage</v>
      </c>
      <c r="AE604" s="30" t="str">
        <f ca="1"/>
        <v>File/Block</v>
      </c>
      <c r="AF604" s="30" t="str">
        <f ca="1"/>
        <v>Live</v>
      </c>
      <c r="AG604" s="30">
        <f ca="1"/>
        <v>6</v>
      </c>
      <c r="AH604" s="31" t="str">
        <f ca="1"/>
        <v>Unknown</v>
      </c>
      <c r="AI604" s="49">
        <f t="shared" ca="1" si="19"/>
        <v>0</v>
      </c>
      <c r="AJ604" s="71">
        <f ca="1"/>
        <v>0</v>
      </c>
    </row>
    <row r="605" spans="2:36" x14ac:dyDescent="0.25">
      <c r="B605" s="29" t="str">
        <f ca="1"/>
        <v>dal10.sr01.rk595</v>
      </c>
      <c r="C605" s="10" t="s">
        <v>2070</v>
      </c>
      <c r="D605" s="2" t="b" cm="1">
        <f t="array" ref="D605:O605">_xlfn._xlws.FILTER(IF(ancillary!$E$4:$P$8="",FALSE,ancillary!$E$4:$P$8),ancillary!$B$4:$B$8=$C605)</f>
        <v>1</v>
      </c>
      <c r="E605" s="2" t="b">
        <v>1</v>
      </c>
      <c r="F605" s="2" t="b">
        <v>1</v>
      </c>
      <c r="G605" s="2" t="b">
        <v>1</v>
      </c>
      <c r="H605" s="2" t="b">
        <v>1</v>
      </c>
      <c r="I605" s="2" t="b">
        <v>1</v>
      </c>
      <c r="J605" s="2" t="b">
        <v>0</v>
      </c>
      <c r="K605" s="2" t="b">
        <v>0</v>
      </c>
      <c r="L605" s="2" t="b">
        <v>0</v>
      </c>
      <c r="M605" s="2" t="b">
        <v>0</v>
      </c>
      <c r="N605" s="2" t="b">
        <v>0</v>
      </c>
      <c r="O605" s="2" t="b">
        <v>0</v>
      </c>
      <c r="P605" s="68"/>
      <c r="R605" s="69"/>
      <c r="S605" s="68"/>
      <c r="U605" s="69"/>
      <c r="V605" s="68"/>
      <c r="X605" s="69"/>
      <c r="Y605" s="68"/>
      <c r="AA605" s="69"/>
      <c r="AB605" s="33">
        <f t="shared" si="18"/>
        <v>0</v>
      </c>
      <c r="AC605" s="45">
        <f>_xlfn.LET(_xlpm.ps_1,P605:R605, _xlpm.ps_2,S605:U605, _xlpm.ps_3,V605:X605, _xlpm.ps_4,Y605:AA605,
_xlpm.phase, MID(C605,SEARCH("-",C605)+1,256),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(_xlfn.XLOOKUP($C$7,site_assumptions[Details],site_assumptions[Volts])*SUMIFS(P605:AA605,_xlfn.ANCHORARRAY(D605),TRUE)/10*0.95)/1000,
IFERROR(IF(_xlpm.phase="3Phase", _xlpm.p3_calc, _xlpm.sp_calc),0))</f>
        <v>0</v>
      </c>
      <c r="AD605" s="29" t="str">
        <f ca="1"/>
        <v>Network</v>
      </c>
      <c r="AE605" s="30" t="str">
        <f ca="1"/>
        <v>Ded. Firewall</v>
      </c>
      <c r="AF605" s="30" t="str">
        <f ca="1"/>
        <v>Live</v>
      </c>
      <c r="AG605" s="30">
        <f ca="1"/>
        <v>6</v>
      </c>
      <c r="AH605" s="31" t="str">
        <f ca="1"/>
        <v>Unknown</v>
      </c>
      <c r="AI605" s="49">
        <f t="shared" ca="1" si="19"/>
        <v>0</v>
      </c>
      <c r="AJ605" s="71">
        <f ca="1"/>
        <v>0.78700000000000003</v>
      </c>
    </row>
    <row r="606" spans="2:36" x14ac:dyDescent="0.25">
      <c r="B606" s="29" t="str">
        <f ca="1"/>
        <v>dal10.sr01.rk596</v>
      </c>
      <c r="C606" s="10" t="s">
        <v>2070</v>
      </c>
      <c r="D606" s="2" t="b" cm="1">
        <f t="array" ref="D606:O606">_xlfn._xlws.FILTER(IF(ancillary!$E$4:$P$8="",FALSE,ancillary!$E$4:$P$8),ancillary!$B$4:$B$8=$C606)</f>
        <v>1</v>
      </c>
      <c r="E606" s="2" t="b">
        <v>1</v>
      </c>
      <c r="F606" s="2" t="b">
        <v>1</v>
      </c>
      <c r="G606" s="2" t="b">
        <v>1</v>
      </c>
      <c r="H606" s="2" t="b">
        <v>1</v>
      </c>
      <c r="I606" s="2" t="b">
        <v>1</v>
      </c>
      <c r="J606" s="2" t="b">
        <v>0</v>
      </c>
      <c r="K606" s="2" t="b">
        <v>0</v>
      </c>
      <c r="L606" s="2" t="b">
        <v>0</v>
      </c>
      <c r="M606" s="2" t="b">
        <v>0</v>
      </c>
      <c r="N606" s="2" t="b">
        <v>0</v>
      </c>
      <c r="O606" s="2" t="b">
        <v>0</v>
      </c>
      <c r="P606" s="68"/>
      <c r="R606" s="69"/>
      <c r="S606" s="68"/>
      <c r="U606" s="69"/>
      <c r="V606" s="68"/>
      <c r="X606" s="69"/>
      <c r="Y606" s="68"/>
      <c r="AA606" s="69"/>
      <c r="AB606" s="33">
        <f t="shared" si="18"/>
        <v>0</v>
      </c>
      <c r="AC606" s="45">
        <f>_xlfn.LET(_xlpm.ps_1,P606:R606, _xlpm.ps_2,S606:U606, _xlpm.ps_3,V606:X606, _xlpm.ps_4,Y606:AA606,
_xlpm.phase, MID(C606,SEARCH("-",C606)+1,256),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(_xlfn.XLOOKUP($C$7,site_assumptions[Details],site_assumptions[Volts])*SUMIFS(P606:AA606,_xlfn.ANCHORARRAY(D606),TRUE)/10*0.95)/1000,
IFERROR(IF(_xlpm.phase="3Phase", _xlpm.p3_calc, _xlpm.sp_calc),0))</f>
        <v>0</v>
      </c>
      <c r="AD606" s="29" t="str">
        <f ca="1"/>
        <v>Bare Metal</v>
      </c>
      <c r="AE606" s="30" t="str">
        <f ca="1"/>
        <v>Bare Metal</v>
      </c>
      <c r="AF606" s="30" t="str">
        <f ca="1"/>
        <v>Live</v>
      </c>
      <c r="AG606" s="30">
        <f ca="1"/>
        <v>6</v>
      </c>
      <c r="AH606" s="31" t="str">
        <f ca="1"/>
        <v>Unknown</v>
      </c>
      <c r="AI606" s="49">
        <f t="shared" ca="1" si="19"/>
        <v>0</v>
      </c>
      <c r="AJ606" s="71">
        <f ca="1"/>
        <v>0.372</v>
      </c>
    </row>
    <row r="607" spans="2:36" x14ac:dyDescent="0.25">
      <c r="B607" s="29" t="str">
        <f ca="1"/>
        <v>dal10.sr01.rk597</v>
      </c>
      <c r="C607" s="10" t="s">
        <v>2070</v>
      </c>
      <c r="D607" s="2" t="b" cm="1">
        <f t="array" ref="D607:O607">_xlfn._xlws.FILTER(IF(ancillary!$E$4:$P$8="",FALSE,ancillary!$E$4:$P$8),ancillary!$B$4:$B$8=$C607)</f>
        <v>1</v>
      </c>
      <c r="E607" s="2" t="b">
        <v>1</v>
      </c>
      <c r="F607" s="2" t="b">
        <v>1</v>
      </c>
      <c r="G607" s="2" t="b">
        <v>1</v>
      </c>
      <c r="H607" s="2" t="b">
        <v>1</v>
      </c>
      <c r="I607" s="2" t="b">
        <v>1</v>
      </c>
      <c r="J607" s="2" t="b">
        <v>0</v>
      </c>
      <c r="K607" s="2" t="b">
        <v>0</v>
      </c>
      <c r="L607" s="2" t="b">
        <v>0</v>
      </c>
      <c r="M607" s="2" t="b">
        <v>0</v>
      </c>
      <c r="N607" s="2" t="b">
        <v>0</v>
      </c>
      <c r="O607" s="2" t="b">
        <v>0</v>
      </c>
      <c r="P607" s="68"/>
      <c r="R607" s="69"/>
      <c r="S607" s="68"/>
      <c r="U607" s="69"/>
      <c r="V607" s="68"/>
      <c r="X607" s="69"/>
      <c r="Y607" s="68"/>
      <c r="AA607" s="69"/>
      <c r="AB607" s="33">
        <f t="shared" si="18"/>
        <v>0</v>
      </c>
      <c r="AC607" s="45">
        <f>_xlfn.LET(_xlpm.ps_1,P607:R607, _xlpm.ps_2,S607:U607, _xlpm.ps_3,V607:X607, _xlpm.ps_4,Y607:AA607,
_xlpm.phase, MID(C607,SEARCH("-",C607)+1,256),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(_xlfn.XLOOKUP($C$7,site_assumptions[Details],site_assumptions[Volts])*SUMIFS(P607:AA607,_xlfn.ANCHORARRAY(D607),TRUE)/10*0.95)/1000,
IFERROR(IF(_xlpm.phase="3Phase", _xlpm.p3_calc, _xlpm.sp_calc),0))</f>
        <v>0</v>
      </c>
      <c r="AD607" s="29" t="str">
        <f ca="1"/>
        <v>Bare Metal</v>
      </c>
      <c r="AE607" s="30" t="str">
        <f ca="1"/>
        <v>Bare Metal</v>
      </c>
      <c r="AF607" s="30" t="str">
        <f ca="1"/>
        <v>Live</v>
      </c>
      <c r="AG607" s="30">
        <f ca="1"/>
        <v>6</v>
      </c>
      <c r="AH607" s="31" t="str">
        <f ca="1"/>
        <v>Unknown</v>
      </c>
      <c r="AI607" s="49">
        <f t="shared" ca="1" si="19"/>
        <v>0</v>
      </c>
      <c r="AJ607" s="71">
        <f ca="1"/>
        <v>1.919</v>
      </c>
    </row>
    <row r="608" spans="2:36" x14ac:dyDescent="0.25">
      <c r="B608" s="29" t="str">
        <f ca="1"/>
        <v>dal10.sr01.rk598</v>
      </c>
      <c r="C608" s="10" t="s">
        <v>2070</v>
      </c>
      <c r="D608" s="2" t="b" cm="1">
        <f t="array" ref="D608:O608">_xlfn._xlws.FILTER(IF(ancillary!$E$4:$P$8="",FALSE,ancillary!$E$4:$P$8),ancillary!$B$4:$B$8=$C608)</f>
        <v>1</v>
      </c>
      <c r="E608" s="2" t="b">
        <v>1</v>
      </c>
      <c r="F608" s="2" t="b">
        <v>1</v>
      </c>
      <c r="G608" s="2" t="b">
        <v>1</v>
      </c>
      <c r="H608" s="2" t="b">
        <v>1</v>
      </c>
      <c r="I608" s="2" t="b">
        <v>1</v>
      </c>
      <c r="J608" s="2" t="b">
        <v>0</v>
      </c>
      <c r="K608" s="2" t="b">
        <v>0</v>
      </c>
      <c r="L608" s="2" t="b">
        <v>0</v>
      </c>
      <c r="M608" s="2" t="b">
        <v>0</v>
      </c>
      <c r="N608" s="2" t="b">
        <v>0</v>
      </c>
      <c r="O608" s="2" t="b">
        <v>0</v>
      </c>
      <c r="P608" s="68"/>
      <c r="R608" s="69"/>
      <c r="S608" s="68"/>
      <c r="U608" s="69"/>
      <c r="V608" s="68"/>
      <c r="X608" s="69"/>
      <c r="Y608" s="68"/>
      <c r="AA608" s="69"/>
      <c r="AB608" s="33">
        <f t="shared" si="18"/>
        <v>0</v>
      </c>
      <c r="AC608" s="45">
        <f>_xlfn.LET(_xlpm.ps_1,P608:R608, _xlpm.ps_2,S608:U608, _xlpm.ps_3,V608:X608, _xlpm.ps_4,Y608:AA608,
_xlpm.phase, MID(C608,SEARCH("-",C608)+1,256),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(_xlfn.XLOOKUP($C$7,site_assumptions[Details],site_assumptions[Volts])*SUMIFS(P608:AA608,_xlfn.ANCHORARRAY(D608),TRUE)/10*0.95)/1000,
IFERROR(IF(_xlpm.phase="3Phase", _xlpm.p3_calc, _xlpm.sp_calc),0))</f>
        <v>0</v>
      </c>
      <c r="AD608" s="29" t="str">
        <f ca="1"/>
        <v>Bare Metal</v>
      </c>
      <c r="AE608" s="30" t="str">
        <f ca="1"/>
        <v>Bare Metal</v>
      </c>
      <c r="AF608" s="30" t="str">
        <f ca="1"/>
        <v>Live</v>
      </c>
      <c r="AG608" s="30">
        <f ca="1"/>
        <v>6</v>
      </c>
      <c r="AH608" s="31" t="str">
        <f ca="1"/>
        <v>Unknown</v>
      </c>
      <c r="AI608" s="49">
        <f t="shared" ca="1" si="19"/>
        <v>0</v>
      </c>
      <c r="AJ608" s="71">
        <f ca="1"/>
        <v>1.0760000000000001</v>
      </c>
    </row>
    <row r="609" spans="2:36" x14ac:dyDescent="0.25">
      <c r="B609" s="29" t="str">
        <f ca="1"/>
        <v>dal10.sr01.rk599</v>
      </c>
      <c r="C609" s="10" t="s">
        <v>2070</v>
      </c>
      <c r="D609" s="2" t="b" cm="1">
        <f t="array" ref="D609:O609">_xlfn._xlws.FILTER(IF(ancillary!$E$4:$P$8="",FALSE,ancillary!$E$4:$P$8),ancillary!$B$4:$B$8=$C609)</f>
        <v>1</v>
      </c>
      <c r="E609" s="2" t="b">
        <v>1</v>
      </c>
      <c r="F609" s="2" t="b">
        <v>1</v>
      </c>
      <c r="G609" s="2" t="b">
        <v>1</v>
      </c>
      <c r="H609" s="2" t="b">
        <v>1</v>
      </c>
      <c r="I609" s="2" t="b">
        <v>1</v>
      </c>
      <c r="J609" s="2" t="b">
        <v>0</v>
      </c>
      <c r="K609" s="2" t="b">
        <v>0</v>
      </c>
      <c r="L609" s="2" t="b">
        <v>0</v>
      </c>
      <c r="M609" s="2" t="b">
        <v>0</v>
      </c>
      <c r="N609" s="2" t="b">
        <v>0</v>
      </c>
      <c r="O609" s="2" t="b">
        <v>0</v>
      </c>
      <c r="P609" s="68"/>
      <c r="R609" s="69"/>
      <c r="S609" s="68"/>
      <c r="U609" s="69"/>
      <c r="V609" s="68"/>
      <c r="X609" s="69"/>
      <c r="Y609" s="68"/>
      <c r="AA609" s="69"/>
      <c r="AB609" s="33">
        <f t="shared" si="18"/>
        <v>0</v>
      </c>
      <c r="AC609" s="45">
        <f>_xlfn.LET(_xlpm.ps_1,P609:R609, _xlpm.ps_2,S609:U609, _xlpm.ps_3,V609:X609, _xlpm.ps_4,Y609:AA609,
_xlpm.phase, MID(C609,SEARCH("-",C609)+1,256),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(_xlfn.XLOOKUP($C$7,site_assumptions[Details],site_assumptions[Volts])*SUMIFS(P609:AA609,_xlfn.ANCHORARRAY(D609),TRUE)/10*0.95)/1000,
IFERROR(IF(_xlpm.phase="3Phase", _xlpm.p3_calc, _xlpm.sp_calc),0))</f>
        <v>0</v>
      </c>
      <c r="AD609" s="29" t="str">
        <f ca="1"/>
        <v>Bare Metal</v>
      </c>
      <c r="AE609" s="30" t="str">
        <f ca="1"/>
        <v>Bare Metal</v>
      </c>
      <c r="AF609" s="30" t="str">
        <f ca="1"/>
        <v>Live</v>
      </c>
      <c r="AG609" s="30">
        <f ca="1"/>
        <v>6</v>
      </c>
      <c r="AH609" s="31" t="str">
        <f ca="1"/>
        <v>Unknown</v>
      </c>
      <c r="AI609" s="49">
        <f t="shared" ca="1" si="19"/>
        <v>0</v>
      </c>
      <c r="AJ609" s="71">
        <f ca="1"/>
        <v>3.093</v>
      </c>
    </row>
    <row r="610" spans="2:36" x14ac:dyDescent="0.25">
      <c r="B610" s="29" t="str">
        <f ca="1"/>
        <v>dal10.sr01.rk600</v>
      </c>
      <c r="C610" s="10" t="s">
        <v>2070</v>
      </c>
      <c r="D610" s="2" t="b" cm="1">
        <f t="array" ref="D610:O610">_xlfn._xlws.FILTER(IF(ancillary!$E$4:$P$8="",FALSE,ancillary!$E$4:$P$8),ancillary!$B$4:$B$8=$C610)</f>
        <v>1</v>
      </c>
      <c r="E610" s="2" t="b">
        <v>1</v>
      </c>
      <c r="F610" s="2" t="b">
        <v>1</v>
      </c>
      <c r="G610" s="2" t="b">
        <v>1</v>
      </c>
      <c r="H610" s="2" t="b">
        <v>1</v>
      </c>
      <c r="I610" s="2" t="b">
        <v>1</v>
      </c>
      <c r="J610" s="2" t="b">
        <v>0</v>
      </c>
      <c r="K610" s="2" t="b">
        <v>0</v>
      </c>
      <c r="L610" s="2" t="b">
        <v>0</v>
      </c>
      <c r="M610" s="2" t="b">
        <v>0</v>
      </c>
      <c r="N610" s="2" t="b">
        <v>0</v>
      </c>
      <c r="O610" s="2" t="b">
        <v>0</v>
      </c>
      <c r="P610" s="68"/>
      <c r="R610" s="69"/>
      <c r="S610" s="68"/>
      <c r="U610" s="69"/>
      <c r="V610" s="68"/>
      <c r="X610" s="69"/>
      <c r="Y610" s="68"/>
      <c r="AA610" s="69"/>
      <c r="AB610" s="33">
        <f t="shared" si="18"/>
        <v>0</v>
      </c>
      <c r="AC610" s="45">
        <f>_xlfn.LET(_xlpm.ps_1,P610:R610, _xlpm.ps_2,S610:U610, _xlpm.ps_3,V610:X610, _xlpm.ps_4,Y610:AA610,
_xlpm.phase, MID(C610,SEARCH("-",C610)+1,256),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(_xlfn.XLOOKUP($C$7,site_assumptions[Details],site_assumptions[Volts])*SUMIFS(P610:AA610,_xlfn.ANCHORARRAY(D610),TRUE)/10*0.95)/1000,
IFERROR(IF(_xlpm.phase="3Phase", _xlpm.p3_calc, _xlpm.sp_calc),0))</f>
        <v>0</v>
      </c>
      <c r="AD610" s="29" t="str">
        <f ca="1"/>
        <v>Network</v>
      </c>
      <c r="AE610" s="30" t="str">
        <f ca="1"/>
        <v>Aggregate</v>
      </c>
      <c r="AF610" s="30" t="str">
        <f ca="1"/>
        <v>Live</v>
      </c>
      <c r="AG610" s="30">
        <f ca="1"/>
        <v>5</v>
      </c>
      <c r="AH610" s="31" t="str">
        <f ca="1"/>
        <v>Unknown</v>
      </c>
      <c r="AI610" s="49">
        <f t="shared" ca="1" si="19"/>
        <v>0</v>
      </c>
      <c r="AJ610" s="71">
        <f ca="1"/>
        <v>0</v>
      </c>
    </row>
    <row r="611" spans="2:36" x14ac:dyDescent="0.25">
      <c r="B611" s="29" t="str">
        <f ca="1"/>
        <v>dal10.sr01.rk601</v>
      </c>
      <c r="C611" s="10" t="s">
        <v>2070</v>
      </c>
      <c r="D611" s="2" t="b" cm="1">
        <f t="array" ref="D611:O611">_xlfn._xlws.FILTER(IF(ancillary!$E$4:$P$8="",FALSE,ancillary!$E$4:$P$8),ancillary!$B$4:$B$8=$C611)</f>
        <v>1</v>
      </c>
      <c r="E611" s="2" t="b">
        <v>1</v>
      </c>
      <c r="F611" s="2" t="b">
        <v>1</v>
      </c>
      <c r="G611" s="2" t="b">
        <v>1</v>
      </c>
      <c r="H611" s="2" t="b">
        <v>1</v>
      </c>
      <c r="I611" s="2" t="b">
        <v>1</v>
      </c>
      <c r="J611" s="2" t="b">
        <v>0</v>
      </c>
      <c r="K611" s="2" t="b">
        <v>0</v>
      </c>
      <c r="L611" s="2" t="b">
        <v>0</v>
      </c>
      <c r="M611" s="2" t="b">
        <v>0</v>
      </c>
      <c r="N611" s="2" t="b">
        <v>0</v>
      </c>
      <c r="O611" s="2" t="b">
        <v>0</v>
      </c>
      <c r="P611" s="68"/>
      <c r="R611" s="69"/>
      <c r="S611" s="68"/>
      <c r="U611" s="69"/>
      <c r="V611" s="68"/>
      <c r="X611" s="69"/>
      <c r="Y611" s="68"/>
      <c r="AA611" s="69"/>
      <c r="AB611" s="33">
        <f t="shared" si="18"/>
        <v>0</v>
      </c>
      <c r="AC611" s="45">
        <f>_xlfn.LET(_xlpm.ps_1,P611:R611, _xlpm.ps_2,S611:U611, _xlpm.ps_3,V611:X611, _xlpm.ps_4,Y611:AA611,
_xlpm.phase, MID(C611,SEARCH("-",C611)+1,256),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(_xlfn.XLOOKUP($C$7,site_assumptions[Details],site_assumptions[Volts])*SUMIFS(P611:AA611,_xlfn.ANCHORARRAY(D611),TRUE)/10*0.95)/1000,
IFERROR(IF(_xlpm.phase="3Phase", _xlpm.p3_calc, _xlpm.sp_calc),0))</f>
        <v>0</v>
      </c>
      <c r="AD611" s="29" t="str">
        <f ca="1"/>
        <v>Bare Metal</v>
      </c>
      <c r="AE611" s="30" t="str">
        <f ca="1"/>
        <v>Bare Metal</v>
      </c>
      <c r="AF611" s="30" t="str">
        <f ca="1"/>
        <v>Live</v>
      </c>
      <c r="AG611" s="30">
        <f ca="1"/>
        <v>6</v>
      </c>
      <c r="AH611" s="31" t="str">
        <f ca="1"/>
        <v>Unknown</v>
      </c>
      <c r="AI611" s="49">
        <f t="shared" ca="1" si="19"/>
        <v>0</v>
      </c>
      <c r="AJ611" s="71">
        <f ca="1"/>
        <v>1.512</v>
      </c>
    </row>
    <row r="612" spans="2:36" x14ac:dyDescent="0.25">
      <c r="B612" s="29" t="str">
        <f ca="1"/>
        <v>dal10.sr01.rk602</v>
      </c>
      <c r="C612" s="10" t="s">
        <v>2070</v>
      </c>
      <c r="D612" s="2" t="b" cm="1">
        <f t="array" ref="D612:O612">_xlfn._xlws.FILTER(IF(ancillary!$E$4:$P$8="",FALSE,ancillary!$E$4:$P$8),ancillary!$B$4:$B$8=$C612)</f>
        <v>1</v>
      </c>
      <c r="E612" s="2" t="b">
        <v>1</v>
      </c>
      <c r="F612" s="2" t="b">
        <v>1</v>
      </c>
      <c r="G612" s="2" t="b">
        <v>1</v>
      </c>
      <c r="H612" s="2" t="b">
        <v>1</v>
      </c>
      <c r="I612" s="2" t="b">
        <v>1</v>
      </c>
      <c r="J612" s="2" t="b">
        <v>0</v>
      </c>
      <c r="K612" s="2" t="b">
        <v>0</v>
      </c>
      <c r="L612" s="2" t="b">
        <v>0</v>
      </c>
      <c r="M612" s="2" t="b">
        <v>0</v>
      </c>
      <c r="N612" s="2" t="b">
        <v>0</v>
      </c>
      <c r="O612" s="2" t="b">
        <v>0</v>
      </c>
      <c r="P612" s="68"/>
      <c r="R612" s="69"/>
      <c r="S612" s="68"/>
      <c r="U612" s="69"/>
      <c r="V612" s="68"/>
      <c r="X612" s="69"/>
      <c r="Y612" s="68"/>
      <c r="AA612" s="69"/>
      <c r="AB612" s="33">
        <f t="shared" si="18"/>
        <v>0</v>
      </c>
      <c r="AC612" s="45">
        <f>_xlfn.LET(_xlpm.ps_1,P612:R612, _xlpm.ps_2,S612:U612, _xlpm.ps_3,V612:X612, _xlpm.ps_4,Y612:AA612,
_xlpm.phase, MID(C612,SEARCH("-",C612)+1,256),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(_xlfn.XLOOKUP($C$7,site_assumptions[Details],site_assumptions[Volts])*SUMIFS(P612:AA612,_xlfn.ANCHORARRAY(D612),TRUE)/10*0.95)/1000,
IFERROR(IF(_xlpm.phase="3Phase", _xlpm.p3_calc, _xlpm.sp_calc),0))</f>
        <v>0</v>
      </c>
      <c r="AD612" s="29" t="str">
        <f ca="1"/>
        <v>Bare Metal</v>
      </c>
      <c r="AE612" s="30" t="str">
        <f ca="1"/>
        <v>Bare Metal</v>
      </c>
      <c r="AF612" s="30" t="str">
        <f ca="1"/>
        <v>Live</v>
      </c>
      <c r="AG612" s="30">
        <f ca="1"/>
        <v>6</v>
      </c>
      <c r="AH612" s="31" t="str">
        <f ca="1"/>
        <v>Unknown</v>
      </c>
      <c r="AI612" s="49">
        <f t="shared" ca="1" si="19"/>
        <v>0</v>
      </c>
      <c r="AJ612" s="71">
        <f ca="1"/>
        <v>1.7949999999999999</v>
      </c>
    </row>
    <row r="613" spans="2:36" x14ac:dyDescent="0.25">
      <c r="B613" s="29" t="str">
        <f ca="1"/>
        <v>dal10.sr01.rk603</v>
      </c>
      <c r="C613" s="10" t="s">
        <v>2070</v>
      </c>
      <c r="D613" s="2" t="b" cm="1">
        <f t="array" ref="D613:O613">_xlfn._xlws.FILTER(IF(ancillary!$E$4:$P$8="",FALSE,ancillary!$E$4:$P$8),ancillary!$B$4:$B$8=$C613)</f>
        <v>1</v>
      </c>
      <c r="E613" s="2" t="b">
        <v>1</v>
      </c>
      <c r="F613" s="2" t="b">
        <v>1</v>
      </c>
      <c r="G613" s="2" t="b">
        <v>1</v>
      </c>
      <c r="H613" s="2" t="b">
        <v>1</v>
      </c>
      <c r="I613" s="2" t="b">
        <v>1</v>
      </c>
      <c r="J613" s="2" t="b">
        <v>0</v>
      </c>
      <c r="K613" s="2" t="b">
        <v>0</v>
      </c>
      <c r="L613" s="2" t="b">
        <v>0</v>
      </c>
      <c r="M613" s="2" t="b">
        <v>0</v>
      </c>
      <c r="N613" s="2" t="b">
        <v>0</v>
      </c>
      <c r="O613" s="2" t="b">
        <v>0</v>
      </c>
      <c r="P613" s="68"/>
      <c r="R613" s="69"/>
      <c r="S613" s="68"/>
      <c r="U613" s="69"/>
      <c r="V613" s="68"/>
      <c r="X613" s="69"/>
      <c r="Y613" s="68"/>
      <c r="AA613" s="69"/>
      <c r="AB613" s="33">
        <f t="shared" si="18"/>
        <v>0</v>
      </c>
      <c r="AC613" s="45">
        <f>_xlfn.LET(_xlpm.ps_1,P613:R613, _xlpm.ps_2,S613:U613, _xlpm.ps_3,V613:X613, _xlpm.ps_4,Y613:AA613,
_xlpm.phase, MID(C613,SEARCH("-",C613)+1,256),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(_xlfn.XLOOKUP($C$7,site_assumptions[Details],site_assumptions[Volts])*SUMIFS(P613:AA613,_xlfn.ANCHORARRAY(D613),TRUE)/10*0.95)/1000,
IFERROR(IF(_xlpm.phase="3Phase", _xlpm.p3_calc, _xlpm.sp_calc),0))</f>
        <v>0</v>
      </c>
      <c r="AD613" s="29" t="str">
        <f ca="1"/>
        <v>Bare Metal</v>
      </c>
      <c r="AE613" s="30" t="str">
        <f ca="1"/>
        <v>Bare Metal</v>
      </c>
      <c r="AF613" s="30" t="str">
        <f ca="1"/>
        <v>Live</v>
      </c>
      <c r="AG613" s="30">
        <f ca="1"/>
        <v>6</v>
      </c>
      <c r="AH613" s="31" t="str">
        <f ca="1"/>
        <v>Unknown</v>
      </c>
      <c r="AI613" s="49">
        <f t="shared" ca="1" si="19"/>
        <v>0</v>
      </c>
      <c r="AJ613" s="71">
        <f ca="1"/>
        <v>1.597</v>
      </c>
    </row>
    <row r="614" spans="2:36" x14ac:dyDescent="0.25">
      <c r="B614" s="29" t="str">
        <f ca="1"/>
        <v>dal10.sr01.rk604</v>
      </c>
      <c r="C614" s="10" t="s">
        <v>2070</v>
      </c>
      <c r="D614" s="2" t="b" cm="1">
        <f t="array" ref="D614:O614">_xlfn._xlws.FILTER(IF(ancillary!$E$4:$P$8="",FALSE,ancillary!$E$4:$P$8),ancillary!$B$4:$B$8=$C614)</f>
        <v>1</v>
      </c>
      <c r="E614" s="2" t="b">
        <v>1</v>
      </c>
      <c r="F614" s="2" t="b">
        <v>1</v>
      </c>
      <c r="G614" s="2" t="b">
        <v>1</v>
      </c>
      <c r="H614" s="2" t="b">
        <v>1</v>
      </c>
      <c r="I614" s="2" t="b">
        <v>1</v>
      </c>
      <c r="J614" s="2" t="b">
        <v>0</v>
      </c>
      <c r="K614" s="2" t="b">
        <v>0</v>
      </c>
      <c r="L614" s="2" t="b">
        <v>0</v>
      </c>
      <c r="M614" s="2" t="b">
        <v>0</v>
      </c>
      <c r="N614" s="2" t="b">
        <v>0</v>
      </c>
      <c r="O614" s="2" t="b">
        <v>0</v>
      </c>
      <c r="P614" s="68"/>
      <c r="R614" s="69"/>
      <c r="S614" s="68"/>
      <c r="U614" s="69"/>
      <c r="V614" s="68"/>
      <c r="X614" s="69"/>
      <c r="Y614" s="68"/>
      <c r="AA614" s="69"/>
      <c r="AB614" s="33">
        <f t="shared" si="18"/>
        <v>0</v>
      </c>
      <c r="AC614" s="45">
        <f>_xlfn.LET(_xlpm.ps_1,P614:R614, _xlpm.ps_2,S614:U614, _xlpm.ps_3,V614:X614, _xlpm.ps_4,Y614:AA614,
_xlpm.phase, MID(C614,SEARCH("-",C614)+1,256),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(_xlfn.XLOOKUP($C$7,site_assumptions[Details],site_assumptions[Volts])*SUMIFS(P614:AA614,_xlfn.ANCHORARRAY(D614),TRUE)/10*0.95)/1000,
IFERROR(IF(_xlpm.phase="3Phase", _xlpm.p3_calc, _xlpm.sp_calc),0))</f>
        <v>0</v>
      </c>
      <c r="AD614" s="29" t="str">
        <f ca="1"/>
        <v>Bare Metal</v>
      </c>
      <c r="AE614" s="30" t="str">
        <f ca="1"/>
        <v>Bare Metal</v>
      </c>
      <c r="AF614" s="30" t="str">
        <f ca="1"/>
        <v>Live</v>
      </c>
      <c r="AG614" s="30">
        <f ca="1"/>
        <v>6</v>
      </c>
      <c r="AH614" s="31" t="str">
        <f ca="1"/>
        <v>Unknown</v>
      </c>
      <c r="AI614" s="49">
        <f t="shared" ca="1" si="19"/>
        <v>0</v>
      </c>
      <c r="AJ614" s="71">
        <f ca="1"/>
        <v>3.746</v>
      </c>
    </row>
    <row r="615" spans="2:36" x14ac:dyDescent="0.25">
      <c r="B615" s="29" t="str">
        <f ca="1"/>
        <v>dal10.sr01.rk605</v>
      </c>
      <c r="C615" s="10" t="s">
        <v>2070</v>
      </c>
      <c r="D615" s="2" t="b" cm="1">
        <f t="array" ref="D615:O615">_xlfn._xlws.FILTER(IF(ancillary!$E$4:$P$8="",FALSE,ancillary!$E$4:$P$8),ancillary!$B$4:$B$8=$C615)</f>
        <v>1</v>
      </c>
      <c r="E615" s="2" t="b">
        <v>1</v>
      </c>
      <c r="F615" s="2" t="b">
        <v>1</v>
      </c>
      <c r="G615" s="2" t="b">
        <v>1</v>
      </c>
      <c r="H615" s="2" t="b">
        <v>1</v>
      </c>
      <c r="I615" s="2" t="b">
        <v>1</v>
      </c>
      <c r="J615" s="2" t="b">
        <v>0</v>
      </c>
      <c r="K615" s="2" t="b">
        <v>0</v>
      </c>
      <c r="L615" s="2" t="b">
        <v>0</v>
      </c>
      <c r="M615" s="2" t="b">
        <v>0</v>
      </c>
      <c r="N615" s="2" t="b">
        <v>0</v>
      </c>
      <c r="O615" s="2" t="b">
        <v>0</v>
      </c>
      <c r="P615" s="68"/>
      <c r="R615" s="69"/>
      <c r="S615" s="68"/>
      <c r="U615" s="69"/>
      <c r="V615" s="68"/>
      <c r="X615" s="69"/>
      <c r="Y615" s="68"/>
      <c r="AA615" s="69"/>
      <c r="AB615" s="33">
        <f t="shared" si="18"/>
        <v>0</v>
      </c>
      <c r="AC615" s="45">
        <f>_xlfn.LET(_xlpm.ps_1,P615:R615, _xlpm.ps_2,S615:U615, _xlpm.ps_3,V615:X615, _xlpm.ps_4,Y615:AA615,
_xlpm.phase, MID(C615,SEARCH("-",C615)+1,256),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(_xlfn.XLOOKUP($C$7,site_assumptions[Details],site_assumptions[Volts])*SUMIFS(P615:AA615,_xlfn.ANCHORARRAY(D615),TRUE)/10*0.95)/1000,
IFERROR(IF(_xlpm.phase="3Phase", _xlpm.p3_calc, _xlpm.sp_calc),0))</f>
        <v>0</v>
      </c>
      <c r="AD615" s="29" t="str">
        <f ca="1"/>
        <v>Bare Metal</v>
      </c>
      <c r="AE615" s="30" t="str">
        <f ca="1"/>
        <v>Bare Metal</v>
      </c>
      <c r="AF615" s="30" t="str">
        <f ca="1"/>
        <v>Live</v>
      </c>
      <c r="AG615" s="30">
        <f ca="1"/>
        <v>6</v>
      </c>
      <c r="AH615" s="31" t="str">
        <f ca="1"/>
        <v>Unknown</v>
      </c>
      <c r="AI615" s="49">
        <f t="shared" ca="1" si="19"/>
        <v>0</v>
      </c>
      <c r="AJ615" s="71">
        <f ca="1"/>
        <v>1.1850000000000001</v>
      </c>
    </row>
    <row r="616" spans="2:36" x14ac:dyDescent="0.25">
      <c r="B616" s="29" t="str">
        <f ca="1"/>
        <v>dal10.sr01.rk606</v>
      </c>
      <c r="C616" s="10" t="s">
        <v>2070</v>
      </c>
      <c r="D616" s="2" t="b" cm="1">
        <f t="array" ref="D616:O616">_xlfn._xlws.FILTER(IF(ancillary!$E$4:$P$8="",FALSE,ancillary!$E$4:$P$8),ancillary!$B$4:$B$8=$C616)</f>
        <v>1</v>
      </c>
      <c r="E616" s="2" t="b">
        <v>1</v>
      </c>
      <c r="F616" s="2" t="b">
        <v>1</v>
      </c>
      <c r="G616" s="2" t="b">
        <v>1</v>
      </c>
      <c r="H616" s="2" t="b">
        <v>1</v>
      </c>
      <c r="I616" s="2" t="b">
        <v>1</v>
      </c>
      <c r="J616" s="2" t="b">
        <v>0</v>
      </c>
      <c r="K616" s="2" t="b">
        <v>0</v>
      </c>
      <c r="L616" s="2" t="b">
        <v>0</v>
      </c>
      <c r="M616" s="2" t="b">
        <v>0</v>
      </c>
      <c r="N616" s="2" t="b">
        <v>0</v>
      </c>
      <c r="O616" s="2" t="b">
        <v>0</v>
      </c>
      <c r="P616" s="68"/>
      <c r="R616" s="69"/>
      <c r="S616" s="68"/>
      <c r="U616" s="69"/>
      <c r="V616" s="68"/>
      <c r="X616" s="69"/>
      <c r="Y616" s="68"/>
      <c r="AA616" s="69"/>
      <c r="AB616" s="33">
        <f t="shared" si="18"/>
        <v>0</v>
      </c>
      <c r="AC616" s="45">
        <f>_xlfn.LET(_xlpm.ps_1,P616:R616, _xlpm.ps_2,S616:U616, _xlpm.ps_3,V616:X616, _xlpm.ps_4,Y616:AA616,
_xlpm.phase, MID(C616,SEARCH("-",C616)+1,256),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(_xlfn.XLOOKUP($C$7,site_assumptions[Details],site_assumptions[Volts])*SUMIFS(P616:AA616,_xlfn.ANCHORARRAY(D616),TRUE)/10*0.95)/1000,
IFERROR(IF(_xlpm.phase="3Phase", _xlpm.p3_calc, _xlpm.sp_calc),0))</f>
        <v>0</v>
      </c>
      <c r="AD616" s="29" t="str">
        <f ca="1"/>
        <v>Compute</v>
      </c>
      <c r="AE616" s="30" t="str">
        <f ca="1"/>
        <v>Hybrid</v>
      </c>
      <c r="AF616" s="30" t="str">
        <f ca="1"/>
        <v>Live</v>
      </c>
      <c r="AG616" s="30">
        <f ca="1"/>
        <v>10</v>
      </c>
      <c r="AH616" s="31" t="str">
        <f ca="1"/>
        <v>Unknown</v>
      </c>
      <c r="AI616" s="49">
        <f t="shared" ca="1" si="19"/>
        <v>0</v>
      </c>
      <c r="AJ616" s="71">
        <f ca="1"/>
        <v>8.6539999999999999</v>
      </c>
    </row>
    <row r="617" spans="2:36" x14ac:dyDescent="0.25">
      <c r="B617" s="29" t="str">
        <f ca="1"/>
        <v>dal10.sr01.rk607</v>
      </c>
      <c r="C617" s="10" t="s">
        <v>2070</v>
      </c>
      <c r="D617" s="2" t="b" cm="1">
        <f t="array" ref="D617:O617">_xlfn._xlws.FILTER(IF(ancillary!$E$4:$P$8="",FALSE,ancillary!$E$4:$P$8),ancillary!$B$4:$B$8=$C617)</f>
        <v>1</v>
      </c>
      <c r="E617" s="2" t="b">
        <v>1</v>
      </c>
      <c r="F617" s="2" t="b">
        <v>1</v>
      </c>
      <c r="G617" s="2" t="b">
        <v>1</v>
      </c>
      <c r="H617" s="2" t="b">
        <v>1</v>
      </c>
      <c r="I617" s="2" t="b">
        <v>1</v>
      </c>
      <c r="J617" s="2" t="b">
        <v>0</v>
      </c>
      <c r="K617" s="2" t="b">
        <v>0</v>
      </c>
      <c r="L617" s="2" t="b">
        <v>0</v>
      </c>
      <c r="M617" s="2" t="b">
        <v>0</v>
      </c>
      <c r="N617" s="2" t="b">
        <v>0</v>
      </c>
      <c r="O617" s="2" t="b">
        <v>0</v>
      </c>
      <c r="P617" s="68"/>
      <c r="R617" s="69"/>
      <c r="S617" s="68"/>
      <c r="U617" s="69"/>
      <c r="V617" s="68"/>
      <c r="X617" s="69"/>
      <c r="Y617" s="68"/>
      <c r="AA617" s="69"/>
      <c r="AB617" s="33">
        <f t="shared" si="18"/>
        <v>0</v>
      </c>
      <c r="AC617" s="45">
        <f>_xlfn.LET(_xlpm.ps_1,P617:R617, _xlpm.ps_2,S617:U617, _xlpm.ps_3,V617:X617, _xlpm.ps_4,Y617:AA617,
_xlpm.phase, MID(C617,SEARCH("-",C617)+1,256),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(_xlfn.XLOOKUP($C$7,site_assumptions[Details],site_assumptions[Volts])*SUMIFS(P617:AA617,_xlfn.ANCHORARRAY(D617),TRUE)/10*0.95)/1000,
IFERROR(IF(_xlpm.phase="3Phase", _xlpm.p3_calc, _xlpm.sp_calc),0))</f>
        <v>0</v>
      </c>
      <c r="AD617" s="29" t="str">
        <f ca="1"/>
        <v>Bare Metal</v>
      </c>
      <c r="AE617" s="30" t="str">
        <f ca="1"/>
        <v>Bare Metal</v>
      </c>
      <c r="AF617" s="30" t="str">
        <f ca="1"/>
        <v>Live</v>
      </c>
      <c r="AG617" s="30">
        <f ca="1"/>
        <v>6</v>
      </c>
      <c r="AH617" s="31" t="str">
        <f ca="1"/>
        <v>Unknown</v>
      </c>
      <c r="AI617" s="49">
        <f t="shared" ca="1" si="19"/>
        <v>0</v>
      </c>
      <c r="AJ617" s="71">
        <f ca="1"/>
        <v>3.7719999999999998</v>
      </c>
    </row>
    <row r="618" spans="2:36" x14ac:dyDescent="0.25">
      <c r="B618" s="29" t="str">
        <f ca="1"/>
        <v>dal10.sr01.rk608</v>
      </c>
      <c r="C618" s="10" t="s">
        <v>2070</v>
      </c>
      <c r="D618" s="2" t="b" cm="1">
        <f t="array" ref="D618:O618">_xlfn._xlws.FILTER(IF(ancillary!$E$4:$P$8="",FALSE,ancillary!$E$4:$P$8),ancillary!$B$4:$B$8=$C618)</f>
        <v>1</v>
      </c>
      <c r="E618" s="2" t="b">
        <v>1</v>
      </c>
      <c r="F618" s="2" t="b">
        <v>1</v>
      </c>
      <c r="G618" s="2" t="b">
        <v>1</v>
      </c>
      <c r="H618" s="2" t="b">
        <v>1</v>
      </c>
      <c r="I618" s="2" t="b">
        <v>1</v>
      </c>
      <c r="J618" s="2" t="b">
        <v>0</v>
      </c>
      <c r="K618" s="2" t="b">
        <v>0</v>
      </c>
      <c r="L618" s="2" t="b">
        <v>0</v>
      </c>
      <c r="M618" s="2" t="b">
        <v>0</v>
      </c>
      <c r="N618" s="2" t="b">
        <v>0</v>
      </c>
      <c r="O618" s="2" t="b">
        <v>0</v>
      </c>
      <c r="P618" s="68"/>
      <c r="R618" s="69"/>
      <c r="S618" s="68"/>
      <c r="U618" s="69"/>
      <c r="V618" s="68"/>
      <c r="X618" s="69"/>
      <c r="Y618" s="68"/>
      <c r="AA618" s="69"/>
      <c r="AB618" s="33">
        <f t="shared" si="18"/>
        <v>0</v>
      </c>
      <c r="AC618" s="45">
        <f>_xlfn.LET(_xlpm.ps_1,P618:R618, _xlpm.ps_2,S618:U618, _xlpm.ps_3,V618:X618, _xlpm.ps_4,Y618:AA618,
_xlpm.phase, MID(C618,SEARCH("-",C618)+1,256),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(_xlfn.XLOOKUP($C$7,site_assumptions[Details],site_assumptions[Volts])*SUMIFS(P618:AA618,_xlfn.ANCHORARRAY(D618),TRUE)/10*0.95)/1000,
IFERROR(IF(_xlpm.phase="3Phase", _xlpm.p3_calc, _xlpm.sp_calc),0))</f>
        <v>0</v>
      </c>
      <c r="AD618" s="29" t="str">
        <f ca="1"/>
        <v>Bare Metal</v>
      </c>
      <c r="AE618" s="30" t="str">
        <f ca="1"/>
        <v>Bare Metal</v>
      </c>
      <c r="AF618" s="30" t="str">
        <f ca="1"/>
        <v>Live</v>
      </c>
      <c r="AG618" s="30">
        <f ca="1"/>
        <v>6</v>
      </c>
      <c r="AH618" s="31" t="str">
        <f ca="1"/>
        <v>Unknown</v>
      </c>
      <c r="AI618" s="49">
        <f t="shared" ca="1" si="19"/>
        <v>0</v>
      </c>
      <c r="AJ618" s="71">
        <f ca="1"/>
        <v>4.4160000000000004</v>
      </c>
    </row>
    <row r="619" spans="2:36" x14ac:dyDescent="0.25">
      <c r="B619" s="29" t="str">
        <f ca="1"/>
        <v>dal10.sr01.rk609</v>
      </c>
      <c r="C619" s="10" t="s">
        <v>2070</v>
      </c>
      <c r="D619" s="2" t="b" cm="1">
        <f t="array" ref="D619:O619">_xlfn._xlws.FILTER(IF(ancillary!$E$4:$P$8="",FALSE,ancillary!$E$4:$P$8),ancillary!$B$4:$B$8=$C619)</f>
        <v>1</v>
      </c>
      <c r="E619" s="2" t="b">
        <v>1</v>
      </c>
      <c r="F619" s="2" t="b">
        <v>1</v>
      </c>
      <c r="G619" s="2" t="b">
        <v>1</v>
      </c>
      <c r="H619" s="2" t="b">
        <v>1</v>
      </c>
      <c r="I619" s="2" t="b">
        <v>1</v>
      </c>
      <c r="J619" s="2" t="b">
        <v>0</v>
      </c>
      <c r="K619" s="2" t="b">
        <v>0</v>
      </c>
      <c r="L619" s="2" t="b">
        <v>0</v>
      </c>
      <c r="M619" s="2" t="b">
        <v>0</v>
      </c>
      <c r="N619" s="2" t="b">
        <v>0</v>
      </c>
      <c r="O619" s="2" t="b">
        <v>0</v>
      </c>
      <c r="P619" s="68"/>
      <c r="R619" s="69"/>
      <c r="S619" s="68"/>
      <c r="U619" s="69"/>
      <c r="V619" s="68"/>
      <c r="X619" s="69"/>
      <c r="Y619" s="68"/>
      <c r="AA619" s="69"/>
      <c r="AB619" s="33">
        <f t="shared" si="18"/>
        <v>0</v>
      </c>
      <c r="AC619" s="45">
        <f>_xlfn.LET(_xlpm.ps_1,P619:R619, _xlpm.ps_2,S619:U619, _xlpm.ps_3,V619:X619, _xlpm.ps_4,Y619:AA619,
_xlpm.phase, MID(C619,SEARCH("-",C619)+1,256),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(_xlfn.XLOOKUP($C$7,site_assumptions[Details],site_assumptions[Volts])*SUMIFS(P619:AA619,_xlfn.ANCHORARRAY(D619),TRUE)/10*0.95)/1000,
IFERROR(IF(_xlpm.phase="3Phase", _xlpm.p3_calc, _xlpm.sp_calc),0))</f>
        <v>0</v>
      </c>
      <c r="AD619" s="29" t="str">
        <f ca="1"/>
        <v>Bare Metal</v>
      </c>
      <c r="AE619" s="30" t="str">
        <f ca="1"/>
        <v>Bare Metal</v>
      </c>
      <c r="AF619" s="30" t="str">
        <f ca="1"/>
        <v>Live</v>
      </c>
      <c r="AG619" s="30">
        <f ca="1"/>
        <v>6</v>
      </c>
      <c r="AH619" s="31" t="str">
        <f ca="1"/>
        <v>Unknown</v>
      </c>
      <c r="AI619" s="49">
        <f t="shared" ca="1" si="19"/>
        <v>0</v>
      </c>
      <c r="AJ619" s="71">
        <f ca="1"/>
        <v>3.2290000000000001</v>
      </c>
    </row>
    <row r="620" spans="2:36" x14ac:dyDescent="0.25">
      <c r="B620" s="29" t="str">
        <f ca="1"/>
        <v>dal10.sr01.rk610</v>
      </c>
      <c r="C620" s="10" t="s">
        <v>2070</v>
      </c>
      <c r="D620" s="2" t="b" cm="1">
        <f t="array" ref="D620:O620">_xlfn._xlws.FILTER(IF(ancillary!$E$4:$P$8="",FALSE,ancillary!$E$4:$P$8),ancillary!$B$4:$B$8=$C620)</f>
        <v>1</v>
      </c>
      <c r="E620" s="2" t="b">
        <v>1</v>
      </c>
      <c r="F620" s="2" t="b">
        <v>1</v>
      </c>
      <c r="G620" s="2" t="b">
        <v>1</v>
      </c>
      <c r="H620" s="2" t="b">
        <v>1</v>
      </c>
      <c r="I620" s="2" t="b">
        <v>1</v>
      </c>
      <c r="J620" s="2" t="b">
        <v>0</v>
      </c>
      <c r="K620" s="2" t="b">
        <v>0</v>
      </c>
      <c r="L620" s="2" t="b">
        <v>0</v>
      </c>
      <c r="M620" s="2" t="b">
        <v>0</v>
      </c>
      <c r="N620" s="2" t="b">
        <v>0</v>
      </c>
      <c r="O620" s="2" t="b">
        <v>0</v>
      </c>
      <c r="P620" s="68"/>
      <c r="R620" s="69"/>
      <c r="S620" s="68"/>
      <c r="U620" s="69"/>
      <c r="V620" s="68"/>
      <c r="X620" s="69"/>
      <c r="Y620" s="68"/>
      <c r="AA620" s="69"/>
      <c r="AB620" s="33">
        <f t="shared" si="18"/>
        <v>0</v>
      </c>
      <c r="AC620" s="45">
        <f>_xlfn.LET(_xlpm.ps_1,P620:R620, _xlpm.ps_2,S620:U620, _xlpm.ps_3,V620:X620, _xlpm.ps_4,Y620:AA620,
_xlpm.phase, MID(C620,SEARCH("-",C620)+1,256),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(_xlfn.XLOOKUP($C$7,site_assumptions[Details],site_assumptions[Volts])*SUMIFS(P620:AA620,_xlfn.ANCHORARRAY(D620),TRUE)/10*0.95)/1000,
IFERROR(IF(_xlpm.phase="3Phase", _xlpm.p3_calc, _xlpm.sp_calc),0))</f>
        <v>0</v>
      </c>
      <c r="AD620" s="29" t="str">
        <f ca="1"/>
        <v>Bare Metal</v>
      </c>
      <c r="AE620" s="30" t="str">
        <f ca="1"/>
        <v>Bare Metal</v>
      </c>
      <c r="AF620" s="30" t="str">
        <f ca="1"/>
        <v>Live</v>
      </c>
      <c r="AG620" s="30">
        <f ca="1"/>
        <v>6</v>
      </c>
      <c r="AH620" s="31" t="str">
        <f ca="1"/>
        <v>Unknown</v>
      </c>
      <c r="AI620" s="49">
        <f t="shared" ca="1" si="19"/>
        <v>0</v>
      </c>
      <c r="AJ620" s="71">
        <f ca="1"/>
        <v>3.32</v>
      </c>
    </row>
    <row r="621" spans="2:36" x14ac:dyDescent="0.25">
      <c r="B621" s="29" t="str">
        <f ca="1"/>
        <v>dal10.sr01.rk611</v>
      </c>
      <c r="C621" s="10" t="s">
        <v>2070</v>
      </c>
      <c r="D621" s="2" t="b" cm="1">
        <f t="array" ref="D621:O621">_xlfn._xlws.FILTER(IF(ancillary!$E$4:$P$8="",FALSE,ancillary!$E$4:$P$8),ancillary!$B$4:$B$8=$C621)</f>
        <v>1</v>
      </c>
      <c r="E621" s="2" t="b">
        <v>1</v>
      </c>
      <c r="F621" s="2" t="b">
        <v>1</v>
      </c>
      <c r="G621" s="2" t="b">
        <v>1</v>
      </c>
      <c r="H621" s="2" t="b">
        <v>1</v>
      </c>
      <c r="I621" s="2" t="b">
        <v>1</v>
      </c>
      <c r="J621" s="2" t="b">
        <v>0</v>
      </c>
      <c r="K621" s="2" t="b">
        <v>0</v>
      </c>
      <c r="L621" s="2" t="b">
        <v>0</v>
      </c>
      <c r="M621" s="2" t="b">
        <v>0</v>
      </c>
      <c r="N621" s="2" t="b">
        <v>0</v>
      </c>
      <c r="O621" s="2" t="b">
        <v>0</v>
      </c>
      <c r="P621" s="68"/>
      <c r="R621" s="69"/>
      <c r="S621" s="68"/>
      <c r="U621" s="69"/>
      <c r="V621" s="68"/>
      <c r="X621" s="69"/>
      <c r="Y621" s="68"/>
      <c r="AA621" s="69"/>
      <c r="AB621" s="33">
        <f t="shared" si="18"/>
        <v>0</v>
      </c>
      <c r="AC621" s="45">
        <f>_xlfn.LET(_xlpm.ps_1,P621:R621, _xlpm.ps_2,S621:U621, _xlpm.ps_3,V621:X621, _xlpm.ps_4,Y621:AA621,
_xlpm.phase, MID(C621,SEARCH("-",C621)+1,256),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(_xlfn.XLOOKUP($C$7,site_assumptions[Details],site_assumptions[Volts])*SUMIFS(P621:AA621,_xlfn.ANCHORARRAY(D621),TRUE)/10*0.95)/1000,
IFERROR(IF(_xlpm.phase="3Phase", _xlpm.p3_calc, _xlpm.sp_calc),0))</f>
        <v>0</v>
      </c>
      <c r="AD621" s="29" t="str">
        <f ca="1"/>
        <v>Network</v>
      </c>
      <c r="AE621" s="30" t="str">
        <f ca="1"/>
        <v>Aggregate</v>
      </c>
      <c r="AF621" s="30" t="str">
        <f ca="1"/>
        <v>Live</v>
      </c>
      <c r="AG621" s="30">
        <f ca="1"/>
        <v>5</v>
      </c>
      <c r="AH621" s="31" t="str">
        <f ca="1"/>
        <v>Unknown</v>
      </c>
      <c r="AI621" s="49">
        <f t="shared" ca="1" si="19"/>
        <v>0</v>
      </c>
      <c r="AJ621" s="71">
        <f ca="1"/>
        <v>0</v>
      </c>
    </row>
    <row r="622" spans="2:36" x14ac:dyDescent="0.25">
      <c r="B622" s="29" t="str">
        <f ca="1"/>
        <v>dal10.sr01.rk612</v>
      </c>
      <c r="C622" s="10" t="s">
        <v>2070</v>
      </c>
      <c r="D622" s="2" t="b" cm="1">
        <f t="array" ref="D622:O622">_xlfn._xlws.FILTER(IF(ancillary!$E$4:$P$8="",FALSE,ancillary!$E$4:$P$8),ancillary!$B$4:$B$8=$C622)</f>
        <v>1</v>
      </c>
      <c r="E622" s="2" t="b">
        <v>1</v>
      </c>
      <c r="F622" s="2" t="b">
        <v>1</v>
      </c>
      <c r="G622" s="2" t="b">
        <v>1</v>
      </c>
      <c r="H622" s="2" t="b">
        <v>1</v>
      </c>
      <c r="I622" s="2" t="b">
        <v>1</v>
      </c>
      <c r="J622" s="2" t="b">
        <v>0</v>
      </c>
      <c r="K622" s="2" t="b">
        <v>0</v>
      </c>
      <c r="L622" s="2" t="b">
        <v>0</v>
      </c>
      <c r="M622" s="2" t="b">
        <v>0</v>
      </c>
      <c r="N622" s="2" t="b">
        <v>0</v>
      </c>
      <c r="O622" s="2" t="b">
        <v>0</v>
      </c>
      <c r="P622" s="68"/>
      <c r="R622" s="69"/>
      <c r="S622" s="68"/>
      <c r="U622" s="69"/>
      <c r="V622" s="68"/>
      <c r="X622" s="69"/>
      <c r="Y622" s="68"/>
      <c r="AA622" s="69"/>
      <c r="AB622" s="33">
        <f t="shared" si="18"/>
        <v>0</v>
      </c>
      <c r="AC622" s="45">
        <f>_xlfn.LET(_xlpm.ps_1,P622:R622, _xlpm.ps_2,S622:U622, _xlpm.ps_3,V622:X622, _xlpm.ps_4,Y622:AA622,
_xlpm.phase, MID(C622,SEARCH("-",C622)+1,256),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(_xlfn.XLOOKUP($C$7,site_assumptions[Details],site_assumptions[Volts])*SUMIFS(P622:AA622,_xlfn.ANCHORARRAY(D622),TRUE)/10*0.95)/1000,
IFERROR(IF(_xlpm.phase="3Phase", _xlpm.p3_calc, _xlpm.sp_calc),0))</f>
        <v>0</v>
      </c>
      <c r="AD622" s="29" t="str">
        <f ca="1"/>
        <v>Bare Metal</v>
      </c>
      <c r="AE622" s="30" t="str">
        <f ca="1"/>
        <v>Bare Metal</v>
      </c>
      <c r="AF622" s="30" t="str">
        <f ca="1"/>
        <v>Live</v>
      </c>
      <c r="AG622" s="30">
        <f ca="1"/>
        <v>6</v>
      </c>
      <c r="AH622" s="31" t="str">
        <f ca="1"/>
        <v>Unknown</v>
      </c>
      <c r="AI622" s="49">
        <f t="shared" ca="1" si="19"/>
        <v>0</v>
      </c>
      <c r="AJ622" s="71">
        <f ca="1"/>
        <v>5.6710000000000003</v>
      </c>
    </row>
    <row r="623" spans="2:36" x14ac:dyDescent="0.25">
      <c r="B623" s="29" t="str">
        <f ca="1"/>
        <v>dal10.sr01.rk613</v>
      </c>
      <c r="C623" s="10" t="s">
        <v>2070</v>
      </c>
      <c r="D623" s="2" t="b" cm="1">
        <f t="array" ref="D623:O623">_xlfn._xlws.FILTER(IF(ancillary!$E$4:$P$8="",FALSE,ancillary!$E$4:$P$8),ancillary!$B$4:$B$8=$C623)</f>
        <v>1</v>
      </c>
      <c r="E623" s="2" t="b">
        <v>1</v>
      </c>
      <c r="F623" s="2" t="b">
        <v>1</v>
      </c>
      <c r="G623" s="2" t="b">
        <v>1</v>
      </c>
      <c r="H623" s="2" t="b">
        <v>1</v>
      </c>
      <c r="I623" s="2" t="b">
        <v>1</v>
      </c>
      <c r="J623" s="2" t="b">
        <v>0</v>
      </c>
      <c r="K623" s="2" t="b">
        <v>0</v>
      </c>
      <c r="L623" s="2" t="b">
        <v>0</v>
      </c>
      <c r="M623" s="2" t="b">
        <v>0</v>
      </c>
      <c r="N623" s="2" t="b">
        <v>0</v>
      </c>
      <c r="O623" s="2" t="b">
        <v>0</v>
      </c>
      <c r="P623" s="68"/>
      <c r="R623" s="69"/>
      <c r="S623" s="68"/>
      <c r="U623" s="69"/>
      <c r="V623" s="68"/>
      <c r="X623" s="69"/>
      <c r="Y623" s="68"/>
      <c r="AA623" s="69"/>
      <c r="AB623" s="33">
        <f t="shared" si="18"/>
        <v>0</v>
      </c>
      <c r="AC623" s="45">
        <f>_xlfn.LET(_xlpm.ps_1,P623:R623, _xlpm.ps_2,S623:U623, _xlpm.ps_3,V623:X623, _xlpm.ps_4,Y623:AA623,
_xlpm.phase, MID(C623,SEARCH("-",C623)+1,256),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(_xlfn.XLOOKUP($C$7,site_assumptions[Details],site_assumptions[Volts])*SUMIFS(P623:AA623,_xlfn.ANCHORARRAY(D623),TRUE)/10*0.95)/1000,
IFERROR(IF(_xlpm.phase="3Phase", _xlpm.p3_calc, _xlpm.sp_calc),0))</f>
        <v>0</v>
      </c>
      <c r="AD623" s="29" t="str">
        <f ca="1"/>
        <v>Bare Metal</v>
      </c>
      <c r="AE623" s="30" t="str">
        <f ca="1"/>
        <v>Bare Metal</v>
      </c>
      <c r="AF623" s="30" t="str">
        <f ca="1"/>
        <v>Live</v>
      </c>
      <c r="AG623" s="30">
        <f ca="1"/>
        <v>6</v>
      </c>
      <c r="AH623" s="31" t="str">
        <f ca="1"/>
        <v>Unknown</v>
      </c>
      <c r="AI623" s="49">
        <f t="shared" ca="1" si="19"/>
        <v>0</v>
      </c>
      <c r="AJ623" s="71">
        <f ca="1"/>
        <v>2.968</v>
      </c>
    </row>
    <row r="624" spans="2:36" x14ac:dyDescent="0.25">
      <c r="B624" s="29" t="str">
        <f ca="1"/>
        <v>dal10.sr01.rk614</v>
      </c>
      <c r="C624" s="10" t="s">
        <v>2070</v>
      </c>
      <c r="D624" s="2" t="b" cm="1">
        <f t="array" ref="D624:O624">_xlfn._xlws.FILTER(IF(ancillary!$E$4:$P$8="",FALSE,ancillary!$E$4:$P$8),ancillary!$B$4:$B$8=$C624)</f>
        <v>1</v>
      </c>
      <c r="E624" s="2" t="b">
        <v>1</v>
      </c>
      <c r="F624" s="2" t="b">
        <v>1</v>
      </c>
      <c r="G624" s="2" t="b">
        <v>1</v>
      </c>
      <c r="H624" s="2" t="b">
        <v>1</v>
      </c>
      <c r="I624" s="2" t="b">
        <v>1</v>
      </c>
      <c r="J624" s="2" t="b">
        <v>0</v>
      </c>
      <c r="K624" s="2" t="b">
        <v>0</v>
      </c>
      <c r="L624" s="2" t="b">
        <v>0</v>
      </c>
      <c r="M624" s="2" t="b">
        <v>0</v>
      </c>
      <c r="N624" s="2" t="b">
        <v>0</v>
      </c>
      <c r="O624" s="2" t="b">
        <v>0</v>
      </c>
      <c r="P624" s="68"/>
      <c r="R624" s="69"/>
      <c r="S624" s="68"/>
      <c r="U624" s="69"/>
      <c r="V624" s="68"/>
      <c r="X624" s="69"/>
      <c r="Y624" s="68"/>
      <c r="AA624" s="69"/>
      <c r="AB624" s="33">
        <f t="shared" si="18"/>
        <v>0</v>
      </c>
      <c r="AC624" s="45">
        <f>_xlfn.LET(_xlpm.ps_1,P624:R624, _xlpm.ps_2,S624:U624, _xlpm.ps_3,V624:X624, _xlpm.ps_4,Y624:AA624,
_xlpm.phase, MID(C624,SEARCH("-",C624)+1,256),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(_xlfn.XLOOKUP($C$7,site_assumptions[Details],site_assumptions[Volts])*SUMIFS(P624:AA624,_xlfn.ANCHORARRAY(D624),TRUE)/10*0.95)/1000,
IFERROR(IF(_xlpm.phase="3Phase", _xlpm.p3_calc, _xlpm.sp_calc),0))</f>
        <v>0</v>
      </c>
      <c r="AD624" s="29" t="str">
        <f ca="1"/>
        <v>Bare Metal</v>
      </c>
      <c r="AE624" s="30" t="str">
        <f ca="1"/>
        <v>Bare Metal</v>
      </c>
      <c r="AF624" s="30" t="str">
        <f ca="1"/>
        <v>Live</v>
      </c>
      <c r="AG624" s="30">
        <f ca="1"/>
        <v>6</v>
      </c>
      <c r="AH624" s="31" t="str">
        <f ca="1"/>
        <v>Unknown</v>
      </c>
      <c r="AI624" s="49">
        <f t="shared" ca="1" si="19"/>
        <v>0</v>
      </c>
      <c r="AJ624" s="71">
        <f ca="1"/>
        <v>3.9180000000000001</v>
      </c>
    </row>
    <row r="625" spans="2:36" x14ac:dyDescent="0.25">
      <c r="B625" s="29" t="str">
        <f ca="1"/>
        <v>dal10.sr01.rk615</v>
      </c>
      <c r="C625" s="10" t="s">
        <v>2070</v>
      </c>
      <c r="D625" s="2" t="b" cm="1">
        <f t="array" ref="D625:O625">_xlfn._xlws.FILTER(IF(ancillary!$E$4:$P$8="",FALSE,ancillary!$E$4:$P$8),ancillary!$B$4:$B$8=$C625)</f>
        <v>1</v>
      </c>
      <c r="E625" s="2" t="b">
        <v>1</v>
      </c>
      <c r="F625" s="2" t="b">
        <v>1</v>
      </c>
      <c r="G625" s="2" t="b">
        <v>1</v>
      </c>
      <c r="H625" s="2" t="b">
        <v>1</v>
      </c>
      <c r="I625" s="2" t="b">
        <v>1</v>
      </c>
      <c r="J625" s="2" t="b">
        <v>0</v>
      </c>
      <c r="K625" s="2" t="b">
        <v>0</v>
      </c>
      <c r="L625" s="2" t="b">
        <v>0</v>
      </c>
      <c r="M625" s="2" t="b">
        <v>0</v>
      </c>
      <c r="N625" s="2" t="b">
        <v>0</v>
      </c>
      <c r="O625" s="2" t="b">
        <v>0</v>
      </c>
      <c r="P625" s="68"/>
      <c r="R625" s="69"/>
      <c r="S625" s="68"/>
      <c r="U625" s="69"/>
      <c r="V625" s="68"/>
      <c r="X625" s="69"/>
      <c r="Y625" s="68"/>
      <c r="AA625" s="69"/>
      <c r="AB625" s="33">
        <f t="shared" si="18"/>
        <v>0</v>
      </c>
      <c r="AC625" s="45">
        <f>_xlfn.LET(_xlpm.ps_1,P625:R625, _xlpm.ps_2,S625:U625, _xlpm.ps_3,V625:X625, _xlpm.ps_4,Y625:AA625,
_xlpm.phase, MID(C625,SEARCH("-",C625)+1,256),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(_xlfn.XLOOKUP($C$7,site_assumptions[Details],site_assumptions[Volts])*SUMIFS(P625:AA625,_xlfn.ANCHORARRAY(D625),TRUE)/10*0.95)/1000,
IFERROR(IF(_xlpm.phase="3Phase", _xlpm.p3_calc, _xlpm.sp_calc),0))</f>
        <v>0</v>
      </c>
      <c r="AD625" s="29" t="str">
        <f ca="1"/>
        <v>Bare Metal</v>
      </c>
      <c r="AE625" s="30" t="str">
        <f ca="1"/>
        <v>Bare Metal</v>
      </c>
      <c r="AF625" s="30" t="str">
        <f ca="1"/>
        <v>Live</v>
      </c>
      <c r="AG625" s="30">
        <f ca="1"/>
        <v>6</v>
      </c>
      <c r="AH625" s="31" t="str">
        <f ca="1"/>
        <v>Unknown</v>
      </c>
      <c r="AI625" s="49">
        <f t="shared" ca="1" si="19"/>
        <v>0</v>
      </c>
      <c r="AJ625" s="71">
        <f ca="1"/>
        <v>3.661</v>
      </c>
    </row>
    <row r="626" spans="2:36" x14ac:dyDescent="0.25">
      <c r="B626" s="29" t="str">
        <f ca="1"/>
        <v>dal10.sr01.rk616</v>
      </c>
      <c r="C626" s="10" t="s">
        <v>2070</v>
      </c>
      <c r="D626" s="2" t="b" cm="1">
        <f t="array" ref="D626:O626">_xlfn._xlws.FILTER(IF(ancillary!$E$4:$P$8="",FALSE,ancillary!$E$4:$P$8),ancillary!$B$4:$B$8=$C626)</f>
        <v>1</v>
      </c>
      <c r="E626" s="2" t="b">
        <v>1</v>
      </c>
      <c r="F626" s="2" t="b">
        <v>1</v>
      </c>
      <c r="G626" s="2" t="b">
        <v>1</v>
      </c>
      <c r="H626" s="2" t="b">
        <v>1</v>
      </c>
      <c r="I626" s="2" t="b">
        <v>1</v>
      </c>
      <c r="J626" s="2" t="b">
        <v>0</v>
      </c>
      <c r="K626" s="2" t="b">
        <v>0</v>
      </c>
      <c r="L626" s="2" t="b">
        <v>0</v>
      </c>
      <c r="M626" s="2" t="b">
        <v>0</v>
      </c>
      <c r="N626" s="2" t="b">
        <v>0</v>
      </c>
      <c r="O626" s="2" t="b">
        <v>0</v>
      </c>
      <c r="P626" s="68"/>
      <c r="R626" s="69"/>
      <c r="S626" s="68"/>
      <c r="U626" s="69"/>
      <c r="V626" s="68"/>
      <c r="X626" s="69"/>
      <c r="Y626" s="68"/>
      <c r="AA626" s="69"/>
      <c r="AB626" s="33">
        <f t="shared" si="18"/>
        <v>0</v>
      </c>
      <c r="AC626" s="45">
        <f>_xlfn.LET(_xlpm.ps_1,P626:R626, _xlpm.ps_2,S626:U626, _xlpm.ps_3,V626:X626, _xlpm.ps_4,Y626:AA626,
_xlpm.phase, MID(C626,SEARCH("-",C626)+1,256),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(_xlfn.XLOOKUP($C$7,site_assumptions[Details],site_assumptions[Volts])*SUMIFS(P626:AA626,_xlfn.ANCHORARRAY(D626),TRUE)/10*0.95)/1000,
IFERROR(IF(_xlpm.phase="3Phase", _xlpm.p3_calc, _xlpm.sp_calc),0))</f>
        <v>0</v>
      </c>
      <c r="AD626" s="29" t="str">
        <f ca="1"/>
        <v>Bare Metal</v>
      </c>
      <c r="AE626" s="30" t="str">
        <f ca="1"/>
        <v>Bare Metal</v>
      </c>
      <c r="AF626" s="30" t="str">
        <f ca="1"/>
        <v>Live</v>
      </c>
      <c r="AG626" s="30">
        <f ca="1"/>
        <v>6</v>
      </c>
      <c r="AH626" s="31" t="str">
        <f ca="1"/>
        <v>Unknown</v>
      </c>
      <c r="AI626" s="49">
        <f t="shared" ca="1" si="19"/>
        <v>0</v>
      </c>
      <c r="AJ626" s="71">
        <f ca="1"/>
        <v>3.516</v>
      </c>
    </row>
    <row r="627" spans="2:36" x14ac:dyDescent="0.25">
      <c r="B627" s="29" t="str">
        <f ca="1"/>
        <v>dal10.sr01.rk999</v>
      </c>
      <c r="C627" s="10" t="s">
        <v>2070</v>
      </c>
      <c r="D627" s="2" t="b" cm="1">
        <f t="array" ref="D627:O627">_xlfn._xlws.FILTER(IF(ancillary!$E$4:$P$8="",FALSE,ancillary!$E$4:$P$8),ancillary!$B$4:$B$8=$C627)</f>
        <v>1</v>
      </c>
      <c r="E627" s="2" t="b">
        <v>1</v>
      </c>
      <c r="F627" s="2" t="b">
        <v>1</v>
      </c>
      <c r="G627" s="2" t="b">
        <v>1</v>
      </c>
      <c r="H627" s="2" t="b">
        <v>1</v>
      </c>
      <c r="I627" s="2" t="b">
        <v>1</v>
      </c>
      <c r="J627" s="2" t="b">
        <v>0</v>
      </c>
      <c r="K627" s="2" t="b">
        <v>0</v>
      </c>
      <c r="L627" s="2" t="b">
        <v>0</v>
      </c>
      <c r="M627" s="2" t="b">
        <v>0</v>
      </c>
      <c r="N627" s="2" t="b">
        <v>0</v>
      </c>
      <c r="O627" s="2" t="b">
        <v>0</v>
      </c>
      <c r="P627" s="68"/>
      <c r="R627" s="69"/>
      <c r="S627" s="68"/>
      <c r="U627" s="69"/>
      <c r="V627" s="68"/>
      <c r="X627" s="69"/>
      <c r="Y627" s="68"/>
      <c r="AA627" s="69"/>
      <c r="AB627" s="33">
        <f t="shared" si="18"/>
        <v>0</v>
      </c>
      <c r="AC627" s="45">
        <f>_xlfn.LET(_xlpm.ps_1,P627:R627, _xlpm.ps_2,S627:U627, _xlpm.ps_3,V627:X627, _xlpm.ps_4,Y627:AA627,
_xlpm.phase, MID(C627,SEARCH("-",C627)+1,256),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(_xlfn.XLOOKUP($C$7,site_assumptions[Details],site_assumptions[Volts])*SUMIFS(P627:AA627,_xlfn.ANCHORARRAY(D627),TRUE)/10*0.95)/1000,
IFERROR(IF(_xlpm.phase="3Phase", _xlpm.p3_calc, _xlpm.sp_calc),0))</f>
        <v>0</v>
      </c>
      <c r="AD627" s="29" t="str">
        <f ca="1"/>
        <v>Network</v>
      </c>
      <c r="AE627" s="30" t="str">
        <f ca="1"/>
        <v>Fiber</v>
      </c>
      <c r="AF627" s="30" t="str">
        <f ca="1"/>
        <v>Live</v>
      </c>
      <c r="AG627" s="30">
        <f ca="1"/>
        <v>0</v>
      </c>
      <c r="AH627" s="31" t="str">
        <f ca="1"/>
        <v>Unknown</v>
      </c>
      <c r="AI627" s="49">
        <f t="shared" ca="1" si="19"/>
        <v>0</v>
      </c>
      <c r="AJ627" s="71">
        <f ca="1"/>
        <v>0</v>
      </c>
    </row>
    <row r="628" spans="2:36" x14ac:dyDescent="0.25">
      <c r="B628" s="29"/>
      <c r="C628" s="10" t="s">
        <v>2070</v>
      </c>
      <c r="D628" s="2" t="b" cm="1">
        <f t="array" ref="D628:O628">_xlfn._xlws.FILTER(IF(ancillary!$E$4:$P$8="",FALSE,ancillary!$E$4:$P$8),ancillary!$B$4:$B$8=$C628)</f>
        <v>1</v>
      </c>
      <c r="E628" s="2" t="b">
        <v>1</v>
      </c>
      <c r="F628" s="2" t="b">
        <v>1</v>
      </c>
      <c r="G628" s="2" t="b">
        <v>1</v>
      </c>
      <c r="H628" s="2" t="b">
        <v>1</v>
      </c>
      <c r="I628" s="2" t="b">
        <v>1</v>
      </c>
      <c r="J628" s="2" t="b">
        <v>0</v>
      </c>
      <c r="K628" s="2" t="b">
        <v>0</v>
      </c>
      <c r="L628" s="2" t="b">
        <v>0</v>
      </c>
      <c r="M628" s="2" t="b">
        <v>0</v>
      </c>
      <c r="N628" s="2" t="b">
        <v>0</v>
      </c>
      <c r="O628" s="2" t="b">
        <v>0</v>
      </c>
      <c r="P628" s="68"/>
      <c r="R628" s="69"/>
      <c r="S628" s="68"/>
      <c r="U628" s="69"/>
      <c r="V628" s="68"/>
      <c r="X628" s="69"/>
      <c r="Y628" s="68"/>
      <c r="AA628" s="69"/>
      <c r="AB628" s="33">
        <f t="shared" si="18"/>
        <v>0</v>
      </c>
      <c r="AC628" s="45">
        <f>_xlfn.LET(_xlpm.ps_1,P628:R628, _xlpm.ps_2,S628:U628, _xlpm.ps_3,V628:X628, _xlpm.ps_4,Y628:AA628,
_xlpm.phase, MID(C628,SEARCH("-",C628)+1,256),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(_xlfn.XLOOKUP($C$7,site_assumptions[Details],site_assumptions[Volts])*SUMIFS(P628:AA628,_xlfn.ANCHORARRAY(D628),TRUE)/10*0.95)/1000,
IFERROR(IF(_xlpm.phase="3Phase", _xlpm.p3_calc, _xlpm.sp_calc),0))</f>
        <v>0</v>
      </c>
      <c r="AD628" s="29"/>
      <c r="AE628" s="30"/>
      <c r="AF628" s="30"/>
      <c r="AG628" s="30"/>
      <c r="AH628" s="31"/>
      <c r="AI628" s="49">
        <f t="shared" ref="AI628:AI691" si="20">IFERROR(AC628/AG628,0)</f>
        <v>0</v>
      </c>
      <c r="AJ628" s="71"/>
    </row>
    <row r="629" spans="2:36" x14ac:dyDescent="0.25">
      <c r="B629" s="29"/>
      <c r="C629" s="10" t="s">
        <v>2070</v>
      </c>
      <c r="D629" s="2" t="b" cm="1">
        <f t="array" ref="D629:O629">_xlfn._xlws.FILTER(IF(ancillary!$E$4:$P$8="",FALSE,ancillary!$E$4:$P$8),ancillary!$B$4:$B$8=$C629)</f>
        <v>1</v>
      </c>
      <c r="E629" s="2" t="b">
        <v>1</v>
      </c>
      <c r="F629" s="2" t="b">
        <v>1</v>
      </c>
      <c r="G629" s="2" t="b">
        <v>1</v>
      </c>
      <c r="H629" s="2" t="b">
        <v>1</v>
      </c>
      <c r="I629" s="2" t="b">
        <v>1</v>
      </c>
      <c r="J629" s="2" t="b">
        <v>0</v>
      </c>
      <c r="K629" s="2" t="b">
        <v>0</v>
      </c>
      <c r="L629" s="2" t="b">
        <v>0</v>
      </c>
      <c r="M629" s="2" t="b">
        <v>0</v>
      </c>
      <c r="N629" s="2" t="b">
        <v>0</v>
      </c>
      <c r="O629" s="2" t="b">
        <v>0</v>
      </c>
      <c r="P629" s="68"/>
      <c r="R629" s="69"/>
      <c r="S629" s="68"/>
      <c r="U629" s="69"/>
      <c r="V629" s="68"/>
      <c r="X629" s="69"/>
      <c r="Y629" s="68"/>
      <c r="AA629" s="69"/>
      <c r="AB629" s="33">
        <f t="shared" si="18"/>
        <v>0</v>
      </c>
      <c r="AC629" s="45">
        <f>_xlfn.LET(_xlpm.ps_1,P629:R629, _xlpm.ps_2,S629:U629, _xlpm.ps_3,V629:X629, _xlpm.ps_4,Y629:AA629,
_xlpm.phase, MID(C629,SEARCH("-",C629)+1,256),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(_xlfn.XLOOKUP($C$7,site_assumptions[Details],site_assumptions[Volts])*SUMIFS(P629:AA629,_xlfn.ANCHORARRAY(D629),TRUE)/10*0.95)/1000,
IFERROR(IF(_xlpm.phase="3Phase", _xlpm.p3_calc, _xlpm.sp_calc),0))</f>
        <v>0</v>
      </c>
      <c r="AD629" s="29"/>
      <c r="AE629" s="30"/>
      <c r="AF629" s="30"/>
      <c r="AG629" s="30"/>
      <c r="AH629" s="31"/>
      <c r="AI629" s="49">
        <f t="shared" si="20"/>
        <v>0</v>
      </c>
      <c r="AJ629" s="71"/>
    </row>
    <row r="630" spans="2:36" x14ac:dyDescent="0.25">
      <c r="B630" s="29"/>
      <c r="C630" s="10" t="s">
        <v>2070</v>
      </c>
      <c r="D630" s="2" t="b" cm="1">
        <f t="array" ref="D630:O630">_xlfn._xlws.FILTER(IF(ancillary!$E$4:$P$8="",FALSE,ancillary!$E$4:$P$8),ancillary!$B$4:$B$8=$C630)</f>
        <v>1</v>
      </c>
      <c r="E630" s="2" t="b">
        <v>1</v>
      </c>
      <c r="F630" s="2" t="b">
        <v>1</v>
      </c>
      <c r="G630" s="2" t="b">
        <v>1</v>
      </c>
      <c r="H630" s="2" t="b">
        <v>1</v>
      </c>
      <c r="I630" s="2" t="b">
        <v>1</v>
      </c>
      <c r="J630" s="2" t="b">
        <v>0</v>
      </c>
      <c r="K630" s="2" t="b">
        <v>0</v>
      </c>
      <c r="L630" s="2" t="b">
        <v>0</v>
      </c>
      <c r="M630" s="2" t="b">
        <v>0</v>
      </c>
      <c r="N630" s="2" t="b">
        <v>0</v>
      </c>
      <c r="O630" s="2" t="b">
        <v>0</v>
      </c>
      <c r="P630" s="68"/>
      <c r="R630" s="69"/>
      <c r="S630" s="68"/>
      <c r="U630" s="69"/>
      <c r="V630" s="68"/>
      <c r="X630" s="69"/>
      <c r="Y630" s="68"/>
      <c r="AA630" s="69"/>
      <c r="AB630" s="33">
        <f t="shared" si="18"/>
        <v>0</v>
      </c>
      <c r="AC630" s="45">
        <f>_xlfn.LET(_xlpm.ps_1,P630:R630, _xlpm.ps_2,S630:U630, _xlpm.ps_3,V630:X630, _xlpm.ps_4,Y630:AA630,
_xlpm.phase, MID(C630,SEARCH("-",C630)+1,256),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(_xlfn.XLOOKUP($C$7,site_assumptions[Details],site_assumptions[Volts])*SUMIFS(P630:AA630,_xlfn.ANCHORARRAY(D630),TRUE)/10*0.95)/1000,
IFERROR(IF(_xlpm.phase="3Phase", _xlpm.p3_calc, _xlpm.sp_calc),0))</f>
        <v>0</v>
      </c>
      <c r="AD630" s="29"/>
      <c r="AE630" s="30"/>
      <c r="AF630" s="30"/>
      <c r="AG630" s="30"/>
      <c r="AH630" s="31"/>
      <c r="AI630" s="49">
        <f t="shared" si="20"/>
        <v>0</v>
      </c>
      <c r="AJ630" s="71"/>
    </row>
    <row r="631" spans="2:36" x14ac:dyDescent="0.25">
      <c r="B631" s="29"/>
      <c r="C631" s="10" t="s">
        <v>2070</v>
      </c>
      <c r="D631" s="2" t="b" cm="1">
        <f t="array" ref="D631:O631">_xlfn._xlws.FILTER(IF(ancillary!$E$4:$P$8="",FALSE,ancillary!$E$4:$P$8),ancillary!$B$4:$B$8=$C631)</f>
        <v>1</v>
      </c>
      <c r="E631" s="2" t="b">
        <v>1</v>
      </c>
      <c r="F631" s="2" t="b">
        <v>1</v>
      </c>
      <c r="G631" s="2" t="b">
        <v>1</v>
      </c>
      <c r="H631" s="2" t="b">
        <v>1</v>
      </c>
      <c r="I631" s="2" t="b">
        <v>1</v>
      </c>
      <c r="J631" s="2" t="b">
        <v>0</v>
      </c>
      <c r="K631" s="2" t="b">
        <v>0</v>
      </c>
      <c r="L631" s="2" t="b">
        <v>0</v>
      </c>
      <c r="M631" s="2" t="b">
        <v>0</v>
      </c>
      <c r="N631" s="2" t="b">
        <v>0</v>
      </c>
      <c r="O631" s="2" t="b">
        <v>0</v>
      </c>
      <c r="P631" s="68"/>
      <c r="R631" s="69"/>
      <c r="S631" s="68"/>
      <c r="U631" s="69"/>
      <c r="V631" s="68"/>
      <c r="X631" s="69"/>
      <c r="Y631" s="68"/>
      <c r="AA631" s="69"/>
      <c r="AB631" s="33">
        <f t="shared" si="18"/>
        <v>0</v>
      </c>
      <c r="AC631" s="45">
        <f>_xlfn.LET(_xlpm.ps_1,P631:R631, _xlpm.ps_2,S631:U631, _xlpm.ps_3,V631:X631, _xlpm.ps_4,Y631:AA631,
_xlpm.phase, MID(C631,SEARCH("-",C631)+1,256),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(_xlfn.XLOOKUP($C$7,site_assumptions[Details],site_assumptions[Volts])*SUMIFS(P631:AA631,_xlfn.ANCHORARRAY(D631),TRUE)/10*0.95)/1000,
IFERROR(IF(_xlpm.phase="3Phase", _xlpm.p3_calc, _xlpm.sp_calc),0))</f>
        <v>0</v>
      </c>
      <c r="AD631" s="29"/>
      <c r="AE631" s="30"/>
      <c r="AF631" s="30"/>
      <c r="AG631" s="30"/>
      <c r="AH631" s="31"/>
      <c r="AI631" s="49">
        <f t="shared" si="20"/>
        <v>0</v>
      </c>
      <c r="AJ631" s="71"/>
    </row>
    <row r="632" spans="2:36" x14ac:dyDescent="0.25">
      <c r="B632" s="29"/>
      <c r="C632" s="10" t="s">
        <v>2070</v>
      </c>
      <c r="D632" s="2" t="b" cm="1">
        <f t="array" ref="D632:O632">_xlfn._xlws.FILTER(IF(ancillary!$E$4:$P$8="",FALSE,ancillary!$E$4:$P$8),ancillary!$B$4:$B$8=$C632)</f>
        <v>1</v>
      </c>
      <c r="E632" s="2" t="b">
        <v>1</v>
      </c>
      <c r="F632" s="2" t="b">
        <v>1</v>
      </c>
      <c r="G632" s="2" t="b">
        <v>1</v>
      </c>
      <c r="H632" s="2" t="b">
        <v>1</v>
      </c>
      <c r="I632" s="2" t="b">
        <v>1</v>
      </c>
      <c r="J632" s="2" t="b">
        <v>0</v>
      </c>
      <c r="K632" s="2" t="b">
        <v>0</v>
      </c>
      <c r="L632" s="2" t="b">
        <v>0</v>
      </c>
      <c r="M632" s="2" t="b">
        <v>0</v>
      </c>
      <c r="N632" s="2" t="b">
        <v>0</v>
      </c>
      <c r="O632" s="2" t="b">
        <v>0</v>
      </c>
      <c r="P632" s="68"/>
      <c r="R632" s="69"/>
      <c r="S632" s="68"/>
      <c r="U632" s="69"/>
      <c r="V632" s="68"/>
      <c r="X632" s="69"/>
      <c r="Y632" s="68"/>
      <c r="AA632" s="69"/>
      <c r="AB632" s="33">
        <f t="shared" si="18"/>
        <v>0</v>
      </c>
      <c r="AC632" s="45">
        <f>_xlfn.LET(_xlpm.ps_1,P632:R632, _xlpm.ps_2,S632:U632, _xlpm.ps_3,V632:X632, _xlpm.ps_4,Y632:AA632,
_xlpm.phase, MID(C632,SEARCH("-",C632)+1,256),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(_xlfn.XLOOKUP($C$7,site_assumptions[Details],site_assumptions[Volts])*SUMIFS(P632:AA632,_xlfn.ANCHORARRAY(D632),TRUE)/10*0.95)/1000,
IFERROR(IF(_xlpm.phase="3Phase", _xlpm.p3_calc, _xlpm.sp_calc),0))</f>
        <v>0</v>
      </c>
      <c r="AD632" s="29"/>
      <c r="AE632" s="30"/>
      <c r="AF632" s="30"/>
      <c r="AG632" s="30"/>
      <c r="AH632" s="31"/>
      <c r="AI632" s="49">
        <f t="shared" si="20"/>
        <v>0</v>
      </c>
      <c r="AJ632" s="71"/>
    </row>
    <row r="633" spans="2:36" x14ac:dyDescent="0.25">
      <c r="B633" s="29"/>
      <c r="C633" s="10" t="s">
        <v>2070</v>
      </c>
      <c r="D633" s="2" t="b" cm="1">
        <f t="array" ref="D633:O633">_xlfn._xlws.FILTER(IF(ancillary!$E$4:$P$8="",FALSE,ancillary!$E$4:$P$8),ancillary!$B$4:$B$8=$C633)</f>
        <v>1</v>
      </c>
      <c r="E633" s="2" t="b">
        <v>1</v>
      </c>
      <c r="F633" s="2" t="b">
        <v>1</v>
      </c>
      <c r="G633" s="2" t="b">
        <v>1</v>
      </c>
      <c r="H633" s="2" t="b">
        <v>1</v>
      </c>
      <c r="I633" s="2" t="b">
        <v>1</v>
      </c>
      <c r="J633" s="2" t="b">
        <v>0</v>
      </c>
      <c r="K633" s="2" t="b">
        <v>0</v>
      </c>
      <c r="L633" s="2" t="b">
        <v>0</v>
      </c>
      <c r="M633" s="2" t="b">
        <v>0</v>
      </c>
      <c r="N633" s="2" t="b">
        <v>0</v>
      </c>
      <c r="O633" s="2" t="b">
        <v>0</v>
      </c>
      <c r="P633" s="68"/>
      <c r="R633" s="69"/>
      <c r="S633" s="68"/>
      <c r="U633" s="69"/>
      <c r="V633" s="68"/>
      <c r="X633" s="69"/>
      <c r="Y633" s="68"/>
      <c r="AA633" s="69"/>
      <c r="AB633" s="33">
        <f t="shared" si="18"/>
        <v>0</v>
      </c>
      <c r="AC633" s="45">
        <f>_xlfn.LET(_xlpm.ps_1,P633:R633, _xlpm.ps_2,S633:U633, _xlpm.ps_3,V633:X633, _xlpm.ps_4,Y633:AA633,
_xlpm.phase, MID(C633,SEARCH("-",C633)+1,256),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(_xlfn.XLOOKUP($C$7,site_assumptions[Details],site_assumptions[Volts])*SUMIFS(P633:AA633,_xlfn.ANCHORARRAY(D633),TRUE)/10*0.95)/1000,
IFERROR(IF(_xlpm.phase="3Phase", _xlpm.p3_calc, _xlpm.sp_calc),0))</f>
        <v>0</v>
      </c>
      <c r="AD633" s="29"/>
      <c r="AE633" s="30"/>
      <c r="AF633" s="30"/>
      <c r="AG633" s="30"/>
      <c r="AH633" s="31"/>
      <c r="AI633" s="49">
        <f t="shared" si="20"/>
        <v>0</v>
      </c>
      <c r="AJ633" s="71"/>
    </row>
    <row r="634" spans="2:36" x14ac:dyDescent="0.25">
      <c r="B634" s="29"/>
      <c r="C634" s="10" t="s">
        <v>2070</v>
      </c>
      <c r="D634" s="2" t="b" cm="1">
        <f t="array" ref="D634:O634">_xlfn._xlws.FILTER(IF(ancillary!$E$4:$P$8="",FALSE,ancillary!$E$4:$P$8),ancillary!$B$4:$B$8=$C634)</f>
        <v>1</v>
      </c>
      <c r="E634" s="2" t="b">
        <v>1</v>
      </c>
      <c r="F634" s="2" t="b">
        <v>1</v>
      </c>
      <c r="G634" s="2" t="b">
        <v>1</v>
      </c>
      <c r="H634" s="2" t="b">
        <v>1</v>
      </c>
      <c r="I634" s="2" t="b">
        <v>1</v>
      </c>
      <c r="J634" s="2" t="b">
        <v>0</v>
      </c>
      <c r="K634" s="2" t="b">
        <v>0</v>
      </c>
      <c r="L634" s="2" t="b">
        <v>0</v>
      </c>
      <c r="M634" s="2" t="b">
        <v>0</v>
      </c>
      <c r="N634" s="2" t="b">
        <v>0</v>
      </c>
      <c r="O634" s="2" t="b">
        <v>0</v>
      </c>
      <c r="P634" s="68"/>
      <c r="R634" s="69"/>
      <c r="S634" s="68"/>
      <c r="U634" s="69"/>
      <c r="V634" s="68"/>
      <c r="X634" s="69"/>
      <c r="Y634" s="68"/>
      <c r="AA634" s="69"/>
      <c r="AB634" s="33">
        <f t="shared" si="18"/>
        <v>0</v>
      </c>
      <c r="AC634" s="45">
        <f>_xlfn.LET(_xlpm.ps_1,P634:R634, _xlpm.ps_2,S634:U634, _xlpm.ps_3,V634:X634, _xlpm.ps_4,Y634:AA634,
_xlpm.phase, MID(C634,SEARCH("-",C634)+1,256),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(_xlfn.XLOOKUP($C$7,site_assumptions[Details],site_assumptions[Volts])*SUMIFS(P634:AA634,_xlfn.ANCHORARRAY(D634),TRUE)/10*0.95)/1000,
IFERROR(IF(_xlpm.phase="3Phase", _xlpm.p3_calc, _xlpm.sp_calc),0))</f>
        <v>0</v>
      </c>
      <c r="AD634" s="29"/>
      <c r="AE634" s="30"/>
      <c r="AF634" s="30"/>
      <c r="AG634" s="30"/>
      <c r="AH634" s="31"/>
      <c r="AI634" s="49">
        <f t="shared" si="20"/>
        <v>0</v>
      </c>
      <c r="AJ634" s="71"/>
    </row>
    <row r="635" spans="2:36" x14ac:dyDescent="0.25">
      <c r="B635" s="29"/>
      <c r="C635" s="10" t="s">
        <v>2070</v>
      </c>
      <c r="D635" s="2" t="b" cm="1">
        <f t="array" ref="D635:O635">_xlfn._xlws.FILTER(IF(ancillary!$E$4:$P$8="",FALSE,ancillary!$E$4:$P$8),ancillary!$B$4:$B$8=$C635)</f>
        <v>1</v>
      </c>
      <c r="E635" s="2" t="b">
        <v>1</v>
      </c>
      <c r="F635" s="2" t="b">
        <v>1</v>
      </c>
      <c r="G635" s="2" t="b">
        <v>1</v>
      </c>
      <c r="H635" s="2" t="b">
        <v>1</v>
      </c>
      <c r="I635" s="2" t="b">
        <v>1</v>
      </c>
      <c r="J635" s="2" t="b">
        <v>0</v>
      </c>
      <c r="K635" s="2" t="b">
        <v>0</v>
      </c>
      <c r="L635" s="2" t="b">
        <v>0</v>
      </c>
      <c r="M635" s="2" t="b">
        <v>0</v>
      </c>
      <c r="N635" s="2" t="b">
        <v>0</v>
      </c>
      <c r="O635" s="2" t="b">
        <v>0</v>
      </c>
      <c r="P635" s="68"/>
      <c r="R635" s="69"/>
      <c r="S635" s="68"/>
      <c r="U635" s="69"/>
      <c r="V635" s="68"/>
      <c r="X635" s="69"/>
      <c r="Y635" s="68"/>
      <c r="AA635" s="69"/>
      <c r="AB635" s="33">
        <f t="shared" si="18"/>
        <v>0</v>
      </c>
      <c r="AC635" s="45">
        <f>_xlfn.LET(_xlpm.ps_1,P635:R635, _xlpm.ps_2,S635:U635, _xlpm.ps_3,V635:X635, _xlpm.ps_4,Y635:AA635,
_xlpm.phase, MID(C635,SEARCH("-",C635)+1,256),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(_xlfn.XLOOKUP($C$7,site_assumptions[Details],site_assumptions[Volts])*SUMIFS(P635:AA635,_xlfn.ANCHORARRAY(D635),TRUE)/10*0.95)/1000,
IFERROR(IF(_xlpm.phase="3Phase", _xlpm.p3_calc, _xlpm.sp_calc),0))</f>
        <v>0</v>
      </c>
      <c r="AD635" s="29"/>
      <c r="AE635" s="30"/>
      <c r="AF635" s="30"/>
      <c r="AG635" s="30"/>
      <c r="AH635" s="31"/>
      <c r="AI635" s="49">
        <f t="shared" si="20"/>
        <v>0</v>
      </c>
      <c r="AJ635" s="71"/>
    </row>
    <row r="636" spans="2:36" x14ac:dyDescent="0.25">
      <c r="B636" s="29"/>
      <c r="C636" s="10" t="s">
        <v>2070</v>
      </c>
      <c r="D636" s="2" t="b" cm="1">
        <f t="array" ref="D636:O636">_xlfn._xlws.FILTER(IF(ancillary!$E$4:$P$8="",FALSE,ancillary!$E$4:$P$8),ancillary!$B$4:$B$8=$C636)</f>
        <v>1</v>
      </c>
      <c r="E636" s="2" t="b">
        <v>1</v>
      </c>
      <c r="F636" s="2" t="b">
        <v>1</v>
      </c>
      <c r="G636" s="2" t="b">
        <v>1</v>
      </c>
      <c r="H636" s="2" t="b">
        <v>1</v>
      </c>
      <c r="I636" s="2" t="b">
        <v>1</v>
      </c>
      <c r="J636" s="2" t="b">
        <v>0</v>
      </c>
      <c r="K636" s="2" t="b">
        <v>0</v>
      </c>
      <c r="L636" s="2" t="b">
        <v>0</v>
      </c>
      <c r="M636" s="2" t="b">
        <v>0</v>
      </c>
      <c r="N636" s="2" t="b">
        <v>0</v>
      </c>
      <c r="O636" s="2" t="b">
        <v>0</v>
      </c>
      <c r="P636" s="68"/>
      <c r="R636" s="69"/>
      <c r="S636" s="68"/>
      <c r="U636" s="69"/>
      <c r="V636" s="68"/>
      <c r="X636" s="69"/>
      <c r="Y636" s="68"/>
      <c r="AA636" s="69"/>
      <c r="AB636" s="33">
        <f t="shared" si="18"/>
        <v>0</v>
      </c>
      <c r="AC636" s="45">
        <f>_xlfn.LET(_xlpm.ps_1,P636:R636, _xlpm.ps_2,S636:U636, _xlpm.ps_3,V636:X636, _xlpm.ps_4,Y636:AA636,
_xlpm.phase, MID(C636,SEARCH("-",C636)+1,256),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(_xlfn.XLOOKUP($C$7,site_assumptions[Details],site_assumptions[Volts])*SUMIFS(P636:AA636,_xlfn.ANCHORARRAY(D636),TRUE)/10*0.95)/1000,
IFERROR(IF(_xlpm.phase="3Phase", _xlpm.p3_calc, _xlpm.sp_calc),0))</f>
        <v>0</v>
      </c>
      <c r="AD636" s="29"/>
      <c r="AE636" s="30"/>
      <c r="AF636" s="30"/>
      <c r="AG636" s="30"/>
      <c r="AH636" s="31"/>
      <c r="AI636" s="49">
        <f t="shared" si="20"/>
        <v>0</v>
      </c>
      <c r="AJ636" s="71"/>
    </row>
    <row r="637" spans="2:36" x14ac:dyDescent="0.25">
      <c r="B637" s="29"/>
      <c r="C637" s="10" t="s">
        <v>2070</v>
      </c>
      <c r="D637" s="2" t="b" cm="1">
        <f t="array" ref="D637:O637">_xlfn._xlws.FILTER(IF(ancillary!$E$4:$P$8="",FALSE,ancillary!$E$4:$P$8),ancillary!$B$4:$B$8=$C637)</f>
        <v>1</v>
      </c>
      <c r="E637" s="2" t="b">
        <v>1</v>
      </c>
      <c r="F637" s="2" t="b">
        <v>1</v>
      </c>
      <c r="G637" s="2" t="b">
        <v>1</v>
      </c>
      <c r="H637" s="2" t="b">
        <v>1</v>
      </c>
      <c r="I637" s="2" t="b">
        <v>1</v>
      </c>
      <c r="J637" s="2" t="b">
        <v>0</v>
      </c>
      <c r="K637" s="2" t="b">
        <v>0</v>
      </c>
      <c r="L637" s="2" t="b">
        <v>0</v>
      </c>
      <c r="M637" s="2" t="b">
        <v>0</v>
      </c>
      <c r="N637" s="2" t="b">
        <v>0</v>
      </c>
      <c r="O637" s="2" t="b">
        <v>0</v>
      </c>
      <c r="P637" s="68"/>
      <c r="R637" s="69"/>
      <c r="S637" s="68"/>
      <c r="U637" s="69"/>
      <c r="V637" s="68"/>
      <c r="X637" s="69"/>
      <c r="Y637" s="68"/>
      <c r="AA637" s="69"/>
      <c r="AB637" s="33">
        <f t="shared" si="18"/>
        <v>0</v>
      </c>
      <c r="AC637" s="45">
        <f>_xlfn.LET(_xlpm.ps_1,P637:R637, _xlpm.ps_2,S637:U637, _xlpm.ps_3,V637:X637, _xlpm.ps_4,Y637:AA637,
_xlpm.phase, MID(C637,SEARCH("-",C637)+1,256),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(_xlfn.XLOOKUP($C$7,site_assumptions[Details],site_assumptions[Volts])*SUMIFS(P637:AA637,_xlfn.ANCHORARRAY(D637),TRUE)/10*0.95)/1000,
IFERROR(IF(_xlpm.phase="3Phase", _xlpm.p3_calc, _xlpm.sp_calc),0))</f>
        <v>0</v>
      </c>
      <c r="AD637" s="29"/>
      <c r="AE637" s="30"/>
      <c r="AF637" s="30"/>
      <c r="AG637" s="30"/>
      <c r="AH637" s="31"/>
      <c r="AI637" s="49">
        <f t="shared" si="20"/>
        <v>0</v>
      </c>
      <c r="AJ637" s="71"/>
    </row>
    <row r="638" spans="2:36" x14ac:dyDescent="0.25">
      <c r="B638" s="29"/>
      <c r="C638" s="10" t="s">
        <v>2070</v>
      </c>
      <c r="D638" s="2" t="b" cm="1">
        <f t="array" ref="D638:O638">_xlfn._xlws.FILTER(IF(ancillary!$E$4:$P$8="",FALSE,ancillary!$E$4:$P$8),ancillary!$B$4:$B$8=$C638)</f>
        <v>1</v>
      </c>
      <c r="E638" s="2" t="b">
        <v>1</v>
      </c>
      <c r="F638" s="2" t="b">
        <v>1</v>
      </c>
      <c r="G638" s="2" t="b">
        <v>1</v>
      </c>
      <c r="H638" s="2" t="b">
        <v>1</v>
      </c>
      <c r="I638" s="2" t="b">
        <v>1</v>
      </c>
      <c r="J638" s="2" t="b">
        <v>0</v>
      </c>
      <c r="K638" s="2" t="b">
        <v>0</v>
      </c>
      <c r="L638" s="2" t="b">
        <v>0</v>
      </c>
      <c r="M638" s="2" t="b">
        <v>0</v>
      </c>
      <c r="N638" s="2" t="b">
        <v>0</v>
      </c>
      <c r="O638" s="2" t="b">
        <v>0</v>
      </c>
      <c r="P638" s="68"/>
      <c r="R638" s="69"/>
      <c r="S638" s="68"/>
      <c r="U638" s="69"/>
      <c r="V638" s="68"/>
      <c r="X638" s="69"/>
      <c r="Y638" s="68"/>
      <c r="AA638" s="69"/>
      <c r="AB638" s="33">
        <f t="shared" si="18"/>
        <v>0</v>
      </c>
      <c r="AC638" s="45">
        <f>_xlfn.LET(_xlpm.ps_1,P638:R638, _xlpm.ps_2,S638:U638, _xlpm.ps_3,V638:X638, _xlpm.ps_4,Y638:AA638,
_xlpm.phase, MID(C638,SEARCH("-",C638)+1,256),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(_xlfn.XLOOKUP($C$7,site_assumptions[Details],site_assumptions[Volts])*SUMIFS(P638:AA638,_xlfn.ANCHORARRAY(D638),TRUE)/10*0.95)/1000,
IFERROR(IF(_xlpm.phase="3Phase", _xlpm.p3_calc, _xlpm.sp_calc),0))</f>
        <v>0</v>
      </c>
      <c r="AD638" s="29"/>
      <c r="AE638" s="30"/>
      <c r="AF638" s="30"/>
      <c r="AG638" s="30"/>
      <c r="AH638" s="31"/>
      <c r="AI638" s="49">
        <f t="shared" si="20"/>
        <v>0</v>
      </c>
      <c r="AJ638" s="71"/>
    </row>
    <row r="639" spans="2:36" x14ac:dyDescent="0.25">
      <c r="B639" s="29"/>
      <c r="C639" s="10" t="s">
        <v>2070</v>
      </c>
      <c r="D639" s="2" t="b" cm="1">
        <f t="array" ref="D639:O639">_xlfn._xlws.FILTER(IF(ancillary!$E$4:$P$8="",FALSE,ancillary!$E$4:$P$8),ancillary!$B$4:$B$8=$C639)</f>
        <v>1</v>
      </c>
      <c r="E639" s="2" t="b">
        <v>1</v>
      </c>
      <c r="F639" s="2" t="b">
        <v>1</v>
      </c>
      <c r="G639" s="2" t="b">
        <v>1</v>
      </c>
      <c r="H639" s="2" t="b">
        <v>1</v>
      </c>
      <c r="I639" s="2" t="b">
        <v>1</v>
      </c>
      <c r="J639" s="2" t="b">
        <v>0</v>
      </c>
      <c r="K639" s="2" t="b">
        <v>0</v>
      </c>
      <c r="L639" s="2" t="b">
        <v>0</v>
      </c>
      <c r="M639" s="2" t="b">
        <v>0</v>
      </c>
      <c r="N639" s="2" t="b">
        <v>0</v>
      </c>
      <c r="O639" s="2" t="b">
        <v>0</v>
      </c>
      <c r="P639" s="68"/>
      <c r="R639" s="69"/>
      <c r="S639" s="68"/>
      <c r="U639" s="69"/>
      <c r="V639" s="68"/>
      <c r="X639" s="69"/>
      <c r="Y639" s="68"/>
      <c r="AA639" s="69"/>
      <c r="AB639" s="33">
        <f t="shared" si="18"/>
        <v>0</v>
      </c>
      <c r="AC639" s="45">
        <f>_xlfn.LET(_xlpm.ps_1,P639:R639, _xlpm.ps_2,S639:U639, _xlpm.ps_3,V639:X639, _xlpm.ps_4,Y639:AA639,
_xlpm.phase, MID(C639,SEARCH("-",C639)+1,256),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(_xlfn.XLOOKUP($C$7,site_assumptions[Details],site_assumptions[Volts])*SUMIFS(P639:AA639,_xlfn.ANCHORARRAY(D639),TRUE)/10*0.95)/1000,
IFERROR(IF(_xlpm.phase="3Phase", _xlpm.p3_calc, _xlpm.sp_calc),0))</f>
        <v>0</v>
      </c>
      <c r="AD639" s="29"/>
      <c r="AE639" s="30"/>
      <c r="AF639" s="30"/>
      <c r="AG639" s="30"/>
      <c r="AH639" s="31"/>
      <c r="AI639" s="49">
        <f t="shared" si="20"/>
        <v>0</v>
      </c>
      <c r="AJ639" s="71"/>
    </row>
    <row r="640" spans="2:36" x14ac:dyDescent="0.25">
      <c r="B640" s="29"/>
      <c r="C640" s="10" t="s">
        <v>2070</v>
      </c>
      <c r="D640" s="2" t="b" cm="1">
        <f t="array" ref="D640:O640">_xlfn._xlws.FILTER(IF(ancillary!$E$4:$P$8="",FALSE,ancillary!$E$4:$P$8),ancillary!$B$4:$B$8=$C640)</f>
        <v>1</v>
      </c>
      <c r="E640" s="2" t="b">
        <v>1</v>
      </c>
      <c r="F640" s="2" t="b">
        <v>1</v>
      </c>
      <c r="G640" s="2" t="b">
        <v>1</v>
      </c>
      <c r="H640" s="2" t="b">
        <v>1</v>
      </c>
      <c r="I640" s="2" t="b">
        <v>1</v>
      </c>
      <c r="J640" s="2" t="b">
        <v>0</v>
      </c>
      <c r="K640" s="2" t="b">
        <v>0</v>
      </c>
      <c r="L640" s="2" t="b">
        <v>0</v>
      </c>
      <c r="M640" s="2" t="b">
        <v>0</v>
      </c>
      <c r="N640" s="2" t="b">
        <v>0</v>
      </c>
      <c r="O640" s="2" t="b">
        <v>0</v>
      </c>
      <c r="P640" s="68"/>
      <c r="R640" s="69"/>
      <c r="S640" s="68"/>
      <c r="U640" s="69"/>
      <c r="V640" s="68"/>
      <c r="X640" s="69"/>
      <c r="Y640" s="68"/>
      <c r="AA640" s="69"/>
      <c r="AB640" s="33">
        <f t="shared" si="18"/>
        <v>0</v>
      </c>
      <c r="AC640" s="45">
        <f>_xlfn.LET(_xlpm.ps_1,P640:R640, _xlpm.ps_2,S640:U640, _xlpm.ps_3,V640:X640, _xlpm.ps_4,Y640:AA640,
_xlpm.phase, MID(C640,SEARCH("-",C640)+1,256),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(_xlfn.XLOOKUP($C$7,site_assumptions[Details],site_assumptions[Volts])*SUMIFS(P640:AA640,_xlfn.ANCHORARRAY(D640),TRUE)/10*0.95)/1000,
IFERROR(IF(_xlpm.phase="3Phase", _xlpm.p3_calc, _xlpm.sp_calc),0))</f>
        <v>0</v>
      </c>
      <c r="AD640" s="29"/>
      <c r="AE640" s="30"/>
      <c r="AF640" s="30"/>
      <c r="AG640" s="30"/>
      <c r="AH640" s="31"/>
      <c r="AI640" s="49">
        <f t="shared" si="20"/>
        <v>0</v>
      </c>
      <c r="AJ640" s="71"/>
    </row>
    <row r="641" spans="2:36" x14ac:dyDescent="0.25">
      <c r="B641" s="29"/>
      <c r="C641" s="10" t="s">
        <v>2070</v>
      </c>
      <c r="D641" s="2" t="b" cm="1">
        <f t="array" ref="D641:O641">_xlfn._xlws.FILTER(IF(ancillary!$E$4:$P$8="",FALSE,ancillary!$E$4:$P$8),ancillary!$B$4:$B$8=$C641)</f>
        <v>1</v>
      </c>
      <c r="E641" s="2" t="b">
        <v>1</v>
      </c>
      <c r="F641" s="2" t="b">
        <v>1</v>
      </c>
      <c r="G641" s="2" t="b">
        <v>1</v>
      </c>
      <c r="H641" s="2" t="b">
        <v>1</v>
      </c>
      <c r="I641" s="2" t="b">
        <v>1</v>
      </c>
      <c r="J641" s="2" t="b">
        <v>0</v>
      </c>
      <c r="K641" s="2" t="b">
        <v>0</v>
      </c>
      <c r="L641" s="2" t="b">
        <v>0</v>
      </c>
      <c r="M641" s="2" t="b">
        <v>0</v>
      </c>
      <c r="N641" s="2" t="b">
        <v>0</v>
      </c>
      <c r="O641" s="2" t="b">
        <v>0</v>
      </c>
      <c r="P641" s="68"/>
      <c r="R641" s="69"/>
      <c r="S641" s="68"/>
      <c r="U641" s="69"/>
      <c r="V641" s="68"/>
      <c r="X641" s="69"/>
      <c r="Y641" s="68"/>
      <c r="AA641" s="69"/>
      <c r="AB641" s="33">
        <f t="shared" si="18"/>
        <v>0</v>
      </c>
      <c r="AC641" s="45">
        <f>_xlfn.LET(_xlpm.ps_1,P641:R641, _xlpm.ps_2,S641:U641, _xlpm.ps_3,V641:X641, _xlpm.ps_4,Y641:AA641,
_xlpm.phase, MID(C641,SEARCH("-",C641)+1,256),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(_xlfn.XLOOKUP($C$7,site_assumptions[Details],site_assumptions[Volts])*SUMIFS(P641:AA641,_xlfn.ANCHORARRAY(D641),TRUE)/10*0.95)/1000,
IFERROR(IF(_xlpm.phase="3Phase", _xlpm.p3_calc, _xlpm.sp_calc),0))</f>
        <v>0</v>
      </c>
      <c r="AD641" s="29"/>
      <c r="AE641" s="30"/>
      <c r="AF641" s="30"/>
      <c r="AG641" s="30"/>
      <c r="AH641" s="31"/>
      <c r="AI641" s="49">
        <f t="shared" si="20"/>
        <v>0</v>
      </c>
      <c r="AJ641" s="71"/>
    </row>
    <row r="642" spans="2:36" x14ac:dyDescent="0.25">
      <c r="B642" s="29"/>
      <c r="C642" s="10" t="s">
        <v>2070</v>
      </c>
      <c r="D642" s="2" t="b" cm="1">
        <f t="array" ref="D642:O642">_xlfn._xlws.FILTER(IF(ancillary!$E$4:$P$8="",FALSE,ancillary!$E$4:$P$8),ancillary!$B$4:$B$8=$C642)</f>
        <v>1</v>
      </c>
      <c r="E642" s="2" t="b">
        <v>1</v>
      </c>
      <c r="F642" s="2" t="b">
        <v>1</v>
      </c>
      <c r="G642" s="2" t="b">
        <v>1</v>
      </c>
      <c r="H642" s="2" t="b">
        <v>1</v>
      </c>
      <c r="I642" s="2" t="b">
        <v>1</v>
      </c>
      <c r="J642" s="2" t="b">
        <v>0</v>
      </c>
      <c r="K642" s="2" t="b">
        <v>0</v>
      </c>
      <c r="L642" s="2" t="b">
        <v>0</v>
      </c>
      <c r="M642" s="2" t="b">
        <v>0</v>
      </c>
      <c r="N642" s="2" t="b">
        <v>0</v>
      </c>
      <c r="O642" s="2" t="b">
        <v>0</v>
      </c>
      <c r="P642" s="68"/>
      <c r="R642" s="69"/>
      <c r="S642" s="68"/>
      <c r="U642" s="69"/>
      <c r="V642" s="68"/>
      <c r="X642" s="69"/>
      <c r="Y642" s="68"/>
      <c r="AA642" s="69"/>
      <c r="AB642" s="33">
        <f t="shared" si="18"/>
        <v>0</v>
      </c>
      <c r="AC642" s="45">
        <f>_xlfn.LET(_xlpm.ps_1,P642:R642, _xlpm.ps_2,S642:U642, _xlpm.ps_3,V642:X642, _xlpm.ps_4,Y642:AA642,
_xlpm.phase, MID(C642,SEARCH("-",C642)+1,256),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(_xlfn.XLOOKUP($C$7,site_assumptions[Details],site_assumptions[Volts])*SUMIFS(P642:AA642,_xlfn.ANCHORARRAY(D642),TRUE)/10*0.95)/1000,
IFERROR(IF(_xlpm.phase="3Phase", _xlpm.p3_calc, _xlpm.sp_calc),0))</f>
        <v>0</v>
      </c>
      <c r="AD642" s="29"/>
      <c r="AE642" s="30"/>
      <c r="AF642" s="30"/>
      <c r="AG642" s="30"/>
      <c r="AH642" s="31"/>
      <c r="AI642" s="49">
        <f t="shared" si="20"/>
        <v>0</v>
      </c>
      <c r="AJ642" s="71"/>
    </row>
    <row r="643" spans="2:36" x14ac:dyDescent="0.25">
      <c r="B643" s="29"/>
      <c r="C643" s="10" t="s">
        <v>2070</v>
      </c>
      <c r="D643" s="2" t="b" cm="1">
        <f t="array" ref="D643:O643">_xlfn._xlws.FILTER(IF(ancillary!$E$4:$P$8="",FALSE,ancillary!$E$4:$P$8),ancillary!$B$4:$B$8=$C643)</f>
        <v>1</v>
      </c>
      <c r="E643" s="2" t="b">
        <v>1</v>
      </c>
      <c r="F643" s="2" t="b">
        <v>1</v>
      </c>
      <c r="G643" s="2" t="b">
        <v>1</v>
      </c>
      <c r="H643" s="2" t="b">
        <v>1</v>
      </c>
      <c r="I643" s="2" t="b">
        <v>1</v>
      </c>
      <c r="J643" s="2" t="b">
        <v>0</v>
      </c>
      <c r="K643" s="2" t="b">
        <v>0</v>
      </c>
      <c r="L643" s="2" t="b">
        <v>0</v>
      </c>
      <c r="M643" s="2" t="b">
        <v>0</v>
      </c>
      <c r="N643" s="2" t="b">
        <v>0</v>
      </c>
      <c r="O643" s="2" t="b">
        <v>0</v>
      </c>
      <c r="P643" s="68"/>
      <c r="R643" s="69"/>
      <c r="S643" s="68"/>
      <c r="U643" s="69"/>
      <c r="V643" s="68"/>
      <c r="X643" s="69"/>
      <c r="Y643" s="68"/>
      <c r="AA643" s="69"/>
      <c r="AB643" s="33">
        <f t="shared" si="18"/>
        <v>0</v>
      </c>
      <c r="AC643" s="45">
        <f>_xlfn.LET(_xlpm.ps_1,P643:R643, _xlpm.ps_2,S643:U643, _xlpm.ps_3,V643:X643, _xlpm.ps_4,Y643:AA643,
_xlpm.phase, MID(C643,SEARCH("-",C643)+1,256),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(_xlfn.XLOOKUP($C$7,site_assumptions[Details],site_assumptions[Volts])*SUMIFS(P643:AA643,_xlfn.ANCHORARRAY(D643),TRUE)/10*0.95)/1000,
IFERROR(IF(_xlpm.phase="3Phase", _xlpm.p3_calc, _xlpm.sp_calc),0))</f>
        <v>0</v>
      </c>
      <c r="AD643" s="29"/>
      <c r="AE643" s="30"/>
      <c r="AF643" s="30"/>
      <c r="AG643" s="30"/>
      <c r="AH643" s="31"/>
      <c r="AI643" s="49">
        <f t="shared" si="20"/>
        <v>0</v>
      </c>
      <c r="AJ643" s="71"/>
    </row>
    <row r="644" spans="2:36" x14ac:dyDescent="0.25">
      <c r="B644" s="29"/>
      <c r="C644" s="10" t="s">
        <v>2070</v>
      </c>
      <c r="D644" s="2" t="b" cm="1">
        <f t="array" ref="D644:O644">_xlfn._xlws.FILTER(IF(ancillary!$E$4:$P$8="",FALSE,ancillary!$E$4:$P$8),ancillary!$B$4:$B$8=$C644)</f>
        <v>1</v>
      </c>
      <c r="E644" s="2" t="b">
        <v>1</v>
      </c>
      <c r="F644" s="2" t="b">
        <v>1</v>
      </c>
      <c r="G644" s="2" t="b">
        <v>1</v>
      </c>
      <c r="H644" s="2" t="b">
        <v>1</v>
      </c>
      <c r="I644" s="2" t="b">
        <v>1</v>
      </c>
      <c r="J644" s="2" t="b">
        <v>0</v>
      </c>
      <c r="K644" s="2" t="b">
        <v>0</v>
      </c>
      <c r="L644" s="2" t="b">
        <v>0</v>
      </c>
      <c r="M644" s="2" t="b">
        <v>0</v>
      </c>
      <c r="N644" s="2" t="b">
        <v>0</v>
      </c>
      <c r="O644" s="2" t="b">
        <v>0</v>
      </c>
      <c r="P644" s="68"/>
      <c r="R644" s="69"/>
      <c r="S644" s="68"/>
      <c r="U644" s="69"/>
      <c r="V644" s="68"/>
      <c r="X644" s="69"/>
      <c r="Y644" s="68"/>
      <c r="AA644" s="69"/>
      <c r="AB644" s="33">
        <f t="shared" si="18"/>
        <v>0</v>
      </c>
      <c r="AC644" s="45">
        <f>_xlfn.LET(_xlpm.ps_1,P644:R644, _xlpm.ps_2,S644:U644, _xlpm.ps_3,V644:X644, _xlpm.ps_4,Y644:AA644,
_xlpm.phase, MID(C644,SEARCH("-",C644)+1,256),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(_xlfn.XLOOKUP($C$7,site_assumptions[Details],site_assumptions[Volts])*SUMIFS(P644:AA644,_xlfn.ANCHORARRAY(D644),TRUE)/10*0.95)/1000,
IFERROR(IF(_xlpm.phase="3Phase", _xlpm.p3_calc, _xlpm.sp_calc),0))</f>
        <v>0</v>
      </c>
      <c r="AD644" s="29"/>
      <c r="AE644" s="30"/>
      <c r="AF644" s="30"/>
      <c r="AG644" s="30"/>
      <c r="AH644" s="31"/>
      <c r="AI644" s="49">
        <f t="shared" si="20"/>
        <v>0</v>
      </c>
      <c r="AJ644" s="71"/>
    </row>
    <row r="645" spans="2:36" x14ac:dyDescent="0.25">
      <c r="B645" s="29"/>
      <c r="C645" s="10" t="s">
        <v>2070</v>
      </c>
      <c r="D645" s="2" t="b" cm="1">
        <f t="array" ref="D645:O645">_xlfn._xlws.FILTER(IF(ancillary!$E$4:$P$8="",FALSE,ancillary!$E$4:$P$8),ancillary!$B$4:$B$8=$C645)</f>
        <v>1</v>
      </c>
      <c r="E645" s="2" t="b">
        <v>1</v>
      </c>
      <c r="F645" s="2" t="b">
        <v>1</v>
      </c>
      <c r="G645" s="2" t="b">
        <v>1</v>
      </c>
      <c r="H645" s="2" t="b">
        <v>1</v>
      </c>
      <c r="I645" s="2" t="b">
        <v>1</v>
      </c>
      <c r="J645" s="2" t="b">
        <v>0</v>
      </c>
      <c r="K645" s="2" t="b">
        <v>0</v>
      </c>
      <c r="L645" s="2" t="b">
        <v>0</v>
      </c>
      <c r="M645" s="2" t="b">
        <v>0</v>
      </c>
      <c r="N645" s="2" t="b">
        <v>0</v>
      </c>
      <c r="O645" s="2" t="b">
        <v>0</v>
      </c>
      <c r="P645" s="68"/>
      <c r="R645" s="69"/>
      <c r="S645" s="68"/>
      <c r="U645" s="69"/>
      <c r="V645" s="68"/>
      <c r="X645" s="69"/>
      <c r="Y645" s="68"/>
      <c r="AA645" s="69"/>
      <c r="AB645" s="33">
        <f t="shared" si="18"/>
        <v>0</v>
      </c>
      <c r="AC645" s="45">
        <f>_xlfn.LET(_xlpm.ps_1,P645:R645, _xlpm.ps_2,S645:U645, _xlpm.ps_3,V645:X645, _xlpm.ps_4,Y645:AA645,
_xlpm.phase, MID(C645,SEARCH("-",C645)+1,256),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(_xlfn.XLOOKUP($C$7,site_assumptions[Details],site_assumptions[Volts])*SUMIFS(P645:AA645,_xlfn.ANCHORARRAY(D645),TRUE)/10*0.95)/1000,
IFERROR(IF(_xlpm.phase="3Phase", _xlpm.p3_calc, _xlpm.sp_calc),0))</f>
        <v>0</v>
      </c>
      <c r="AD645" s="29"/>
      <c r="AE645" s="30"/>
      <c r="AF645" s="30"/>
      <c r="AG645" s="30"/>
      <c r="AH645" s="31"/>
      <c r="AI645" s="49">
        <f t="shared" si="20"/>
        <v>0</v>
      </c>
      <c r="AJ645" s="71"/>
    </row>
    <row r="646" spans="2:36" x14ac:dyDescent="0.25">
      <c r="B646" s="29"/>
      <c r="C646" s="10" t="s">
        <v>2070</v>
      </c>
      <c r="D646" s="2" t="b" cm="1">
        <f t="array" ref="D646:O646">_xlfn._xlws.FILTER(IF(ancillary!$E$4:$P$8="",FALSE,ancillary!$E$4:$P$8),ancillary!$B$4:$B$8=$C646)</f>
        <v>1</v>
      </c>
      <c r="E646" s="2" t="b">
        <v>1</v>
      </c>
      <c r="F646" s="2" t="b">
        <v>1</v>
      </c>
      <c r="G646" s="2" t="b">
        <v>1</v>
      </c>
      <c r="H646" s="2" t="b">
        <v>1</v>
      </c>
      <c r="I646" s="2" t="b">
        <v>1</v>
      </c>
      <c r="J646" s="2" t="b">
        <v>0</v>
      </c>
      <c r="K646" s="2" t="b">
        <v>0</v>
      </c>
      <c r="L646" s="2" t="b">
        <v>0</v>
      </c>
      <c r="M646" s="2" t="b">
        <v>0</v>
      </c>
      <c r="N646" s="2" t="b">
        <v>0</v>
      </c>
      <c r="O646" s="2" t="b">
        <v>0</v>
      </c>
      <c r="P646" s="68"/>
      <c r="R646" s="69"/>
      <c r="S646" s="68"/>
      <c r="U646" s="69"/>
      <c r="V646" s="68"/>
      <c r="X646" s="69"/>
      <c r="Y646" s="68"/>
      <c r="AA646" s="69"/>
      <c r="AB646" s="33">
        <f t="shared" si="18"/>
        <v>0</v>
      </c>
      <c r="AC646" s="45">
        <f>_xlfn.LET(_xlpm.ps_1,P646:R646, _xlpm.ps_2,S646:U646, _xlpm.ps_3,V646:X646, _xlpm.ps_4,Y646:AA646,
_xlpm.phase, MID(C646,SEARCH("-",C646)+1,256),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(_xlfn.XLOOKUP($C$7,site_assumptions[Details],site_assumptions[Volts])*SUMIFS(P646:AA646,_xlfn.ANCHORARRAY(D646),TRUE)/10*0.95)/1000,
IFERROR(IF(_xlpm.phase="3Phase", _xlpm.p3_calc, _xlpm.sp_calc),0))</f>
        <v>0</v>
      </c>
      <c r="AD646" s="29"/>
      <c r="AE646" s="30"/>
      <c r="AF646" s="30"/>
      <c r="AG646" s="30"/>
      <c r="AH646" s="31"/>
      <c r="AI646" s="49">
        <f t="shared" si="20"/>
        <v>0</v>
      </c>
      <c r="AJ646" s="71"/>
    </row>
    <row r="647" spans="2:36" x14ac:dyDescent="0.25">
      <c r="B647" s="29"/>
      <c r="C647" s="10" t="s">
        <v>2070</v>
      </c>
      <c r="D647" s="2" t="b" cm="1">
        <f t="array" ref="D647:O647">_xlfn._xlws.FILTER(IF(ancillary!$E$4:$P$8="",FALSE,ancillary!$E$4:$P$8),ancillary!$B$4:$B$8=$C647)</f>
        <v>1</v>
      </c>
      <c r="E647" s="2" t="b">
        <v>1</v>
      </c>
      <c r="F647" s="2" t="b">
        <v>1</v>
      </c>
      <c r="G647" s="2" t="b">
        <v>1</v>
      </c>
      <c r="H647" s="2" t="b">
        <v>1</v>
      </c>
      <c r="I647" s="2" t="b">
        <v>1</v>
      </c>
      <c r="J647" s="2" t="b">
        <v>0</v>
      </c>
      <c r="K647" s="2" t="b">
        <v>0</v>
      </c>
      <c r="L647" s="2" t="b">
        <v>0</v>
      </c>
      <c r="M647" s="2" t="b">
        <v>0</v>
      </c>
      <c r="N647" s="2" t="b">
        <v>0</v>
      </c>
      <c r="O647" s="2" t="b">
        <v>0</v>
      </c>
      <c r="P647" s="68"/>
      <c r="R647" s="69"/>
      <c r="S647" s="68"/>
      <c r="U647" s="69"/>
      <c r="V647" s="68"/>
      <c r="X647" s="69"/>
      <c r="Y647" s="68"/>
      <c r="AA647" s="69"/>
      <c r="AB647" s="33">
        <f t="shared" si="18"/>
        <v>0</v>
      </c>
      <c r="AC647" s="45">
        <f>_xlfn.LET(_xlpm.ps_1,P647:R647, _xlpm.ps_2,S647:U647, _xlpm.ps_3,V647:X647, _xlpm.ps_4,Y647:AA647,
_xlpm.phase, MID(C647,SEARCH("-",C647)+1,256),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(_xlfn.XLOOKUP($C$7,site_assumptions[Details],site_assumptions[Volts])*SUMIFS(P647:AA647,_xlfn.ANCHORARRAY(D647),TRUE)/10*0.95)/1000,
IFERROR(IF(_xlpm.phase="3Phase", _xlpm.p3_calc, _xlpm.sp_calc),0))</f>
        <v>0</v>
      </c>
      <c r="AD647" s="29"/>
      <c r="AE647" s="30"/>
      <c r="AF647" s="30"/>
      <c r="AG647" s="30"/>
      <c r="AH647" s="31"/>
      <c r="AI647" s="49">
        <f t="shared" si="20"/>
        <v>0</v>
      </c>
      <c r="AJ647" s="71"/>
    </row>
    <row r="648" spans="2:36" x14ac:dyDescent="0.25">
      <c r="B648" s="29"/>
      <c r="C648" s="10" t="s">
        <v>2070</v>
      </c>
      <c r="D648" s="2" t="b" cm="1">
        <f t="array" ref="D648:O648">_xlfn._xlws.FILTER(IF(ancillary!$E$4:$P$8="",FALSE,ancillary!$E$4:$P$8),ancillary!$B$4:$B$8=$C648)</f>
        <v>1</v>
      </c>
      <c r="E648" s="2" t="b">
        <v>1</v>
      </c>
      <c r="F648" s="2" t="b">
        <v>1</v>
      </c>
      <c r="G648" s="2" t="b">
        <v>1</v>
      </c>
      <c r="H648" s="2" t="b">
        <v>1</v>
      </c>
      <c r="I648" s="2" t="b">
        <v>1</v>
      </c>
      <c r="J648" s="2" t="b">
        <v>0</v>
      </c>
      <c r="K648" s="2" t="b">
        <v>0</v>
      </c>
      <c r="L648" s="2" t="b">
        <v>0</v>
      </c>
      <c r="M648" s="2" t="b">
        <v>0</v>
      </c>
      <c r="N648" s="2" t="b">
        <v>0</v>
      </c>
      <c r="O648" s="2" t="b">
        <v>0</v>
      </c>
      <c r="P648" s="68"/>
      <c r="R648" s="69"/>
      <c r="S648" s="68"/>
      <c r="U648" s="69"/>
      <c r="V648" s="68"/>
      <c r="X648" s="69"/>
      <c r="Y648" s="68"/>
      <c r="AA648" s="69"/>
      <c r="AB648" s="33">
        <f t="shared" si="18"/>
        <v>0</v>
      </c>
      <c r="AC648" s="45">
        <f>_xlfn.LET(_xlpm.ps_1,P648:R648, _xlpm.ps_2,S648:U648, _xlpm.ps_3,V648:X648, _xlpm.ps_4,Y648:AA648,
_xlpm.phase, MID(C648,SEARCH("-",C648)+1,256),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(_xlfn.XLOOKUP($C$7,site_assumptions[Details],site_assumptions[Volts])*SUMIFS(P648:AA648,_xlfn.ANCHORARRAY(D648),TRUE)/10*0.95)/1000,
IFERROR(IF(_xlpm.phase="3Phase", _xlpm.p3_calc, _xlpm.sp_calc),0))</f>
        <v>0</v>
      </c>
      <c r="AD648" s="29"/>
      <c r="AE648" s="30"/>
      <c r="AF648" s="30"/>
      <c r="AG648" s="30"/>
      <c r="AH648" s="31"/>
      <c r="AI648" s="49">
        <f t="shared" si="20"/>
        <v>0</v>
      </c>
      <c r="AJ648" s="71"/>
    </row>
    <row r="649" spans="2:36" x14ac:dyDescent="0.25">
      <c r="B649" s="29"/>
      <c r="C649" s="10" t="s">
        <v>2070</v>
      </c>
      <c r="D649" s="2" t="b" cm="1">
        <f t="array" ref="D649:O649">_xlfn._xlws.FILTER(IF(ancillary!$E$4:$P$8="",FALSE,ancillary!$E$4:$P$8),ancillary!$B$4:$B$8=$C649)</f>
        <v>1</v>
      </c>
      <c r="E649" s="2" t="b">
        <v>1</v>
      </c>
      <c r="F649" s="2" t="b">
        <v>1</v>
      </c>
      <c r="G649" s="2" t="b">
        <v>1</v>
      </c>
      <c r="H649" s="2" t="b">
        <v>1</v>
      </c>
      <c r="I649" s="2" t="b">
        <v>1</v>
      </c>
      <c r="J649" s="2" t="b">
        <v>0</v>
      </c>
      <c r="K649" s="2" t="b">
        <v>0</v>
      </c>
      <c r="L649" s="2" t="b">
        <v>0</v>
      </c>
      <c r="M649" s="2" t="b">
        <v>0</v>
      </c>
      <c r="N649" s="2" t="b">
        <v>0</v>
      </c>
      <c r="O649" s="2" t="b">
        <v>0</v>
      </c>
      <c r="P649" s="68"/>
      <c r="R649" s="69"/>
      <c r="S649" s="68"/>
      <c r="U649" s="69"/>
      <c r="V649" s="68"/>
      <c r="X649" s="69"/>
      <c r="Y649" s="68"/>
      <c r="AA649" s="69"/>
      <c r="AB649" s="33">
        <f t="shared" si="18"/>
        <v>0</v>
      </c>
      <c r="AC649" s="45">
        <f>_xlfn.LET(_xlpm.ps_1,P649:R649, _xlpm.ps_2,S649:U649, _xlpm.ps_3,V649:X649, _xlpm.ps_4,Y649:AA649,
_xlpm.phase, MID(C649,SEARCH("-",C649)+1,256),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(_xlfn.XLOOKUP($C$7,site_assumptions[Details],site_assumptions[Volts])*SUMIFS(P649:AA649,_xlfn.ANCHORARRAY(D649),TRUE)/10*0.95)/1000,
IFERROR(IF(_xlpm.phase="3Phase", _xlpm.p3_calc, _xlpm.sp_calc),0))</f>
        <v>0</v>
      </c>
      <c r="AD649" s="29"/>
      <c r="AE649" s="30"/>
      <c r="AF649" s="30"/>
      <c r="AG649" s="30"/>
      <c r="AH649" s="31"/>
      <c r="AI649" s="49">
        <f t="shared" si="20"/>
        <v>0</v>
      </c>
      <c r="AJ649" s="71"/>
    </row>
    <row r="650" spans="2:36" x14ac:dyDescent="0.25">
      <c r="B650" s="29"/>
      <c r="C650" s="10" t="s">
        <v>2070</v>
      </c>
      <c r="D650" s="2" t="b" cm="1">
        <f t="array" ref="D650:O650">_xlfn._xlws.FILTER(IF(ancillary!$E$4:$P$8="",FALSE,ancillary!$E$4:$P$8),ancillary!$B$4:$B$8=$C650)</f>
        <v>1</v>
      </c>
      <c r="E650" s="2" t="b">
        <v>1</v>
      </c>
      <c r="F650" s="2" t="b">
        <v>1</v>
      </c>
      <c r="G650" s="2" t="b">
        <v>1</v>
      </c>
      <c r="H650" s="2" t="b">
        <v>1</v>
      </c>
      <c r="I650" s="2" t="b">
        <v>1</v>
      </c>
      <c r="J650" s="2" t="b">
        <v>0</v>
      </c>
      <c r="K650" s="2" t="b">
        <v>0</v>
      </c>
      <c r="L650" s="2" t="b">
        <v>0</v>
      </c>
      <c r="M650" s="2" t="b">
        <v>0</v>
      </c>
      <c r="N650" s="2" t="b">
        <v>0</v>
      </c>
      <c r="O650" s="2" t="b">
        <v>0</v>
      </c>
      <c r="P650" s="68"/>
      <c r="R650" s="69"/>
      <c r="S650" s="68"/>
      <c r="U650" s="69"/>
      <c r="V650" s="68"/>
      <c r="X650" s="69"/>
      <c r="Y650" s="68"/>
      <c r="AA650" s="69"/>
      <c r="AB650" s="33">
        <f t="shared" si="18"/>
        <v>0</v>
      </c>
      <c r="AC650" s="45">
        <f>_xlfn.LET(_xlpm.ps_1,P650:R650, _xlpm.ps_2,S650:U650, _xlpm.ps_3,V650:X650, _xlpm.ps_4,Y650:AA650,
_xlpm.phase, MID(C650,SEARCH("-",C650)+1,256),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(_xlfn.XLOOKUP($C$7,site_assumptions[Details],site_assumptions[Volts])*SUMIFS(P650:AA650,_xlfn.ANCHORARRAY(D650),TRUE)/10*0.95)/1000,
IFERROR(IF(_xlpm.phase="3Phase", _xlpm.p3_calc, _xlpm.sp_calc),0))</f>
        <v>0</v>
      </c>
      <c r="AD650" s="29"/>
      <c r="AE650" s="30"/>
      <c r="AF650" s="30"/>
      <c r="AG650" s="30"/>
      <c r="AH650" s="31"/>
      <c r="AI650" s="49">
        <f t="shared" si="20"/>
        <v>0</v>
      </c>
      <c r="AJ650" s="71"/>
    </row>
    <row r="651" spans="2:36" x14ac:dyDescent="0.25">
      <c r="B651" s="29"/>
      <c r="C651" s="10" t="s">
        <v>2070</v>
      </c>
      <c r="D651" s="2" t="b" cm="1">
        <f t="array" ref="D651:O651">_xlfn._xlws.FILTER(IF(ancillary!$E$4:$P$8="",FALSE,ancillary!$E$4:$P$8),ancillary!$B$4:$B$8=$C651)</f>
        <v>1</v>
      </c>
      <c r="E651" s="2" t="b">
        <v>1</v>
      </c>
      <c r="F651" s="2" t="b">
        <v>1</v>
      </c>
      <c r="G651" s="2" t="b">
        <v>1</v>
      </c>
      <c r="H651" s="2" t="b">
        <v>1</v>
      </c>
      <c r="I651" s="2" t="b">
        <v>1</v>
      </c>
      <c r="J651" s="2" t="b">
        <v>0</v>
      </c>
      <c r="K651" s="2" t="b">
        <v>0</v>
      </c>
      <c r="L651" s="2" t="b">
        <v>0</v>
      </c>
      <c r="M651" s="2" t="b">
        <v>0</v>
      </c>
      <c r="N651" s="2" t="b">
        <v>0</v>
      </c>
      <c r="O651" s="2" t="b">
        <v>0</v>
      </c>
      <c r="P651" s="68"/>
      <c r="R651" s="69"/>
      <c r="S651" s="68"/>
      <c r="U651" s="69"/>
      <c r="V651" s="68"/>
      <c r="X651" s="69"/>
      <c r="Y651" s="68"/>
      <c r="AA651" s="69"/>
      <c r="AB651" s="33">
        <f t="shared" si="18"/>
        <v>0</v>
      </c>
      <c r="AC651" s="45">
        <f>_xlfn.LET(_xlpm.ps_1,P651:R651, _xlpm.ps_2,S651:U651, _xlpm.ps_3,V651:X651, _xlpm.ps_4,Y651:AA651,
_xlpm.phase, MID(C651,SEARCH("-",C651)+1,256),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(_xlfn.XLOOKUP($C$7,site_assumptions[Details],site_assumptions[Volts])*SUMIFS(P651:AA651,_xlfn.ANCHORARRAY(D651),TRUE)/10*0.95)/1000,
IFERROR(IF(_xlpm.phase="3Phase", _xlpm.p3_calc, _xlpm.sp_calc),0))</f>
        <v>0</v>
      </c>
      <c r="AD651" s="29"/>
      <c r="AE651" s="30"/>
      <c r="AF651" s="30"/>
      <c r="AG651" s="30"/>
      <c r="AH651" s="31"/>
      <c r="AI651" s="49">
        <f t="shared" si="20"/>
        <v>0</v>
      </c>
      <c r="AJ651" s="71"/>
    </row>
    <row r="652" spans="2:36" x14ac:dyDescent="0.25">
      <c r="B652" s="29"/>
      <c r="C652" s="10" t="s">
        <v>2070</v>
      </c>
      <c r="D652" s="2" t="b" cm="1">
        <f t="array" ref="D652:O652">_xlfn._xlws.FILTER(IF(ancillary!$E$4:$P$8="",FALSE,ancillary!$E$4:$P$8),ancillary!$B$4:$B$8=$C652)</f>
        <v>1</v>
      </c>
      <c r="E652" s="2" t="b">
        <v>1</v>
      </c>
      <c r="F652" s="2" t="b">
        <v>1</v>
      </c>
      <c r="G652" s="2" t="b">
        <v>1</v>
      </c>
      <c r="H652" s="2" t="b">
        <v>1</v>
      </c>
      <c r="I652" s="2" t="b">
        <v>1</v>
      </c>
      <c r="J652" s="2" t="b">
        <v>0</v>
      </c>
      <c r="K652" s="2" t="b">
        <v>0</v>
      </c>
      <c r="L652" s="2" t="b">
        <v>0</v>
      </c>
      <c r="M652" s="2" t="b">
        <v>0</v>
      </c>
      <c r="N652" s="2" t="b">
        <v>0</v>
      </c>
      <c r="O652" s="2" t="b">
        <v>0</v>
      </c>
      <c r="P652" s="68"/>
      <c r="R652" s="69"/>
      <c r="S652" s="68"/>
      <c r="U652" s="69"/>
      <c r="V652" s="68"/>
      <c r="X652" s="69"/>
      <c r="Y652" s="68"/>
      <c r="AA652" s="69"/>
      <c r="AB652" s="33">
        <f t="shared" si="18"/>
        <v>0</v>
      </c>
      <c r="AC652" s="45">
        <f>_xlfn.LET(_xlpm.ps_1,P652:R652, _xlpm.ps_2,S652:U652, _xlpm.ps_3,V652:X652, _xlpm.ps_4,Y652:AA652,
_xlpm.phase, MID(C652,SEARCH("-",C652)+1,256),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(_xlfn.XLOOKUP($C$7,site_assumptions[Details],site_assumptions[Volts])*SUMIFS(P652:AA652,_xlfn.ANCHORARRAY(D652),TRUE)/10*0.95)/1000,
IFERROR(IF(_xlpm.phase="3Phase", _xlpm.p3_calc, _xlpm.sp_calc),0))</f>
        <v>0</v>
      </c>
      <c r="AD652" s="29"/>
      <c r="AE652" s="30"/>
      <c r="AF652" s="30"/>
      <c r="AG652" s="30"/>
      <c r="AH652" s="31"/>
      <c r="AI652" s="49">
        <f t="shared" si="20"/>
        <v>0</v>
      </c>
      <c r="AJ652" s="71"/>
    </row>
    <row r="653" spans="2:36" x14ac:dyDescent="0.25">
      <c r="B653" s="29"/>
      <c r="C653" s="10" t="s">
        <v>2070</v>
      </c>
      <c r="D653" s="2" t="b" cm="1">
        <f t="array" ref="D653:O653">_xlfn._xlws.FILTER(IF(ancillary!$E$4:$P$8="",FALSE,ancillary!$E$4:$P$8),ancillary!$B$4:$B$8=$C653)</f>
        <v>1</v>
      </c>
      <c r="E653" s="2" t="b">
        <v>1</v>
      </c>
      <c r="F653" s="2" t="b">
        <v>1</v>
      </c>
      <c r="G653" s="2" t="b">
        <v>1</v>
      </c>
      <c r="H653" s="2" t="b">
        <v>1</v>
      </c>
      <c r="I653" s="2" t="b">
        <v>1</v>
      </c>
      <c r="J653" s="2" t="b">
        <v>0</v>
      </c>
      <c r="K653" s="2" t="b">
        <v>0</v>
      </c>
      <c r="L653" s="2" t="b">
        <v>0</v>
      </c>
      <c r="M653" s="2" t="b">
        <v>0</v>
      </c>
      <c r="N653" s="2" t="b">
        <v>0</v>
      </c>
      <c r="O653" s="2" t="b">
        <v>0</v>
      </c>
      <c r="P653" s="68"/>
      <c r="R653" s="69"/>
      <c r="S653" s="68"/>
      <c r="U653" s="69"/>
      <c r="V653" s="68"/>
      <c r="X653" s="69"/>
      <c r="Y653" s="68"/>
      <c r="AA653" s="69"/>
      <c r="AB653" s="33">
        <f t="shared" si="18"/>
        <v>0</v>
      </c>
      <c r="AC653" s="45">
        <f>_xlfn.LET(_xlpm.ps_1,P653:R653, _xlpm.ps_2,S653:U653, _xlpm.ps_3,V653:X653, _xlpm.ps_4,Y653:AA653,
_xlpm.phase, MID(C653,SEARCH("-",C653)+1,256),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(_xlfn.XLOOKUP($C$7,site_assumptions[Details],site_assumptions[Volts])*SUMIFS(P653:AA653,_xlfn.ANCHORARRAY(D653),TRUE)/10*0.95)/1000,
IFERROR(IF(_xlpm.phase="3Phase", _xlpm.p3_calc, _xlpm.sp_calc),0))</f>
        <v>0</v>
      </c>
      <c r="AD653" s="29"/>
      <c r="AE653" s="30"/>
      <c r="AF653" s="30"/>
      <c r="AG653" s="30"/>
      <c r="AH653" s="31"/>
      <c r="AI653" s="49">
        <f t="shared" si="20"/>
        <v>0</v>
      </c>
      <c r="AJ653" s="71"/>
    </row>
    <row r="654" spans="2:36" x14ac:dyDescent="0.25">
      <c r="B654" s="29"/>
      <c r="C654" s="10" t="s">
        <v>2070</v>
      </c>
      <c r="D654" s="2" t="b" cm="1">
        <f t="array" ref="D654:O654">_xlfn._xlws.FILTER(IF(ancillary!$E$4:$P$8="",FALSE,ancillary!$E$4:$P$8),ancillary!$B$4:$B$8=$C654)</f>
        <v>1</v>
      </c>
      <c r="E654" s="2" t="b">
        <v>1</v>
      </c>
      <c r="F654" s="2" t="b">
        <v>1</v>
      </c>
      <c r="G654" s="2" t="b">
        <v>1</v>
      </c>
      <c r="H654" s="2" t="b">
        <v>1</v>
      </c>
      <c r="I654" s="2" t="b">
        <v>1</v>
      </c>
      <c r="J654" s="2" t="b">
        <v>0</v>
      </c>
      <c r="K654" s="2" t="b">
        <v>0</v>
      </c>
      <c r="L654" s="2" t="b">
        <v>0</v>
      </c>
      <c r="M654" s="2" t="b">
        <v>0</v>
      </c>
      <c r="N654" s="2" t="b">
        <v>0</v>
      </c>
      <c r="O654" s="2" t="b">
        <v>0</v>
      </c>
      <c r="P654" s="68"/>
      <c r="R654" s="69"/>
      <c r="S654" s="68"/>
      <c r="U654" s="69"/>
      <c r="V654" s="68"/>
      <c r="X654" s="69"/>
      <c r="Y654" s="68"/>
      <c r="AA654" s="69"/>
      <c r="AB654" s="33">
        <f t="shared" ref="AB654:AB717" si="21">IFERROR(AVERAGEIFS(P654:AA654,_xlfn.ANCHORARRAY(D654),TRUE),0)/10</f>
        <v>0</v>
      </c>
      <c r="AC654" s="45">
        <f>_xlfn.LET(_xlpm.ps_1,P654:R654, _xlpm.ps_2,S654:U654, _xlpm.ps_3,V654:X654, _xlpm.ps_4,Y654:AA654,
_xlpm.phase, MID(C654,SEARCH("-",C654)+1,256),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(_xlfn.XLOOKUP($C$7,site_assumptions[Details],site_assumptions[Volts])*SUMIFS(P654:AA654,_xlfn.ANCHORARRAY(D654),TRUE)/10*0.95)/1000,
IFERROR(IF(_xlpm.phase="3Phase", _xlpm.p3_calc, _xlpm.sp_calc),0))</f>
        <v>0</v>
      </c>
      <c r="AD654" s="29"/>
      <c r="AE654" s="30"/>
      <c r="AF654" s="30"/>
      <c r="AG654" s="30"/>
      <c r="AH654" s="31"/>
      <c r="AI654" s="49">
        <f t="shared" si="20"/>
        <v>0</v>
      </c>
      <c r="AJ654" s="71"/>
    </row>
    <row r="655" spans="2:36" x14ac:dyDescent="0.25">
      <c r="B655" s="29"/>
      <c r="C655" s="10" t="s">
        <v>2070</v>
      </c>
      <c r="D655" s="2" t="b" cm="1">
        <f t="array" ref="D655:O655">_xlfn._xlws.FILTER(IF(ancillary!$E$4:$P$8="",FALSE,ancillary!$E$4:$P$8),ancillary!$B$4:$B$8=$C655)</f>
        <v>1</v>
      </c>
      <c r="E655" s="2" t="b">
        <v>1</v>
      </c>
      <c r="F655" s="2" t="b">
        <v>1</v>
      </c>
      <c r="G655" s="2" t="b">
        <v>1</v>
      </c>
      <c r="H655" s="2" t="b">
        <v>1</v>
      </c>
      <c r="I655" s="2" t="b">
        <v>1</v>
      </c>
      <c r="J655" s="2" t="b">
        <v>0</v>
      </c>
      <c r="K655" s="2" t="b">
        <v>0</v>
      </c>
      <c r="L655" s="2" t="b">
        <v>0</v>
      </c>
      <c r="M655" s="2" t="b">
        <v>0</v>
      </c>
      <c r="N655" s="2" t="b">
        <v>0</v>
      </c>
      <c r="O655" s="2" t="b">
        <v>0</v>
      </c>
      <c r="P655" s="68"/>
      <c r="R655" s="69"/>
      <c r="S655" s="68"/>
      <c r="U655" s="69"/>
      <c r="V655" s="68"/>
      <c r="X655" s="69"/>
      <c r="Y655" s="68"/>
      <c r="AA655" s="69"/>
      <c r="AB655" s="33">
        <f t="shared" si="21"/>
        <v>0</v>
      </c>
      <c r="AC655" s="45">
        <f>_xlfn.LET(_xlpm.ps_1,P655:R655, _xlpm.ps_2,S655:U655, _xlpm.ps_3,V655:X655, _xlpm.ps_4,Y655:AA655,
_xlpm.phase, MID(C655,SEARCH("-",C655)+1,256),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(_xlfn.XLOOKUP($C$7,site_assumptions[Details],site_assumptions[Volts])*SUMIFS(P655:AA655,_xlfn.ANCHORARRAY(D655),TRUE)/10*0.95)/1000,
IFERROR(IF(_xlpm.phase="3Phase", _xlpm.p3_calc, _xlpm.sp_calc),0))</f>
        <v>0</v>
      </c>
      <c r="AD655" s="29"/>
      <c r="AE655" s="30"/>
      <c r="AF655" s="30"/>
      <c r="AG655" s="30"/>
      <c r="AH655" s="31"/>
      <c r="AI655" s="49">
        <f t="shared" si="20"/>
        <v>0</v>
      </c>
      <c r="AJ655" s="71"/>
    </row>
    <row r="656" spans="2:36" x14ac:dyDescent="0.25">
      <c r="B656" s="29"/>
      <c r="C656" s="10" t="s">
        <v>2070</v>
      </c>
      <c r="D656" s="2" t="b" cm="1">
        <f t="array" ref="D656:O656">_xlfn._xlws.FILTER(IF(ancillary!$E$4:$P$8="",FALSE,ancillary!$E$4:$P$8),ancillary!$B$4:$B$8=$C656)</f>
        <v>1</v>
      </c>
      <c r="E656" s="2" t="b">
        <v>1</v>
      </c>
      <c r="F656" s="2" t="b">
        <v>1</v>
      </c>
      <c r="G656" s="2" t="b">
        <v>1</v>
      </c>
      <c r="H656" s="2" t="b">
        <v>1</v>
      </c>
      <c r="I656" s="2" t="b">
        <v>1</v>
      </c>
      <c r="J656" s="2" t="b">
        <v>0</v>
      </c>
      <c r="K656" s="2" t="b">
        <v>0</v>
      </c>
      <c r="L656" s="2" t="b">
        <v>0</v>
      </c>
      <c r="M656" s="2" t="b">
        <v>0</v>
      </c>
      <c r="N656" s="2" t="b">
        <v>0</v>
      </c>
      <c r="O656" s="2" t="b">
        <v>0</v>
      </c>
      <c r="P656" s="68"/>
      <c r="R656" s="69"/>
      <c r="S656" s="68"/>
      <c r="U656" s="69"/>
      <c r="V656" s="68"/>
      <c r="X656" s="69"/>
      <c r="Y656" s="68"/>
      <c r="AA656" s="69"/>
      <c r="AB656" s="33">
        <f t="shared" si="21"/>
        <v>0</v>
      </c>
      <c r="AC656" s="45">
        <f>_xlfn.LET(_xlpm.ps_1,P656:R656, _xlpm.ps_2,S656:U656, _xlpm.ps_3,V656:X656, _xlpm.ps_4,Y656:AA656,
_xlpm.phase, MID(C656,SEARCH("-",C656)+1,256),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(_xlfn.XLOOKUP($C$7,site_assumptions[Details],site_assumptions[Volts])*SUMIFS(P656:AA656,_xlfn.ANCHORARRAY(D656),TRUE)/10*0.95)/1000,
IFERROR(IF(_xlpm.phase="3Phase", _xlpm.p3_calc, _xlpm.sp_calc),0))</f>
        <v>0</v>
      </c>
      <c r="AD656" s="29"/>
      <c r="AE656" s="30"/>
      <c r="AF656" s="30"/>
      <c r="AG656" s="30"/>
      <c r="AH656" s="31"/>
      <c r="AI656" s="49">
        <f t="shared" si="20"/>
        <v>0</v>
      </c>
      <c r="AJ656" s="71"/>
    </row>
    <row r="657" spans="2:36" x14ac:dyDescent="0.25">
      <c r="B657" s="29"/>
      <c r="C657" s="10" t="s">
        <v>2070</v>
      </c>
      <c r="D657" s="2" t="b" cm="1">
        <f t="array" ref="D657:O657">_xlfn._xlws.FILTER(IF(ancillary!$E$4:$P$8="",FALSE,ancillary!$E$4:$P$8),ancillary!$B$4:$B$8=$C657)</f>
        <v>1</v>
      </c>
      <c r="E657" s="2" t="b">
        <v>1</v>
      </c>
      <c r="F657" s="2" t="b">
        <v>1</v>
      </c>
      <c r="G657" s="2" t="b">
        <v>1</v>
      </c>
      <c r="H657" s="2" t="b">
        <v>1</v>
      </c>
      <c r="I657" s="2" t="b">
        <v>1</v>
      </c>
      <c r="J657" s="2" t="b">
        <v>0</v>
      </c>
      <c r="K657" s="2" t="b">
        <v>0</v>
      </c>
      <c r="L657" s="2" t="b">
        <v>0</v>
      </c>
      <c r="M657" s="2" t="b">
        <v>0</v>
      </c>
      <c r="N657" s="2" t="b">
        <v>0</v>
      </c>
      <c r="O657" s="2" t="b">
        <v>0</v>
      </c>
      <c r="P657" s="68"/>
      <c r="R657" s="69"/>
      <c r="S657" s="68"/>
      <c r="U657" s="69"/>
      <c r="V657" s="68"/>
      <c r="X657" s="69"/>
      <c r="Y657" s="68"/>
      <c r="AA657" s="69"/>
      <c r="AB657" s="33">
        <f t="shared" si="21"/>
        <v>0</v>
      </c>
      <c r="AC657" s="45">
        <f>_xlfn.LET(_xlpm.ps_1,P657:R657, _xlpm.ps_2,S657:U657, _xlpm.ps_3,V657:X657, _xlpm.ps_4,Y657:AA657,
_xlpm.phase, MID(C657,SEARCH("-",C657)+1,256),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(_xlfn.XLOOKUP($C$7,site_assumptions[Details],site_assumptions[Volts])*SUMIFS(P657:AA657,_xlfn.ANCHORARRAY(D657),TRUE)/10*0.95)/1000,
IFERROR(IF(_xlpm.phase="3Phase", _xlpm.p3_calc, _xlpm.sp_calc),0))</f>
        <v>0</v>
      </c>
      <c r="AD657" s="29"/>
      <c r="AE657" s="30"/>
      <c r="AF657" s="30"/>
      <c r="AG657" s="30"/>
      <c r="AH657" s="31"/>
      <c r="AI657" s="49">
        <f t="shared" si="20"/>
        <v>0</v>
      </c>
      <c r="AJ657" s="71"/>
    </row>
    <row r="658" spans="2:36" x14ac:dyDescent="0.25">
      <c r="B658" s="29"/>
      <c r="C658" s="10" t="s">
        <v>2070</v>
      </c>
      <c r="D658" s="2" t="b" cm="1">
        <f t="array" ref="D658:O658">_xlfn._xlws.FILTER(IF(ancillary!$E$4:$P$8="",FALSE,ancillary!$E$4:$P$8),ancillary!$B$4:$B$8=$C658)</f>
        <v>1</v>
      </c>
      <c r="E658" s="2" t="b">
        <v>1</v>
      </c>
      <c r="F658" s="2" t="b">
        <v>1</v>
      </c>
      <c r="G658" s="2" t="b">
        <v>1</v>
      </c>
      <c r="H658" s="2" t="b">
        <v>1</v>
      </c>
      <c r="I658" s="2" t="b">
        <v>1</v>
      </c>
      <c r="J658" s="2" t="b">
        <v>0</v>
      </c>
      <c r="K658" s="2" t="b">
        <v>0</v>
      </c>
      <c r="L658" s="2" t="b">
        <v>0</v>
      </c>
      <c r="M658" s="2" t="b">
        <v>0</v>
      </c>
      <c r="N658" s="2" t="b">
        <v>0</v>
      </c>
      <c r="O658" s="2" t="b">
        <v>0</v>
      </c>
      <c r="P658" s="68"/>
      <c r="R658" s="69"/>
      <c r="S658" s="68"/>
      <c r="U658" s="69"/>
      <c r="V658" s="68"/>
      <c r="X658" s="69"/>
      <c r="Y658" s="68"/>
      <c r="AA658" s="69"/>
      <c r="AB658" s="33">
        <f t="shared" si="21"/>
        <v>0</v>
      </c>
      <c r="AC658" s="45">
        <f>_xlfn.LET(_xlpm.ps_1,P658:R658, _xlpm.ps_2,S658:U658, _xlpm.ps_3,V658:X658, _xlpm.ps_4,Y658:AA658,
_xlpm.phase, MID(C658,SEARCH("-",C658)+1,256),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(_xlfn.XLOOKUP($C$7,site_assumptions[Details],site_assumptions[Volts])*SUMIFS(P658:AA658,_xlfn.ANCHORARRAY(D658),TRUE)/10*0.95)/1000,
IFERROR(IF(_xlpm.phase="3Phase", _xlpm.p3_calc, _xlpm.sp_calc),0))</f>
        <v>0</v>
      </c>
      <c r="AD658" s="29"/>
      <c r="AE658" s="30"/>
      <c r="AF658" s="30"/>
      <c r="AG658" s="30"/>
      <c r="AH658" s="31"/>
      <c r="AI658" s="49">
        <f t="shared" si="20"/>
        <v>0</v>
      </c>
      <c r="AJ658" s="71"/>
    </row>
    <row r="659" spans="2:36" x14ac:dyDescent="0.25">
      <c r="B659" s="29"/>
      <c r="C659" s="10" t="s">
        <v>2070</v>
      </c>
      <c r="D659" s="2" t="b" cm="1">
        <f t="array" ref="D659:O659">_xlfn._xlws.FILTER(IF(ancillary!$E$4:$P$8="",FALSE,ancillary!$E$4:$P$8),ancillary!$B$4:$B$8=$C659)</f>
        <v>1</v>
      </c>
      <c r="E659" s="2" t="b">
        <v>1</v>
      </c>
      <c r="F659" s="2" t="b">
        <v>1</v>
      </c>
      <c r="G659" s="2" t="b">
        <v>1</v>
      </c>
      <c r="H659" s="2" t="b">
        <v>1</v>
      </c>
      <c r="I659" s="2" t="b">
        <v>1</v>
      </c>
      <c r="J659" s="2" t="b">
        <v>0</v>
      </c>
      <c r="K659" s="2" t="b">
        <v>0</v>
      </c>
      <c r="L659" s="2" t="b">
        <v>0</v>
      </c>
      <c r="M659" s="2" t="b">
        <v>0</v>
      </c>
      <c r="N659" s="2" t="b">
        <v>0</v>
      </c>
      <c r="O659" s="2" t="b">
        <v>0</v>
      </c>
      <c r="P659" s="68"/>
      <c r="R659" s="69"/>
      <c r="S659" s="68"/>
      <c r="U659" s="69"/>
      <c r="V659" s="68"/>
      <c r="X659" s="69"/>
      <c r="Y659" s="68"/>
      <c r="AA659" s="69"/>
      <c r="AB659" s="33">
        <f t="shared" si="21"/>
        <v>0</v>
      </c>
      <c r="AC659" s="45">
        <f>_xlfn.LET(_xlpm.ps_1,P659:R659, _xlpm.ps_2,S659:U659, _xlpm.ps_3,V659:X659, _xlpm.ps_4,Y659:AA659,
_xlpm.phase, MID(C659,SEARCH("-",C659)+1,256),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(_xlfn.XLOOKUP($C$7,site_assumptions[Details],site_assumptions[Volts])*SUMIFS(P659:AA659,_xlfn.ANCHORARRAY(D659),TRUE)/10*0.95)/1000,
IFERROR(IF(_xlpm.phase="3Phase", _xlpm.p3_calc, _xlpm.sp_calc),0))</f>
        <v>0</v>
      </c>
      <c r="AD659" s="29"/>
      <c r="AE659" s="30"/>
      <c r="AF659" s="30"/>
      <c r="AG659" s="30"/>
      <c r="AH659" s="31"/>
      <c r="AI659" s="49">
        <f t="shared" si="20"/>
        <v>0</v>
      </c>
      <c r="AJ659" s="71"/>
    </row>
    <row r="660" spans="2:36" x14ac:dyDescent="0.25">
      <c r="B660" s="29"/>
      <c r="C660" s="10" t="s">
        <v>2070</v>
      </c>
      <c r="D660" s="2" t="b" cm="1">
        <f t="array" ref="D660:O660">_xlfn._xlws.FILTER(IF(ancillary!$E$4:$P$8="",FALSE,ancillary!$E$4:$P$8),ancillary!$B$4:$B$8=$C660)</f>
        <v>1</v>
      </c>
      <c r="E660" s="2" t="b">
        <v>1</v>
      </c>
      <c r="F660" s="2" t="b">
        <v>1</v>
      </c>
      <c r="G660" s="2" t="b">
        <v>1</v>
      </c>
      <c r="H660" s="2" t="b">
        <v>1</v>
      </c>
      <c r="I660" s="2" t="b">
        <v>1</v>
      </c>
      <c r="J660" s="2" t="b">
        <v>0</v>
      </c>
      <c r="K660" s="2" t="b">
        <v>0</v>
      </c>
      <c r="L660" s="2" t="b">
        <v>0</v>
      </c>
      <c r="M660" s="2" t="b">
        <v>0</v>
      </c>
      <c r="N660" s="2" t="b">
        <v>0</v>
      </c>
      <c r="O660" s="2" t="b">
        <v>0</v>
      </c>
      <c r="P660" s="68"/>
      <c r="R660" s="69"/>
      <c r="S660" s="68"/>
      <c r="U660" s="69"/>
      <c r="V660" s="68"/>
      <c r="X660" s="69"/>
      <c r="Y660" s="68"/>
      <c r="AA660" s="69"/>
      <c r="AB660" s="33">
        <f t="shared" si="21"/>
        <v>0</v>
      </c>
      <c r="AC660" s="45">
        <f>_xlfn.LET(_xlpm.ps_1,P660:R660, _xlpm.ps_2,S660:U660, _xlpm.ps_3,V660:X660, _xlpm.ps_4,Y660:AA660,
_xlpm.phase, MID(C660,SEARCH("-",C660)+1,256),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(_xlfn.XLOOKUP($C$7,site_assumptions[Details],site_assumptions[Volts])*SUMIFS(P660:AA660,_xlfn.ANCHORARRAY(D660),TRUE)/10*0.95)/1000,
IFERROR(IF(_xlpm.phase="3Phase", _xlpm.p3_calc, _xlpm.sp_calc),0))</f>
        <v>0</v>
      </c>
      <c r="AD660" s="29"/>
      <c r="AE660" s="30"/>
      <c r="AF660" s="30"/>
      <c r="AG660" s="30"/>
      <c r="AH660" s="31"/>
      <c r="AI660" s="49">
        <f t="shared" si="20"/>
        <v>0</v>
      </c>
      <c r="AJ660" s="71"/>
    </row>
    <row r="661" spans="2:36" x14ac:dyDescent="0.25">
      <c r="B661" s="29"/>
      <c r="C661" s="10" t="s">
        <v>2070</v>
      </c>
      <c r="D661" s="2" t="b" cm="1">
        <f t="array" ref="D661:O661">_xlfn._xlws.FILTER(IF(ancillary!$E$4:$P$8="",FALSE,ancillary!$E$4:$P$8),ancillary!$B$4:$B$8=$C661)</f>
        <v>1</v>
      </c>
      <c r="E661" s="2" t="b">
        <v>1</v>
      </c>
      <c r="F661" s="2" t="b">
        <v>1</v>
      </c>
      <c r="G661" s="2" t="b">
        <v>1</v>
      </c>
      <c r="H661" s="2" t="b">
        <v>1</v>
      </c>
      <c r="I661" s="2" t="b">
        <v>1</v>
      </c>
      <c r="J661" s="2" t="b">
        <v>0</v>
      </c>
      <c r="K661" s="2" t="b">
        <v>0</v>
      </c>
      <c r="L661" s="2" t="b">
        <v>0</v>
      </c>
      <c r="M661" s="2" t="b">
        <v>0</v>
      </c>
      <c r="N661" s="2" t="b">
        <v>0</v>
      </c>
      <c r="O661" s="2" t="b">
        <v>0</v>
      </c>
      <c r="P661" s="68"/>
      <c r="R661" s="69"/>
      <c r="S661" s="68"/>
      <c r="U661" s="69"/>
      <c r="V661" s="68"/>
      <c r="X661" s="69"/>
      <c r="Y661" s="68"/>
      <c r="AA661" s="69"/>
      <c r="AB661" s="33">
        <f t="shared" si="21"/>
        <v>0</v>
      </c>
      <c r="AC661" s="45">
        <f>_xlfn.LET(_xlpm.ps_1,P661:R661, _xlpm.ps_2,S661:U661, _xlpm.ps_3,V661:X661, _xlpm.ps_4,Y661:AA661,
_xlpm.phase, MID(C661,SEARCH("-",C661)+1,256),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(_xlfn.XLOOKUP($C$7,site_assumptions[Details],site_assumptions[Volts])*SUMIFS(P661:AA661,_xlfn.ANCHORARRAY(D661),TRUE)/10*0.95)/1000,
IFERROR(IF(_xlpm.phase="3Phase", _xlpm.p3_calc, _xlpm.sp_calc),0))</f>
        <v>0</v>
      </c>
      <c r="AD661" s="29"/>
      <c r="AE661" s="30"/>
      <c r="AF661" s="30"/>
      <c r="AG661" s="30"/>
      <c r="AH661" s="31"/>
      <c r="AI661" s="49">
        <f t="shared" si="20"/>
        <v>0</v>
      </c>
      <c r="AJ661" s="71"/>
    </row>
    <row r="662" spans="2:36" x14ac:dyDescent="0.25">
      <c r="B662" s="29"/>
      <c r="C662" s="10" t="s">
        <v>2070</v>
      </c>
      <c r="D662" s="2" t="b" cm="1">
        <f t="array" ref="D662:O662">_xlfn._xlws.FILTER(IF(ancillary!$E$4:$P$8="",FALSE,ancillary!$E$4:$P$8),ancillary!$B$4:$B$8=$C662)</f>
        <v>1</v>
      </c>
      <c r="E662" s="2" t="b">
        <v>1</v>
      </c>
      <c r="F662" s="2" t="b">
        <v>1</v>
      </c>
      <c r="G662" s="2" t="b">
        <v>1</v>
      </c>
      <c r="H662" s="2" t="b">
        <v>1</v>
      </c>
      <c r="I662" s="2" t="b">
        <v>1</v>
      </c>
      <c r="J662" s="2" t="b">
        <v>0</v>
      </c>
      <c r="K662" s="2" t="b">
        <v>0</v>
      </c>
      <c r="L662" s="2" t="b">
        <v>0</v>
      </c>
      <c r="M662" s="2" t="b">
        <v>0</v>
      </c>
      <c r="N662" s="2" t="b">
        <v>0</v>
      </c>
      <c r="O662" s="2" t="b">
        <v>0</v>
      </c>
      <c r="P662" s="68"/>
      <c r="R662" s="69"/>
      <c r="S662" s="68"/>
      <c r="U662" s="69"/>
      <c r="V662" s="68"/>
      <c r="X662" s="69"/>
      <c r="Y662" s="68"/>
      <c r="AA662" s="69"/>
      <c r="AB662" s="33">
        <f t="shared" si="21"/>
        <v>0</v>
      </c>
      <c r="AC662" s="45">
        <f>_xlfn.LET(_xlpm.ps_1,P662:R662, _xlpm.ps_2,S662:U662, _xlpm.ps_3,V662:X662, _xlpm.ps_4,Y662:AA662,
_xlpm.phase, MID(C662,SEARCH("-",C662)+1,256),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(_xlfn.XLOOKUP($C$7,site_assumptions[Details],site_assumptions[Volts])*SUMIFS(P662:AA662,_xlfn.ANCHORARRAY(D662),TRUE)/10*0.95)/1000,
IFERROR(IF(_xlpm.phase="3Phase", _xlpm.p3_calc, _xlpm.sp_calc),0))</f>
        <v>0</v>
      </c>
      <c r="AD662" s="29"/>
      <c r="AE662" s="30"/>
      <c r="AF662" s="30"/>
      <c r="AG662" s="30"/>
      <c r="AH662" s="31"/>
      <c r="AI662" s="49">
        <f t="shared" si="20"/>
        <v>0</v>
      </c>
      <c r="AJ662" s="71"/>
    </row>
    <row r="663" spans="2:36" x14ac:dyDescent="0.25">
      <c r="B663" s="29"/>
      <c r="C663" s="10" t="s">
        <v>2070</v>
      </c>
      <c r="D663" s="2" t="b" cm="1">
        <f t="array" ref="D663:O663">_xlfn._xlws.FILTER(IF(ancillary!$E$4:$P$8="",FALSE,ancillary!$E$4:$P$8),ancillary!$B$4:$B$8=$C663)</f>
        <v>1</v>
      </c>
      <c r="E663" s="2" t="b">
        <v>1</v>
      </c>
      <c r="F663" s="2" t="b">
        <v>1</v>
      </c>
      <c r="G663" s="2" t="b">
        <v>1</v>
      </c>
      <c r="H663" s="2" t="b">
        <v>1</v>
      </c>
      <c r="I663" s="2" t="b">
        <v>1</v>
      </c>
      <c r="J663" s="2" t="b">
        <v>0</v>
      </c>
      <c r="K663" s="2" t="b">
        <v>0</v>
      </c>
      <c r="L663" s="2" t="b">
        <v>0</v>
      </c>
      <c r="M663" s="2" t="b">
        <v>0</v>
      </c>
      <c r="N663" s="2" t="b">
        <v>0</v>
      </c>
      <c r="O663" s="2" t="b">
        <v>0</v>
      </c>
      <c r="P663" s="68"/>
      <c r="R663" s="69"/>
      <c r="S663" s="68"/>
      <c r="U663" s="69"/>
      <c r="V663" s="68"/>
      <c r="X663" s="69"/>
      <c r="Y663" s="68"/>
      <c r="AA663" s="69"/>
      <c r="AB663" s="33">
        <f t="shared" si="21"/>
        <v>0</v>
      </c>
      <c r="AC663" s="45">
        <f>_xlfn.LET(_xlpm.ps_1,P663:R663, _xlpm.ps_2,S663:U663, _xlpm.ps_3,V663:X663, _xlpm.ps_4,Y663:AA663,
_xlpm.phase, MID(C663,SEARCH("-",C663)+1,256),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(_xlfn.XLOOKUP($C$7,site_assumptions[Details],site_assumptions[Volts])*SUMIFS(P663:AA663,_xlfn.ANCHORARRAY(D663),TRUE)/10*0.95)/1000,
IFERROR(IF(_xlpm.phase="3Phase", _xlpm.p3_calc, _xlpm.sp_calc),0))</f>
        <v>0</v>
      </c>
      <c r="AD663" s="29"/>
      <c r="AE663" s="30"/>
      <c r="AF663" s="30"/>
      <c r="AG663" s="30"/>
      <c r="AH663" s="31"/>
      <c r="AI663" s="49">
        <f t="shared" si="20"/>
        <v>0</v>
      </c>
      <c r="AJ663" s="71"/>
    </row>
    <row r="664" spans="2:36" x14ac:dyDescent="0.25">
      <c r="B664" s="29"/>
      <c r="C664" s="10" t="s">
        <v>2070</v>
      </c>
      <c r="D664" s="2" t="b" cm="1">
        <f t="array" ref="D664:O664">_xlfn._xlws.FILTER(IF(ancillary!$E$4:$P$8="",FALSE,ancillary!$E$4:$P$8),ancillary!$B$4:$B$8=$C664)</f>
        <v>1</v>
      </c>
      <c r="E664" s="2" t="b">
        <v>1</v>
      </c>
      <c r="F664" s="2" t="b">
        <v>1</v>
      </c>
      <c r="G664" s="2" t="b">
        <v>1</v>
      </c>
      <c r="H664" s="2" t="b">
        <v>1</v>
      </c>
      <c r="I664" s="2" t="b">
        <v>1</v>
      </c>
      <c r="J664" s="2" t="b">
        <v>0</v>
      </c>
      <c r="K664" s="2" t="b">
        <v>0</v>
      </c>
      <c r="L664" s="2" t="b">
        <v>0</v>
      </c>
      <c r="M664" s="2" t="b">
        <v>0</v>
      </c>
      <c r="N664" s="2" t="b">
        <v>0</v>
      </c>
      <c r="O664" s="2" t="b">
        <v>0</v>
      </c>
      <c r="P664" s="68"/>
      <c r="R664" s="69"/>
      <c r="S664" s="68"/>
      <c r="U664" s="69"/>
      <c r="V664" s="68"/>
      <c r="X664" s="69"/>
      <c r="Y664" s="68"/>
      <c r="AA664" s="69"/>
      <c r="AB664" s="33">
        <f t="shared" si="21"/>
        <v>0</v>
      </c>
      <c r="AC664" s="45">
        <f>_xlfn.LET(_xlpm.ps_1,P664:R664, _xlpm.ps_2,S664:U664, _xlpm.ps_3,V664:X664, _xlpm.ps_4,Y664:AA664,
_xlpm.phase, MID(C664,SEARCH("-",C664)+1,256),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(_xlfn.XLOOKUP($C$7,site_assumptions[Details],site_assumptions[Volts])*SUMIFS(P664:AA664,_xlfn.ANCHORARRAY(D664),TRUE)/10*0.95)/1000,
IFERROR(IF(_xlpm.phase="3Phase", _xlpm.p3_calc, _xlpm.sp_calc),0))</f>
        <v>0</v>
      </c>
      <c r="AD664" s="29"/>
      <c r="AE664" s="30"/>
      <c r="AF664" s="30"/>
      <c r="AG664" s="30"/>
      <c r="AH664" s="31"/>
      <c r="AI664" s="49">
        <f t="shared" si="20"/>
        <v>0</v>
      </c>
      <c r="AJ664" s="71"/>
    </row>
    <row r="665" spans="2:36" x14ac:dyDescent="0.25">
      <c r="B665" s="29"/>
      <c r="C665" s="10" t="s">
        <v>2070</v>
      </c>
      <c r="D665" s="2" t="b" cm="1">
        <f t="array" ref="D665:O665">_xlfn._xlws.FILTER(IF(ancillary!$E$4:$P$8="",FALSE,ancillary!$E$4:$P$8),ancillary!$B$4:$B$8=$C665)</f>
        <v>1</v>
      </c>
      <c r="E665" s="2" t="b">
        <v>1</v>
      </c>
      <c r="F665" s="2" t="b">
        <v>1</v>
      </c>
      <c r="G665" s="2" t="b">
        <v>1</v>
      </c>
      <c r="H665" s="2" t="b">
        <v>1</v>
      </c>
      <c r="I665" s="2" t="b">
        <v>1</v>
      </c>
      <c r="J665" s="2" t="b">
        <v>0</v>
      </c>
      <c r="K665" s="2" t="b">
        <v>0</v>
      </c>
      <c r="L665" s="2" t="b">
        <v>0</v>
      </c>
      <c r="M665" s="2" t="b">
        <v>0</v>
      </c>
      <c r="N665" s="2" t="b">
        <v>0</v>
      </c>
      <c r="O665" s="2" t="b">
        <v>0</v>
      </c>
      <c r="P665" s="68"/>
      <c r="R665" s="69"/>
      <c r="S665" s="68"/>
      <c r="U665" s="69"/>
      <c r="V665" s="68"/>
      <c r="X665" s="69"/>
      <c r="Y665" s="68"/>
      <c r="AA665" s="69"/>
      <c r="AB665" s="33">
        <f t="shared" si="21"/>
        <v>0</v>
      </c>
      <c r="AC665" s="45">
        <f>_xlfn.LET(_xlpm.ps_1,P665:R665, _xlpm.ps_2,S665:U665, _xlpm.ps_3,V665:X665, _xlpm.ps_4,Y665:AA665,
_xlpm.phase, MID(C665,SEARCH("-",C665)+1,256),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(_xlfn.XLOOKUP($C$7,site_assumptions[Details],site_assumptions[Volts])*SUMIFS(P665:AA665,_xlfn.ANCHORARRAY(D665),TRUE)/10*0.95)/1000,
IFERROR(IF(_xlpm.phase="3Phase", _xlpm.p3_calc, _xlpm.sp_calc),0))</f>
        <v>0</v>
      </c>
      <c r="AD665" s="29"/>
      <c r="AE665" s="30"/>
      <c r="AF665" s="30"/>
      <c r="AG665" s="30"/>
      <c r="AH665" s="31"/>
      <c r="AI665" s="49">
        <f t="shared" si="20"/>
        <v>0</v>
      </c>
      <c r="AJ665" s="71"/>
    </row>
    <row r="666" spans="2:36" x14ac:dyDescent="0.25">
      <c r="B666" s="29"/>
      <c r="C666" s="10" t="s">
        <v>2070</v>
      </c>
      <c r="D666" s="2" t="b" cm="1">
        <f t="array" ref="D666:O666">_xlfn._xlws.FILTER(IF(ancillary!$E$4:$P$8="",FALSE,ancillary!$E$4:$P$8),ancillary!$B$4:$B$8=$C666)</f>
        <v>1</v>
      </c>
      <c r="E666" s="2" t="b">
        <v>1</v>
      </c>
      <c r="F666" s="2" t="b">
        <v>1</v>
      </c>
      <c r="G666" s="2" t="b">
        <v>1</v>
      </c>
      <c r="H666" s="2" t="b">
        <v>1</v>
      </c>
      <c r="I666" s="2" t="b">
        <v>1</v>
      </c>
      <c r="J666" s="2" t="b">
        <v>0</v>
      </c>
      <c r="K666" s="2" t="b">
        <v>0</v>
      </c>
      <c r="L666" s="2" t="b">
        <v>0</v>
      </c>
      <c r="M666" s="2" t="b">
        <v>0</v>
      </c>
      <c r="N666" s="2" t="b">
        <v>0</v>
      </c>
      <c r="O666" s="2" t="b">
        <v>0</v>
      </c>
      <c r="P666" s="68"/>
      <c r="R666" s="69"/>
      <c r="S666" s="68"/>
      <c r="U666" s="69"/>
      <c r="V666" s="68"/>
      <c r="X666" s="69"/>
      <c r="Y666" s="68"/>
      <c r="AA666" s="69"/>
      <c r="AB666" s="33">
        <f t="shared" si="21"/>
        <v>0</v>
      </c>
      <c r="AC666" s="45">
        <f>_xlfn.LET(_xlpm.ps_1,P666:R666, _xlpm.ps_2,S666:U666, _xlpm.ps_3,V666:X666, _xlpm.ps_4,Y666:AA666,
_xlpm.phase, MID(C666,SEARCH("-",C666)+1,256),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(_xlfn.XLOOKUP($C$7,site_assumptions[Details],site_assumptions[Volts])*SUMIFS(P666:AA666,_xlfn.ANCHORARRAY(D666),TRUE)/10*0.95)/1000,
IFERROR(IF(_xlpm.phase="3Phase", _xlpm.p3_calc, _xlpm.sp_calc),0))</f>
        <v>0</v>
      </c>
      <c r="AD666" s="29"/>
      <c r="AE666" s="30"/>
      <c r="AF666" s="30"/>
      <c r="AG666" s="30"/>
      <c r="AH666" s="31"/>
      <c r="AI666" s="49">
        <f t="shared" si="20"/>
        <v>0</v>
      </c>
      <c r="AJ666" s="71"/>
    </row>
    <row r="667" spans="2:36" x14ac:dyDescent="0.25">
      <c r="B667" s="29"/>
      <c r="C667" s="10" t="s">
        <v>2070</v>
      </c>
      <c r="D667" s="2" t="b" cm="1">
        <f t="array" ref="D667:O667">_xlfn._xlws.FILTER(IF(ancillary!$E$4:$P$8="",FALSE,ancillary!$E$4:$P$8),ancillary!$B$4:$B$8=$C667)</f>
        <v>1</v>
      </c>
      <c r="E667" s="2" t="b">
        <v>1</v>
      </c>
      <c r="F667" s="2" t="b">
        <v>1</v>
      </c>
      <c r="G667" s="2" t="b">
        <v>1</v>
      </c>
      <c r="H667" s="2" t="b">
        <v>1</v>
      </c>
      <c r="I667" s="2" t="b">
        <v>1</v>
      </c>
      <c r="J667" s="2" t="b">
        <v>0</v>
      </c>
      <c r="K667" s="2" t="b">
        <v>0</v>
      </c>
      <c r="L667" s="2" t="b">
        <v>0</v>
      </c>
      <c r="M667" s="2" t="b">
        <v>0</v>
      </c>
      <c r="N667" s="2" t="b">
        <v>0</v>
      </c>
      <c r="O667" s="2" t="b">
        <v>0</v>
      </c>
      <c r="P667" s="68"/>
      <c r="R667" s="69"/>
      <c r="S667" s="68"/>
      <c r="U667" s="69"/>
      <c r="V667" s="68"/>
      <c r="X667" s="69"/>
      <c r="Y667" s="68"/>
      <c r="AA667" s="69"/>
      <c r="AB667" s="33">
        <f t="shared" si="21"/>
        <v>0</v>
      </c>
      <c r="AC667" s="45">
        <f>_xlfn.LET(_xlpm.ps_1,P667:R667, _xlpm.ps_2,S667:U667, _xlpm.ps_3,V667:X667, _xlpm.ps_4,Y667:AA667,
_xlpm.phase, MID(C667,SEARCH("-",C667)+1,256),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(_xlfn.XLOOKUP($C$7,site_assumptions[Details],site_assumptions[Volts])*SUMIFS(P667:AA667,_xlfn.ANCHORARRAY(D667),TRUE)/10*0.95)/1000,
IFERROR(IF(_xlpm.phase="3Phase", _xlpm.p3_calc, _xlpm.sp_calc),0))</f>
        <v>0</v>
      </c>
      <c r="AD667" s="29"/>
      <c r="AE667" s="30"/>
      <c r="AF667" s="30"/>
      <c r="AG667" s="30"/>
      <c r="AH667" s="31"/>
      <c r="AI667" s="49">
        <f t="shared" si="20"/>
        <v>0</v>
      </c>
      <c r="AJ667" s="71"/>
    </row>
    <row r="668" spans="2:36" x14ac:dyDescent="0.25">
      <c r="B668" s="29"/>
      <c r="C668" s="10" t="s">
        <v>2070</v>
      </c>
      <c r="D668" s="2" t="b" cm="1">
        <f t="array" ref="D668:O668">_xlfn._xlws.FILTER(IF(ancillary!$E$4:$P$8="",FALSE,ancillary!$E$4:$P$8),ancillary!$B$4:$B$8=$C668)</f>
        <v>1</v>
      </c>
      <c r="E668" s="2" t="b">
        <v>1</v>
      </c>
      <c r="F668" s="2" t="b">
        <v>1</v>
      </c>
      <c r="G668" s="2" t="b">
        <v>1</v>
      </c>
      <c r="H668" s="2" t="b">
        <v>1</v>
      </c>
      <c r="I668" s="2" t="b">
        <v>1</v>
      </c>
      <c r="J668" s="2" t="b">
        <v>0</v>
      </c>
      <c r="K668" s="2" t="b">
        <v>0</v>
      </c>
      <c r="L668" s="2" t="b">
        <v>0</v>
      </c>
      <c r="M668" s="2" t="b">
        <v>0</v>
      </c>
      <c r="N668" s="2" t="b">
        <v>0</v>
      </c>
      <c r="O668" s="2" t="b">
        <v>0</v>
      </c>
      <c r="P668" s="68"/>
      <c r="R668" s="69"/>
      <c r="S668" s="68"/>
      <c r="U668" s="69"/>
      <c r="V668" s="68"/>
      <c r="X668" s="69"/>
      <c r="Y668" s="68"/>
      <c r="AA668" s="69"/>
      <c r="AB668" s="33">
        <f t="shared" si="21"/>
        <v>0</v>
      </c>
      <c r="AC668" s="45">
        <f>_xlfn.LET(_xlpm.ps_1,P668:R668, _xlpm.ps_2,S668:U668, _xlpm.ps_3,V668:X668, _xlpm.ps_4,Y668:AA668,
_xlpm.phase, MID(C668,SEARCH("-",C668)+1,256),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(_xlfn.XLOOKUP($C$7,site_assumptions[Details],site_assumptions[Volts])*SUMIFS(P668:AA668,_xlfn.ANCHORARRAY(D668),TRUE)/10*0.95)/1000,
IFERROR(IF(_xlpm.phase="3Phase", _xlpm.p3_calc, _xlpm.sp_calc),0))</f>
        <v>0</v>
      </c>
      <c r="AD668" s="29"/>
      <c r="AE668" s="30"/>
      <c r="AF668" s="30"/>
      <c r="AG668" s="30"/>
      <c r="AH668" s="31"/>
      <c r="AI668" s="49">
        <f t="shared" si="20"/>
        <v>0</v>
      </c>
      <c r="AJ668" s="71"/>
    </row>
    <row r="669" spans="2:36" x14ac:dyDescent="0.25">
      <c r="B669" s="29"/>
      <c r="C669" s="10" t="s">
        <v>2070</v>
      </c>
      <c r="D669" s="2" t="b" cm="1">
        <f t="array" ref="D669:O669">_xlfn._xlws.FILTER(IF(ancillary!$E$4:$P$8="",FALSE,ancillary!$E$4:$P$8),ancillary!$B$4:$B$8=$C669)</f>
        <v>1</v>
      </c>
      <c r="E669" s="2" t="b">
        <v>1</v>
      </c>
      <c r="F669" s="2" t="b">
        <v>1</v>
      </c>
      <c r="G669" s="2" t="b">
        <v>1</v>
      </c>
      <c r="H669" s="2" t="b">
        <v>1</v>
      </c>
      <c r="I669" s="2" t="b">
        <v>1</v>
      </c>
      <c r="J669" s="2" t="b">
        <v>0</v>
      </c>
      <c r="K669" s="2" t="b">
        <v>0</v>
      </c>
      <c r="L669" s="2" t="b">
        <v>0</v>
      </c>
      <c r="M669" s="2" t="b">
        <v>0</v>
      </c>
      <c r="N669" s="2" t="b">
        <v>0</v>
      </c>
      <c r="O669" s="2" t="b">
        <v>0</v>
      </c>
      <c r="P669" s="68"/>
      <c r="R669" s="69"/>
      <c r="S669" s="68"/>
      <c r="U669" s="69"/>
      <c r="V669" s="68"/>
      <c r="X669" s="69"/>
      <c r="Y669" s="68"/>
      <c r="AA669" s="69"/>
      <c r="AB669" s="33">
        <f t="shared" si="21"/>
        <v>0</v>
      </c>
      <c r="AC669" s="45">
        <f>_xlfn.LET(_xlpm.ps_1,P669:R669, _xlpm.ps_2,S669:U669, _xlpm.ps_3,V669:X669, _xlpm.ps_4,Y669:AA669,
_xlpm.phase, MID(C669,SEARCH("-",C669)+1,256),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(_xlfn.XLOOKUP($C$7,site_assumptions[Details],site_assumptions[Volts])*SUMIFS(P669:AA669,_xlfn.ANCHORARRAY(D669),TRUE)/10*0.95)/1000,
IFERROR(IF(_xlpm.phase="3Phase", _xlpm.p3_calc, _xlpm.sp_calc),0))</f>
        <v>0</v>
      </c>
      <c r="AD669" s="29"/>
      <c r="AE669" s="30"/>
      <c r="AF669" s="30"/>
      <c r="AG669" s="30"/>
      <c r="AH669" s="31"/>
      <c r="AI669" s="49">
        <f t="shared" si="20"/>
        <v>0</v>
      </c>
      <c r="AJ669" s="71"/>
    </row>
    <row r="670" spans="2:36" x14ac:dyDescent="0.25">
      <c r="B670" s="29"/>
      <c r="C670" s="10" t="s">
        <v>2070</v>
      </c>
      <c r="D670" s="2" t="b" cm="1">
        <f t="array" ref="D670:O670">_xlfn._xlws.FILTER(IF(ancillary!$E$4:$P$8="",FALSE,ancillary!$E$4:$P$8),ancillary!$B$4:$B$8=$C670)</f>
        <v>1</v>
      </c>
      <c r="E670" s="2" t="b">
        <v>1</v>
      </c>
      <c r="F670" s="2" t="b">
        <v>1</v>
      </c>
      <c r="G670" s="2" t="b">
        <v>1</v>
      </c>
      <c r="H670" s="2" t="b">
        <v>1</v>
      </c>
      <c r="I670" s="2" t="b">
        <v>1</v>
      </c>
      <c r="J670" s="2" t="b">
        <v>0</v>
      </c>
      <c r="K670" s="2" t="b">
        <v>0</v>
      </c>
      <c r="L670" s="2" t="b">
        <v>0</v>
      </c>
      <c r="M670" s="2" t="b">
        <v>0</v>
      </c>
      <c r="N670" s="2" t="b">
        <v>0</v>
      </c>
      <c r="O670" s="2" t="b">
        <v>0</v>
      </c>
      <c r="P670" s="68"/>
      <c r="R670" s="69"/>
      <c r="S670" s="68"/>
      <c r="U670" s="69"/>
      <c r="V670" s="68"/>
      <c r="X670" s="69"/>
      <c r="Y670" s="68"/>
      <c r="AA670" s="69"/>
      <c r="AB670" s="33">
        <f t="shared" si="21"/>
        <v>0</v>
      </c>
      <c r="AC670" s="45">
        <f>_xlfn.LET(_xlpm.ps_1,P670:R670, _xlpm.ps_2,S670:U670, _xlpm.ps_3,V670:X670, _xlpm.ps_4,Y670:AA670,
_xlpm.phase, MID(C670,SEARCH("-",C670)+1,256),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(_xlfn.XLOOKUP($C$7,site_assumptions[Details],site_assumptions[Volts])*SUMIFS(P670:AA670,_xlfn.ANCHORARRAY(D670),TRUE)/10*0.95)/1000,
IFERROR(IF(_xlpm.phase="3Phase", _xlpm.p3_calc, _xlpm.sp_calc),0))</f>
        <v>0</v>
      </c>
      <c r="AD670" s="29"/>
      <c r="AE670" s="30"/>
      <c r="AF670" s="30"/>
      <c r="AG670" s="30"/>
      <c r="AH670" s="31"/>
      <c r="AI670" s="49">
        <f t="shared" si="20"/>
        <v>0</v>
      </c>
      <c r="AJ670" s="71"/>
    </row>
    <row r="671" spans="2:36" x14ac:dyDescent="0.25">
      <c r="B671" s="29"/>
      <c r="C671" s="10" t="s">
        <v>2070</v>
      </c>
      <c r="D671" s="2" t="b" cm="1">
        <f t="array" ref="D671:O671">_xlfn._xlws.FILTER(IF(ancillary!$E$4:$P$8="",FALSE,ancillary!$E$4:$P$8),ancillary!$B$4:$B$8=$C671)</f>
        <v>1</v>
      </c>
      <c r="E671" s="2" t="b">
        <v>1</v>
      </c>
      <c r="F671" s="2" t="b">
        <v>1</v>
      </c>
      <c r="G671" s="2" t="b">
        <v>1</v>
      </c>
      <c r="H671" s="2" t="b">
        <v>1</v>
      </c>
      <c r="I671" s="2" t="b">
        <v>1</v>
      </c>
      <c r="J671" s="2" t="b">
        <v>0</v>
      </c>
      <c r="K671" s="2" t="b">
        <v>0</v>
      </c>
      <c r="L671" s="2" t="b">
        <v>0</v>
      </c>
      <c r="M671" s="2" t="b">
        <v>0</v>
      </c>
      <c r="N671" s="2" t="b">
        <v>0</v>
      </c>
      <c r="O671" s="2" t="b">
        <v>0</v>
      </c>
      <c r="P671" s="68"/>
      <c r="R671" s="69"/>
      <c r="S671" s="68"/>
      <c r="U671" s="69"/>
      <c r="V671" s="68"/>
      <c r="X671" s="69"/>
      <c r="Y671" s="68"/>
      <c r="AA671" s="69"/>
      <c r="AB671" s="33">
        <f t="shared" si="21"/>
        <v>0</v>
      </c>
      <c r="AC671" s="45">
        <f>_xlfn.LET(_xlpm.ps_1,P671:R671, _xlpm.ps_2,S671:U671, _xlpm.ps_3,V671:X671, _xlpm.ps_4,Y671:AA671,
_xlpm.phase, MID(C671,SEARCH("-",C671)+1,256),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(_xlfn.XLOOKUP($C$7,site_assumptions[Details],site_assumptions[Volts])*SUMIFS(P671:AA671,_xlfn.ANCHORARRAY(D671),TRUE)/10*0.95)/1000,
IFERROR(IF(_xlpm.phase="3Phase", _xlpm.p3_calc, _xlpm.sp_calc),0))</f>
        <v>0</v>
      </c>
      <c r="AD671" s="29"/>
      <c r="AE671" s="30"/>
      <c r="AF671" s="30"/>
      <c r="AG671" s="30"/>
      <c r="AH671" s="31"/>
      <c r="AI671" s="49">
        <f t="shared" si="20"/>
        <v>0</v>
      </c>
      <c r="AJ671" s="71"/>
    </row>
    <row r="672" spans="2:36" x14ac:dyDescent="0.25">
      <c r="B672" s="29"/>
      <c r="C672" s="10" t="s">
        <v>2070</v>
      </c>
      <c r="D672" s="2" t="b" cm="1">
        <f t="array" ref="D672:O672">_xlfn._xlws.FILTER(IF(ancillary!$E$4:$P$8="",FALSE,ancillary!$E$4:$P$8),ancillary!$B$4:$B$8=$C672)</f>
        <v>1</v>
      </c>
      <c r="E672" s="2" t="b">
        <v>1</v>
      </c>
      <c r="F672" s="2" t="b">
        <v>1</v>
      </c>
      <c r="G672" s="2" t="b">
        <v>1</v>
      </c>
      <c r="H672" s="2" t="b">
        <v>1</v>
      </c>
      <c r="I672" s="2" t="b">
        <v>1</v>
      </c>
      <c r="J672" s="2" t="b">
        <v>0</v>
      </c>
      <c r="K672" s="2" t="b">
        <v>0</v>
      </c>
      <c r="L672" s="2" t="b">
        <v>0</v>
      </c>
      <c r="M672" s="2" t="b">
        <v>0</v>
      </c>
      <c r="N672" s="2" t="b">
        <v>0</v>
      </c>
      <c r="O672" s="2" t="b">
        <v>0</v>
      </c>
      <c r="P672" s="68"/>
      <c r="R672" s="69"/>
      <c r="S672" s="68"/>
      <c r="U672" s="69"/>
      <c r="V672" s="68"/>
      <c r="X672" s="69"/>
      <c r="Y672" s="68"/>
      <c r="AA672" s="69"/>
      <c r="AB672" s="33">
        <f t="shared" si="21"/>
        <v>0</v>
      </c>
      <c r="AC672" s="45">
        <f>_xlfn.LET(_xlpm.ps_1,P672:R672, _xlpm.ps_2,S672:U672, _xlpm.ps_3,V672:X672, _xlpm.ps_4,Y672:AA672,
_xlpm.phase, MID(C672,SEARCH("-",C672)+1,256),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(_xlfn.XLOOKUP($C$7,site_assumptions[Details],site_assumptions[Volts])*SUMIFS(P672:AA672,_xlfn.ANCHORARRAY(D672),TRUE)/10*0.95)/1000,
IFERROR(IF(_xlpm.phase="3Phase", _xlpm.p3_calc, _xlpm.sp_calc),0))</f>
        <v>0</v>
      </c>
      <c r="AD672" s="29"/>
      <c r="AE672" s="30"/>
      <c r="AF672" s="30"/>
      <c r="AG672" s="30"/>
      <c r="AH672" s="31"/>
      <c r="AI672" s="49">
        <f t="shared" si="20"/>
        <v>0</v>
      </c>
      <c r="AJ672" s="71"/>
    </row>
    <row r="673" spans="2:36" x14ac:dyDescent="0.25">
      <c r="B673" s="29"/>
      <c r="C673" s="10" t="s">
        <v>2070</v>
      </c>
      <c r="D673" s="2" t="b" cm="1">
        <f t="array" ref="D673:O673">_xlfn._xlws.FILTER(IF(ancillary!$E$4:$P$8="",FALSE,ancillary!$E$4:$P$8),ancillary!$B$4:$B$8=$C673)</f>
        <v>1</v>
      </c>
      <c r="E673" s="2" t="b">
        <v>1</v>
      </c>
      <c r="F673" s="2" t="b">
        <v>1</v>
      </c>
      <c r="G673" s="2" t="b">
        <v>1</v>
      </c>
      <c r="H673" s="2" t="b">
        <v>1</v>
      </c>
      <c r="I673" s="2" t="b">
        <v>1</v>
      </c>
      <c r="J673" s="2" t="b">
        <v>0</v>
      </c>
      <c r="K673" s="2" t="b">
        <v>0</v>
      </c>
      <c r="L673" s="2" t="b">
        <v>0</v>
      </c>
      <c r="M673" s="2" t="b">
        <v>0</v>
      </c>
      <c r="N673" s="2" t="b">
        <v>0</v>
      </c>
      <c r="O673" s="2" t="b">
        <v>0</v>
      </c>
      <c r="P673" s="68"/>
      <c r="R673" s="69"/>
      <c r="S673" s="68"/>
      <c r="U673" s="69"/>
      <c r="V673" s="68"/>
      <c r="X673" s="69"/>
      <c r="Y673" s="68"/>
      <c r="AA673" s="69"/>
      <c r="AB673" s="33">
        <f t="shared" si="21"/>
        <v>0</v>
      </c>
      <c r="AC673" s="45">
        <f>_xlfn.LET(_xlpm.ps_1,P673:R673, _xlpm.ps_2,S673:U673, _xlpm.ps_3,V673:X673, _xlpm.ps_4,Y673:AA673,
_xlpm.phase, MID(C673,SEARCH("-",C673)+1,256),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(_xlfn.XLOOKUP($C$7,site_assumptions[Details],site_assumptions[Volts])*SUMIFS(P673:AA673,_xlfn.ANCHORARRAY(D673),TRUE)/10*0.95)/1000,
IFERROR(IF(_xlpm.phase="3Phase", _xlpm.p3_calc, _xlpm.sp_calc),0))</f>
        <v>0</v>
      </c>
      <c r="AD673" s="29"/>
      <c r="AE673" s="30"/>
      <c r="AF673" s="30"/>
      <c r="AG673" s="30"/>
      <c r="AH673" s="31"/>
      <c r="AI673" s="49">
        <f t="shared" si="20"/>
        <v>0</v>
      </c>
      <c r="AJ673" s="71"/>
    </row>
    <row r="674" spans="2:36" x14ac:dyDescent="0.25">
      <c r="B674" s="29"/>
      <c r="C674" s="10" t="s">
        <v>2070</v>
      </c>
      <c r="D674" s="2" t="b" cm="1">
        <f t="array" ref="D674:O674">_xlfn._xlws.FILTER(IF(ancillary!$E$4:$P$8="",FALSE,ancillary!$E$4:$P$8),ancillary!$B$4:$B$8=$C674)</f>
        <v>1</v>
      </c>
      <c r="E674" s="2" t="b">
        <v>1</v>
      </c>
      <c r="F674" s="2" t="b">
        <v>1</v>
      </c>
      <c r="G674" s="2" t="b">
        <v>1</v>
      </c>
      <c r="H674" s="2" t="b">
        <v>1</v>
      </c>
      <c r="I674" s="2" t="b">
        <v>1</v>
      </c>
      <c r="J674" s="2" t="b">
        <v>0</v>
      </c>
      <c r="K674" s="2" t="b">
        <v>0</v>
      </c>
      <c r="L674" s="2" t="b">
        <v>0</v>
      </c>
      <c r="M674" s="2" t="b">
        <v>0</v>
      </c>
      <c r="N674" s="2" t="b">
        <v>0</v>
      </c>
      <c r="O674" s="2" t="b">
        <v>0</v>
      </c>
      <c r="P674" s="68"/>
      <c r="R674" s="69"/>
      <c r="S674" s="68"/>
      <c r="U674" s="69"/>
      <c r="V674" s="68"/>
      <c r="X674" s="69"/>
      <c r="Y674" s="68"/>
      <c r="AA674" s="69"/>
      <c r="AB674" s="33">
        <f t="shared" si="21"/>
        <v>0</v>
      </c>
      <c r="AC674" s="45">
        <f>_xlfn.LET(_xlpm.ps_1,P674:R674, _xlpm.ps_2,S674:U674, _xlpm.ps_3,V674:X674, _xlpm.ps_4,Y674:AA674,
_xlpm.phase, MID(C674,SEARCH("-",C674)+1,256),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(_xlfn.XLOOKUP($C$7,site_assumptions[Details],site_assumptions[Volts])*SUMIFS(P674:AA674,_xlfn.ANCHORARRAY(D674),TRUE)/10*0.95)/1000,
IFERROR(IF(_xlpm.phase="3Phase", _xlpm.p3_calc, _xlpm.sp_calc),0))</f>
        <v>0</v>
      </c>
      <c r="AD674" s="29"/>
      <c r="AE674" s="30"/>
      <c r="AF674" s="30"/>
      <c r="AG674" s="30"/>
      <c r="AH674" s="31"/>
      <c r="AI674" s="49">
        <f t="shared" si="20"/>
        <v>0</v>
      </c>
      <c r="AJ674" s="71"/>
    </row>
    <row r="675" spans="2:36" x14ac:dyDescent="0.25">
      <c r="B675" s="29"/>
      <c r="C675" s="10" t="s">
        <v>2070</v>
      </c>
      <c r="D675" s="2" t="b" cm="1">
        <f t="array" ref="D675:O675">_xlfn._xlws.FILTER(IF(ancillary!$E$4:$P$8="",FALSE,ancillary!$E$4:$P$8),ancillary!$B$4:$B$8=$C675)</f>
        <v>1</v>
      </c>
      <c r="E675" s="2" t="b">
        <v>1</v>
      </c>
      <c r="F675" s="2" t="b">
        <v>1</v>
      </c>
      <c r="G675" s="2" t="b">
        <v>1</v>
      </c>
      <c r="H675" s="2" t="b">
        <v>1</v>
      </c>
      <c r="I675" s="2" t="b">
        <v>1</v>
      </c>
      <c r="J675" s="2" t="b">
        <v>0</v>
      </c>
      <c r="K675" s="2" t="b">
        <v>0</v>
      </c>
      <c r="L675" s="2" t="b">
        <v>0</v>
      </c>
      <c r="M675" s="2" t="b">
        <v>0</v>
      </c>
      <c r="N675" s="2" t="b">
        <v>0</v>
      </c>
      <c r="O675" s="2" t="b">
        <v>0</v>
      </c>
      <c r="P675" s="68"/>
      <c r="R675" s="69"/>
      <c r="S675" s="68"/>
      <c r="U675" s="69"/>
      <c r="V675" s="68"/>
      <c r="X675" s="69"/>
      <c r="Y675" s="68"/>
      <c r="AA675" s="69"/>
      <c r="AB675" s="33">
        <f t="shared" si="21"/>
        <v>0</v>
      </c>
      <c r="AC675" s="45">
        <f>_xlfn.LET(_xlpm.ps_1,P675:R675, _xlpm.ps_2,S675:U675, _xlpm.ps_3,V675:X675, _xlpm.ps_4,Y675:AA675,
_xlpm.phase, MID(C675,SEARCH("-",C675)+1,256),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(_xlfn.XLOOKUP($C$7,site_assumptions[Details],site_assumptions[Volts])*SUMIFS(P675:AA675,_xlfn.ANCHORARRAY(D675),TRUE)/10*0.95)/1000,
IFERROR(IF(_xlpm.phase="3Phase", _xlpm.p3_calc, _xlpm.sp_calc),0))</f>
        <v>0</v>
      </c>
      <c r="AD675" s="29"/>
      <c r="AE675" s="30"/>
      <c r="AF675" s="30"/>
      <c r="AG675" s="30"/>
      <c r="AH675" s="31"/>
      <c r="AI675" s="49">
        <f t="shared" si="20"/>
        <v>0</v>
      </c>
      <c r="AJ675" s="71"/>
    </row>
    <row r="676" spans="2:36" x14ac:dyDescent="0.25">
      <c r="B676" s="29"/>
      <c r="C676" s="10" t="s">
        <v>2070</v>
      </c>
      <c r="D676" s="2" t="b" cm="1">
        <f t="array" ref="D676:O676">_xlfn._xlws.FILTER(IF(ancillary!$E$4:$P$8="",FALSE,ancillary!$E$4:$P$8),ancillary!$B$4:$B$8=$C676)</f>
        <v>1</v>
      </c>
      <c r="E676" s="2" t="b">
        <v>1</v>
      </c>
      <c r="F676" s="2" t="b">
        <v>1</v>
      </c>
      <c r="G676" s="2" t="b">
        <v>1</v>
      </c>
      <c r="H676" s="2" t="b">
        <v>1</v>
      </c>
      <c r="I676" s="2" t="b">
        <v>1</v>
      </c>
      <c r="J676" s="2" t="b">
        <v>0</v>
      </c>
      <c r="K676" s="2" t="b">
        <v>0</v>
      </c>
      <c r="L676" s="2" t="b">
        <v>0</v>
      </c>
      <c r="M676" s="2" t="b">
        <v>0</v>
      </c>
      <c r="N676" s="2" t="b">
        <v>0</v>
      </c>
      <c r="O676" s="2" t="b">
        <v>0</v>
      </c>
      <c r="P676" s="68"/>
      <c r="R676" s="69"/>
      <c r="S676" s="68"/>
      <c r="U676" s="69"/>
      <c r="V676" s="68"/>
      <c r="X676" s="69"/>
      <c r="Y676" s="68"/>
      <c r="AA676" s="69"/>
      <c r="AB676" s="33">
        <f t="shared" si="21"/>
        <v>0</v>
      </c>
      <c r="AC676" s="45">
        <f>_xlfn.LET(_xlpm.ps_1,P676:R676, _xlpm.ps_2,S676:U676, _xlpm.ps_3,V676:X676, _xlpm.ps_4,Y676:AA676,
_xlpm.phase, MID(C676,SEARCH("-",C676)+1,256),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(_xlfn.XLOOKUP($C$7,site_assumptions[Details],site_assumptions[Volts])*SUMIFS(P676:AA676,_xlfn.ANCHORARRAY(D676),TRUE)/10*0.95)/1000,
IFERROR(IF(_xlpm.phase="3Phase", _xlpm.p3_calc, _xlpm.sp_calc),0))</f>
        <v>0</v>
      </c>
      <c r="AD676" s="29"/>
      <c r="AE676" s="30"/>
      <c r="AF676" s="30"/>
      <c r="AG676" s="30"/>
      <c r="AH676" s="31"/>
      <c r="AI676" s="49">
        <f t="shared" si="20"/>
        <v>0</v>
      </c>
      <c r="AJ676" s="71"/>
    </row>
    <row r="677" spans="2:36" x14ac:dyDescent="0.25">
      <c r="B677" s="29"/>
      <c r="C677" s="10" t="s">
        <v>2070</v>
      </c>
      <c r="D677" s="2" t="b" cm="1">
        <f t="array" ref="D677:O677">_xlfn._xlws.FILTER(IF(ancillary!$E$4:$P$8="",FALSE,ancillary!$E$4:$P$8),ancillary!$B$4:$B$8=$C677)</f>
        <v>1</v>
      </c>
      <c r="E677" s="2" t="b">
        <v>1</v>
      </c>
      <c r="F677" s="2" t="b">
        <v>1</v>
      </c>
      <c r="G677" s="2" t="b">
        <v>1</v>
      </c>
      <c r="H677" s="2" t="b">
        <v>1</v>
      </c>
      <c r="I677" s="2" t="b">
        <v>1</v>
      </c>
      <c r="J677" s="2" t="b">
        <v>0</v>
      </c>
      <c r="K677" s="2" t="b">
        <v>0</v>
      </c>
      <c r="L677" s="2" t="b">
        <v>0</v>
      </c>
      <c r="M677" s="2" t="b">
        <v>0</v>
      </c>
      <c r="N677" s="2" t="b">
        <v>0</v>
      </c>
      <c r="O677" s="2" t="b">
        <v>0</v>
      </c>
      <c r="P677" s="68"/>
      <c r="R677" s="69"/>
      <c r="S677" s="68"/>
      <c r="U677" s="69"/>
      <c r="V677" s="68"/>
      <c r="X677" s="69"/>
      <c r="Y677" s="68"/>
      <c r="AA677" s="69"/>
      <c r="AB677" s="33">
        <f t="shared" si="21"/>
        <v>0</v>
      </c>
      <c r="AC677" s="45">
        <f>_xlfn.LET(_xlpm.ps_1,P677:R677, _xlpm.ps_2,S677:U677, _xlpm.ps_3,V677:X677, _xlpm.ps_4,Y677:AA677,
_xlpm.phase, MID(C677,SEARCH("-",C677)+1,256),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(_xlfn.XLOOKUP($C$7,site_assumptions[Details],site_assumptions[Volts])*SUMIFS(P677:AA677,_xlfn.ANCHORARRAY(D677),TRUE)/10*0.95)/1000,
IFERROR(IF(_xlpm.phase="3Phase", _xlpm.p3_calc, _xlpm.sp_calc),0))</f>
        <v>0</v>
      </c>
      <c r="AD677" s="29"/>
      <c r="AE677" s="30"/>
      <c r="AF677" s="30"/>
      <c r="AG677" s="30"/>
      <c r="AH677" s="31"/>
      <c r="AI677" s="49">
        <f t="shared" si="20"/>
        <v>0</v>
      </c>
      <c r="AJ677" s="71"/>
    </row>
    <row r="678" spans="2:36" x14ac:dyDescent="0.25">
      <c r="B678" s="29"/>
      <c r="C678" s="10" t="s">
        <v>2070</v>
      </c>
      <c r="D678" s="2" t="b" cm="1">
        <f t="array" ref="D678:O678">_xlfn._xlws.FILTER(IF(ancillary!$E$4:$P$8="",FALSE,ancillary!$E$4:$P$8),ancillary!$B$4:$B$8=$C678)</f>
        <v>1</v>
      </c>
      <c r="E678" s="2" t="b">
        <v>1</v>
      </c>
      <c r="F678" s="2" t="b">
        <v>1</v>
      </c>
      <c r="G678" s="2" t="b">
        <v>1</v>
      </c>
      <c r="H678" s="2" t="b">
        <v>1</v>
      </c>
      <c r="I678" s="2" t="b">
        <v>1</v>
      </c>
      <c r="J678" s="2" t="b">
        <v>0</v>
      </c>
      <c r="K678" s="2" t="b">
        <v>0</v>
      </c>
      <c r="L678" s="2" t="b">
        <v>0</v>
      </c>
      <c r="M678" s="2" t="b">
        <v>0</v>
      </c>
      <c r="N678" s="2" t="b">
        <v>0</v>
      </c>
      <c r="O678" s="2" t="b">
        <v>0</v>
      </c>
      <c r="P678" s="68"/>
      <c r="R678" s="69"/>
      <c r="S678" s="68"/>
      <c r="U678" s="69"/>
      <c r="V678" s="68"/>
      <c r="X678" s="69"/>
      <c r="Y678" s="68"/>
      <c r="AA678" s="69"/>
      <c r="AB678" s="33">
        <f t="shared" si="21"/>
        <v>0</v>
      </c>
      <c r="AC678" s="45">
        <f>_xlfn.LET(_xlpm.ps_1,P678:R678, _xlpm.ps_2,S678:U678, _xlpm.ps_3,V678:X678, _xlpm.ps_4,Y678:AA678,
_xlpm.phase, MID(C678,SEARCH("-",C678)+1,256),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(_xlfn.XLOOKUP($C$7,site_assumptions[Details],site_assumptions[Volts])*SUMIFS(P678:AA678,_xlfn.ANCHORARRAY(D678),TRUE)/10*0.95)/1000,
IFERROR(IF(_xlpm.phase="3Phase", _xlpm.p3_calc, _xlpm.sp_calc),0))</f>
        <v>0</v>
      </c>
      <c r="AD678" s="29"/>
      <c r="AE678" s="30"/>
      <c r="AF678" s="30"/>
      <c r="AG678" s="30"/>
      <c r="AH678" s="31"/>
      <c r="AI678" s="49">
        <f t="shared" si="20"/>
        <v>0</v>
      </c>
      <c r="AJ678" s="71"/>
    </row>
    <row r="679" spans="2:36" x14ac:dyDescent="0.25">
      <c r="B679" s="29"/>
      <c r="C679" s="10" t="s">
        <v>2070</v>
      </c>
      <c r="D679" s="2" t="b" cm="1">
        <f t="array" ref="D679:O679">_xlfn._xlws.FILTER(IF(ancillary!$E$4:$P$8="",FALSE,ancillary!$E$4:$P$8),ancillary!$B$4:$B$8=$C679)</f>
        <v>1</v>
      </c>
      <c r="E679" s="2" t="b">
        <v>1</v>
      </c>
      <c r="F679" s="2" t="b">
        <v>1</v>
      </c>
      <c r="G679" s="2" t="b">
        <v>1</v>
      </c>
      <c r="H679" s="2" t="b">
        <v>1</v>
      </c>
      <c r="I679" s="2" t="b">
        <v>1</v>
      </c>
      <c r="J679" s="2" t="b">
        <v>0</v>
      </c>
      <c r="K679" s="2" t="b">
        <v>0</v>
      </c>
      <c r="L679" s="2" t="b">
        <v>0</v>
      </c>
      <c r="M679" s="2" t="b">
        <v>0</v>
      </c>
      <c r="N679" s="2" t="b">
        <v>0</v>
      </c>
      <c r="O679" s="2" t="b">
        <v>0</v>
      </c>
      <c r="P679" s="68"/>
      <c r="R679" s="69"/>
      <c r="S679" s="68"/>
      <c r="U679" s="69"/>
      <c r="V679" s="68"/>
      <c r="X679" s="69"/>
      <c r="Y679" s="68"/>
      <c r="AA679" s="69"/>
      <c r="AB679" s="33">
        <f t="shared" si="21"/>
        <v>0</v>
      </c>
      <c r="AC679" s="45">
        <f>_xlfn.LET(_xlpm.ps_1,P679:R679, _xlpm.ps_2,S679:U679, _xlpm.ps_3,V679:X679, _xlpm.ps_4,Y679:AA679,
_xlpm.phase, MID(C679,SEARCH("-",C679)+1,256),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(_xlfn.XLOOKUP($C$7,site_assumptions[Details],site_assumptions[Volts])*SUMIFS(P679:AA679,_xlfn.ANCHORARRAY(D679),TRUE)/10*0.95)/1000,
IFERROR(IF(_xlpm.phase="3Phase", _xlpm.p3_calc, _xlpm.sp_calc),0))</f>
        <v>0</v>
      </c>
      <c r="AD679" s="29"/>
      <c r="AE679" s="30"/>
      <c r="AF679" s="30"/>
      <c r="AG679" s="30"/>
      <c r="AH679" s="31"/>
      <c r="AI679" s="49">
        <f t="shared" si="20"/>
        <v>0</v>
      </c>
      <c r="AJ679" s="71"/>
    </row>
    <row r="680" spans="2:36" x14ac:dyDescent="0.25">
      <c r="B680" s="29"/>
      <c r="C680" s="10" t="s">
        <v>2070</v>
      </c>
      <c r="D680" s="2" t="b" cm="1">
        <f t="array" ref="D680:O680">_xlfn._xlws.FILTER(IF(ancillary!$E$4:$P$8="",FALSE,ancillary!$E$4:$P$8),ancillary!$B$4:$B$8=$C680)</f>
        <v>1</v>
      </c>
      <c r="E680" s="2" t="b">
        <v>1</v>
      </c>
      <c r="F680" s="2" t="b">
        <v>1</v>
      </c>
      <c r="G680" s="2" t="b">
        <v>1</v>
      </c>
      <c r="H680" s="2" t="b">
        <v>1</v>
      </c>
      <c r="I680" s="2" t="b">
        <v>1</v>
      </c>
      <c r="J680" s="2" t="b">
        <v>0</v>
      </c>
      <c r="K680" s="2" t="b">
        <v>0</v>
      </c>
      <c r="L680" s="2" t="b">
        <v>0</v>
      </c>
      <c r="M680" s="2" t="b">
        <v>0</v>
      </c>
      <c r="N680" s="2" t="b">
        <v>0</v>
      </c>
      <c r="O680" s="2" t="b">
        <v>0</v>
      </c>
      <c r="P680" s="68"/>
      <c r="R680" s="69"/>
      <c r="S680" s="68"/>
      <c r="U680" s="69"/>
      <c r="V680" s="68"/>
      <c r="X680" s="69"/>
      <c r="Y680" s="68"/>
      <c r="AA680" s="69"/>
      <c r="AB680" s="33">
        <f t="shared" si="21"/>
        <v>0</v>
      </c>
      <c r="AC680" s="45">
        <f>_xlfn.LET(_xlpm.ps_1,P680:R680, _xlpm.ps_2,S680:U680, _xlpm.ps_3,V680:X680, _xlpm.ps_4,Y680:AA680,
_xlpm.phase, MID(C680,SEARCH("-",C680)+1,256),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(_xlfn.XLOOKUP($C$7,site_assumptions[Details],site_assumptions[Volts])*SUMIFS(P680:AA680,_xlfn.ANCHORARRAY(D680),TRUE)/10*0.95)/1000,
IFERROR(IF(_xlpm.phase="3Phase", _xlpm.p3_calc, _xlpm.sp_calc),0))</f>
        <v>0</v>
      </c>
      <c r="AD680" s="29"/>
      <c r="AE680" s="30"/>
      <c r="AF680" s="30"/>
      <c r="AG680" s="30"/>
      <c r="AH680" s="31"/>
      <c r="AI680" s="49">
        <f t="shared" si="20"/>
        <v>0</v>
      </c>
      <c r="AJ680" s="71"/>
    </row>
    <row r="681" spans="2:36" x14ac:dyDescent="0.25">
      <c r="B681" s="29"/>
      <c r="C681" s="10" t="s">
        <v>2070</v>
      </c>
      <c r="D681" s="2" t="b" cm="1">
        <f t="array" ref="D681:O681">_xlfn._xlws.FILTER(IF(ancillary!$E$4:$P$8="",FALSE,ancillary!$E$4:$P$8),ancillary!$B$4:$B$8=$C681)</f>
        <v>1</v>
      </c>
      <c r="E681" s="2" t="b">
        <v>1</v>
      </c>
      <c r="F681" s="2" t="b">
        <v>1</v>
      </c>
      <c r="G681" s="2" t="b">
        <v>1</v>
      </c>
      <c r="H681" s="2" t="b">
        <v>1</v>
      </c>
      <c r="I681" s="2" t="b">
        <v>1</v>
      </c>
      <c r="J681" s="2" t="b">
        <v>0</v>
      </c>
      <c r="K681" s="2" t="b">
        <v>0</v>
      </c>
      <c r="L681" s="2" t="b">
        <v>0</v>
      </c>
      <c r="M681" s="2" t="b">
        <v>0</v>
      </c>
      <c r="N681" s="2" t="b">
        <v>0</v>
      </c>
      <c r="O681" s="2" t="b">
        <v>0</v>
      </c>
      <c r="P681" s="68"/>
      <c r="R681" s="69"/>
      <c r="S681" s="68"/>
      <c r="U681" s="69"/>
      <c r="V681" s="68"/>
      <c r="X681" s="69"/>
      <c r="Y681" s="68"/>
      <c r="AA681" s="69"/>
      <c r="AB681" s="33">
        <f t="shared" si="21"/>
        <v>0</v>
      </c>
      <c r="AC681" s="45">
        <f>_xlfn.LET(_xlpm.ps_1,P681:R681, _xlpm.ps_2,S681:U681, _xlpm.ps_3,V681:X681, _xlpm.ps_4,Y681:AA681,
_xlpm.phase, MID(C681,SEARCH("-",C681)+1,256),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(_xlfn.XLOOKUP($C$7,site_assumptions[Details],site_assumptions[Volts])*SUMIFS(P681:AA681,_xlfn.ANCHORARRAY(D681),TRUE)/10*0.95)/1000,
IFERROR(IF(_xlpm.phase="3Phase", _xlpm.p3_calc, _xlpm.sp_calc),0))</f>
        <v>0</v>
      </c>
      <c r="AD681" s="29"/>
      <c r="AE681" s="30"/>
      <c r="AF681" s="30"/>
      <c r="AG681" s="30"/>
      <c r="AH681" s="31"/>
      <c r="AI681" s="49">
        <f t="shared" si="20"/>
        <v>0</v>
      </c>
      <c r="AJ681" s="71"/>
    </row>
    <row r="682" spans="2:36" x14ac:dyDescent="0.25">
      <c r="B682" s="29"/>
      <c r="C682" s="10" t="s">
        <v>2070</v>
      </c>
      <c r="D682" s="2" t="b" cm="1">
        <f t="array" ref="D682:O682">_xlfn._xlws.FILTER(IF(ancillary!$E$4:$P$8="",FALSE,ancillary!$E$4:$P$8),ancillary!$B$4:$B$8=$C682)</f>
        <v>1</v>
      </c>
      <c r="E682" s="2" t="b">
        <v>1</v>
      </c>
      <c r="F682" s="2" t="b">
        <v>1</v>
      </c>
      <c r="G682" s="2" t="b">
        <v>1</v>
      </c>
      <c r="H682" s="2" t="b">
        <v>1</v>
      </c>
      <c r="I682" s="2" t="b">
        <v>1</v>
      </c>
      <c r="J682" s="2" t="b">
        <v>0</v>
      </c>
      <c r="K682" s="2" t="b">
        <v>0</v>
      </c>
      <c r="L682" s="2" t="b">
        <v>0</v>
      </c>
      <c r="M682" s="2" t="b">
        <v>0</v>
      </c>
      <c r="N682" s="2" t="b">
        <v>0</v>
      </c>
      <c r="O682" s="2" t="b">
        <v>0</v>
      </c>
      <c r="P682" s="68"/>
      <c r="R682" s="69"/>
      <c r="S682" s="68"/>
      <c r="U682" s="69"/>
      <c r="V682" s="68"/>
      <c r="X682" s="69"/>
      <c r="Y682" s="68"/>
      <c r="AA682" s="69"/>
      <c r="AB682" s="33">
        <f t="shared" si="21"/>
        <v>0</v>
      </c>
      <c r="AC682" s="45">
        <f>_xlfn.LET(_xlpm.ps_1,P682:R682, _xlpm.ps_2,S682:U682, _xlpm.ps_3,V682:X682, _xlpm.ps_4,Y682:AA682,
_xlpm.phase, MID(C682,SEARCH("-",C682)+1,256),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(_xlfn.XLOOKUP($C$7,site_assumptions[Details],site_assumptions[Volts])*SUMIFS(P682:AA682,_xlfn.ANCHORARRAY(D682),TRUE)/10*0.95)/1000,
IFERROR(IF(_xlpm.phase="3Phase", _xlpm.p3_calc, _xlpm.sp_calc),0))</f>
        <v>0</v>
      </c>
      <c r="AD682" s="29"/>
      <c r="AE682" s="30"/>
      <c r="AF682" s="30"/>
      <c r="AG682" s="30"/>
      <c r="AH682" s="31"/>
      <c r="AI682" s="49">
        <f t="shared" si="20"/>
        <v>0</v>
      </c>
      <c r="AJ682" s="71"/>
    </row>
    <row r="683" spans="2:36" x14ac:dyDescent="0.25">
      <c r="B683" s="29"/>
      <c r="C683" s="10" t="s">
        <v>2070</v>
      </c>
      <c r="D683" s="2" t="b" cm="1">
        <f t="array" ref="D683:O683">_xlfn._xlws.FILTER(IF(ancillary!$E$4:$P$8="",FALSE,ancillary!$E$4:$P$8),ancillary!$B$4:$B$8=$C683)</f>
        <v>1</v>
      </c>
      <c r="E683" s="2" t="b">
        <v>1</v>
      </c>
      <c r="F683" s="2" t="b">
        <v>1</v>
      </c>
      <c r="G683" s="2" t="b">
        <v>1</v>
      </c>
      <c r="H683" s="2" t="b">
        <v>1</v>
      </c>
      <c r="I683" s="2" t="b">
        <v>1</v>
      </c>
      <c r="J683" s="2" t="b">
        <v>0</v>
      </c>
      <c r="K683" s="2" t="b">
        <v>0</v>
      </c>
      <c r="L683" s="2" t="b">
        <v>0</v>
      </c>
      <c r="M683" s="2" t="b">
        <v>0</v>
      </c>
      <c r="N683" s="2" t="b">
        <v>0</v>
      </c>
      <c r="O683" s="2" t="b">
        <v>0</v>
      </c>
      <c r="P683" s="68"/>
      <c r="R683" s="69"/>
      <c r="S683" s="68"/>
      <c r="U683" s="69"/>
      <c r="V683" s="68"/>
      <c r="X683" s="69"/>
      <c r="Y683" s="68"/>
      <c r="AA683" s="69"/>
      <c r="AB683" s="33">
        <f t="shared" si="21"/>
        <v>0</v>
      </c>
      <c r="AC683" s="45">
        <f>_xlfn.LET(_xlpm.ps_1,P683:R683, _xlpm.ps_2,S683:U683, _xlpm.ps_3,V683:X683, _xlpm.ps_4,Y683:AA683,
_xlpm.phase, MID(C683,SEARCH("-",C683)+1,256),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(_xlfn.XLOOKUP($C$7,site_assumptions[Details],site_assumptions[Volts])*SUMIFS(P683:AA683,_xlfn.ANCHORARRAY(D683),TRUE)/10*0.95)/1000,
IFERROR(IF(_xlpm.phase="3Phase", _xlpm.p3_calc, _xlpm.sp_calc),0))</f>
        <v>0</v>
      </c>
      <c r="AD683" s="29"/>
      <c r="AE683" s="30"/>
      <c r="AF683" s="30"/>
      <c r="AG683" s="30"/>
      <c r="AH683" s="31"/>
      <c r="AI683" s="49">
        <f t="shared" si="20"/>
        <v>0</v>
      </c>
      <c r="AJ683" s="71"/>
    </row>
    <row r="684" spans="2:36" x14ac:dyDescent="0.25">
      <c r="B684" s="29"/>
      <c r="C684" s="10" t="s">
        <v>2070</v>
      </c>
      <c r="D684" s="2" t="b" cm="1">
        <f t="array" ref="D684:O684">_xlfn._xlws.FILTER(IF(ancillary!$E$4:$P$8="",FALSE,ancillary!$E$4:$P$8),ancillary!$B$4:$B$8=$C684)</f>
        <v>1</v>
      </c>
      <c r="E684" s="2" t="b">
        <v>1</v>
      </c>
      <c r="F684" s="2" t="b">
        <v>1</v>
      </c>
      <c r="G684" s="2" t="b">
        <v>1</v>
      </c>
      <c r="H684" s="2" t="b">
        <v>1</v>
      </c>
      <c r="I684" s="2" t="b">
        <v>1</v>
      </c>
      <c r="J684" s="2" t="b">
        <v>0</v>
      </c>
      <c r="K684" s="2" t="b">
        <v>0</v>
      </c>
      <c r="L684" s="2" t="b">
        <v>0</v>
      </c>
      <c r="M684" s="2" t="b">
        <v>0</v>
      </c>
      <c r="N684" s="2" t="b">
        <v>0</v>
      </c>
      <c r="O684" s="2" t="b">
        <v>0</v>
      </c>
      <c r="P684" s="68"/>
      <c r="R684" s="69"/>
      <c r="S684" s="68"/>
      <c r="U684" s="69"/>
      <c r="V684" s="68"/>
      <c r="X684" s="69"/>
      <c r="Y684" s="68"/>
      <c r="AA684" s="69"/>
      <c r="AB684" s="33">
        <f t="shared" si="21"/>
        <v>0</v>
      </c>
      <c r="AC684" s="45">
        <f>_xlfn.LET(_xlpm.ps_1,P684:R684, _xlpm.ps_2,S684:U684, _xlpm.ps_3,V684:X684, _xlpm.ps_4,Y684:AA684,
_xlpm.phase, MID(C684,SEARCH("-",C684)+1,256),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(_xlfn.XLOOKUP($C$7,site_assumptions[Details],site_assumptions[Volts])*SUMIFS(P684:AA684,_xlfn.ANCHORARRAY(D684),TRUE)/10*0.95)/1000,
IFERROR(IF(_xlpm.phase="3Phase", _xlpm.p3_calc, _xlpm.sp_calc),0))</f>
        <v>0</v>
      </c>
      <c r="AD684" s="29"/>
      <c r="AE684" s="30"/>
      <c r="AF684" s="30"/>
      <c r="AG684" s="30"/>
      <c r="AH684" s="31"/>
      <c r="AI684" s="49">
        <f t="shared" si="20"/>
        <v>0</v>
      </c>
      <c r="AJ684" s="71"/>
    </row>
    <row r="685" spans="2:36" x14ac:dyDescent="0.25">
      <c r="B685" s="29"/>
      <c r="C685" s="10" t="s">
        <v>2070</v>
      </c>
      <c r="D685" s="2" t="b" cm="1">
        <f t="array" ref="D685:O685">_xlfn._xlws.FILTER(IF(ancillary!$E$4:$P$8="",FALSE,ancillary!$E$4:$P$8),ancillary!$B$4:$B$8=$C685)</f>
        <v>1</v>
      </c>
      <c r="E685" s="2" t="b">
        <v>1</v>
      </c>
      <c r="F685" s="2" t="b">
        <v>1</v>
      </c>
      <c r="G685" s="2" t="b">
        <v>1</v>
      </c>
      <c r="H685" s="2" t="b">
        <v>1</v>
      </c>
      <c r="I685" s="2" t="b">
        <v>1</v>
      </c>
      <c r="J685" s="2" t="b">
        <v>0</v>
      </c>
      <c r="K685" s="2" t="b">
        <v>0</v>
      </c>
      <c r="L685" s="2" t="b">
        <v>0</v>
      </c>
      <c r="M685" s="2" t="b">
        <v>0</v>
      </c>
      <c r="N685" s="2" t="b">
        <v>0</v>
      </c>
      <c r="O685" s="2" t="b">
        <v>0</v>
      </c>
      <c r="P685" s="68"/>
      <c r="R685" s="69"/>
      <c r="S685" s="68"/>
      <c r="U685" s="69"/>
      <c r="V685" s="68"/>
      <c r="X685" s="69"/>
      <c r="Y685" s="68"/>
      <c r="AA685" s="69"/>
      <c r="AB685" s="33">
        <f t="shared" si="21"/>
        <v>0</v>
      </c>
      <c r="AC685" s="45">
        <f>_xlfn.LET(_xlpm.ps_1,P685:R685, _xlpm.ps_2,S685:U685, _xlpm.ps_3,V685:X685, _xlpm.ps_4,Y685:AA685,
_xlpm.phase, MID(C685,SEARCH("-",C685)+1,256),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(_xlfn.XLOOKUP($C$7,site_assumptions[Details],site_assumptions[Volts])*SUMIFS(P685:AA685,_xlfn.ANCHORARRAY(D685),TRUE)/10*0.95)/1000,
IFERROR(IF(_xlpm.phase="3Phase", _xlpm.p3_calc, _xlpm.sp_calc),0))</f>
        <v>0</v>
      </c>
      <c r="AD685" s="29"/>
      <c r="AE685" s="30"/>
      <c r="AF685" s="30"/>
      <c r="AG685" s="30"/>
      <c r="AH685" s="31"/>
      <c r="AI685" s="49">
        <f t="shared" si="20"/>
        <v>0</v>
      </c>
      <c r="AJ685" s="71"/>
    </row>
    <row r="686" spans="2:36" x14ac:dyDescent="0.25">
      <c r="B686" s="29"/>
      <c r="C686" s="10" t="s">
        <v>2070</v>
      </c>
      <c r="D686" s="2" t="b" cm="1">
        <f t="array" ref="D686:O686">_xlfn._xlws.FILTER(IF(ancillary!$E$4:$P$8="",FALSE,ancillary!$E$4:$P$8),ancillary!$B$4:$B$8=$C686)</f>
        <v>1</v>
      </c>
      <c r="E686" s="2" t="b">
        <v>1</v>
      </c>
      <c r="F686" s="2" t="b">
        <v>1</v>
      </c>
      <c r="G686" s="2" t="b">
        <v>1</v>
      </c>
      <c r="H686" s="2" t="b">
        <v>1</v>
      </c>
      <c r="I686" s="2" t="b">
        <v>1</v>
      </c>
      <c r="J686" s="2" t="b">
        <v>0</v>
      </c>
      <c r="K686" s="2" t="b">
        <v>0</v>
      </c>
      <c r="L686" s="2" t="b">
        <v>0</v>
      </c>
      <c r="M686" s="2" t="b">
        <v>0</v>
      </c>
      <c r="N686" s="2" t="b">
        <v>0</v>
      </c>
      <c r="O686" s="2" t="b">
        <v>0</v>
      </c>
      <c r="P686" s="68"/>
      <c r="R686" s="69"/>
      <c r="S686" s="68"/>
      <c r="U686" s="69"/>
      <c r="V686" s="68"/>
      <c r="X686" s="69"/>
      <c r="Y686" s="68"/>
      <c r="AA686" s="69"/>
      <c r="AB686" s="33">
        <f t="shared" si="21"/>
        <v>0</v>
      </c>
      <c r="AC686" s="45">
        <f>_xlfn.LET(_xlpm.ps_1,P686:R686, _xlpm.ps_2,S686:U686, _xlpm.ps_3,V686:X686, _xlpm.ps_4,Y686:AA686,
_xlpm.phase, MID(C686,SEARCH("-",C686)+1,256),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(_xlfn.XLOOKUP($C$7,site_assumptions[Details],site_assumptions[Volts])*SUMIFS(P686:AA686,_xlfn.ANCHORARRAY(D686),TRUE)/10*0.95)/1000,
IFERROR(IF(_xlpm.phase="3Phase", _xlpm.p3_calc, _xlpm.sp_calc),0))</f>
        <v>0</v>
      </c>
      <c r="AD686" s="29"/>
      <c r="AE686" s="30"/>
      <c r="AF686" s="30"/>
      <c r="AG686" s="30"/>
      <c r="AH686" s="31"/>
      <c r="AI686" s="49">
        <f t="shared" si="20"/>
        <v>0</v>
      </c>
      <c r="AJ686" s="71"/>
    </row>
    <row r="687" spans="2:36" x14ac:dyDescent="0.25">
      <c r="B687" s="29"/>
      <c r="C687" s="10" t="s">
        <v>2070</v>
      </c>
      <c r="D687" s="2" t="b" cm="1">
        <f t="array" ref="D687:O687">_xlfn._xlws.FILTER(IF(ancillary!$E$4:$P$8="",FALSE,ancillary!$E$4:$P$8),ancillary!$B$4:$B$8=$C687)</f>
        <v>1</v>
      </c>
      <c r="E687" s="2" t="b">
        <v>1</v>
      </c>
      <c r="F687" s="2" t="b">
        <v>1</v>
      </c>
      <c r="G687" s="2" t="b">
        <v>1</v>
      </c>
      <c r="H687" s="2" t="b">
        <v>1</v>
      </c>
      <c r="I687" s="2" t="b">
        <v>1</v>
      </c>
      <c r="J687" s="2" t="b">
        <v>0</v>
      </c>
      <c r="K687" s="2" t="b">
        <v>0</v>
      </c>
      <c r="L687" s="2" t="b">
        <v>0</v>
      </c>
      <c r="M687" s="2" t="b">
        <v>0</v>
      </c>
      <c r="N687" s="2" t="b">
        <v>0</v>
      </c>
      <c r="O687" s="2" t="b">
        <v>0</v>
      </c>
      <c r="P687" s="68"/>
      <c r="R687" s="69"/>
      <c r="S687" s="68"/>
      <c r="U687" s="69"/>
      <c r="V687" s="68"/>
      <c r="X687" s="69"/>
      <c r="Y687" s="68"/>
      <c r="AA687" s="69"/>
      <c r="AB687" s="33">
        <f t="shared" si="21"/>
        <v>0</v>
      </c>
      <c r="AC687" s="45">
        <f>_xlfn.LET(_xlpm.ps_1,P687:R687, _xlpm.ps_2,S687:U687, _xlpm.ps_3,V687:X687, _xlpm.ps_4,Y687:AA687,
_xlpm.phase, MID(C687,SEARCH("-",C687)+1,256),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(_xlfn.XLOOKUP($C$7,site_assumptions[Details],site_assumptions[Volts])*SUMIFS(P687:AA687,_xlfn.ANCHORARRAY(D687),TRUE)/10*0.95)/1000,
IFERROR(IF(_xlpm.phase="3Phase", _xlpm.p3_calc, _xlpm.sp_calc),0))</f>
        <v>0</v>
      </c>
      <c r="AD687" s="29"/>
      <c r="AE687" s="30"/>
      <c r="AF687" s="30"/>
      <c r="AG687" s="30"/>
      <c r="AH687" s="31"/>
      <c r="AI687" s="49">
        <f t="shared" si="20"/>
        <v>0</v>
      </c>
      <c r="AJ687" s="71"/>
    </row>
    <row r="688" spans="2:36" x14ac:dyDescent="0.25">
      <c r="B688" s="29"/>
      <c r="C688" s="10" t="s">
        <v>2070</v>
      </c>
      <c r="D688" s="2" t="b" cm="1">
        <f t="array" ref="D688:O688">_xlfn._xlws.FILTER(IF(ancillary!$E$4:$P$8="",FALSE,ancillary!$E$4:$P$8),ancillary!$B$4:$B$8=$C688)</f>
        <v>1</v>
      </c>
      <c r="E688" s="2" t="b">
        <v>1</v>
      </c>
      <c r="F688" s="2" t="b">
        <v>1</v>
      </c>
      <c r="G688" s="2" t="b">
        <v>1</v>
      </c>
      <c r="H688" s="2" t="b">
        <v>1</v>
      </c>
      <c r="I688" s="2" t="b">
        <v>1</v>
      </c>
      <c r="J688" s="2" t="b">
        <v>0</v>
      </c>
      <c r="K688" s="2" t="b">
        <v>0</v>
      </c>
      <c r="L688" s="2" t="b">
        <v>0</v>
      </c>
      <c r="M688" s="2" t="b">
        <v>0</v>
      </c>
      <c r="N688" s="2" t="b">
        <v>0</v>
      </c>
      <c r="O688" s="2" t="b">
        <v>0</v>
      </c>
      <c r="P688" s="68"/>
      <c r="R688" s="69"/>
      <c r="S688" s="68"/>
      <c r="U688" s="69"/>
      <c r="V688" s="68"/>
      <c r="X688" s="69"/>
      <c r="Y688" s="68"/>
      <c r="AA688" s="69"/>
      <c r="AB688" s="33">
        <f t="shared" si="21"/>
        <v>0</v>
      </c>
      <c r="AC688" s="45">
        <f>_xlfn.LET(_xlpm.ps_1,P688:R688, _xlpm.ps_2,S688:U688, _xlpm.ps_3,V688:X688, _xlpm.ps_4,Y688:AA688,
_xlpm.phase, MID(C688,SEARCH("-",C688)+1,256),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(_xlfn.XLOOKUP($C$7,site_assumptions[Details],site_assumptions[Volts])*SUMIFS(P688:AA688,_xlfn.ANCHORARRAY(D688),TRUE)/10*0.95)/1000,
IFERROR(IF(_xlpm.phase="3Phase", _xlpm.p3_calc, _xlpm.sp_calc),0))</f>
        <v>0</v>
      </c>
      <c r="AD688" s="29"/>
      <c r="AE688" s="30"/>
      <c r="AF688" s="30"/>
      <c r="AG688" s="30"/>
      <c r="AH688" s="31"/>
      <c r="AI688" s="49">
        <f t="shared" si="20"/>
        <v>0</v>
      </c>
      <c r="AJ688" s="71"/>
    </row>
    <row r="689" spans="2:36" x14ac:dyDescent="0.25">
      <c r="B689" s="29"/>
      <c r="C689" s="10" t="s">
        <v>2070</v>
      </c>
      <c r="D689" s="2" t="b" cm="1">
        <f t="array" ref="D689:O689">_xlfn._xlws.FILTER(IF(ancillary!$E$4:$P$8="",FALSE,ancillary!$E$4:$P$8),ancillary!$B$4:$B$8=$C689)</f>
        <v>1</v>
      </c>
      <c r="E689" s="2" t="b">
        <v>1</v>
      </c>
      <c r="F689" s="2" t="b">
        <v>1</v>
      </c>
      <c r="G689" s="2" t="b">
        <v>1</v>
      </c>
      <c r="H689" s="2" t="b">
        <v>1</v>
      </c>
      <c r="I689" s="2" t="b">
        <v>1</v>
      </c>
      <c r="J689" s="2" t="b">
        <v>0</v>
      </c>
      <c r="K689" s="2" t="b">
        <v>0</v>
      </c>
      <c r="L689" s="2" t="b">
        <v>0</v>
      </c>
      <c r="M689" s="2" t="b">
        <v>0</v>
      </c>
      <c r="N689" s="2" t="b">
        <v>0</v>
      </c>
      <c r="O689" s="2" t="b">
        <v>0</v>
      </c>
      <c r="P689" s="68"/>
      <c r="R689" s="69"/>
      <c r="S689" s="68"/>
      <c r="U689" s="69"/>
      <c r="V689" s="68"/>
      <c r="X689" s="69"/>
      <c r="Y689" s="68"/>
      <c r="AA689" s="69"/>
      <c r="AB689" s="33">
        <f t="shared" si="21"/>
        <v>0</v>
      </c>
      <c r="AC689" s="45">
        <f>_xlfn.LET(_xlpm.ps_1,P689:R689, _xlpm.ps_2,S689:U689, _xlpm.ps_3,V689:X689, _xlpm.ps_4,Y689:AA689,
_xlpm.phase, MID(C689,SEARCH("-",C689)+1,256),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(_xlfn.XLOOKUP($C$7,site_assumptions[Details],site_assumptions[Volts])*SUMIFS(P689:AA689,_xlfn.ANCHORARRAY(D689),TRUE)/10*0.95)/1000,
IFERROR(IF(_xlpm.phase="3Phase", _xlpm.p3_calc, _xlpm.sp_calc),0))</f>
        <v>0</v>
      </c>
      <c r="AD689" s="29"/>
      <c r="AE689" s="30"/>
      <c r="AF689" s="30"/>
      <c r="AG689" s="30"/>
      <c r="AH689" s="31"/>
      <c r="AI689" s="49">
        <f t="shared" si="20"/>
        <v>0</v>
      </c>
      <c r="AJ689" s="71"/>
    </row>
    <row r="690" spans="2:36" x14ac:dyDescent="0.25">
      <c r="B690" s="29"/>
      <c r="C690" s="10" t="s">
        <v>2070</v>
      </c>
      <c r="D690" s="2" t="b" cm="1">
        <f t="array" ref="D690:O690">_xlfn._xlws.FILTER(IF(ancillary!$E$4:$P$8="",FALSE,ancillary!$E$4:$P$8),ancillary!$B$4:$B$8=$C690)</f>
        <v>1</v>
      </c>
      <c r="E690" s="2" t="b">
        <v>1</v>
      </c>
      <c r="F690" s="2" t="b">
        <v>1</v>
      </c>
      <c r="G690" s="2" t="b">
        <v>1</v>
      </c>
      <c r="H690" s="2" t="b">
        <v>1</v>
      </c>
      <c r="I690" s="2" t="b">
        <v>1</v>
      </c>
      <c r="J690" s="2" t="b">
        <v>0</v>
      </c>
      <c r="K690" s="2" t="b">
        <v>0</v>
      </c>
      <c r="L690" s="2" t="b">
        <v>0</v>
      </c>
      <c r="M690" s="2" t="b">
        <v>0</v>
      </c>
      <c r="N690" s="2" t="b">
        <v>0</v>
      </c>
      <c r="O690" s="2" t="b">
        <v>0</v>
      </c>
      <c r="P690" s="68"/>
      <c r="R690" s="69"/>
      <c r="S690" s="68"/>
      <c r="U690" s="69"/>
      <c r="V690" s="68"/>
      <c r="X690" s="69"/>
      <c r="Y690" s="68"/>
      <c r="AA690" s="69"/>
      <c r="AB690" s="33">
        <f t="shared" si="21"/>
        <v>0</v>
      </c>
      <c r="AC690" s="45">
        <f>_xlfn.LET(_xlpm.ps_1,P690:R690, _xlpm.ps_2,S690:U690, _xlpm.ps_3,V690:X690, _xlpm.ps_4,Y690:AA690,
_xlpm.phase, MID(C690,SEARCH("-",C690)+1,256),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(_xlfn.XLOOKUP($C$7,site_assumptions[Details],site_assumptions[Volts])*SUMIFS(P690:AA690,_xlfn.ANCHORARRAY(D690),TRUE)/10*0.95)/1000,
IFERROR(IF(_xlpm.phase="3Phase", _xlpm.p3_calc, _xlpm.sp_calc),0))</f>
        <v>0</v>
      </c>
      <c r="AD690" s="29"/>
      <c r="AE690" s="30"/>
      <c r="AF690" s="30"/>
      <c r="AG690" s="30"/>
      <c r="AH690" s="31"/>
      <c r="AI690" s="49">
        <f t="shared" si="20"/>
        <v>0</v>
      </c>
      <c r="AJ690" s="71"/>
    </row>
    <row r="691" spans="2:36" x14ac:dyDescent="0.25">
      <c r="B691" s="29"/>
      <c r="C691" s="10" t="s">
        <v>2070</v>
      </c>
      <c r="D691" s="2" t="b" cm="1">
        <f t="array" ref="D691:O691">_xlfn._xlws.FILTER(IF(ancillary!$E$4:$P$8="",FALSE,ancillary!$E$4:$P$8),ancillary!$B$4:$B$8=$C691)</f>
        <v>1</v>
      </c>
      <c r="E691" s="2" t="b">
        <v>1</v>
      </c>
      <c r="F691" s="2" t="b">
        <v>1</v>
      </c>
      <c r="G691" s="2" t="b">
        <v>1</v>
      </c>
      <c r="H691" s="2" t="b">
        <v>1</v>
      </c>
      <c r="I691" s="2" t="b">
        <v>1</v>
      </c>
      <c r="J691" s="2" t="b">
        <v>0</v>
      </c>
      <c r="K691" s="2" t="b">
        <v>0</v>
      </c>
      <c r="L691" s="2" t="b">
        <v>0</v>
      </c>
      <c r="M691" s="2" t="b">
        <v>0</v>
      </c>
      <c r="N691" s="2" t="b">
        <v>0</v>
      </c>
      <c r="O691" s="2" t="b">
        <v>0</v>
      </c>
      <c r="P691" s="68"/>
      <c r="R691" s="69"/>
      <c r="S691" s="68"/>
      <c r="U691" s="69"/>
      <c r="V691" s="68"/>
      <c r="X691" s="69"/>
      <c r="Y691" s="68"/>
      <c r="AA691" s="69"/>
      <c r="AB691" s="33">
        <f t="shared" si="21"/>
        <v>0</v>
      </c>
      <c r="AC691" s="45">
        <f>_xlfn.LET(_xlpm.ps_1,P691:R691, _xlpm.ps_2,S691:U691, _xlpm.ps_3,V691:X691, _xlpm.ps_4,Y691:AA691,
_xlpm.phase, MID(C691,SEARCH("-",C691)+1,256),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(_xlfn.XLOOKUP($C$7,site_assumptions[Details],site_assumptions[Volts])*SUMIFS(P691:AA691,_xlfn.ANCHORARRAY(D691),TRUE)/10*0.95)/1000,
IFERROR(IF(_xlpm.phase="3Phase", _xlpm.p3_calc, _xlpm.sp_calc),0))</f>
        <v>0</v>
      </c>
      <c r="AD691" s="29"/>
      <c r="AE691" s="30"/>
      <c r="AF691" s="30"/>
      <c r="AG691" s="30"/>
      <c r="AH691" s="31"/>
      <c r="AI691" s="49">
        <f t="shared" si="20"/>
        <v>0</v>
      </c>
      <c r="AJ691" s="71"/>
    </row>
    <row r="692" spans="2:36" x14ac:dyDescent="0.25">
      <c r="B692" s="29"/>
      <c r="C692" s="10" t="s">
        <v>2070</v>
      </c>
      <c r="D692" s="2" t="b" cm="1">
        <f t="array" ref="D692:O692">_xlfn._xlws.FILTER(IF(ancillary!$E$4:$P$8="",FALSE,ancillary!$E$4:$P$8),ancillary!$B$4:$B$8=$C692)</f>
        <v>1</v>
      </c>
      <c r="E692" s="2" t="b">
        <v>1</v>
      </c>
      <c r="F692" s="2" t="b">
        <v>1</v>
      </c>
      <c r="G692" s="2" t="b">
        <v>1</v>
      </c>
      <c r="H692" s="2" t="b">
        <v>1</v>
      </c>
      <c r="I692" s="2" t="b">
        <v>1</v>
      </c>
      <c r="J692" s="2" t="b">
        <v>0</v>
      </c>
      <c r="K692" s="2" t="b">
        <v>0</v>
      </c>
      <c r="L692" s="2" t="b">
        <v>0</v>
      </c>
      <c r="M692" s="2" t="b">
        <v>0</v>
      </c>
      <c r="N692" s="2" t="b">
        <v>0</v>
      </c>
      <c r="O692" s="2" t="b">
        <v>0</v>
      </c>
      <c r="P692" s="68"/>
      <c r="R692" s="69"/>
      <c r="S692" s="68"/>
      <c r="U692" s="69"/>
      <c r="V692" s="68"/>
      <c r="X692" s="69"/>
      <c r="Y692" s="68"/>
      <c r="AA692" s="69"/>
      <c r="AB692" s="33">
        <f t="shared" si="21"/>
        <v>0</v>
      </c>
      <c r="AC692" s="45">
        <f>_xlfn.LET(_xlpm.ps_1,P692:R692, _xlpm.ps_2,S692:U692, _xlpm.ps_3,V692:X692, _xlpm.ps_4,Y692:AA692,
_xlpm.phase, MID(C692,SEARCH("-",C692)+1,256),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(_xlfn.XLOOKUP($C$7,site_assumptions[Details],site_assumptions[Volts])*SUMIFS(P692:AA692,_xlfn.ANCHORARRAY(D692),TRUE)/10*0.95)/1000,
IFERROR(IF(_xlpm.phase="3Phase", _xlpm.p3_calc, _xlpm.sp_calc),0))</f>
        <v>0</v>
      </c>
      <c r="AD692" s="29"/>
      <c r="AE692" s="30"/>
      <c r="AF692" s="30"/>
      <c r="AG692" s="30"/>
      <c r="AH692" s="31"/>
      <c r="AI692" s="49">
        <f t="shared" ref="AI692:AI755" si="22">IFERROR(AC692/AG692,0)</f>
        <v>0</v>
      </c>
      <c r="AJ692" s="71"/>
    </row>
    <row r="693" spans="2:36" x14ac:dyDescent="0.25">
      <c r="B693" s="29"/>
      <c r="C693" s="10" t="s">
        <v>2070</v>
      </c>
      <c r="D693" s="2" t="b" cm="1">
        <f t="array" ref="D693:O693">_xlfn._xlws.FILTER(IF(ancillary!$E$4:$P$8="",FALSE,ancillary!$E$4:$P$8),ancillary!$B$4:$B$8=$C693)</f>
        <v>1</v>
      </c>
      <c r="E693" s="2" t="b">
        <v>1</v>
      </c>
      <c r="F693" s="2" t="b">
        <v>1</v>
      </c>
      <c r="G693" s="2" t="b">
        <v>1</v>
      </c>
      <c r="H693" s="2" t="b">
        <v>1</v>
      </c>
      <c r="I693" s="2" t="b">
        <v>1</v>
      </c>
      <c r="J693" s="2" t="b">
        <v>0</v>
      </c>
      <c r="K693" s="2" t="b">
        <v>0</v>
      </c>
      <c r="L693" s="2" t="b">
        <v>0</v>
      </c>
      <c r="M693" s="2" t="b">
        <v>0</v>
      </c>
      <c r="N693" s="2" t="b">
        <v>0</v>
      </c>
      <c r="O693" s="2" t="b">
        <v>0</v>
      </c>
      <c r="P693" s="68"/>
      <c r="R693" s="69"/>
      <c r="S693" s="68"/>
      <c r="U693" s="69"/>
      <c r="V693" s="68"/>
      <c r="X693" s="69"/>
      <c r="Y693" s="68"/>
      <c r="AA693" s="69"/>
      <c r="AB693" s="33">
        <f t="shared" si="21"/>
        <v>0</v>
      </c>
      <c r="AC693" s="45">
        <f>_xlfn.LET(_xlpm.ps_1,P693:R693, _xlpm.ps_2,S693:U693, _xlpm.ps_3,V693:X693, _xlpm.ps_4,Y693:AA693,
_xlpm.phase, MID(C693,SEARCH("-",C693)+1,256),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(_xlfn.XLOOKUP($C$7,site_assumptions[Details],site_assumptions[Volts])*SUMIFS(P693:AA693,_xlfn.ANCHORARRAY(D693),TRUE)/10*0.95)/1000,
IFERROR(IF(_xlpm.phase="3Phase", _xlpm.p3_calc, _xlpm.sp_calc),0))</f>
        <v>0</v>
      </c>
      <c r="AD693" s="29"/>
      <c r="AE693" s="30"/>
      <c r="AF693" s="30"/>
      <c r="AG693" s="30"/>
      <c r="AH693" s="31"/>
      <c r="AI693" s="49">
        <f t="shared" si="22"/>
        <v>0</v>
      </c>
      <c r="AJ693" s="71"/>
    </row>
    <row r="694" spans="2:36" x14ac:dyDescent="0.25">
      <c r="B694" s="29"/>
      <c r="C694" s="10" t="s">
        <v>2070</v>
      </c>
      <c r="D694" s="2" t="b" cm="1">
        <f t="array" ref="D694:O694">_xlfn._xlws.FILTER(IF(ancillary!$E$4:$P$8="",FALSE,ancillary!$E$4:$P$8),ancillary!$B$4:$B$8=$C694)</f>
        <v>1</v>
      </c>
      <c r="E694" s="2" t="b">
        <v>1</v>
      </c>
      <c r="F694" s="2" t="b">
        <v>1</v>
      </c>
      <c r="G694" s="2" t="b">
        <v>1</v>
      </c>
      <c r="H694" s="2" t="b">
        <v>1</v>
      </c>
      <c r="I694" s="2" t="b">
        <v>1</v>
      </c>
      <c r="J694" s="2" t="b">
        <v>0</v>
      </c>
      <c r="K694" s="2" t="b">
        <v>0</v>
      </c>
      <c r="L694" s="2" t="b">
        <v>0</v>
      </c>
      <c r="M694" s="2" t="b">
        <v>0</v>
      </c>
      <c r="N694" s="2" t="b">
        <v>0</v>
      </c>
      <c r="O694" s="2" t="b">
        <v>0</v>
      </c>
      <c r="P694" s="68"/>
      <c r="R694" s="69"/>
      <c r="S694" s="68"/>
      <c r="U694" s="69"/>
      <c r="V694" s="68"/>
      <c r="X694" s="69"/>
      <c r="Y694" s="68"/>
      <c r="AA694" s="69"/>
      <c r="AB694" s="33">
        <f t="shared" si="21"/>
        <v>0</v>
      </c>
      <c r="AC694" s="45">
        <f>_xlfn.LET(_xlpm.ps_1,P694:R694, _xlpm.ps_2,S694:U694, _xlpm.ps_3,V694:X694, _xlpm.ps_4,Y694:AA694,
_xlpm.phase, MID(C694,SEARCH("-",C694)+1,256),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(_xlfn.XLOOKUP($C$7,site_assumptions[Details],site_assumptions[Volts])*SUMIFS(P694:AA694,_xlfn.ANCHORARRAY(D694),TRUE)/10*0.95)/1000,
IFERROR(IF(_xlpm.phase="3Phase", _xlpm.p3_calc, _xlpm.sp_calc),0))</f>
        <v>0</v>
      </c>
      <c r="AD694" s="29"/>
      <c r="AE694" s="30"/>
      <c r="AF694" s="30"/>
      <c r="AG694" s="30"/>
      <c r="AH694" s="31"/>
      <c r="AI694" s="49">
        <f t="shared" si="22"/>
        <v>0</v>
      </c>
      <c r="AJ694" s="71"/>
    </row>
    <row r="695" spans="2:36" x14ac:dyDescent="0.25">
      <c r="B695" s="29"/>
      <c r="C695" s="10" t="s">
        <v>2070</v>
      </c>
      <c r="D695" s="2" t="b" cm="1">
        <f t="array" ref="D695:O695">_xlfn._xlws.FILTER(IF(ancillary!$E$4:$P$8="",FALSE,ancillary!$E$4:$P$8),ancillary!$B$4:$B$8=$C695)</f>
        <v>1</v>
      </c>
      <c r="E695" s="2" t="b">
        <v>1</v>
      </c>
      <c r="F695" s="2" t="b">
        <v>1</v>
      </c>
      <c r="G695" s="2" t="b">
        <v>1</v>
      </c>
      <c r="H695" s="2" t="b">
        <v>1</v>
      </c>
      <c r="I695" s="2" t="b">
        <v>1</v>
      </c>
      <c r="J695" s="2" t="b">
        <v>0</v>
      </c>
      <c r="K695" s="2" t="b">
        <v>0</v>
      </c>
      <c r="L695" s="2" t="b">
        <v>0</v>
      </c>
      <c r="M695" s="2" t="b">
        <v>0</v>
      </c>
      <c r="N695" s="2" t="b">
        <v>0</v>
      </c>
      <c r="O695" s="2" t="b">
        <v>0</v>
      </c>
      <c r="P695" s="68"/>
      <c r="R695" s="69"/>
      <c r="S695" s="68"/>
      <c r="U695" s="69"/>
      <c r="V695" s="68"/>
      <c r="X695" s="69"/>
      <c r="Y695" s="68"/>
      <c r="AA695" s="69"/>
      <c r="AB695" s="33">
        <f t="shared" si="21"/>
        <v>0</v>
      </c>
      <c r="AC695" s="45">
        <f>_xlfn.LET(_xlpm.ps_1,P695:R695, _xlpm.ps_2,S695:U695, _xlpm.ps_3,V695:X695, _xlpm.ps_4,Y695:AA695,
_xlpm.phase, MID(C695,SEARCH("-",C695)+1,256),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(_xlfn.XLOOKUP($C$7,site_assumptions[Details],site_assumptions[Volts])*SUMIFS(P695:AA695,_xlfn.ANCHORARRAY(D695),TRUE)/10*0.95)/1000,
IFERROR(IF(_xlpm.phase="3Phase", _xlpm.p3_calc, _xlpm.sp_calc),0))</f>
        <v>0</v>
      </c>
      <c r="AD695" s="29"/>
      <c r="AE695" s="30"/>
      <c r="AF695" s="30"/>
      <c r="AG695" s="30"/>
      <c r="AH695" s="31"/>
      <c r="AI695" s="49">
        <f t="shared" si="22"/>
        <v>0</v>
      </c>
      <c r="AJ695" s="71"/>
    </row>
    <row r="696" spans="2:36" x14ac:dyDescent="0.25">
      <c r="B696" s="29"/>
      <c r="C696" s="10" t="s">
        <v>2070</v>
      </c>
      <c r="D696" s="2" t="b" cm="1">
        <f t="array" ref="D696:O696">_xlfn._xlws.FILTER(IF(ancillary!$E$4:$P$8="",FALSE,ancillary!$E$4:$P$8),ancillary!$B$4:$B$8=$C696)</f>
        <v>1</v>
      </c>
      <c r="E696" s="2" t="b">
        <v>1</v>
      </c>
      <c r="F696" s="2" t="b">
        <v>1</v>
      </c>
      <c r="G696" s="2" t="b">
        <v>1</v>
      </c>
      <c r="H696" s="2" t="b">
        <v>1</v>
      </c>
      <c r="I696" s="2" t="b">
        <v>1</v>
      </c>
      <c r="J696" s="2" t="b">
        <v>0</v>
      </c>
      <c r="K696" s="2" t="b">
        <v>0</v>
      </c>
      <c r="L696" s="2" t="b">
        <v>0</v>
      </c>
      <c r="M696" s="2" t="b">
        <v>0</v>
      </c>
      <c r="N696" s="2" t="b">
        <v>0</v>
      </c>
      <c r="O696" s="2" t="b">
        <v>0</v>
      </c>
      <c r="P696" s="68"/>
      <c r="R696" s="69"/>
      <c r="S696" s="68"/>
      <c r="U696" s="69"/>
      <c r="V696" s="68"/>
      <c r="X696" s="69"/>
      <c r="Y696" s="68"/>
      <c r="AA696" s="69"/>
      <c r="AB696" s="33">
        <f t="shared" si="21"/>
        <v>0</v>
      </c>
      <c r="AC696" s="45">
        <f>_xlfn.LET(_xlpm.ps_1,P696:R696, _xlpm.ps_2,S696:U696, _xlpm.ps_3,V696:X696, _xlpm.ps_4,Y696:AA696,
_xlpm.phase, MID(C696,SEARCH("-",C696)+1,256),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(_xlfn.XLOOKUP($C$7,site_assumptions[Details],site_assumptions[Volts])*SUMIFS(P696:AA696,_xlfn.ANCHORARRAY(D696),TRUE)/10*0.95)/1000,
IFERROR(IF(_xlpm.phase="3Phase", _xlpm.p3_calc, _xlpm.sp_calc),0))</f>
        <v>0</v>
      </c>
      <c r="AD696" s="29"/>
      <c r="AE696" s="30"/>
      <c r="AF696" s="30"/>
      <c r="AG696" s="30"/>
      <c r="AH696" s="31"/>
      <c r="AI696" s="49">
        <f t="shared" si="22"/>
        <v>0</v>
      </c>
      <c r="AJ696" s="71"/>
    </row>
    <row r="697" spans="2:36" x14ac:dyDescent="0.25">
      <c r="B697" s="29"/>
      <c r="C697" s="10" t="s">
        <v>2070</v>
      </c>
      <c r="D697" s="2" t="b" cm="1">
        <f t="array" ref="D697:O697">_xlfn._xlws.FILTER(IF(ancillary!$E$4:$P$8="",FALSE,ancillary!$E$4:$P$8),ancillary!$B$4:$B$8=$C697)</f>
        <v>1</v>
      </c>
      <c r="E697" s="2" t="b">
        <v>1</v>
      </c>
      <c r="F697" s="2" t="b">
        <v>1</v>
      </c>
      <c r="G697" s="2" t="b">
        <v>1</v>
      </c>
      <c r="H697" s="2" t="b">
        <v>1</v>
      </c>
      <c r="I697" s="2" t="b">
        <v>1</v>
      </c>
      <c r="J697" s="2" t="b">
        <v>0</v>
      </c>
      <c r="K697" s="2" t="b">
        <v>0</v>
      </c>
      <c r="L697" s="2" t="b">
        <v>0</v>
      </c>
      <c r="M697" s="2" t="b">
        <v>0</v>
      </c>
      <c r="N697" s="2" t="b">
        <v>0</v>
      </c>
      <c r="O697" s="2" t="b">
        <v>0</v>
      </c>
      <c r="P697" s="68"/>
      <c r="R697" s="69"/>
      <c r="S697" s="68"/>
      <c r="U697" s="69"/>
      <c r="V697" s="68"/>
      <c r="X697" s="69"/>
      <c r="Y697" s="68"/>
      <c r="AA697" s="69"/>
      <c r="AB697" s="33">
        <f t="shared" si="21"/>
        <v>0</v>
      </c>
      <c r="AC697" s="45">
        <f>_xlfn.LET(_xlpm.ps_1,P697:R697, _xlpm.ps_2,S697:U697, _xlpm.ps_3,V697:X697, _xlpm.ps_4,Y697:AA697,
_xlpm.phase, MID(C697,SEARCH("-",C697)+1,256),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(_xlfn.XLOOKUP($C$7,site_assumptions[Details],site_assumptions[Volts])*SUMIFS(P697:AA697,_xlfn.ANCHORARRAY(D697),TRUE)/10*0.95)/1000,
IFERROR(IF(_xlpm.phase="3Phase", _xlpm.p3_calc, _xlpm.sp_calc),0))</f>
        <v>0</v>
      </c>
      <c r="AD697" s="29"/>
      <c r="AE697" s="30"/>
      <c r="AF697" s="30"/>
      <c r="AG697" s="30"/>
      <c r="AH697" s="31"/>
      <c r="AI697" s="49">
        <f t="shared" si="22"/>
        <v>0</v>
      </c>
      <c r="AJ697" s="71"/>
    </row>
    <row r="698" spans="2:36" x14ac:dyDescent="0.25">
      <c r="B698" s="29"/>
      <c r="C698" s="10" t="s">
        <v>2070</v>
      </c>
      <c r="D698" s="2" t="b" cm="1">
        <f t="array" ref="D698:O698">_xlfn._xlws.FILTER(IF(ancillary!$E$4:$P$8="",FALSE,ancillary!$E$4:$P$8),ancillary!$B$4:$B$8=$C698)</f>
        <v>1</v>
      </c>
      <c r="E698" s="2" t="b">
        <v>1</v>
      </c>
      <c r="F698" s="2" t="b">
        <v>1</v>
      </c>
      <c r="G698" s="2" t="b">
        <v>1</v>
      </c>
      <c r="H698" s="2" t="b">
        <v>1</v>
      </c>
      <c r="I698" s="2" t="b">
        <v>1</v>
      </c>
      <c r="J698" s="2" t="b">
        <v>0</v>
      </c>
      <c r="K698" s="2" t="b">
        <v>0</v>
      </c>
      <c r="L698" s="2" t="b">
        <v>0</v>
      </c>
      <c r="M698" s="2" t="b">
        <v>0</v>
      </c>
      <c r="N698" s="2" t="b">
        <v>0</v>
      </c>
      <c r="O698" s="2" t="b">
        <v>0</v>
      </c>
      <c r="P698" s="68"/>
      <c r="R698" s="69"/>
      <c r="S698" s="68"/>
      <c r="U698" s="69"/>
      <c r="V698" s="68"/>
      <c r="X698" s="69"/>
      <c r="Y698" s="68"/>
      <c r="AA698" s="69"/>
      <c r="AB698" s="33">
        <f t="shared" si="21"/>
        <v>0</v>
      </c>
      <c r="AC698" s="45">
        <f>_xlfn.LET(_xlpm.ps_1,P698:R698, _xlpm.ps_2,S698:U698, _xlpm.ps_3,V698:X698, _xlpm.ps_4,Y698:AA698,
_xlpm.phase, MID(C698,SEARCH("-",C698)+1,256),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(_xlfn.XLOOKUP($C$7,site_assumptions[Details],site_assumptions[Volts])*SUMIFS(P698:AA698,_xlfn.ANCHORARRAY(D698),TRUE)/10*0.95)/1000,
IFERROR(IF(_xlpm.phase="3Phase", _xlpm.p3_calc, _xlpm.sp_calc),0))</f>
        <v>0</v>
      </c>
      <c r="AD698" s="29"/>
      <c r="AE698" s="30"/>
      <c r="AF698" s="30"/>
      <c r="AG698" s="30"/>
      <c r="AH698" s="31"/>
      <c r="AI698" s="49">
        <f t="shared" si="22"/>
        <v>0</v>
      </c>
      <c r="AJ698" s="71"/>
    </row>
    <row r="699" spans="2:36" x14ac:dyDescent="0.25">
      <c r="B699" s="29"/>
      <c r="C699" s="10" t="s">
        <v>2070</v>
      </c>
      <c r="D699" s="2" t="b" cm="1">
        <f t="array" ref="D699:O699">_xlfn._xlws.FILTER(IF(ancillary!$E$4:$P$8="",FALSE,ancillary!$E$4:$P$8),ancillary!$B$4:$B$8=$C699)</f>
        <v>1</v>
      </c>
      <c r="E699" s="2" t="b">
        <v>1</v>
      </c>
      <c r="F699" s="2" t="b">
        <v>1</v>
      </c>
      <c r="G699" s="2" t="b">
        <v>1</v>
      </c>
      <c r="H699" s="2" t="b">
        <v>1</v>
      </c>
      <c r="I699" s="2" t="b">
        <v>1</v>
      </c>
      <c r="J699" s="2" t="b">
        <v>0</v>
      </c>
      <c r="K699" s="2" t="b">
        <v>0</v>
      </c>
      <c r="L699" s="2" t="b">
        <v>0</v>
      </c>
      <c r="M699" s="2" t="b">
        <v>0</v>
      </c>
      <c r="N699" s="2" t="b">
        <v>0</v>
      </c>
      <c r="O699" s="2" t="b">
        <v>0</v>
      </c>
      <c r="P699" s="68"/>
      <c r="R699" s="69"/>
      <c r="S699" s="68"/>
      <c r="U699" s="69"/>
      <c r="V699" s="68"/>
      <c r="X699" s="69"/>
      <c r="Y699" s="68"/>
      <c r="AA699" s="69"/>
      <c r="AB699" s="33">
        <f t="shared" si="21"/>
        <v>0</v>
      </c>
      <c r="AC699" s="45">
        <f>_xlfn.LET(_xlpm.ps_1,P699:R699, _xlpm.ps_2,S699:U699, _xlpm.ps_3,V699:X699, _xlpm.ps_4,Y699:AA699,
_xlpm.phase, MID(C699,SEARCH("-",C699)+1,256),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(_xlfn.XLOOKUP($C$7,site_assumptions[Details],site_assumptions[Volts])*SUMIFS(P699:AA699,_xlfn.ANCHORARRAY(D699),TRUE)/10*0.95)/1000,
IFERROR(IF(_xlpm.phase="3Phase", _xlpm.p3_calc, _xlpm.sp_calc),0))</f>
        <v>0</v>
      </c>
      <c r="AD699" s="29"/>
      <c r="AE699" s="30"/>
      <c r="AF699" s="30"/>
      <c r="AG699" s="30"/>
      <c r="AH699" s="31"/>
      <c r="AI699" s="49">
        <f t="shared" si="22"/>
        <v>0</v>
      </c>
      <c r="AJ699" s="71"/>
    </row>
    <row r="700" spans="2:36" x14ac:dyDescent="0.25">
      <c r="B700" s="29"/>
      <c r="C700" s="10" t="s">
        <v>2070</v>
      </c>
      <c r="D700" s="2" t="b" cm="1">
        <f t="array" ref="D700:O700">_xlfn._xlws.FILTER(IF(ancillary!$E$4:$P$8="",FALSE,ancillary!$E$4:$P$8),ancillary!$B$4:$B$8=$C700)</f>
        <v>1</v>
      </c>
      <c r="E700" s="2" t="b">
        <v>1</v>
      </c>
      <c r="F700" s="2" t="b">
        <v>1</v>
      </c>
      <c r="G700" s="2" t="b">
        <v>1</v>
      </c>
      <c r="H700" s="2" t="b">
        <v>1</v>
      </c>
      <c r="I700" s="2" t="b">
        <v>1</v>
      </c>
      <c r="J700" s="2" t="b">
        <v>0</v>
      </c>
      <c r="K700" s="2" t="b">
        <v>0</v>
      </c>
      <c r="L700" s="2" t="b">
        <v>0</v>
      </c>
      <c r="M700" s="2" t="b">
        <v>0</v>
      </c>
      <c r="N700" s="2" t="b">
        <v>0</v>
      </c>
      <c r="O700" s="2" t="b">
        <v>0</v>
      </c>
      <c r="P700" s="68"/>
      <c r="R700" s="69"/>
      <c r="S700" s="68"/>
      <c r="U700" s="69"/>
      <c r="V700" s="68"/>
      <c r="X700" s="69"/>
      <c r="Y700" s="68"/>
      <c r="AA700" s="69"/>
      <c r="AB700" s="33">
        <f t="shared" si="21"/>
        <v>0</v>
      </c>
      <c r="AC700" s="45">
        <f>_xlfn.LET(_xlpm.ps_1,P700:R700, _xlpm.ps_2,S700:U700, _xlpm.ps_3,V700:X700, _xlpm.ps_4,Y700:AA700,
_xlpm.phase, MID(C700,SEARCH("-",C700)+1,256),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(_xlfn.XLOOKUP($C$7,site_assumptions[Details],site_assumptions[Volts])*SUMIFS(P700:AA700,_xlfn.ANCHORARRAY(D700),TRUE)/10*0.95)/1000,
IFERROR(IF(_xlpm.phase="3Phase", _xlpm.p3_calc, _xlpm.sp_calc),0))</f>
        <v>0</v>
      </c>
      <c r="AD700" s="29"/>
      <c r="AE700" s="30"/>
      <c r="AF700" s="30"/>
      <c r="AG700" s="30"/>
      <c r="AH700" s="31"/>
      <c r="AI700" s="49">
        <f t="shared" si="22"/>
        <v>0</v>
      </c>
      <c r="AJ700" s="71"/>
    </row>
    <row r="701" spans="2:36" x14ac:dyDescent="0.25">
      <c r="B701" s="29"/>
      <c r="C701" s="10" t="s">
        <v>2070</v>
      </c>
      <c r="D701" s="2" t="b" cm="1">
        <f t="array" ref="D701:O701">_xlfn._xlws.FILTER(IF(ancillary!$E$4:$P$8="",FALSE,ancillary!$E$4:$P$8),ancillary!$B$4:$B$8=$C701)</f>
        <v>1</v>
      </c>
      <c r="E701" s="2" t="b">
        <v>1</v>
      </c>
      <c r="F701" s="2" t="b">
        <v>1</v>
      </c>
      <c r="G701" s="2" t="b">
        <v>1</v>
      </c>
      <c r="H701" s="2" t="b">
        <v>1</v>
      </c>
      <c r="I701" s="2" t="b">
        <v>1</v>
      </c>
      <c r="J701" s="2" t="b">
        <v>0</v>
      </c>
      <c r="K701" s="2" t="b">
        <v>0</v>
      </c>
      <c r="L701" s="2" t="b">
        <v>0</v>
      </c>
      <c r="M701" s="2" t="b">
        <v>0</v>
      </c>
      <c r="N701" s="2" t="b">
        <v>0</v>
      </c>
      <c r="O701" s="2" t="b">
        <v>0</v>
      </c>
      <c r="P701" s="68"/>
      <c r="R701" s="69"/>
      <c r="S701" s="68"/>
      <c r="U701" s="69"/>
      <c r="V701" s="68"/>
      <c r="X701" s="69"/>
      <c r="Y701" s="68"/>
      <c r="AA701" s="69"/>
      <c r="AB701" s="33">
        <f t="shared" si="21"/>
        <v>0</v>
      </c>
      <c r="AC701" s="45">
        <f>_xlfn.LET(_xlpm.ps_1,P701:R701, _xlpm.ps_2,S701:U701, _xlpm.ps_3,V701:X701, _xlpm.ps_4,Y701:AA701,
_xlpm.phase, MID(C701,SEARCH("-",C701)+1,256),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(_xlfn.XLOOKUP($C$7,site_assumptions[Details],site_assumptions[Volts])*SUMIFS(P701:AA701,_xlfn.ANCHORARRAY(D701),TRUE)/10*0.95)/1000,
IFERROR(IF(_xlpm.phase="3Phase", _xlpm.p3_calc, _xlpm.sp_calc),0))</f>
        <v>0</v>
      </c>
      <c r="AD701" s="29"/>
      <c r="AE701" s="30"/>
      <c r="AF701" s="30"/>
      <c r="AG701" s="30"/>
      <c r="AH701" s="31"/>
      <c r="AI701" s="49">
        <f t="shared" si="22"/>
        <v>0</v>
      </c>
      <c r="AJ701" s="71"/>
    </row>
    <row r="702" spans="2:36" x14ac:dyDescent="0.25">
      <c r="B702" s="29"/>
      <c r="C702" s="10" t="s">
        <v>2070</v>
      </c>
      <c r="D702" s="2" t="b" cm="1">
        <f t="array" ref="D702:O702">_xlfn._xlws.FILTER(IF(ancillary!$E$4:$P$8="",FALSE,ancillary!$E$4:$P$8),ancillary!$B$4:$B$8=$C702)</f>
        <v>1</v>
      </c>
      <c r="E702" s="2" t="b">
        <v>1</v>
      </c>
      <c r="F702" s="2" t="b">
        <v>1</v>
      </c>
      <c r="G702" s="2" t="b">
        <v>1</v>
      </c>
      <c r="H702" s="2" t="b">
        <v>1</v>
      </c>
      <c r="I702" s="2" t="b">
        <v>1</v>
      </c>
      <c r="J702" s="2" t="b">
        <v>0</v>
      </c>
      <c r="K702" s="2" t="b">
        <v>0</v>
      </c>
      <c r="L702" s="2" t="b">
        <v>0</v>
      </c>
      <c r="M702" s="2" t="b">
        <v>0</v>
      </c>
      <c r="N702" s="2" t="b">
        <v>0</v>
      </c>
      <c r="O702" s="2" t="b">
        <v>0</v>
      </c>
      <c r="P702" s="68"/>
      <c r="R702" s="69"/>
      <c r="S702" s="68"/>
      <c r="U702" s="69"/>
      <c r="V702" s="68"/>
      <c r="X702" s="69"/>
      <c r="Y702" s="68"/>
      <c r="AA702" s="69"/>
      <c r="AB702" s="33">
        <f t="shared" si="21"/>
        <v>0</v>
      </c>
      <c r="AC702" s="45">
        <f>_xlfn.LET(_xlpm.ps_1,P702:R702, _xlpm.ps_2,S702:U702, _xlpm.ps_3,V702:X702, _xlpm.ps_4,Y702:AA702,
_xlpm.phase, MID(C702,SEARCH("-",C702)+1,256),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(_xlfn.XLOOKUP($C$7,site_assumptions[Details],site_assumptions[Volts])*SUMIFS(P702:AA702,_xlfn.ANCHORARRAY(D702),TRUE)/10*0.95)/1000,
IFERROR(IF(_xlpm.phase="3Phase", _xlpm.p3_calc, _xlpm.sp_calc),0))</f>
        <v>0</v>
      </c>
      <c r="AD702" s="29"/>
      <c r="AE702" s="30"/>
      <c r="AF702" s="30"/>
      <c r="AG702" s="30"/>
      <c r="AH702" s="31"/>
      <c r="AI702" s="49">
        <f t="shared" si="22"/>
        <v>0</v>
      </c>
      <c r="AJ702" s="71"/>
    </row>
    <row r="703" spans="2:36" x14ac:dyDescent="0.25">
      <c r="B703" s="29"/>
      <c r="C703" s="10" t="s">
        <v>2070</v>
      </c>
      <c r="D703" s="2" t="b" cm="1">
        <f t="array" ref="D703:O703">_xlfn._xlws.FILTER(IF(ancillary!$E$4:$P$8="",FALSE,ancillary!$E$4:$P$8),ancillary!$B$4:$B$8=$C703)</f>
        <v>1</v>
      </c>
      <c r="E703" s="2" t="b">
        <v>1</v>
      </c>
      <c r="F703" s="2" t="b">
        <v>1</v>
      </c>
      <c r="G703" s="2" t="b">
        <v>1</v>
      </c>
      <c r="H703" s="2" t="b">
        <v>1</v>
      </c>
      <c r="I703" s="2" t="b">
        <v>1</v>
      </c>
      <c r="J703" s="2" t="b">
        <v>0</v>
      </c>
      <c r="K703" s="2" t="b">
        <v>0</v>
      </c>
      <c r="L703" s="2" t="b">
        <v>0</v>
      </c>
      <c r="M703" s="2" t="b">
        <v>0</v>
      </c>
      <c r="N703" s="2" t="b">
        <v>0</v>
      </c>
      <c r="O703" s="2" t="b">
        <v>0</v>
      </c>
      <c r="P703" s="68"/>
      <c r="R703" s="69"/>
      <c r="S703" s="68"/>
      <c r="U703" s="69"/>
      <c r="V703" s="68"/>
      <c r="X703" s="69"/>
      <c r="Y703" s="68"/>
      <c r="AA703" s="69"/>
      <c r="AB703" s="33">
        <f t="shared" si="21"/>
        <v>0</v>
      </c>
      <c r="AC703" s="45">
        <f>_xlfn.LET(_xlpm.ps_1,P703:R703, _xlpm.ps_2,S703:U703, _xlpm.ps_3,V703:X703, _xlpm.ps_4,Y703:AA703,
_xlpm.phase, MID(C703,SEARCH("-",C703)+1,256),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(_xlfn.XLOOKUP($C$7,site_assumptions[Details],site_assumptions[Volts])*SUMIFS(P703:AA703,_xlfn.ANCHORARRAY(D703),TRUE)/10*0.95)/1000,
IFERROR(IF(_xlpm.phase="3Phase", _xlpm.p3_calc, _xlpm.sp_calc),0))</f>
        <v>0</v>
      </c>
      <c r="AD703" s="29"/>
      <c r="AE703" s="30"/>
      <c r="AF703" s="30"/>
      <c r="AG703" s="30"/>
      <c r="AH703" s="31"/>
      <c r="AI703" s="49">
        <f t="shared" si="22"/>
        <v>0</v>
      </c>
      <c r="AJ703" s="71"/>
    </row>
    <row r="704" spans="2:36" x14ac:dyDescent="0.25">
      <c r="B704" s="29"/>
      <c r="C704" s="10" t="s">
        <v>2070</v>
      </c>
      <c r="D704" s="2" t="b" cm="1">
        <f t="array" ref="D704:O704">_xlfn._xlws.FILTER(IF(ancillary!$E$4:$P$8="",FALSE,ancillary!$E$4:$P$8),ancillary!$B$4:$B$8=$C704)</f>
        <v>1</v>
      </c>
      <c r="E704" s="2" t="b">
        <v>1</v>
      </c>
      <c r="F704" s="2" t="b">
        <v>1</v>
      </c>
      <c r="G704" s="2" t="b">
        <v>1</v>
      </c>
      <c r="H704" s="2" t="b">
        <v>1</v>
      </c>
      <c r="I704" s="2" t="b">
        <v>1</v>
      </c>
      <c r="J704" s="2" t="b">
        <v>0</v>
      </c>
      <c r="K704" s="2" t="b">
        <v>0</v>
      </c>
      <c r="L704" s="2" t="b">
        <v>0</v>
      </c>
      <c r="M704" s="2" t="b">
        <v>0</v>
      </c>
      <c r="N704" s="2" t="b">
        <v>0</v>
      </c>
      <c r="O704" s="2" t="b">
        <v>0</v>
      </c>
      <c r="P704" s="68"/>
      <c r="R704" s="69"/>
      <c r="S704" s="68"/>
      <c r="U704" s="69"/>
      <c r="V704" s="68"/>
      <c r="X704" s="69"/>
      <c r="Y704" s="68"/>
      <c r="AA704" s="69"/>
      <c r="AB704" s="33">
        <f t="shared" si="21"/>
        <v>0</v>
      </c>
      <c r="AC704" s="45">
        <f>_xlfn.LET(_xlpm.ps_1,P704:R704, _xlpm.ps_2,S704:U704, _xlpm.ps_3,V704:X704, _xlpm.ps_4,Y704:AA704,
_xlpm.phase, MID(C704,SEARCH("-",C704)+1,256),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(_xlfn.XLOOKUP($C$7,site_assumptions[Details],site_assumptions[Volts])*SUMIFS(P704:AA704,_xlfn.ANCHORARRAY(D704),TRUE)/10*0.95)/1000,
IFERROR(IF(_xlpm.phase="3Phase", _xlpm.p3_calc, _xlpm.sp_calc),0))</f>
        <v>0</v>
      </c>
      <c r="AD704" s="29"/>
      <c r="AE704" s="30"/>
      <c r="AF704" s="30"/>
      <c r="AG704" s="30"/>
      <c r="AH704" s="31"/>
      <c r="AI704" s="49">
        <f t="shared" si="22"/>
        <v>0</v>
      </c>
      <c r="AJ704" s="71"/>
    </row>
    <row r="705" spans="2:36" x14ac:dyDescent="0.25">
      <c r="B705" s="29"/>
      <c r="C705" s="10" t="s">
        <v>2070</v>
      </c>
      <c r="D705" s="2" t="b" cm="1">
        <f t="array" ref="D705:O705">_xlfn._xlws.FILTER(IF(ancillary!$E$4:$P$8="",FALSE,ancillary!$E$4:$P$8),ancillary!$B$4:$B$8=$C705)</f>
        <v>1</v>
      </c>
      <c r="E705" s="2" t="b">
        <v>1</v>
      </c>
      <c r="F705" s="2" t="b">
        <v>1</v>
      </c>
      <c r="G705" s="2" t="b">
        <v>1</v>
      </c>
      <c r="H705" s="2" t="b">
        <v>1</v>
      </c>
      <c r="I705" s="2" t="b">
        <v>1</v>
      </c>
      <c r="J705" s="2" t="b">
        <v>0</v>
      </c>
      <c r="K705" s="2" t="b">
        <v>0</v>
      </c>
      <c r="L705" s="2" t="b">
        <v>0</v>
      </c>
      <c r="M705" s="2" t="b">
        <v>0</v>
      </c>
      <c r="N705" s="2" t="b">
        <v>0</v>
      </c>
      <c r="O705" s="2" t="b">
        <v>0</v>
      </c>
      <c r="P705" s="68"/>
      <c r="R705" s="69"/>
      <c r="S705" s="68"/>
      <c r="U705" s="69"/>
      <c r="V705" s="68"/>
      <c r="X705" s="69"/>
      <c r="Y705" s="68"/>
      <c r="AA705" s="69"/>
      <c r="AB705" s="33">
        <f t="shared" si="21"/>
        <v>0</v>
      </c>
      <c r="AC705" s="45">
        <f>_xlfn.LET(_xlpm.ps_1,P705:R705, _xlpm.ps_2,S705:U705, _xlpm.ps_3,V705:X705, _xlpm.ps_4,Y705:AA705,
_xlpm.phase, MID(C705,SEARCH("-",C705)+1,256),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(_xlfn.XLOOKUP($C$7,site_assumptions[Details],site_assumptions[Volts])*SUMIFS(P705:AA705,_xlfn.ANCHORARRAY(D705),TRUE)/10*0.95)/1000,
IFERROR(IF(_xlpm.phase="3Phase", _xlpm.p3_calc, _xlpm.sp_calc),0))</f>
        <v>0</v>
      </c>
      <c r="AD705" s="29"/>
      <c r="AE705" s="30"/>
      <c r="AF705" s="30"/>
      <c r="AG705" s="30"/>
      <c r="AH705" s="31"/>
      <c r="AI705" s="49">
        <f t="shared" si="22"/>
        <v>0</v>
      </c>
      <c r="AJ705" s="71"/>
    </row>
    <row r="706" spans="2:36" x14ac:dyDescent="0.25">
      <c r="B706" s="29"/>
      <c r="C706" s="10" t="s">
        <v>2070</v>
      </c>
      <c r="D706" s="2" t="b" cm="1">
        <f t="array" ref="D706:O706">_xlfn._xlws.FILTER(IF(ancillary!$E$4:$P$8="",FALSE,ancillary!$E$4:$P$8),ancillary!$B$4:$B$8=$C706)</f>
        <v>1</v>
      </c>
      <c r="E706" s="2" t="b">
        <v>1</v>
      </c>
      <c r="F706" s="2" t="b">
        <v>1</v>
      </c>
      <c r="G706" s="2" t="b">
        <v>1</v>
      </c>
      <c r="H706" s="2" t="b">
        <v>1</v>
      </c>
      <c r="I706" s="2" t="b">
        <v>1</v>
      </c>
      <c r="J706" s="2" t="b">
        <v>0</v>
      </c>
      <c r="K706" s="2" t="b">
        <v>0</v>
      </c>
      <c r="L706" s="2" t="b">
        <v>0</v>
      </c>
      <c r="M706" s="2" t="b">
        <v>0</v>
      </c>
      <c r="N706" s="2" t="b">
        <v>0</v>
      </c>
      <c r="O706" s="2" t="b">
        <v>0</v>
      </c>
      <c r="P706" s="68"/>
      <c r="R706" s="69"/>
      <c r="S706" s="68"/>
      <c r="U706" s="69"/>
      <c r="V706" s="68"/>
      <c r="X706" s="69"/>
      <c r="Y706" s="68"/>
      <c r="AA706" s="69"/>
      <c r="AB706" s="33">
        <f t="shared" si="21"/>
        <v>0</v>
      </c>
      <c r="AC706" s="45">
        <f>_xlfn.LET(_xlpm.ps_1,P706:R706, _xlpm.ps_2,S706:U706, _xlpm.ps_3,V706:X706, _xlpm.ps_4,Y706:AA706,
_xlpm.phase, MID(C706,SEARCH("-",C706)+1,256),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(_xlfn.XLOOKUP($C$7,site_assumptions[Details],site_assumptions[Volts])*SUMIFS(P706:AA706,_xlfn.ANCHORARRAY(D706),TRUE)/10*0.95)/1000,
IFERROR(IF(_xlpm.phase="3Phase", _xlpm.p3_calc, _xlpm.sp_calc),0))</f>
        <v>0</v>
      </c>
      <c r="AD706" s="29"/>
      <c r="AE706" s="30"/>
      <c r="AF706" s="30"/>
      <c r="AG706" s="30"/>
      <c r="AH706" s="31"/>
      <c r="AI706" s="49">
        <f t="shared" si="22"/>
        <v>0</v>
      </c>
      <c r="AJ706" s="71"/>
    </row>
    <row r="707" spans="2:36" x14ac:dyDescent="0.25">
      <c r="B707" s="29"/>
      <c r="C707" s="10" t="s">
        <v>2070</v>
      </c>
      <c r="D707" s="2" t="b" cm="1">
        <f t="array" ref="D707:O707">_xlfn._xlws.FILTER(IF(ancillary!$E$4:$P$8="",FALSE,ancillary!$E$4:$P$8),ancillary!$B$4:$B$8=$C707)</f>
        <v>1</v>
      </c>
      <c r="E707" s="2" t="b">
        <v>1</v>
      </c>
      <c r="F707" s="2" t="b">
        <v>1</v>
      </c>
      <c r="G707" s="2" t="b">
        <v>1</v>
      </c>
      <c r="H707" s="2" t="b">
        <v>1</v>
      </c>
      <c r="I707" s="2" t="b">
        <v>1</v>
      </c>
      <c r="J707" s="2" t="b">
        <v>0</v>
      </c>
      <c r="K707" s="2" t="b">
        <v>0</v>
      </c>
      <c r="L707" s="2" t="b">
        <v>0</v>
      </c>
      <c r="M707" s="2" t="b">
        <v>0</v>
      </c>
      <c r="N707" s="2" t="b">
        <v>0</v>
      </c>
      <c r="O707" s="2" t="b">
        <v>0</v>
      </c>
      <c r="P707" s="68"/>
      <c r="R707" s="69"/>
      <c r="S707" s="68"/>
      <c r="U707" s="69"/>
      <c r="V707" s="68"/>
      <c r="X707" s="69"/>
      <c r="Y707" s="68"/>
      <c r="AA707" s="69"/>
      <c r="AB707" s="33">
        <f t="shared" si="21"/>
        <v>0</v>
      </c>
      <c r="AC707" s="45">
        <f>_xlfn.LET(_xlpm.ps_1,P707:R707, _xlpm.ps_2,S707:U707, _xlpm.ps_3,V707:X707, _xlpm.ps_4,Y707:AA707,
_xlpm.phase, MID(C707,SEARCH("-",C707)+1,256),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(_xlfn.XLOOKUP($C$7,site_assumptions[Details],site_assumptions[Volts])*SUMIFS(P707:AA707,_xlfn.ANCHORARRAY(D707),TRUE)/10*0.95)/1000,
IFERROR(IF(_xlpm.phase="3Phase", _xlpm.p3_calc, _xlpm.sp_calc),0))</f>
        <v>0</v>
      </c>
      <c r="AD707" s="29"/>
      <c r="AE707" s="30"/>
      <c r="AF707" s="30"/>
      <c r="AG707" s="30"/>
      <c r="AH707" s="31"/>
      <c r="AI707" s="49">
        <f t="shared" si="22"/>
        <v>0</v>
      </c>
      <c r="AJ707" s="71"/>
    </row>
    <row r="708" spans="2:36" x14ac:dyDescent="0.25">
      <c r="B708" s="29"/>
      <c r="C708" s="10" t="s">
        <v>2070</v>
      </c>
      <c r="D708" s="2" t="b" cm="1">
        <f t="array" ref="D708:O708">_xlfn._xlws.FILTER(IF(ancillary!$E$4:$P$8="",FALSE,ancillary!$E$4:$P$8),ancillary!$B$4:$B$8=$C708)</f>
        <v>1</v>
      </c>
      <c r="E708" s="2" t="b">
        <v>1</v>
      </c>
      <c r="F708" s="2" t="b">
        <v>1</v>
      </c>
      <c r="G708" s="2" t="b">
        <v>1</v>
      </c>
      <c r="H708" s="2" t="b">
        <v>1</v>
      </c>
      <c r="I708" s="2" t="b">
        <v>1</v>
      </c>
      <c r="J708" s="2" t="b">
        <v>0</v>
      </c>
      <c r="K708" s="2" t="b">
        <v>0</v>
      </c>
      <c r="L708" s="2" t="b">
        <v>0</v>
      </c>
      <c r="M708" s="2" t="b">
        <v>0</v>
      </c>
      <c r="N708" s="2" t="b">
        <v>0</v>
      </c>
      <c r="O708" s="2" t="b">
        <v>0</v>
      </c>
      <c r="P708" s="68"/>
      <c r="R708" s="69"/>
      <c r="S708" s="68"/>
      <c r="U708" s="69"/>
      <c r="V708" s="68"/>
      <c r="X708" s="69"/>
      <c r="Y708" s="68"/>
      <c r="AA708" s="69"/>
      <c r="AB708" s="33">
        <f t="shared" si="21"/>
        <v>0</v>
      </c>
      <c r="AC708" s="45">
        <f>_xlfn.LET(_xlpm.ps_1,P708:R708, _xlpm.ps_2,S708:U708, _xlpm.ps_3,V708:X708, _xlpm.ps_4,Y708:AA708,
_xlpm.phase, MID(C708,SEARCH("-",C708)+1,256),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(_xlfn.XLOOKUP($C$7,site_assumptions[Details],site_assumptions[Volts])*SUMIFS(P708:AA708,_xlfn.ANCHORARRAY(D708),TRUE)/10*0.95)/1000,
IFERROR(IF(_xlpm.phase="3Phase", _xlpm.p3_calc, _xlpm.sp_calc),0))</f>
        <v>0</v>
      </c>
      <c r="AD708" s="29"/>
      <c r="AE708" s="30"/>
      <c r="AF708" s="30"/>
      <c r="AG708" s="30"/>
      <c r="AH708" s="31"/>
      <c r="AI708" s="49">
        <f t="shared" si="22"/>
        <v>0</v>
      </c>
      <c r="AJ708" s="71"/>
    </row>
    <row r="709" spans="2:36" x14ac:dyDescent="0.25">
      <c r="B709" s="29"/>
      <c r="C709" s="10" t="s">
        <v>2070</v>
      </c>
      <c r="D709" s="2" t="b" cm="1">
        <f t="array" ref="D709:O709">_xlfn._xlws.FILTER(IF(ancillary!$E$4:$P$8="",FALSE,ancillary!$E$4:$P$8),ancillary!$B$4:$B$8=$C709)</f>
        <v>1</v>
      </c>
      <c r="E709" s="2" t="b">
        <v>1</v>
      </c>
      <c r="F709" s="2" t="b">
        <v>1</v>
      </c>
      <c r="G709" s="2" t="b">
        <v>1</v>
      </c>
      <c r="H709" s="2" t="b">
        <v>1</v>
      </c>
      <c r="I709" s="2" t="b">
        <v>1</v>
      </c>
      <c r="J709" s="2" t="b">
        <v>0</v>
      </c>
      <c r="K709" s="2" t="b">
        <v>0</v>
      </c>
      <c r="L709" s="2" t="b">
        <v>0</v>
      </c>
      <c r="M709" s="2" t="b">
        <v>0</v>
      </c>
      <c r="N709" s="2" t="b">
        <v>0</v>
      </c>
      <c r="O709" s="2" t="b">
        <v>0</v>
      </c>
      <c r="P709" s="68"/>
      <c r="R709" s="69"/>
      <c r="S709" s="68"/>
      <c r="U709" s="69"/>
      <c r="V709" s="68"/>
      <c r="X709" s="69"/>
      <c r="Y709" s="68"/>
      <c r="AA709" s="69"/>
      <c r="AB709" s="33">
        <f t="shared" si="21"/>
        <v>0</v>
      </c>
      <c r="AC709" s="45">
        <f>_xlfn.LET(_xlpm.ps_1,P709:R709, _xlpm.ps_2,S709:U709, _xlpm.ps_3,V709:X709, _xlpm.ps_4,Y709:AA709,
_xlpm.phase, MID(C709,SEARCH("-",C709)+1,256),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(_xlfn.XLOOKUP($C$7,site_assumptions[Details],site_assumptions[Volts])*SUMIFS(P709:AA709,_xlfn.ANCHORARRAY(D709),TRUE)/10*0.95)/1000,
IFERROR(IF(_xlpm.phase="3Phase", _xlpm.p3_calc, _xlpm.sp_calc),0))</f>
        <v>0</v>
      </c>
      <c r="AD709" s="29"/>
      <c r="AE709" s="30"/>
      <c r="AF709" s="30"/>
      <c r="AG709" s="30"/>
      <c r="AH709" s="31"/>
      <c r="AI709" s="49">
        <f t="shared" si="22"/>
        <v>0</v>
      </c>
      <c r="AJ709" s="71"/>
    </row>
    <row r="710" spans="2:36" x14ac:dyDescent="0.25">
      <c r="B710" s="29"/>
      <c r="C710" s="10" t="s">
        <v>2070</v>
      </c>
      <c r="D710" s="2" t="b" cm="1">
        <f t="array" ref="D710:O710">_xlfn._xlws.FILTER(IF(ancillary!$E$4:$P$8="",FALSE,ancillary!$E$4:$P$8),ancillary!$B$4:$B$8=$C710)</f>
        <v>1</v>
      </c>
      <c r="E710" s="2" t="b">
        <v>1</v>
      </c>
      <c r="F710" s="2" t="b">
        <v>1</v>
      </c>
      <c r="G710" s="2" t="b">
        <v>1</v>
      </c>
      <c r="H710" s="2" t="b">
        <v>1</v>
      </c>
      <c r="I710" s="2" t="b">
        <v>1</v>
      </c>
      <c r="J710" s="2" t="b">
        <v>0</v>
      </c>
      <c r="K710" s="2" t="b">
        <v>0</v>
      </c>
      <c r="L710" s="2" t="b">
        <v>0</v>
      </c>
      <c r="M710" s="2" t="b">
        <v>0</v>
      </c>
      <c r="N710" s="2" t="b">
        <v>0</v>
      </c>
      <c r="O710" s="2" t="b">
        <v>0</v>
      </c>
      <c r="P710" s="68"/>
      <c r="R710" s="69"/>
      <c r="S710" s="68"/>
      <c r="U710" s="69"/>
      <c r="V710" s="68"/>
      <c r="X710" s="69"/>
      <c r="Y710" s="68"/>
      <c r="AA710" s="69"/>
      <c r="AB710" s="33">
        <f t="shared" si="21"/>
        <v>0</v>
      </c>
      <c r="AC710" s="45">
        <f>_xlfn.LET(_xlpm.ps_1,P710:R710, _xlpm.ps_2,S710:U710, _xlpm.ps_3,V710:X710, _xlpm.ps_4,Y710:AA710,
_xlpm.phase, MID(C710,SEARCH("-",C710)+1,256),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(_xlfn.XLOOKUP($C$7,site_assumptions[Details],site_assumptions[Volts])*SUMIFS(P710:AA710,_xlfn.ANCHORARRAY(D710),TRUE)/10*0.95)/1000,
IFERROR(IF(_xlpm.phase="3Phase", _xlpm.p3_calc, _xlpm.sp_calc),0))</f>
        <v>0</v>
      </c>
      <c r="AD710" s="29"/>
      <c r="AE710" s="30"/>
      <c r="AF710" s="30"/>
      <c r="AG710" s="30"/>
      <c r="AH710" s="31"/>
      <c r="AI710" s="49">
        <f t="shared" si="22"/>
        <v>0</v>
      </c>
      <c r="AJ710" s="71"/>
    </row>
    <row r="711" spans="2:36" x14ac:dyDescent="0.25">
      <c r="B711" s="29"/>
      <c r="C711" s="10" t="s">
        <v>2070</v>
      </c>
      <c r="D711" s="2" t="b" cm="1">
        <f t="array" ref="D711:O711">_xlfn._xlws.FILTER(IF(ancillary!$E$4:$P$8="",FALSE,ancillary!$E$4:$P$8),ancillary!$B$4:$B$8=$C711)</f>
        <v>1</v>
      </c>
      <c r="E711" s="2" t="b">
        <v>1</v>
      </c>
      <c r="F711" s="2" t="b">
        <v>1</v>
      </c>
      <c r="G711" s="2" t="b">
        <v>1</v>
      </c>
      <c r="H711" s="2" t="b">
        <v>1</v>
      </c>
      <c r="I711" s="2" t="b">
        <v>1</v>
      </c>
      <c r="J711" s="2" t="b">
        <v>0</v>
      </c>
      <c r="K711" s="2" t="b">
        <v>0</v>
      </c>
      <c r="L711" s="2" t="b">
        <v>0</v>
      </c>
      <c r="M711" s="2" t="b">
        <v>0</v>
      </c>
      <c r="N711" s="2" t="b">
        <v>0</v>
      </c>
      <c r="O711" s="2" t="b">
        <v>0</v>
      </c>
      <c r="P711" s="68"/>
      <c r="R711" s="69"/>
      <c r="S711" s="68"/>
      <c r="U711" s="69"/>
      <c r="V711" s="68"/>
      <c r="X711" s="69"/>
      <c r="Y711" s="68"/>
      <c r="AA711" s="69"/>
      <c r="AB711" s="33">
        <f t="shared" si="21"/>
        <v>0</v>
      </c>
      <c r="AC711" s="45">
        <f>_xlfn.LET(_xlpm.ps_1,P711:R711, _xlpm.ps_2,S711:U711, _xlpm.ps_3,V711:X711, _xlpm.ps_4,Y711:AA711,
_xlpm.phase, MID(C711,SEARCH("-",C711)+1,256),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(_xlfn.XLOOKUP($C$7,site_assumptions[Details],site_assumptions[Volts])*SUMIFS(P711:AA711,_xlfn.ANCHORARRAY(D711),TRUE)/10*0.95)/1000,
IFERROR(IF(_xlpm.phase="3Phase", _xlpm.p3_calc, _xlpm.sp_calc),0))</f>
        <v>0</v>
      </c>
      <c r="AD711" s="29"/>
      <c r="AE711" s="30"/>
      <c r="AF711" s="30"/>
      <c r="AG711" s="30"/>
      <c r="AH711" s="31"/>
      <c r="AI711" s="49">
        <f t="shared" si="22"/>
        <v>0</v>
      </c>
      <c r="AJ711" s="71"/>
    </row>
    <row r="712" spans="2:36" x14ac:dyDescent="0.25">
      <c r="B712" s="29"/>
      <c r="C712" s="10" t="s">
        <v>2070</v>
      </c>
      <c r="D712" s="2" t="b" cm="1">
        <f t="array" ref="D712:O712">_xlfn._xlws.FILTER(IF(ancillary!$E$4:$P$8="",FALSE,ancillary!$E$4:$P$8),ancillary!$B$4:$B$8=$C712)</f>
        <v>1</v>
      </c>
      <c r="E712" s="2" t="b">
        <v>1</v>
      </c>
      <c r="F712" s="2" t="b">
        <v>1</v>
      </c>
      <c r="G712" s="2" t="b">
        <v>1</v>
      </c>
      <c r="H712" s="2" t="b">
        <v>1</v>
      </c>
      <c r="I712" s="2" t="b">
        <v>1</v>
      </c>
      <c r="J712" s="2" t="b">
        <v>0</v>
      </c>
      <c r="K712" s="2" t="b">
        <v>0</v>
      </c>
      <c r="L712" s="2" t="b">
        <v>0</v>
      </c>
      <c r="M712" s="2" t="b">
        <v>0</v>
      </c>
      <c r="N712" s="2" t="b">
        <v>0</v>
      </c>
      <c r="O712" s="2" t="b">
        <v>0</v>
      </c>
      <c r="P712" s="68"/>
      <c r="R712" s="69"/>
      <c r="S712" s="68"/>
      <c r="U712" s="69"/>
      <c r="V712" s="68"/>
      <c r="X712" s="69"/>
      <c r="Y712" s="68"/>
      <c r="AA712" s="69"/>
      <c r="AB712" s="33">
        <f t="shared" si="21"/>
        <v>0</v>
      </c>
      <c r="AC712" s="45">
        <f>_xlfn.LET(_xlpm.ps_1,P712:R712, _xlpm.ps_2,S712:U712, _xlpm.ps_3,V712:X712, _xlpm.ps_4,Y712:AA712,
_xlpm.phase, MID(C712,SEARCH("-",C712)+1,256),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(_xlfn.XLOOKUP($C$7,site_assumptions[Details],site_assumptions[Volts])*SUMIFS(P712:AA712,_xlfn.ANCHORARRAY(D712),TRUE)/10*0.95)/1000,
IFERROR(IF(_xlpm.phase="3Phase", _xlpm.p3_calc, _xlpm.sp_calc),0))</f>
        <v>0</v>
      </c>
      <c r="AD712" s="29"/>
      <c r="AE712" s="30"/>
      <c r="AF712" s="30"/>
      <c r="AG712" s="30"/>
      <c r="AH712" s="31"/>
      <c r="AI712" s="49">
        <f t="shared" si="22"/>
        <v>0</v>
      </c>
      <c r="AJ712" s="71"/>
    </row>
    <row r="713" spans="2:36" x14ac:dyDescent="0.25">
      <c r="B713" s="29"/>
      <c r="C713" s="10" t="s">
        <v>2070</v>
      </c>
      <c r="D713" s="2" t="b" cm="1">
        <f t="array" ref="D713:O713">_xlfn._xlws.FILTER(IF(ancillary!$E$4:$P$8="",FALSE,ancillary!$E$4:$P$8),ancillary!$B$4:$B$8=$C713)</f>
        <v>1</v>
      </c>
      <c r="E713" s="2" t="b">
        <v>1</v>
      </c>
      <c r="F713" s="2" t="b">
        <v>1</v>
      </c>
      <c r="G713" s="2" t="b">
        <v>1</v>
      </c>
      <c r="H713" s="2" t="b">
        <v>1</v>
      </c>
      <c r="I713" s="2" t="b">
        <v>1</v>
      </c>
      <c r="J713" s="2" t="b">
        <v>0</v>
      </c>
      <c r="K713" s="2" t="b">
        <v>0</v>
      </c>
      <c r="L713" s="2" t="b">
        <v>0</v>
      </c>
      <c r="M713" s="2" t="b">
        <v>0</v>
      </c>
      <c r="N713" s="2" t="b">
        <v>0</v>
      </c>
      <c r="O713" s="2" t="b">
        <v>0</v>
      </c>
      <c r="P713" s="68"/>
      <c r="R713" s="69"/>
      <c r="S713" s="68"/>
      <c r="U713" s="69"/>
      <c r="V713" s="68"/>
      <c r="X713" s="69"/>
      <c r="Y713" s="68"/>
      <c r="AA713" s="69"/>
      <c r="AB713" s="33">
        <f t="shared" si="21"/>
        <v>0</v>
      </c>
      <c r="AC713" s="45">
        <f>_xlfn.LET(_xlpm.ps_1,P713:R713, _xlpm.ps_2,S713:U713, _xlpm.ps_3,V713:X713, _xlpm.ps_4,Y713:AA713,
_xlpm.phase, MID(C713,SEARCH("-",C713)+1,256),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(_xlfn.XLOOKUP($C$7,site_assumptions[Details],site_assumptions[Volts])*SUMIFS(P713:AA713,_xlfn.ANCHORARRAY(D713),TRUE)/10*0.95)/1000,
IFERROR(IF(_xlpm.phase="3Phase", _xlpm.p3_calc, _xlpm.sp_calc),0))</f>
        <v>0</v>
      </c>
      <c r="AD713" s="29"/>
      <c r="AE713" s="30"/>
      <c r="AF713" s="30"/>
      <c r="AG713" s="30"/>
      <c r="AH713" s="31"/>
      <c r="AI713" s="49">
        <f t="shared" si="22"/>
        <v>0</v>
      </c>
      <c r="AJ713" s="71"/>
    </row>
    <row r="714" spans="2:36" x14ac:dyDescent="0.25">
      <c r="B714" s="29"/>
      <c r="C714" s="10" t="s">
        <v>2070</v>
      </c>
      <c r="D714" s="2" t="b" cm="1">
        <f t="array" ref="D714:O714">_xlfn._xlws.FILTER(IF(ancillary!$E$4:$P$8="",FALSE,ancillary!$E$4:$P$8),ancillary!$B$4:$B$8=$C714)</f>
        <v>1</v>
      </c>
      <c r="E714" s="2" t="b">
        <v>1</v>
      </c>
      <c r="F714" s="2" t="b">
        <v>1</v>
      </c>
      <c r="G714" s="2" t="b">
        <v>1</v>
      </c>
      <c r="H714" s="2" t="b">
        <v>1</v>
      </c>
      <c r="I714" s="2" t="b">
        <v>1</v>
      </c>
      <c r="J714" s="2" t="b">
        <v>0</v>
      </c>
      <c r="K714" s="2" t="b">
        <v>0</v>
      </c>
      <c r="L714" s="2" t="b">
        <v>0</v>
      </c>
      <c r="M714" s="2" t="b">
        <v>0</v>
      </c>
      <c r="N714" s="2" t="b">
        <v>0</v>
      </c>
      <c r="O714" s="2" t="b">
        <v>0</v>
      </c>
      <c r="P714" s="68"/>
      <c r="R714" s="69"/>
      <c r="S714" s="68"/>
      <c r="U714" s="69"/>
      <c r="V714" s="68"/>
      <c r="X714" s="69"/>
      <c r="Y714" s="68"/>
      <c r="AA714" s="69"/>
      <c r="AB714" s="33">
        <f t="shared" si="21"/>
        <v>0</v>
      </c>
      <c r="AC714" s="45">
        <f>_xlfn.LET(_xlpm.ps_1,P714:R714, _xlpm.ps_2,S714:U714, _xlpm.ps_3,V714:X714, _xlpm.ps_4,Y714:AA714,
_xlpm.phase, MID(C714,SEARCH("-",C714)+1,256),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(_xlfn.XLOOKUP($C$7,site_assumptions[Details],site_assumptions[Volts])*SUMIFS(P714:AA714,_xlfn.ANCHORARRAY(D714),TRUE)/10*0.95)/1000,
IFERROR(IF(_xlpm.phase="3Phase", _xlpm.p3_calc, _xlpm.sp_calc),0))</f>
        <v>0</v>
      </c>
      <c r="AD714" s="29"/>
      <c r="AE714" s="30"/>
      <c r="AF714" s="30"/>
      <c r="AG714" s="30"/>
      <c r="AH714" s="31"/>
      <c r="AI714" s="49">
        <f t="shared" si="22"/>
        <v>0</v>
      </c>
      <c r="AJ714" s="71"/>
    </row>
    <row r="715" spans="2:36" x14ac:dyDescent="0.25">
      <c r="B715" s="29"/>
      <c r="C715" s="10" t="s">
        <v>2070</v>
      </c>
      <c r="D715" s="2" t="b" cm="1">
        <f t="array" ref="D715:O715">_xlfn._xlws.FILTER(IF(ancillary!$E$4:$P$8="",FALSE,ancillary!$E$4:$P$8),ancillary!$B$4:$B$8=$C715)</f>
        <v>1</v>
      </c>
      <c r="E715" s="2" t="b">
        <v>1</v>
      </c>
      <c r="F715" s="2" t="b">
        <v>1</v>
      </c>
      <c r="G715" s="2" t="b">
        <v>1</v>
      </c>
      <c r="H715" s="2" t="b">
        <v>1</v>
      </c>
      <c r="I715" s="2" t="b">
        <v>1</v>
      </c>
      <c r="J715" s="2" t="b">
        <v>0</v>
      </c>
      <c r="K715" s="2" t="b">
        <v>0</v>
      </c>
      <c r="L715" s="2" t="b">
        <v>0</v>
      </c>
      <c r="M715" s="2" t="b">
        <v>0</v>
      </c>
      <c r="N715" s="2" t="b">
        <v>0</v>
      </c>
      <c r="O715" s="2" t="b">
        <v>0</v>
      </c>
      <c r="P715" s="68"/>
      <c r="R715" s="69"/>
      <c r="S715" s="68"/>
      <c r="U715" s="69"/>
      <c r="V715" s="68"/>
      <c r="X715" s="69"/>
      <c r="Y715" s="68"/>
      <c r="AA715" s="69"/>
      <c r="AB715" s="33">
        <f t="shared" si="21"/>
        <v>0</v>
      </c>
      <c r="AC715" s="45">
        <f>_xlfn.LET(_xlpm.ps_1,P715:R715, _xlpm.ps_2,S715:U715, _xlpm.ps_3,V715:X715, _xlpm.ps_4,Y715:AA715,
_xlpm.phase, MID(C715,SEARCH("-",C715)+1,256),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(_xlfn.XLOOKUP($C$7,site_assumptions[Details],site_assumptions[Volts])*SUMIFS(P715:AA715,_xlfn.ANCHORARRAY(D715),TRUE)/10*0.95)/1000,
IFERROR(IF(_xlpm.phase="3Phase", _xlpm.p3_calc, _xlpm.sp_calc),0))</f>
        <v>0</v>
      </c>
      <c r="AD715" s="29"/>
      <c r="AE715" s="30"/>
      <c r="AF715" s="30"/>
      <c r="AG715" s="30"/>
      <c r="AH715" s="31"/>
      <c r="AI715" s="49">
        <f t="shared" si="22"/>
        <v>0</v>
      </c>
      <c r="AJ715" s="71"/>
    </row>
    <row r="716" spans="2:36" x14ac:dyDescent="0.25">
      <c r="B716" s="29"/>
      <c r="C716" s="10" t="s">
        <v>2070</v>
      </c>
      <c r="D716" s="2" t="b" cm="1">
        <f t="array" ref="D716:O716">_xlfn._xlws.FILTER(IF(ancillary!$E$4:$P$8="",FALSE,ancillary!$E$4:$P$8),ancillary!$B$4:$B$8=$C716)</f>
        <v>1</v>
      </c>
      <c r="E716" s="2" t="b">
        <v>1</v>
      </c>
      <c r="F716" s="2" t="b">
        <v>1</v>
      </c>
      <c r="G716" s="2" t="b">
        <v>1</v>
      </c>
      <c r="H716" s="2" t="b">
        <v>1</v>
      </c>
      <c r="I716" s="2" t="b">
        <v>1</v>
      </c>
      <c r="J716" s="2" t="b">
        <v>0</v>
      </c>
      <c r="K716" s="2" t="b">
        <v>0</v>
      </c>
      <c r="L716" s="2" t="b">
        <v>0</v>
      </c>
      <c r="M716" s="2" t="b">
        <v>0</v>
      </c>
      <c r="N716" s="2" t="b">
        <v>0</v>
      </c>
      <c r="O716" s="2" t="b">
        <v>0</v>
      </c>
      <c r="P716" s="68"/>
      <c r="R716" s="69"/>
      <c r="S716" s="68"/>
      <c r="U716" s="69"/>
      <c r="V716" s="68"/>
      <c r="X716" s="69"/>
      <c r="Y716" s="68"/>
      <c r="AA716" s="69"/>
      <c r="AB716" s="33">
        <f t="shared" si="21"/>
        <v>0</v>
      </c>
      <c r="AC716" s="45">
        <f>_xlfn.LET(_xlpm.ps_1,P716:R716, _xlpm.ps_2,S716:U716, _xlpm.ps_3,V716:X716, _xlpm.ps_4,Y716:AA716,
_xlpm.phase, MID(C716,SEARCH("-",C716)+1,256),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(_xlfn.XLOOKUP($C$7,site_assumptions[Details],site_assumptions[Volts])*SUMIFS(P716:AA716,_xlfn.ANCHORARRAY(D716),TRUE)/10*0.95)/1000,
IFERROR(IF(_xlpm.phase="3Phase", _xlpm.p3_calc, _xlpm.sp_calc),0))</f>
        <v>0</v>
      </c>
      <c r="AD716" s="29"/>
      <c r="AE716" s="30"/>
      <c r="AF716" s="30"/>
      <c r="AG716" s="30"/>
      <c r="AH716" s="31"/>
      <c r="AI716" s="49">
        <f t="shared" si="22"/>
        <v>0</v>
      </c>
      <c r="AJ716" s="71"/>
    </row>
    <row r="717" spans="2:36" x14ac:dyDescent="0.25">
      <c r="B717" s="29"/>
      <c r="C717" s="10" t="s">
        <v>2070</v>
      </c>
      <c r="D717" s="2" t="b" cm="1">
        <f t="array" ref="D717:O717">_xlfn._xlws.FILTER(IF(ancillary!$E$4:$P$8="",FALSE,ancillary!$E$4:$P$8),ancillary!$B$4:$B$8=$C717)</f>
        <v>1</v>
      </c>
      <c r="E717" s="2" t="b">
        <v>1</v>
      </c>
      <c r="F717" s="2" t="b">
        <v>1</v>
      </c>
      <c r="G717" s="2" t="b">
        <v>1</v>
      </c>
      <c r="H717" s="2" t="b">
        <v>1</v>
      </c>
      <c r="I717" s="2" t="b">
        <v>1</v>
      </c>
      <c r="J717" s="2" t="b">
        <v>0</v>
      </c>
      <c r="K717" s="2" t="b">
        <v>0</v>
      </c>
      <c r="L717" s="2" t="b">
        <v>0</v>
      </c>
      <c r="M717" s="2" t="b">
        <v>0</v>
      </c>
      <c r="N717" s="2" t="b">
        <v>0</v>
      </c>
      <c r="O717" s="2" t="b">
        <v>0</v>
      </c>
      <c r="P717" s="68"/>
      <c r="R717" s="69"/>
      <c r="S717" s="68"/>
      <c r="U717" s="69"/>
      <c r="V717" s="68"/>
      <c r="X717" s="69"/>
      <c r="Y717" s="68"/>
      <c r="AA717" s="69"/>
      <c r="AB717" s="33">
        <f t="shared" si="21"/>
        <v>0</v>
      </c>
      <c r="AC717" s="45">
        <f>_xlfn.LET(_xlpm.ps_1,P717:R717, _xlpm.ps_2,S717:U717, _xlpm.ps_3,V717:X717, _xlpm.ps_4,Y717:AA717,
_xlpm.phase, MID(C717,SEARCH("-",C717)+1,256),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(_xlfn.XLOOKUP($C$7,site_assumptions[Details],site_assumptions[Volts])*SUMIFS(P717:AA717,_xlfn.ANCHORARRAY(D717),TRUE)/10*0.95)/1000,
IFERROR(IF(_xlpm.phase="3Phase", _xlpm.p3_calc, _xlpm.sp_calc),0))</f>
        <v>0</v>
      </c>
      <c r="AD717" s="29"/>
      <c r="AE717" s="30"/>
      <c r="AF717" s="30"/>
      <c r="AG717" s="30"/>
      <c r="AH717" s="31"/>
      <c r="AI717" s="49">
        <f t="shared" si="22"/>
        <v>0</v>
      </c>
      <c r="AJ717" s="71"/>
    </row>
    <row r="718" spans="2:36" x14ac:dyDescent="0.25">
      <c r="B718" s="29"/>
      <c r="C718" s="10" t="s">
        <v>2070</v>
      </c>
      <c r="D718" s="2" t="b" cm="1">
        <f t="array" ref="D718:O718">_xlfn._xlws.FILTER(IF(ancillary!$E$4:$P$8="",FALSE,ancillary!$E$4:$P$8),ancillary!$B$4:$B$8=$C718)</f>
        <v>1</v>
      </c>
      <c r="E718" s="2" t="b">
        <v>1</v>
      </c>
      <c r="F718" s="2" t="b">
        <v>1</v>
      </c>
      <c r="G718" s="2" t="b">
        <v>1</v>
      </c>
      <c r="H718" s="2" t="b">
        <v>1</v>
      </c>
      <c r="I718" s="2" t="b">
        <v>1</v>
      </c>
      <c r="J718" s="2" t="b">
        <v>0</v>
      </c>
      <c r="K718" s="2" t="b">
        <v>0</v>
      </c>
      <c r="L718" s="2" t="b">
        <v>0</v>
      </c>
      <c r="M718" s="2" t="b">
        <v>0</v>
      </c>
      <c r="N718" s="2" t="b">
        <v>0</v>
      </c>
      <c r="O718" s="2" t="b">
        <v>0</v>
      </c>
      <c r="P718" s="68"/>
      <c r="R718" s="69"/>
      <c r="S718" s="68"/>
      <c r="U718" s="69"/>
      <c r="V718" s="68"/>
      <c r="X718" s="69"/>
      <c r="Y718" s="68"/>
      <c r="AA718" s="69"/>
      <c r="AB718" s="33">
        <f t="shared" ref="AB718:AB781" si="23">IFERROR(AVERAGEIFS(P718:AA718,_xlfn.ANCHORARRAY(D718),TRUE),0)/10</f>
        <v>0</v>
      </c>
      <c r="AC718" s="45">
        <f>_xlfn.LET(_xlpm.ps_1,P718:R718, _xlpm.ps_2,S718:U718, _xlpm.ps_3,V718:X718, _xlpm.ps_4,Y718:AA718,
_xlpm.phase, MID(C718,SEARCH("-",C718)+1,256),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(_xlfn.XLOOKUP($C$7,site_assumptions[Details],site_assumptions[Volts])*SUMIFS(P718:AA718,_xlfn.ANCHORARRAY(D718),TRUE)/10*0.95)/1000,
IFERROR(IF(_xlpm.phase="3Phase", _xlpm.p3_calc, _xlpm.sp_calc),0))</f>
        <v>0</v>
      </c>
      <c r="AD718" s="29"/>
      <c r="AE718" s="30"/>
      <c r="AF718" s="30"/>
      <c r="AG718" s="30"/>
      <c r="AH718" s="31"/>
      <c r="AI718" s="49">
        <f t="shared" si="22"/>
        <v>0</v>
      </c>
      <c r="AJ718" s="71"/>
    </row>
    <row r="719" spans="2:36" x14ac:dyDescent="0.25">
      <c r="B719" s="29"/>
      <c r="C719" s="10" t="s">
        <v>2070</v>
      </c>
      <c r="D719" s="2" t="b" cm="1">
        <f t="array" ref="D719:O719">_xlfn._xlws.FILTER(IF(ancillary!$E$4:$P$8="",FALSE,ancillary!$E$4:$P$8),ancillary!$B$4:$B$8=$C719)</f>
        <v>1</v>
      </c>
      <c r="E719" s="2" t="b">
        <v>1</v>
      </c>
      <c r="F719" s="2" t="b">
        <v>1</v>
      </c>
      <c r="G719" s="2" t="b">
        <v>1</v>
      </c>
      <c r="H719" s="2" t="b">
        <v>1</v>
      </c>
      <c r="I719" s="2" t="b">
        <v>1</v>
      </c>
      <c r="J719" s="2" t="b">
        <v>0</v>
      </c>
      <c r="K719" s="2" t="b">
        <v>0</v>
      </c>
      <c r="L719" s="2" t="b">
        <v>0</v>
      </c>
      <c r="M719" s="2" t="b">
        <v>0</v>
      </c>
      <c r="N719" s="2" t="b">
        <v>0</v>
      </c>
      <c r="O719" s="2" t="b">
        <v>0</v>
      </c>
      <c r="P719" s="68"/>
      <c r="R719" s="69"/>
      <c r="S719" s="68"/>
      <c r="U719" s="69"/>
      <c r="V719" s="68"/>
      <c r="X719" s="69"/>
      <c r="Y719" s="68"/>
      <c r="AA719" s="69"/>
      <c r="AB719" s="33">
        <f t="shared" si="23"/>
        <v>0</v>
      </c>
      <c r="AC719" s="45">
        <f>_xlfn.LET(_xlpm.ps_1,P719:R719, _xlpm.ps_2,S719:U719, _xlpm.ps_3,V719:X719, _xlpm.ps_4,Y719:AA719,
_xlpm.phase, MID(C719,SEARCH("-",C719)+1,256),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(_xlfn.XLOOKUP($C$7,site_assumptions[Details],site_assumptions[Volts])*SUMIFS(P719:AA719,_xlfn.ANCHORARRAY(D719),TRUE)/10*0.95)/1000,
IFERROR(IF(_xlpm.phase="3Phase", _xlpm.p3_calc, _xlpm.sp_calc),0))</f>
        <v>0</v>
      </c>
      <c r="AD719" s="29"/>
      <c r="AE719" s="30"/>
      <c r="AF719" s="30"/>
      <c r="AG719" s="30"/>
      <c r="AH719" s="31"/>
      <c r="AI719" s="49">
        <f t="shared" si="22"/>
        <v>0</v>
      </c>
      <c r="AJ719" s="71"/>
    </row>
    <row r="720" spans="2:36" x14ac:dyDescent="0.25">
      <c r="B720" s="29"/>
      <c r="C720" s="10" t="s">
        <v>2070</v>
      </c>
      <c r="D720" s="2" t="b" cm="1">
        <f t="array" ref="D720:O720">_xlfn._xlws.FILTER(IF(ancillary!$E$4:$P$8="",FALSE,ancillary!$E$4:$P$8),ancillary!$B$4:$B$8=$C720)</f>
        <v>1</v>
      </c>
      <c r="E720" s="2" t="b">
        <v>1</v>
      </c>
      <c r="F720" s="2" t="b">
        <v>1</v>
      </c>
      <c r="G720" s="2" t="b">
        <v>1</v>
      </c>
      <c r="H720" s="2" t="b">
        <v>1</v>
      </c>
      <c r="I720" s="2" t="b">
        <v>1</v>
      </c>
      <c r="J720" s="2" t="b">
        <v>0</v>
      </c>
      <c r="K720" s="2" t="b">
        <v>0</v>
      </c>
      <c r="L720" s="2" t="b">
        <v>0</v>
      </c>
      <c r="M720" s="2" t="b">
        <v>0</v>
      </c>
      <c r="N720" s="2" t="b">
        <v>0</v>
      </c>
      <c r="O720" s="2" t="b">
        <v>0</v>
      </c>
      <c r="P720" s="68"/>
      <c r="R720" s="69"/>
      <c r="S720" s="68"/>
      <c r="U720" s="69"/>
      <c r="V720" s="68"/>
      <c r="X720" s="69"/>
      <c r="Y720" s="68"/>
      <c r="AA720" s="69"/>
      <c r="AB720" s="33">
        <f t="shared" si="23"/>
        <v>0</v>
      </c>
      <c r="AC720" s="45">
        <f>_xlfn.LET(_xlpm.ps_1,P720:R720, _xlpm.ps_2,S720:U720, _xlpm.ps_3,V720:X720, _xlpm.ps_4,Y720:AA720,
_xlpm.phase, MID(C720,SEARCH("-",C720)+1,256),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(_xlfn.XLOOKUP($C$7,site_assumptions[Details],site_assumptions[Volts])*SUMIFS(P720:AA720,_xlfn.ANCHORARRAY(D720),TRUE)/10*0.95)/1000,
IFERROR(IF(_xlpm.phase="3Phase", _xlpm.p3_calc, _xlpm.sp_calc),0))</f>
        <v>0</v>
      </c>
      <c r="AD720" s="29"/>
      <c r="AE720" s="30"/>
      <c r="AF720" s="30"/>
      <c r="AG720" s="30"/>
      <c r="AH720" s="31"/>
      <c r="AI720" s="49">
        <f t="shared" si="22"/>
        <v>0</v>
      </c>
      <c r="AJ720" s="71"/>
    </row>
    <row r="721" spans="2:36" x14ac:dyDescent="0.25">
      <c r="B721" s="29"/>
      <c r="C721" s="10" t="s">
        <v>2070</v>
      </c>
      <c r="D721" s="2" t="b" cm="1">
        <f t="array" ref="D721:O721">_xlfn._xlws.FILTER(IF(ancillary!$E$4:$P$8="",FALSE,ancillary!$E$4:$P$8),ancillary!$B$4:$B$8=$C721)</f>
        <v>1</v>
      </c>
      <c r="E721" s="2" t="b">
        <v>1</v>
      </c>
      <c r="F721" s="2" t="b">
        <v>1</v>
      </c>
      <c r="G721" s="2" t="b">
        <v>1</v>
      </c>
      <c r="H721" s="2" t="b">
        <v>1</v>
      </c>
      <c r="I721" s="2" t="b">
        <v>1</v>
      </c>
      <c r="J721" s="2" t="b">
        <v>0</v>
      </c>
      <c r="K721" s="2" t="b">
        <v>0</v>
      </c>
      <c r="L721" s="2" t="b">
        <v>0</v>
      </c>
      <c r="M721" s="2" t="b">
        <v>0</v>
      </c>
      <c r="N721" s="2" t="b">
        <v>0</v>
      </c>
      <c r="O721" s="2" t="b">
        <v>0</v>
      </c>
      <c r="P721" s="68"/>
      <c r="R721" s="69"/>
      <c r="S721" s="68"/>
      <c r="U721" s="69"/>
      <c r="V721" s="68"/>
      <c r="X721" s="69"/>
      <c r="Y721" s="68"/>
      <c r="AA721" s="69"/>
      <c r="AB721" s="33">
        <f t="shared" si="23"/>
        <v>0</v>
      </c>
      <c r="AC721" s="45">
        <f>_xlfn.LET(_xlpm.ps_1,P721:R721, _xlpm.ps_2,S721:U721, _xlpm.ps_3,V721:X721, _xlpm.ps_4,Y721:AA721,
_xlpm.phase, MID(C721,SEARCH("-",C721)+1,256),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(_xlfn.XLOOKUP($C$7,site_assumptions[Details],site_assumptions[Volts])*SUMIFS(P721:AA721,_xlfn.ANCHORARRAY(D721),TRUE)/10*0.95)/1000,
IFERROR(IF(_xlpm.phase="3Phase", _xlpm.p3_calc, _xlpm.sp_calc),0))</f>
        <v>0</v>
      </c>
      <c r="AD721" s="29"/>
      <c r="AE721" s="30"/>
      <c r="AF721" s="30"/>
      <c r="AG721" s="30"/>
      <c r="AH721" s="31"/>
      <c r="AI721" s="49">
        <f t="shared" si="22"/>
        <v>0</v>
      </c>
      <c r="AJ721" s="71"/>
    </row>
    <row r="722" spans="2:36" x14ac:dyDescent="0.25">
      <c r="B722" s="29"/>
      <c r="C722" s="10" t="s">
        <v>2070</v>
      </c>
      <c r="D722" s="2" t="b" cm="1">
        <f t="array" ref="D722:O722">_xlfn._xlws.FILTER(IF(ancillary!$E$4:$P$8="",FALSE,ancillary!$E$4:$P$8),ancillary!$B$4:$B$8=$C722)</f>
        <v>1</v>
      </c>
      <c r="E722" s="2" t="b">
        <v>1</v>
      </c>
      <c r="F722" s="2" t="b">
        <v>1</v>
      </c>
      <c r="G722" s="2" t="b">
        <v>1</v>
      </c>
      <c r="H722" s="2" t="b">
        <v>1</v>
      </c>
      <c r="I722" s="2" t="b">
        <v>1</v>
      </c>
      <c r="J722" s="2" t="b">
        <v>0</v>
      </c>
      <c r="K722" s="2" t="b">
        <v>0</v>
      </c>
      <c r="L722" s="2" t="b">
        <v>0</v>
      </c>
      <c r="M722" s="2" t="b">
        <v>0</v>
      </c>
      <c r="N722" s="2" t="b">
        <v>0</v>
      </c>
      <c r="O722" s="2" t="b">
        <v>0</v>
      </c>
      <c r="P722" s="68"/>
      <c r="R722" s="69"/>
      <c r="S722" s="68"/>
      <c r="U722" s="69"/>
      <c r="V722" s="68"/>
      <c r="X722" s="69"/>
      <c r="Y722" s="68"/>
      <c r="AA722" s="69"/>
      <c r="AB722" s="33">
        <f t="shared" si="23"/>
        <v>0</v>
      </c>
      <c r="AC722" s="45">
        <f>_xlfn.LET(_xlpm.ps_1,P722:R722, _xlpm.ps_2,S722:U722, _xlpm.ps_3,V722:X722, _xlpm.ps_4,Y722:AA722,
_xlpm.phase, MID(C722,SEARCH("-",C722)+1,256),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(_xlfn.XLOOKUP($C$7,site_assumptions[Details],site_assumptions[Volts])*SUMIFS(P722:AA722,_xlfn.ANCHORARRAY(D722),TRUE)/10*0.95)/1000,
IFERROR(IF(_xlpm.phase="3Phase", _xlpm.p3_calc, _xlpm.sp_calc),0))</f>
        <v>0</v>
      </c>
      <c r="AD722" s="29"/>
      <c r="AE722" s="30"/>
      <c r="AF722" s="30"/>
      <c r="AG722" s="30"/>
      <c r="AH722" s="31"/>
      <c r="AI722" s="49">
        <f t="shared" si="22"/>
        <v>0</v>
      </c>
      <c r="AJ722" s="71"/>
    </row>
    <row r="723" spans="2:36" x14ac:dyDescent="0.25">
      <c r="B723" s="29"/>
      <c r="C723" s="10" t="s">
        <v>2070</v>
      </c>
      <c r="D723" s="2" t="b" cm="1">
        <f t="array" ref="D723:O723">_xlfn._xlws.FILTER(IF(ancillary!$E$4:$P$8="",FALSE,ancillary!$E$4:$P$8),ancillary!$B$4:$B$8=$C723)</f>
        <v>1</v>
      </c>
      <c r="E723" s="2" t="b">
        <v>1</v>
      </c>
      <c r="F723" s="2" t="b">
        <v>1</v>
      </c>
      <c r="G723" s="2" t="b">
        <v>1</v>
      </c>
      <c r="H723" s="2" t="b">
        <v>1</v>
      </c>
      <c r="I723" s="2" t="b">
        <v>1</v>
      </c>
      <c r="J723" s="2" t="b">
        <v>0</v>
      </c>
      <c r="K723" s="2" t="b">
        <v>0</v>
      </c>
      <c r="L723" s="2" t="b">
        <v>0</v>
      </c>
      <c r="M723" s="2" t="b">
        <v>0</v>
      </c>
      <c r="N723" s="2" t="b">
        <v>0</v>
      </c>
      <c r="O723" s="2" t="b">
        <v>0</v>
      </c>
      <c r="P723" s="68"/>
      <c r="R723" s="69"/>
      <c r="S723" s="68"/>
      <c r="U723" s="69"/>
      <c r="V723" s="68"/>
      <c r="X723" s="69"/>
      <c r="Y723" s="68"/>
      <c r="AA723" s="69"/>
      <c r="AB723" s="33">
        <f t="shared" si="23"/>
        <v>0</v>
      </c>
      <c r="AC723" s="45">
        <f>_xlfn.LET(_xlpm.ps_1,P723:R723, _xlpm.ps_2,S723:U723, _xlpm.ps_3,V723:X723, _xlpm.ps_4,Y723:AA723,
_xlpm.phase, MID(C723,SEARCH("-",C723)+1,256),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(_xlfn.XLOOKUP($C$7,site_assumptions[Details],site_assumptions[Volts])*SUMIFS(P723:AA723,_xlfn.ANCHORARRAY(D723),TRUE)/10*0.95)/1000,
IFERROR(IF(_xlpm.phase="3Phase", _xlpm.p3_calc, _xlpm.sp_calc),0))</f>
        <v>0</v>
      </c>
      <c r="AD723" s="29"/>
      <c r="AE723" s="30"/>
      <c r="AF723" s="30"/>
      <c r="AG723" s="30"/>
      <c r="AH723" s="31"/>
      <c r="AI723" s="49">
        <f t="shared" si="22"/>
        <v>0</v>
      </c>
      <c r="AJ723" s="71"/>
    </row>
    <row r="724" spans="2:36" x14ac:dyDescent="0.25">
      <c r="B724" s="29"/>
      <c r="C724" s="10" t="s">
        <v>2070</v>
      </c>
      <c r="D724" s="2" t="b" cm="1">
        <f t="array" ref="D724:O724">_xlfn._xlws.FILTER(IF(ancillary!$E$4:$P$8="",FALSE,ancillary!$E$4:$P$8),ancillary!$B$4:$B$8=$C724)</f>
        <v>1</v>
      </c>
      <c r="E724" s="2" t="b">
        <v>1</v>
      </c>
      <c r="F724" s="2" t="b">
        <v>1</v>
      </c>
      <c r="G724" s="2" t="b">
        <v>1</v>
      </c>
      <c r="H724" s="2" t="b">
        <v>1</v>
      </c>
      <c r="I724" s="2" t="b">
        <v>1</v>
      </c>
      <c r="J724" s="2" t="b">
        <v>0</v>
      </c>
      <c r="K724" s="2" t="b">
        <v>0</v>
      </c>
      <c r="L724" s="2" t="b">
        <v>0</v>
      </c>
      <c r="M724" s="2" t="b">
        <v>0</v>
      </c>
      <c r="N724" s="2" t="b">
        <v>0</v>
      </c>
      <c r="O724" s="2" t="b">
        <v>0</v>
      </c>
      <c r="P724" s="68"/>
      <c r="R724" s="69"/>
      <c r="S724" s="68"/>
      <c r="U724" s="69"/>
      <c r="V724" s="68"/>
      <c r="X724" s="69"/>
      <c r="Y724" s="68"/>
      <c r="AA724" s="69"/>
      <c r="AB724" s="33">
        <f t="shared" si="23"/>
        <v>0</v>
      </c>
      <c r="AC724" s="45">
        <f>_xlfn.LET(_xlpm.ps_1,P724:R724, _xlpm.ps_2,S724:U724, _xlpm.ps_3,V724:X724, _xlpm.ps_4,Y724:AA724,
_xlpm.phase, MID(C724,SEARCH("-",C724)+1,256),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(_xlfn.XLOOKUP($C$7,site_assumptions[Details],site_assumptions[Volts])*SUMIFS(P724:AA724,_xlfn.ANCHORARRAY(D724),TRUE)/10*0.95)/1000,
IFERROR(IF(_xlpm.phase="3Phase", _xlpm.p3_calc, _xlpm.sp_calc),0))</f>
        <v>0</v>
      </c>
      <c r="AD724" s="29"/>
      <c r="AE724" s="30"/>
      <c r="AF724" s="30"/>
      <c r="AG724" s="30"/>
      <c r="AH724" s="31"/>
      <c r="AI724" s="49">
        <f t="shared" si="22"/>
        <v>0</v>
      </c>
      <c r="AJ724" s="71"/>
    </row>
    <row r="725" spans="2:36" x14ac:dyDescent="0.25">
      <c r="B725" s="29"/>
      <c r="C725" s="10" t="s">
        <v>2070</v>
      </c>
      <c r="D725" s="2" t="b" cm="1">
        <f t="array" ref="D725:O725">_xlfn._xlws.FILTER(IF(ancillary!$E$4:$P$8="",FALSE,ancillary!$E$4:$P$8),ancillary!$B$4:$B$8=$C725)</f>
        <v>1</v>
      </c>
      <c r="E725" s="2" t="b">
        <v>1</v>
      </c>
      <c r="F725" s="2" t="b">
        <v>1</v>
      </c>
      <c r="G725" s="2" t="b">
        <v>1</v>
      </c>
      <c r="H725" s="2" t="b">
        <v>1</v>
      </c>
      <c r="I725" s="2" t="b">
        <v>1</v>
      </c>
      <c r="J725" s="2" t="b">
        <v>0</v>
      </c>
      <c r="K725" s="2" t="b">
        <v>0</v>
      </c>
      <c r="L725" s="2" t="b">
        <v>0</v>
      </c>
      <c r="M725" s="2" t="b">
        <v>0</v>
      </c>
      <c r="N725" s="2" t="b">
        <v>0</v>
      </c>
      <c r="O725" s="2" t="b">
        <v>0</v>
      </c>
      <c r="P725" s="68"/>
      <c r="R725" s="69"/>
      <c r="S725" s="68"/>
      <c r="U725" s="69"/>
      <c r="V725" s="68"/>
      <c r="X725" s="69"/>
      <c r="Y725" s="68"/>
      <c r="AA725" s="69"/>
      <c r="AB725" s="33">
        <f t="shared" si="23"/>
        <v>0</v>
      </c>
      <c r="AC725" s="45">
        <f>_xlfn.LET(_xlpm.ps_1,P725:R725, _xlpm.ps_2,S725:U725, _xlpm.ps_3,V725:X725, _xlpm.ps_4,Y725:AA725,
_xlpm.phase, MID(C725,SEARCH("-",C725)+1,256),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(_xlfn.XLOOKUP($C$7,site_assumptions[Details],site_assumptions[Volts])*SUMIFS(P725:AA725,_xlfn.ANCHORARRAY(D725),TRUE)/10*0.95)/1000,
IFERROR(IF(_xlpm.phase="3Phase", _xlpm.p3_calc, _xlpm.sp_calc),0))</f>
        <v>0</v>
      </c>
      <c r="AD725" s="29"/>
      <c r="AE725" s="30"/>
      <c r="AF725" s="30"/>
      <c r="AG725" s="30"/>
      <c r="AH725" s="31"/>
      <c r="AI725" s="49">
        <f t="shared" si="22"/>
        <v>0</v>
      </c>
      <c r="AJ725" s="71"/>
    </row>
    <row r="726" spans="2:36" x14ac:dyDescent="0.25">
      <c r="B726" s="29"/>
      <c r="C726" s="10" t="s">
        <v>2070</v>
      </c>
      <c r="D726" s="2" t="b" cm="1">
        <f t="array" ref="D726:O726">_xlfn._xlws.FILTER(IF(ancillary!$E$4:$P$8="",FALSE,ancillary!$E$4:$P$8),ancillary!$B$4:$B$8=$C726)</f>
        <v>1</v>
      </c>
      <c r="E726" s="2" t="b">
        <v>1</v>
      </c>
      <c r="F726" s="2" t="b">
        <v>1</v>
      </c>
      <c r="G726" s="2" t="b">
        <v>1</v>
      </c>
      <c r="H726" s="2" t="b">
        <v>1</v>
      </c>
      <c r="I726" s="2" t="b">
        <v>1</v>
      </c>
      <c r="J726" s="2" t="b">
        <v>0</v>
      </c>
      <c r="K726" s="2" t="b">
        <v>0</v>
      </c>
      <c r="L726" s="2" t="b">
        <v>0</v>
      </c>
      <c r="M726" s="2" t="b">
        <v>0</v>
      </c>
      <c r="N726" s="2" t="b">
        <v>0</v>
      </c>
      <c r="O726" s="2" t="b">
        <v>0</v>
      </c>
      <c r="P726" s="68"/>
      <c r="R726" s="69"/>
      <c r="S726" s="68"/>
      <c r="U726" s="69"/>
      <c r="V726" s="68"/>
      <c r="X726" s="69"/>
      <c r="Y726" s="68"/>
      <c r="AA726" s="69"/>
      <c r="AB726" s="33">
        <f t="shared" si="23"/>
        <v>0</v>
      </c>
      <c r="AC726" s="45">
        <f>_xlfn.LET(_xlpm.ps_1,P726:R726, _xlpm.ps_2,S726:U726, _xlpm.ps_3,V726:X726, _xlpm.ps_4,Y726:AA726,
_xlpm.phase, MID(C726,SEARCH("-",C726)+1,256),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(_xlfn.XLOOKUP($C$7,site_assumptions[Details],site_assumptions[Volts])*SUMIFS(P726:AA726,_xlfn.ANCHORARRAY(D726),TRUE)/10*0.95)/1000,
IFERROR(IF(_xlpm.phase="3Phase", _xlpm.p3_calc, _xlpm.sp_calc),0))</f>
        <v>0</v>
      </c>
      <c r="AD726" s="29"/>
      <c r="AE726" s="30"/>
      <c r="AF726" s="30"/>
      <c r="AG726" s="30"/>
      <c r="AH726" s="31"/>
      <c r="AI726" s="49">
        <f t="shared" si="22"/>
        <v>0</v>
      </c>
      <c r="AJ726" s="71"/>
    </row>
    <row r="727" spans="2:36" x14ac:dyDescent="0.25">
      <c r="B727" s="29"/>
      <c r="C727" s="10" t="s">
        <v>2070</v>
      </c>
      <c r="D727" s="2" t="b" cm="1">
        <f t="array" ref="D727:O727">_xlfn._xlws.FILTER(IF(ancillary!$E$4:$P$8="",FALSE,ancillary!$E$4:$P$8),ancillary!$B$4:$B$8=$C727)</f>
        <v>1</v>
      </c>
      <c r="E727" s="2" t="b">
        <v>1</v>
      </c>
      <c r="F727" s="2" t="b">
        <v>1</v>
      </c>
      <c r="G727" s="2" t="b">
        <v>1</v>
      </c>
      <c r="H727" s="2" t="b">
        <v>1</v>
      </c>
      <c r="I727" s="2" t="b">
        <v>1</v>
      </c>
      <c r="J727" s="2" t="b">
        <v>0</v>
      </c>
      <c r="K727" s="2" t="b">
        <v>0</v>
      </c>
      <c r="L727" s="2" t="b">
        <v>0</v>
      </c>
      <c r="M727" s="2" t="b">
        <v>0</v>
      </c>
      <c r="N727" s="2" t="b">
        <v>0</v>
      </c>
      <c r="O727" s="2" t="b">
        <v>0</v>
      </c>
      <c r="P727" s="68"/>
      <c r="R727" s="69"/>
      <c r="S727" s="68"/>
      <c r="U727" s="69"/>
      <c r="V727" s="68"/>
      <c r="X727" s="69"/>
      <c r="Y727" s="68"/>
      <c r="AA727" s="69"/>
      <c r="AB727" s="33">
        <f t="shared" si="23"/>
        <v>0</v>
      </c>
      <c r="AC727" s="45">
        <f>_xlfn.LET(_xlpm.ps_1,P727:R727, _xlpm.ps_2,S727:U727, _xlpm.ps_3,V727:X727, _xlpm.ps_4,Y727:AA727,
_xlpm.phase, MID(C727,SEARCH("-",C727)+1,256),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(_xlfn.XLOOKUP($C$7,site_assumptions[Details],site_assumptions[Volts])*SUMIFS(P727:AA727,_xlfn.ANCHORARRAY(D727),TRUE)/10*0.95)/1000,
IFERROR(IF(_xlpm.phase="3Phase", _xlpm.p3_calc, _xlpm.sp_calc),0))</f>
        <v>0</v>
      </c>
      <c r="AD727" s="29"/>
      <c r="AE727" s="30"/>
      <c r="AF727" s="30"/>
      <c r="AG727" s="30"/>
      <c r="AH727" s="31"/>
      <c r="AI727" s="49">
        <f t="shared" si="22"/>
        <v>0</v>
      </c>
      <c r="AJ727" s="71"/>
    </row>
    <row r="728" spans="2:36" x14ac:dyDescent="0.25">
      <c r="B728" s="29"/>
      <c r="C728" s="10" t="s">
        <v>2070</v>
      </c>
      <c r="D728" s="2" t="b" cm="1">
        <f t="array" ref="D728:O728">_xlfn._xlws.FILTER(IF(ancillary!$E$4:$P$8="",FALSE,ancillary!$E$4:$P$8),ancillary!$B$4:$B$8=$C728)</f>
        <v>1</v>
      </c>
      <c r="E728" s="2" t="b">
        <v>1</v>
      </c>
      <c r="F728" s="2" t="b">
        <v>1</v>
      </c>
      <c r="G728" s="2" t="b">
        <v>1</v>
      </c>
      <c r="H728" s="2" t="b">
        <v>1</v>
      </c>
      <c r="I728" s="2" t="b">
        <v>1</v>
      </c>
      <c r="J728" s="2" t="b">
        <v>0</v>
      </c>
      <c r="K728" s="2" t="b">
        <v>0</v>
      </c>
      <c r="L728" s="2" t="b">
        <v>0</v>
      </c>
      <c r="M728" s="2" t="b">
        <v>0</v>
      </c>
      <c r="N728" s="2" t="b">
        <v>0</v>
      </c>
      <c r="O728" s="2" t="b">
        <v>0</v>
      </c>
      <c r="P728" s="68"/>
      <c r="R728" s="69"/>
      <c r="S728" s="68"/>
      <c r="U728" s="69"/>
      <c r="V728" s="68"/>
      <c r="X728" s="69"/>
      <c r="Y728" s="68"/>
      <c r="AA728" s="69"/>
      <c r="AB728" s="33">
        <f t="shared" si="23"/>
        <v>0</v>
      </c>
      <c r="AC728" s="45">
        <f>_xlfn.LET(_xlpm.ps_1,P728:R728, _xlpm.ps_2,S728:U728, _xlpm.ps_3,V728:X728, _xlpm.ps_4,Y728:AA728,
_xlpm.phase, MID(C728,SEARCH("-",C728)+1,256),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(_xlfn.XLOOKUP($C$7,site_assumptions[Details],site_assumptions[Volts])*SUMIFS(P728:AA728,_xlfn.ANCHORARRAY(D728),TRUE)/10*0.95)/1000,
IFERROR(IF(_xlpm.phase="3Phase", _xlpm.p3_calc, _xlpm.sp_calc),0))</f>
        <v>0</v>
      </c>
      <c r="AD728" s="29"/>
      <c r="AE728" s="30"/>
      <c r="AF728" s="30"/>
      <c r="AG728" s="30"/>
      <c r="AH728" s="31"/>
      <c r="AI728" s="49">
        <f t="shared" si="22"/>
        <v>0</v>
      </c>
      <c r="AJ728" s="71"/>
    </row>
    <row r="729" spans="2:36" x14ac:dyDescent="0.25">
      <c r="B729" s="29"/>
      <c r="C729" s="10" t="s">
        <v>2070</v>
      </c>
      <c r="D729" s="2" t="b" cm="1">
        <f t="array" ref="D729:O729">_xlfn._xlws.FILTER(IF(ancillary!$E$4:$P$8="",FALSE,ancillary!$E$4:$P$8),ancillary!$B$4:$B$8=$C729)</f>
        <v>1</v>
      </c>
      <c r="E729" s="2" t="b">
        <v>1</v>
      </c>
      <c r="F729" s="2" t="b">
        <v>1</v>
      </c>
      <c r="G729" s="2" t="b">
        <v>1</v>
      </c>
      <c r="H729" s="2" t="b">
        <v>1</v>
      </c>
      <c r="I729" s="2" t="b">
        <v>1</v>
      </c>
      <c r="J729" s="2" t="b">
        <v>0</v>
      </c>
      <c r="K729" s="2" t="b">
        <v>0</v>
      </c>
      <c r="L729" s="2" t="b">
        <v>0</v>
      </c>
      <c r="M729" s="2" t="b">
        <v>0</v>
      </c>
      <c r="N729" s="2" t="b">
        <v>0</v>
      </c>
      <c r="O729" s="2" t="b">
        <v>0</v>
      </c>
      <c r="P729" s="68"/>
      <c r="R729" s="69"/>
      <c r="S729" s="68"/>
      <c r="U729" s="69"/>
      <c r="V729" s="68"/>
      <c r="X729" s="69"/>
      <c r="Y729" s="68"/>
      <c r="AA729" s="69"/>
      <c r="AB729" s="33">
        <f t="shared" si="23"/>
        <v>0</v>
      </c>
      <c r="AC729" s="45">
        <f>_xlfn.LET(_xlpm.ps_1,P729:R729, _xlpm.ps_2,S729:U729, _xlpm.ps_3,V729:X729, _xlpm.ps_4,Y729:AA729,
_xlpm.phase, MID(C729,SEARCH("-",C729)+1,256),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(_xlfn.XLOOKUP($C$7,site_assumptions[Details],site_assumptions[Volts])*SUMIFS(P729:AA729,_xlfn.ANCHORARRAY(D729),TRUE)/10*0.95)/1000,
IFERROR(IF(_xlpm.phase="3Phase", _xlpm.p3_calc, _xlpm.sp_calc),0))</f>
        <v>0</v>
      </c>
      <c r="AD729" s="29"/>
      <c r="AE729" s="30"/>
      <c r="AF729" s="30"/>
      <c r="AG729" s="30"/>
      <c r="AH729" s="31"/>
      <c r="AI729" s="49">
        <f t="shared" si="22"/>
        <v>0</v>
      </c>
      <c r="AJ729" s="71"/>
    </row>
    <row r="730" spans="2:36" x14ac:dyDescent="0.25">
      <c r="B730" s="29"/>
      <c r="C730" s="10" t="s">
        <v>2070</v>
      </c>
      <c r="D730" s="2" t="b" cm="1">
        <f t="array" ref="D730:O730">_xlfn._xlws.FILTER(IF(ancillary!$E$4:$P$8="",FALSE,ancillary!$E$4:$P$8),ancillary!$B$4:$B$8=$C730)</f>
        <v>1</v>
      </c>
      <c r="E730" s="2" t="b">
        <v>1</v>
      </c>
      <c r="F730" s="2" t="b">
        <v>1</v>
      </c>
      <c r="G730" s="2" t="b">
        <v>1</v>
      </c>
      <c r="H730" s="2" t="b">
        <v>1</v>
      </c>
      <c r="I730" s="2" t="b">
        <v>1</v>
      </c>
      <c r="J730" s="2" t="b">
        <v>0</v>
      </c>
      <c r="K730" s="2" t="b">
        <v>0</v>
      </c>
      <c r="L730" s="2" t="b">
        <v>0</v>
      </c>
      <c r="M730" s="2" t="b">
        <v>0</v>
      </c>
      <c r="N730" s="2" t="b">
        <v>0</v>
      </c>
      <c r="O730" s="2" t="b">
        <v>0</v>
      </c>
      <c r="P730" s="68"/>
      <c r="R730" s="69"/>
      <c r="S730" s="68"/>
      <c r="U730" s="69"/>
      <c r="V730" s="68"/>
      <c r="X730" s="69"/>
      <c r="Y730" s="68"/>
      <c r="AA730" s="69"/>
      <c r="AB730" s="33">
        <f t="shared" si="23"/>
        <v>0</v>
      </c>
      <c r="AC730" s="45">
        <f>_xlfn.LET(_xlpm.ps_1,P730:R730, _xlpm.ps_2,S730:U730, _xlpm.ps_3,V730:X730, _xlpm.ps_4,Y730:AA730,
_xlpm.phase, MID(C730,SEARCH("-",C730)+1,256),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(_xlfn.XLOOKUP($C$7,site_assumptions[Details],site_assumptions[Volts])*SUMIFS(P730:AA730,_xlfn.ANCHORARRAY(D730),TRUE)/10*0.95)/1000,
IFERROR(IF(_xlpm.phase="3Phase", _xlpm.p3_calc, _xlpm.sp_calc),0))</f>
        <v>0</v>
      </c>
      <c r="AD730" s="29"/>
      <c r="AE730" s="30"/>
      <c r="AF730" s="30"/>
      <c r="AG730" s="30"/>
      <c r="AH730" s="31"/>
      <c r="AI730" s="49">
        <f t="shared" si="22"/>
        <v>0</v>
      </c>
      <c r="AJ730" s="71"/>
    </row>
    <row r="731" spans="2:36" x14ac:dyDescent="0.25">
      <c r="B731" s="29"/>
      <c r="C731" s="10" t="s">
        <v>2070</v>
      </c>
      <c r="D731" s="2" t="b" cm="1">
        <f t="array" ref="D731:O731">_xlfn._xlws.FILTER(IF(ancillary!$E$4:$P$8="",FALSE,ancillary!$E$4:$P$8),ancillary!$B$4:$B$8=$C731)</f>
        <v>1</v>
      </c>
      <c r="E731" s="2" t="b">
        <v>1</v>
      </c>
      <c r="F731" s="2" t="b">
        <v>1</v>
      </c>
      <c r="G731" s="2" t="b">
        <v>1</v>
      </c>
      <c r="H731" s="2" t="b">
        <v>1</v>
      </c>
      <c r="I731" s="2" t="b">
        <v>1</v>
      </c>
      <c r="J731" s="2" t="b">
        <v>0</v>
      </c>
      <c r="K731" s="2" t="b">
        <v>0</v>
      </c>
      <c r="L731" s="2" t="b">
        <v>0</v>
      </c>
      <c r="M731" s="2" t="b">
        <v>0</v>
      </c>
      <c r="N731" s="2" t="b">
        <v>0</v>
      </c>
      <c r="O731" s="2" t="b">
        <v>0</v>
      </c>
      <c r="P731" s="68"/>
      <c r="R731" s="69"/>
      <c r="S731" s="68"/>
      <c r="U731" s="69"/>
      <c r="V731" s="68"/>
      <c r="X731" s="69"/>
      <c r="Y731" s="68"/>
      <c r="AA731" s="69"/>
      <c r="AB731" s="33">
        <f t="shared" si="23"/>
        <v>0</v>
      </c>
      <c r="AC731" s="45">
        <f>_xlfn.LET(_xlpm.ps_1,P731:R731, _xlpm.ps_2,S731:U731, _xlpm.ps_3,V731:X731, _xlpm.ps_4,Y731:AA731,
_xlpm.phase, MID(C731,SEARCH("-",C731)+1,256),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(_xlfn.XLOOKUP($C$7,site_assumptions[Details],site_assumptions[Volts])*SUMIFS(P731:AA731,_xlfn.ANCHORARRAY(D731),TRUE)/10*0.95)/1000,
IFERROR(IF(_xlpm.phase="3Phase", _xlpm.p3_calc, _xlpm.sp_calc),0))</f>
        <v>0</v>
      </c>
      <c r="AD731" s="29"/>
      <c r="AE731" s="30"/>
      <c r="AF731" s="30"/>
      <c r="AG731" s="30"/>
      <c r="AH731" s="31"/>
      <c r="AI731" s="49">
        <f t="shared" si="22"/>
        <v>0</v>
      </c>
      <c r="AJ731" s="71"/>
    </row>
    <row r="732" spans="2:36" x14ac:dyDescent="0.25">
      <c r="B732" s="29"/>
      <c r="C732" s="10" t="s">
        <v>2070</v>
      </c>
      <c r="D732" s="2" t="b" cm="1">
        <f t="array" ref="D732:O732">_xlfn._xlws.FILTER(IF(ancillary!$E$4:$P$8="",FALSE,ancillary!$E$4:$P$8),ancillary!$B$4:$B$8=$C732)</f>
        <v>1</v>
      </c>
      <c r="E732" s="2" t="b">
        <v>1</v>
      </c>
      <c r="F732" s="2" t="b">
        <v>1</v>
      </c>
      <c r="G732" s="2" t="b">
        <v>1</v>
      </c>
      <c r="H732" s="2" t="b">
        <v>1</v>
      </c>
      <c r="I732" s="2" t="b">
        <v>1</v>
      </c>
      <c r="J732" s="2" t="b">
        <v>0</v>
      </c>
      <c r="K732" s="2" t="b">
        <v>0</v>
      </c>
      <c r="L732" s="2" t="b">
        <v>0</v>
      </c>
      <c r="M732" s="2" t="b">
        <v>0</v>
      </c>
      <c r="N732" s="2" t="b">
        <v>0</v>
      </c>
      <c r="O732" s="2" t="b">
        <v>0</v>
      </c>
      <c r="P732" s="68"/>
      <c r="R732" s="69"/>
      <c r="S732" s="68"/>
      <c r="U732" s="69"/>
      <c r="V732" s="68"/>
      <c r="X732" s="69"/>
      <c r="Y732" s="68"/>
      <c r="AA732" s="69"/>
      <c r="AB732" s="33">
        <f t="shared" si="23"/>
        <v>0</v>
      </c>
      <c r="AC732" s="45">
        <f>_xlfn.LET(_xlpm.ps_1,P732:R732, _xlpm.ps_2,S732:U732, _xlpm.ps_3,V732:X732, _xlpm.ps_4,Y732:AA732,
_xlpm.phase, MID(C732,SEARCH("-",C732)+1,256),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(_xlfn.XLOOKUP($C$7,site_assumptions[Details],site_assumptions[Volts])*SUMIFS(P732:AA732,_xlfn.ANCHORARRAY(D732),TRUE)/10*0.95)/1000,
IFERROR(IF(_xlpm.phase="3Phase", _xlpm.p3_calc, _xlpm.sp_calc),0))</f>
        <v>0</v>
      </c>
      <c r="AD732" s="29"/>
      <c r="AE732" s="30"/>
      <c r="AF732" s="30"/>
      <c r="AG732" s="30"/>
      <c r="AH732" s="31"/>
      <c r="AI732" s="49">
        <f t="shared" si="22"/>
        <v>0</v>
      </c>
      <c r="AJ732" s="71"/>
    </row>
    <row r="733" spans="2:36" x14ac:dyDescent="0.25">
      <c r="B733" s="29"/>
      <c r="C733" s="10" t="s">
        <v>2070</v>
      </c>
      <c r="D733" s="2" t="b" cm="1">
        <f t="array" ref="D733:O733">_xlfn._xlws.FILTER(IF(ancillary!$E$4:$P$8="",FALSE,ancillary!$E$4:$P$8),ancillary!$B$4:$B$8=$C733)</f>
        <v>1</v>
      </c>
      <c r="E733" s="2" t="b">
        <v>1</v>
      </c>
      <c r="F733" s="2" t="b">
        <v>1</v>
      </c>
      <c r="G733" s="2" t="b">
        <v>1</v>
      </c>
      <c r="H733" s="2" t="b">
        <v>1</v>
      </c>
      <c r="I733" s="2" t="b">
        <v>1</v>
      </c>
      <c r="J733" s="2" t="b">
        <v>0</v>
      </c>
      <c r="K733" s="2" t="b">
        <v>0</v>
      </c>
      <c r="L733" s="2" t="b">
        <v>0</v>
      </c>
      <c r="M733" s="2" t="b">
        <v>0</v>
      </c>
      <c r="N733" s="2" t="b">
        <v>0</v>
      </c>
      <c r="O733" s="2" t="b">
        <v>0</v>
      </c>
      <c r="P733" s="68"/>
      <c r="R733" s="69"/>
      <c r="S733" s="68"/>
      <c r="U733" s="69"/>
      <c r="V733" s="68"/>
      <c r="X733" s="69"/>
      <c r="Y733" s="68"/>
      <c r="AA733" s="69"/>
      <c r="AB733" s="33">
        <f t="shared" si="23"/>
        <v>0</v>
      </c>
      <c r="AC733" s="45">
        <f>_xlfn.LET(_xlpm.ps_1,P733:R733, _xlpm.ps_2,S733:U733, _xlpm.ps_3,V733:X733, _xlpm.ps_4,Y733:AA733,
_xlpm.phase, MID(C733,SEARCH("-",C733)+1,256),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(_xlfn.XLOOKUP($C$7,site_assumptions[Details],site_assumptions[Volts])*SUMIFS(P733:AA733,_xlfn.ANCHORARRAY(D733),TRUE)/10*0.95)/1000,
IFERROR(IF(_xlpm.phase="3Phase", _xlpm.p3_calc, _xlpm.sp_calc),0))</f>
        <v>0</v>
      </c>
      <c r="AD733" s="29"/>
      <c r="AE733" s="30"/>
      <c r="AF733" s="30"/>
      <c r="AG733" s="30"/>
      <c r="AH733" s="31"/>
      <c r="AI733" s="49">
        <f t="shared" si="22"/>
        <v>0</v>
      </c>
      <c r="AJ733" s="71"/>
    </row>
    <row r="734" spans="2:36" x14ac:dyDescent="0.25">
      <c r="B734" s="29"/>
      <c r="C734" s="10" t="s">
        <v>2070</v>
      </c>
      <c r="D734" s="2" t="b" cm="1">
        <f t="array" ref="D734:O734">_xlfn._xlws.FILTER(IF(ancillary!$E$4:$P$8="",FALSE,ancillary!$E$4:$P$8),ancillary!$B$4:$B$8=$C734)</f>
        <v>1</v>
      </c>
      <c r="E734" s="2" t="b">
        <v>1</v>
      </c>
      <c r="F734" s="2" t="b">
        <v>1</v>
      </c>
      <c r="G734" s="2" t="b">
        <v>1</v>
      </c>
      <c r="H734" s="2" t="b">
        <v>1</v>
      </c>
      <c r="I734" s="2" t="b">
        <v>1</v>
      </c>
      <c r="J734" s="2" t="b">
        <v>0</v>
      </c>
      <c r="K734" s="2" t="b">
        <v>0</v>
      </c>
      <c r="L734" s="2" t="b">
        <v>0</v>
      </c>
      <c r="M734" s="2" t="b">
        <v>0</v>
      </c>
      <c r="N734" s="2" t="b">
        <v>0</v>
      </c>
      <c r="O734" s="2" t="b">
        <v>0</v>
      </c>
      <c r="P734" s="68"/>
      <c r="R734" s="69"/>
      <c r="S734" s="68"/>
      <c r="U734" s="69"/>
      <c r="V734" s="68"/>
      <c r="X734" s="69"/>
      <c r="Y734" s="68"/>
      <c r="AA734" s="69"/>
      <c r="AB734" s="33">
        <f t="shared" si="23"/>
        <v>0</v>
      </c>
      <c r="AC734" s="45">
        <f>_xlfn.LET(_xlpm.ps_1,P734:R734, _xlpm.ps_2,S734:U734, _xlpm.ps_3,V734:X734, _xlpm.ps_4,Y734:AA734,
_xlpm.phase, MID(C734,SEARCH("-",C734)+1,256),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(_xlfn.XLOOKUP($C$7,site_assumptions[Details],site_assumptions[Volts])*SUMIFS(P734:AA734,_xlfn.ANCHORARRAY(D734),TRUE)/10*0.95)/1000,
IFERROR(IF(_xlpm.phase="3Phase", _xlpm.p3_calc, _xlpm.sp_calc),0))</f>
        <v>0</v>
      </c>
      <c r="AD734" s="29"/>
      <c r="AE734" s="30"/>
      <c r="AF734" s="30"/>
      <c r="AG734" s="30"/>
      <c r="AH734" s="31"/>
      <c r="AI734" s="49">
        <f t="shared" si="22"/>
        <v>0</v>
      </c>
      <c r="AJ734" s="71"/>
    </row>
    <row r="735" spans="2:36" x14ac:dyDescent="0.25">
      <c r="B735" s="29"/>
      <c r="C735" s="10" t="s">
        <v>2070</v>
      </c>
      <c r="D735" s="2" t="b" cm="1">
        <f t="array" ref="D735:O735">_xlfn._xlws.FILTER(IF(ancillary!$E$4:$P$8="",FALSE,ancillary!$E$4:$P$8),ancillary!$B$4:$B$8=$C735)</f>
        <v>1</v>
      </c>
      <c r="E735" s="2" t="b">
        <v>1</v>
      </c>
      <c r="F735" s="2" t="b">
        <v>1</v>
      </c>
      <c r="G735" s="2" t="b">
        <v>1</v>
      </c>
      <c r="H735" s="2" t="b">
        <v>1</v>
      </c>
      <c r="I735" s="2" t="b">
        <v>1</v>
      </c>
      <c r="J735" s="2" t="b">
        <v>0</v>
      </c>
      <c r="K735" s="2" t="b">
        <v>0</v>
      </c>
      <c r="L735" s="2" t="b">
        <v>0</v>
      </c>
      <c r="M735" s="2" t="b">
        <v>0</v>
      </c>
      <c r="N735" s="2" t="b">
        <v>0</v>
      </c>
      <c r="O735" s="2" t="b">
        <v>0</v>
      </c>
      <c r="P735" s="68"/>
      <c r="R735" s="69"/>
      <c r="S735" s="68"/>
      <c r="U735" s="69"/>
      <c r="V735" s="68"/>
      <c r="X735" s="69"/>
      <c r="Y735" s="68"/>
      <c r="AA735" s="69"/>
      <c r="AB735" s="33">
        <f t="shared" si="23"/>
        <v>0</v>
      </c>
      <c r="AC735" s="45">
        <f>_xlfn.LET(_xlpm.ps_1,P735:R735, _xlpm.ps_2,S735:U735, _xlpm.ps_3,V735:X735, _xlpm.ps_4,Y735:AA735,
_xlpm.phase, MID(C735,SEARCH("-",C735)+1,256),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(_xlfn.XLOOKUP($C$7,site_assumptions[Details],site_assumptions[Volts])*SUMIFS(P735:AA735,_xlfn.ANCHORARRAY(D735),TRUE)/10*0.95)/1000,
IFERROR(IF(_xlpm.phase="3Phase", _xlpm.p3_calc, _xlpm.sp_calc),0))</f>
        <v>0</v>
      </c>
      <c r="AD735" s="29"/>
      <c r="AE735" s="30"/>
      <c r="AF735" s="30"/>
      <c r="AG735" s="30"/>
      <c r="AH735" s="31"/>
      <c r="AI735" s="49">
        <f t="shared" si="22"/>
        <v>0</v>
      </c>
      <c r="AJ735" s="71"/>
    </row>
    <row r="736" spans="2:36" x14ac:dyDescent="0.25">
      <c r="B736" s="29"/>
      <c r="C736" s="10" t="s">
        <v>2070</v>
      </c>
      <c r="D736" s="2" t="b" cm="1">
        <f t="array" ref="D736:O736">_xlfn._xlws.FILTER(IF(ancillary!$E$4:$P$8="",FALSE,ancillary!$E$4:$P$8),ancillary!$B$4:$B$8=$C736)</f>
        <v>1</v>
      </c>
      <c r="E736" s="2" t="b">
        <v>1</v>
      </c>
      <c r="F736" s="2" t="b">
        <v>1</v>
      </c>
      <c r="G736" s="2" t="b">
        <v>1</v>
      </c>
      <c r="H736" s="2" t="b">
        <v>1</v>
      </c>
      <c r="I736" s="2" t="b">
        <v>1</v>
      </c>
      <c r="J736" s="2" t="b">
        <v>0</v>
      </c>
      <c r="K736" s="2" t="b">
        <v>0</v>
      </c>
      <c r="L736" s="2" t="b">
        <v>0</v>
      </c>
      <c r="M736" s="2" t="b">
        <v>0</v>
      </c>
      <c r="N736" s="2" t="b">
        <v>0</v>
      </c>
      <c r="O736" s="2" t="b">
        <v>0</v>
      </c>
      <c r="P736" s="68"/>
      <c r="R736" s="69"/>
      <c r="S736" s="68"/>
      <c r="U736" s="69"/>
      <c r="V736" s="68"/>
      <c r="X736" s="69"/>
      <c r="Y736" s="68"/>
      <c r="AA736" s="69"/>
      <c r="AB736" s="33">
        <f t="shared" si="23"/>
        <v>0</v>
      </c>
      <c r="AC736" s="45">
        <f>_xlfn.LET(_xlpm.ps_1,P736:R736, _xlpm.ps_2,S736:U736, _xlpm.ps_3,V736:X736, _xlpm.ps_4,Y736:AA736,
_xlpm.phase, MID(C736,SEARCH("-",C736)+1,256),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(_xlfn.XLOOKUP($C$7,site_assumptions[Details],site_assumptions[Volts])*SUMIFS(P736:AA736,_xlfn.ANCHORARRAY(D736),TRUE)/10*0.95)/1000,
IFERROR(IF(_xlpm.phase="3Phase", _xlpm.p3_calc, _xlpm.sp_calc),0))</f>
        <v>0</v>
      </c>
      <c r="AD736" s="29"/>
      <c r="AE736" s="30"/>
      <c r="AF736" s="30"/>
      <c r="AG736" s="30"/>
      <c r="AH736" s="31"/>
      <c r="AI736" s="49">
        <f t="shared" si="22"/>
        <v>0</v>
      </c>
      <c r="AJ736" s="71"/>
    </row>
    <row r="737" spans="2:36" x14ac:dyDescent="0.25">
      <c r="B737" s="29"/>
      <c r="C737" s="10" t="s">
        <v>2070</v>
      </c>
      <c r="D737" s="2" t="b" cm="1">
        <f t="array" ref="D737:O737">_xlfn._xlws.FILTER(IF(ancillary!$E$4:$P$8="",FALSE,ancillary!$E$4:$P$8),ancillary!$B$4:$B$8=$C737)</f>
        <v>1</v>
      </c>
      <c r="E737" s="2" t="b">
        <v>1</v>
      </c>
      <c r="F737" s="2" t="b">
        <v>1</v>
      </c>
      <c r="G737" s="2" t="b">
        <v>1</v>
      </c>
      <c r="H737" s="2" t="b">
        <v>1</v>
      </c>
      <c r="I737" s="2" t="b">
        <v>1</v>
      </c>
      <c r="J737" s="2" t="b">
        <v>0</v>
      </c>
      <c r="K737" s="2" t="b">
        <v>0</v>
      </c>
      <c r="L737" s="2" t="b">
        <v>0</v>
      </c>
      <c r="M737" s="2" t="b">
        <v>0</v>
      </c>
      <c r="N737" s="2" t="b">
        <v>0</v>
      </c>
      <c r="O737" s="2" t="b">
        <v>0</v>
      </c>
      <c r="P737" s="68"/>
      <c r="R737" s="69"/>
      <c r="S737" s="68"/>
      <c r="U737" s="69"/>
      <c r="V737" s="68"/>
      <c r="X737" s="69"/>
      <c r="Y737" s="68"/>
      <c r="AA737" s="69"/>
      <c r="AB737" s="33">
        <f t="shared" si="23"/>
        <v>0</v>
      </c>
      <c r="AC737" s="45">
        <f>_xlfn.LET(_xlpm.ps_1,P737:R737, _xlpm.ps_2,S737:U737, _xlpm.ps_3,V737:X737, _xlpm.ps_4,Y737:AA737,
_xlpm.phase, MID(C737,SEARCH("-",C737)+1,256),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(_xlfn.XLOOKUP($C$7,site_assumptions[Details],site_assumptions[Volts])*SUMIFS(P737:AA737,_xlfn.ANCHORARRAY(D737),TRUE)/10*0.95)/1000,
IFERROR(IF(_xlpm.phase="3Phase", _xlpm.p3_calc, _xlpm.sp_calc),0))</f>
        <v>0</v>
      </c>
      <c r="AD737" s="29"/>
      <c r="AE737" s="30"/>
      <c r="AF737" s="30"/>
      <c r="AG737" s="30"/>
      <c r="AH737" s="31"/>
      <c r="AI737" s="49">
        <f t="shared" si="22"/>
        <v>0</v>
      </c>
      <c r="AJ737" s="71"/>
    </row>
    <row r="738" spans="2:36" x14ac:dyDescent="0.25">
      <c r="B738" s="29"/>
      <c r="C738" s="10" t="s">
        <v>2070</v>
      </c>
      <c r="D738" s="2" t="b" cm="1">
        <f t="array" ref="D738:O738">_xlfn._xlws.FILTER(IF(ancillary!$E$4:$P$8="",FALSE,ancillary!$E$4:$P$8),ancillary!$B$4:$B$8=$C738)</f>
        <v>1</v>
      </c>
      <c r="E738" s="2" t="b">
        <v>1</v>
      </c>
      <c r="F738" s="2" t="b">
        <v>1</v>
      </c>
      <c r="G738" s="2" t="b">
        <v>1</v>
      </c>
      <c r="H738" s="2" t="b">
        <v>1</v>
      </c>
      <c r="I738" s="2" t="b">
        <v>1</v>
      </c>
      <c r="J738" s="2" t="b">
        <v>0</v>
      </c>
      <c r="K738" s="2" t="b">
        <v>0</v>
      </c>
      <c r="L738" s="2" t="b">
        <v>0</v>
      </c>
      <c r="M738" s="2" t="b">
        <v>0</v>
      </c>
      <c r="N738" s="2" t="b">
        <v>0</v>
      </c>
      <c r="O738" s="2" t="b">
        <v>0</v>
      </c>
      <c r="P738" s="68"/>
      <c r="R738" s="69"/>
      <c r="S738" s="68"/>
      <c r="U738" s="69"/>
      <c r="V738" s="68"/>
      <c r="X738" s="69"/>
      <c r="Y738" s="68"/>
      <c r="AA738" s="69"/>
      <c r="AB738" s="33">
        <f t="shared" si="23"/>
        <v>0</v>
      </c>
      <c r="AC738" s="45">
        <f>_xlfn.LET(_xlpm.ps_1,P738:R738, _xlpm.ps_2,S738:U738, _xlpm.ps_3,V738:X738, _xlpm.ps_4,Y738:AA738,
_xlpm.phase, MID(C738,SEARCH("-",C738)+1,256),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(_xlfn.XLOOKUP($C$7,site_assumptions[Details],site_assumptions[Volts])*SUMIFS(P738:AA738,_xlfn.ANCHORARRAY(D738),TRUE)/10*0.95)/1000,
IFERROR(IF(_xlpm.phase="3Phase", _xlpm.p3_calc, _xlpm.sp_calc),0))</f>
        <v>0</v>
      </c>
      <c r="AD738" s="29"/>
      <c r="AE738" s="30"/>
      <c r="AF738" s="30"/>
      <c r="AG738" s="30"/>
      <c r="AH738" s="31"/>
      <c r="AI738" s="49">
        <f t="shared" si="22"/>
        <v>0</v>
      </c>
      <c r="AJ738" s="71"/>
    </row>
    <row r="739" spans="2:36" x14ac:dyDescent="0.25">
      <c r="B739" s="29"/>
      <c r="C739" s="10" t="s">
        <v>2070</v>
      </c>
      <c r="D739" s="2" t="b" cm="1">
        <f t="array" ref="D739:O739">_xlfn._xlws.FILTER(IF(ancillary!$E$4:$P$8="",FALSE,ancillary!$E$4:$P$8),ancillary!$B$4:$B$8=$C739)</f>
        <v>1</v>
      </c>
      <c r="E739" s="2" t="b">
        <v>1</v>
      </c>
      <c r="F739" s="2" t="b">
        <v>1</v>
      </c>
      <c r="G739" s="2" t="b">
        <v>1</v>
      </c>
      <c r="H739" s="2" t="b">
        <v>1</v>
      </c>
      <c r="I739" s="2" t="b">
        <v>1</v>
      </c>
      <c r="J739" s="2" t="b">
        <v>0</v>
      </c>
      <c r="K739" s="2" t="b">
        <v>0</v>
      </c>
      <c r="L739" s="2" t="b">
        <v>0</v>
      </c>
      <c r="M739" s="2" t="b">
        <v>0</v>
      </c>
      <c r="N739" s="2" t="b">
        <v>0</v>
      </c>
      <c r="O739" s="2" t="b">
        <v>0</v>
      </c>
      <c r="P739" s="68"/>
      <c r="R739" s="69"/>
      <c r="S739" s="68"/>
      <c r="U739" s="69"/>
      <c r="V739" s="68"/>
      <c r="X739" s="69"/>
      <c r="Y739" s="68"/>
      <c r="AA739" s="69"/>
      <c r="AB739" s="33">
        <f t="shared" si="23"/>
        <v>0</v>
      </c>
      <c r="AC739" s="45">
        <f>_xlfn.LET(_xlpm.ps_1,P739:R739, _xlpm.ps_2,S739:U739, _xlpm.ps_3,V739:X739, _xlpm.ps_4,Y739:AA739,
_xlpm.phase, MID(C739,SEARCH("-",C739)+1,256),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(_xlfn.XLOOKUP($C$7,site_assumptions[Details],site_assumptions[Volts])*SUMIFS(P739:AA739,_xlfn.ANCHORARRAY(D739),TRUE)/10*0.95)/1000,
IFERROR(IF(_xlpm.phase="3Phase", _xlpm.p3_calc, _xlpm.sp_calc),0))</f>
        <v>0</v>
      </c>
      <c r="AD739" s="29"/>
      <c r="AE739" s="30"/>
      <c r="AF739" s="30"/>
      <c r="AG739" s="30"/>
      <c r="AH739" s="31"/>
      <c r="AI739" s="49">
        <f t="shared" si="22"/>
        <v>0</v>
      </c>
      <c r="AJ739" s="71"/>
    </row>
    <row r="740" spans="2:36" x14ac:dyDescent="0.25">
      <c r="B740" s="29"/>
      <c r="C740" s="10" t="s">
        <v>2070</v>
      </c>
      <c r="D740" s="2" t="b" cm="1">
        <f t="array" ref="D740:O740">_xlfn._xlws.FILTER(IF(ancillary!$E$4:$P$8="",FALSE,ancillary!$E$4:$P$8),ancillary!$B$4:$B$8=$C740)</f>
        <v>1</v>
      </c>
      <c r="E740" s="2" t="b">
        <v>1</v>
      </c>
      <c r="F740" s="2" t="b">
        <v>1</v>
      </c>
      <c r="G740" s="2" t="b">
        <v>1</v>
      </c>
      <c r="H740" s="2" t="b">
        <v>1</v>
      </c>
      <c r="I740" s="2" t="b">
        <v>1</v>
      </c>
      <c r="J740" s="2" t="b">
        <v>0</v>
      </c>
      <c r="K740" s="2" t="b">
        <v>0</v>
      </c>
      <c r="L740" s="2" t="b">
        <v>0</v>
      </c>
      <c r="M740" s="2" t="b">
        <v>0</v>
      </c>
      <c r="N740" s="2" t="b">
        <v>0</v>
      </c>
      <c r="O740" s="2" t="b">
        <v>0</v>
      </c>
      <c r="P740" s="68"/>
      <c r="R740" s="69"/>
      <c r="S740" s="68"/>
      <c r="U740" s="69"/>
      <c r="V740" s="68"/>
      <c r="X740" s="69"/>
      <c r="Y740" s="68"/>
      <c r="AA740" s="69"/>
      <c r="AB740" s="33">
        <f t="shared" si="23"/>
        <v>0</v>
      </c>
      <c r="AC740" s="45">
        <f>_xlfn.LET(_xlpm.ps_1,P740:R740, _xlpm.ps_2,S740:U740, _xlpm.ps_3,V740:X740, _xlpm.ps_4,Y740:AA740,
_xlpm.phase, MID(C740,SEARCH("-",C740)+1,256),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(_xlfn.XLOOKUP($C$7,site_assumptions[Details],site_assumptions[Volts])*SUMIFS(P740:AA740,_xlfn.ANCHORARRAY(D740),TRUE)/10*0.95)/1000,
IFERROR(IF(_xlpm.phase="3Phase", _xlpm.p3_calc, _xlpm.sp_calc),0))</f>
        <v>0</v>
      </c>
      <c r="AD740" s="29"/>
      <c r="AE740" s="30"/>
      <c r="AF740" s="30"/>
      <c r="AG740" s="30"/>
      <c r="AH740" s="31"/>
      <c r="AI740" s="49">
        <f t="shared" si="22"/>
        <v>0</v>
      </c>
      <c r="AJ740" s="71"/>
    </row>
    <row r="741" spans="2:36" x14ac:dyDescent="0.25">
      <c r="B741" s="29"/>
      <c r="C741" s="10" t="s">
        <v>2070</v>
      </c>
      <c r="D741" s="2" t="b" cm="1">
        <f t="array" ref="D741:O741">_xlfn._xlws.FILTER(IF(ancillary!$E$4:$P$8="",FALSE,ancillary!$E$4:$P$8),ancillary!$B$4:$B$8=$C741)</f>
        <v>1</v>
      </c>
      <c r="E741" s="2" t="b">
        <v>1</v>
      </c>
      <c r="F741" s="2" t="b">
        <v>1</v>
      </c>
      <c r="G741" s="2" t="b">
        <v>1</v>
      </c>
      <c r="H741" s="2" t="b">
        <v>1</v>
      </c>
      <c r="I741" s="2" t="b">
        <v>1</v>
      </c>
      <c r="J741" s="2" t="b">
        <v>0</v>
      </c>
      <c r="K741" s="2" t="b">
        <v>0</v>
      </c>
      <c r="L741" s="2" t="b">
        <v>0</v>
      </c>
      <c r="M741" s="2" t="b">
        <v>0</v>
      </c>
      <c r="N741" s="2" t="b">
        <v>0</v>
      </c>
      <c r="O741" s="2" t="b">
        <v>0</v>
      </c>
      <c r="P741" s="68"/>
      <c r="R741" s="69"/>
      <c r="S741" s="68"/>
      <c r="U741" s="69"/>
      <c r="V741" s="68"/>
      <c r="X741" s="69"/>
      <c r="Y741" s="68"/>
      <c r="AA741" s="69"/>
      <c r="AB741" s="33">
        <f t="shared" si="23"/>
        <v>0</v>
      </c>
      <c r="AC741" s="45">
        <f>_xlfn.LET(_xlpm.ps_1,P741:R741, _xlpm.ps_2,S741:U741, _xlpm.ps_3,V741:X741, _xlpm.ps_4,Y741:AA741,
_xlpm.phase, MID(C741,SEARCH("-",C741)+1,256),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(_xlfn.XLOOKUP($C$7,site_assumptions[Details],site_assumptions[Volts])*SUMIFS(P741:AA741,_xlfn.ANCHORARRAY(D741),TRUE)/10*0.95)/1000,
IFERROR(IF(_xlpm.phase="3Phase", _xlpm.p3_calc, _xlpm.sp_calc),0))</f>
        <v>0</v>
      </c>
      <c r="AD741" s="29"/>
      <c r="AE741" s="30"/>
      <c r="AF741" s="30"/>
      <c r="AG741" s="30"/>
      <c r="AH741" s="31"/>
      <c r="AI741" s="49">
        <f t="shared" si="22"/>
        <v>0</v>
      </c>
      <c r="AJ741" s="71"/>
    </row>
    <row r="742" spans="2:36" x14ac:dyDescent="0.25">
      <c r="B742" s="29"/>
      <c r="C742" s="10" t="s">
        <v>2070</v>
      </c>
      <c r="D742" s="2" t="b" cm="1">
        <f t="array" ref="D742:O742">_xlfn._xlws.FILTER(IF(ancillary!$E$4:$P$8="",FALSE,ancillary!$E$4:$P$8),ancillary!$B$4:$B$8=$C742)</f>
        <v>1</v>
      </c>
      <c r="E742" s="2" t="b">
        <v>1</v>
      </c>
      <c r="F742" s="2" t="b">
        <v>1</v>
      </c>
      <c r="G742" s="2" t="b">
        <v>1</v>
      </c>
      <c r="H742" s="2" t="b">
        <v>1</v>
      </c>
      <c r="I742" s="2" t="b">
        <v>1</v>
      </c>
      <c r="J742" s="2" t="b">
        <v>0</v>
      </c>
      <c r="K742" s="2" t="b">
        <v>0</v>
      </c>
      <c r="L742" s="2" t="b">
        <v>0</v>
      </c>
      <c r="M742" s="2" t="b">
        <v>0</v>
      </c>
      <c r="N742" s="2" t="b">
        <v>0</v>
      </c>
      <c r="O742" s="2" t="b">
        <v>0</v>
      </c>
      <c r="P742" s="68"/>
      <c r="R742" s="69"/>
      <c r="S742" s="68"/>
      <c r="U742" s="69"/>
      <c r="V742" s="68"/>
      <c r="X742" s="69"/>
      <c r="Y742" s="68"/>
      <c r="AA742" s="69"/>
      <c r="AB742" s="33">
        <f t="shared" si="23"/>
        <v>0</v>
      </c>
      <c r="AC742" s="45">
        <f>_xlfn.LET(_xlpm.ps_1,P742:R742, _xlpm.ps_2,S742:U742, _xlpm.ps_3,V742:X742, _xlpm.ps_4,Y742:AA742,
_xlpm.phase, MID(C742,SEARCH("-",C742)+1,256),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(_xlfn.XLOOKUP($C$7,site_assumptions[Details],site_assumptions[Volts])*SUMIFS(P742:AA742,_xlfn.ANCHORARRAY(D742),TRUE)/10*0.95)/1000,
IFERROR(IF(_xlpm.phase="3Phase", _xlpm.p3_calc, _xlpm.sp_calc),0))</f>
        <v>0</v>
      </c>
      <c r="AD742" s="29"/>
      <c r="AE742" s="30"/>
      <c r="AF742" s="30"/>
      <c r="AG742" s="30"/>
      <c r="AH742" s="31"/>
      <c r="AI742" s="49">
        <f t="shared" si="22"/>
        <v>0</v>
      </c>
      <c r="AJ742" s="71"/>
    </row>
    <row r="743" spans="2:36" x14ac:dyDescent="0.25">
      <c r="B743" s="29"/>
      <c r="C743" s="10" t="s">
        <v>2070</v>
      </c>
      <c r="D743" s="2" t="b" cm="1">
        <f t="array" ref="D743:O743">_xlfn._xlws.FILTER(IF(ancillary!$E$4:$P$8="",FALSE,ancillary!$E$4:$P$8),ancillary!$B$4:$B$8=$C743)</f>
        <v>1</v>
      </c>
      <c r="E743" s="2" t="b">
        <v>1</v>
      </c>
      <c r="F743" s="2" t="b">
        <v>1</v>
      </c>
      <c r="G743" s="2" t="b">
        <v>1</v>
      </c>
      <c r="H743" s="2" t="b">
        <v>1</v>
      </c>
      <c r="I743" s="2" t="b">
        <v>1</v>
      </c>
      <c r="J743" s="2" t="b">
        <v>0</v>
      </c>
      <c r="K743" s="2" t="b">
        <v>0</v>
      </c>
      <c r="L743" s="2" t="b">
        <v>0</v>
      </c>
      <c r="M743" s="2" t="b">
        <v>0</v>
      </c>
      <c r="N743" s="2" t="b">
        <v>0</v>
      </c>
      <c r="O743" s="2" t="b">
        <v>0</v>
      </c>
      <c r="P743" s="68"/>
      <c r="R743" s="69"/>
      <c r="S743" s="68"/>
      <c r="U743" s="69"/>
      <c r="V743" s="68"/>
      <c r="X743" s="69"/>
      <c r="Y743" s="68"/>
      <c r="AA743" s="69"/>
      <c r="AB743" s="33">
        <f t="shared" si="23"/>
        <v>0</v>
      </c>
      <c r="AC743" s="45">
        <f>_xlfn.LET(_xlpm.ps_1,P743:R743, _xlpm.ps_2,S743:U743, _xlpm.ps_3,V743:X743, _xlpm.ps_4,Y743:AA743,
_xlpm.phase, MID(C743,SEARCH("-",C743)+1,256),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(_xlfn.XLOOKUP($C$7,site_assumptions[Details],site_assumptions[Volts])*SUMIFS(P743:AA743,_xlfn.ANCHORARRAY(D743),TRUE)/10*0.95)/1000,
IFERROR(IF(_xlpm.phase="3Phase", _xlpm.p3_calc, _xlpm.sp_calc),0))</f>
        <v>0</v>
      </c>
      <c r="AD743" s="29"/>
      <c r="AE743" s="30"/>
      <c r="AF743" s="30"/>
      <c r="AG743" s="30"/>
      <c r="AH743" s="31"/>
      <c r="AI743" s="49">
        <f t="shared" si="22"/>
        <v>0</v>
      </c>
      <c r="AJ743" s="71"/>
    </row>
    <row r="744" spans="2:36" x14ac:dyDescent="0.25">
      <c r="B744" s="29"/>
      <c r="C744" s="10" t="s">
        <v>2070</v>
      </c>
      <c r="D744" s="2" t="b" cm="1">
        <f t="array" ref="D744:O744">_xlfn._xlws.FILTER(IF(ancillary!$E$4:$P$8="",FALSE,ancillary!$E$4:$P$8),ancillary!$B$4:$B$8=$C744)</f>
        <v>1</v>
      </c>
      <c r="E744" s="2" t="b">
        <v>1</v>
      </c>
      <c r="F744" s="2" t="b">
        <v>1</v>
      </c>
      <c r="G744" s="2" t="b">
        <v>1</v>
      </c>
      <c r="H744" s="2" t="b">
        <v>1</v>
      </c>
      <c r="I744" s="2" t="b">
        <v>1</v>
      </c>
      <c r="J744" s="2" t="b">
        <v>0</v>
      </c>
      <c r="K744" s="2" t="b">
        <v>0</v>
      </c>
      <c r="L744" s="2" t="b">
        <v>0</v>
      </c>
      <c r="M744" s="2" t="b">
        <v>0</v>
      </c>
      <c r="N744" s="2" t="b">
        <v>0</v>
      </c>
      <c r="O744" s="2" t="b">
        <v>0</v>
      </c>
      <c r="P744" s="68"/>
      <c r="R744" s="69"/>
      <c r="S744" s="68"/>
      <c r="U744" s="69"/>
      <c r="V744" s="68"/>
      <c r="X744" s="69"/>
      <c r="Y744" s="68"/>
      <c r="AA744" s="69"/>
      <c r="AB744" s="33">
        <f t="shared" si="23"/>
        <v>0</v>
      </c>
      <c r="AC744" s="45">
        <f>_xlfn.LET(_xlpm.ps_1,P744:R744, _xlpm.ps_2,S744:U744, _xlpm.ps_3,V744:X744, _xlpm.ps_4,Y744:AA744,
_xlpm.phase, MID(C744,SEARCH("-",C744)+1,256),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(_xlfn.XLOOKUP($C$7,site_assumptions[Details],site_assumptions[Volts])*SUMIFS(P744:AA744,_xlfn.ANCHORARRAY(D744),TRUE)/10*0.95)/1000,
IFERROR(IF(_xlpm.phase="3Phase", _xlpm.p3_calc, _xlpm.sp_calc),0))</f>
        <v>0</v>
      </c>
      <c r="AD744" s="29"/>
      <c r="AE744" s="30"/>
      <c r="AF744" s="30"/>
      <c r="AG744" s="30"/>
      <c r="AH744" s="31"/>
      <c r="AI744" s="49">
        <f t="shared" si="22"/>
        <v>0</v>
      </c>
      <c r="AJ744" s="71"/>
    </row>
    <row r="745" spans="2:36" x14ac:dyDescent="0.25">
      <c r="B745" s="29"/>
      <c r="C745" s="10" t="s">
        <v>2070</v>
      </c>
      <c r="D745" s="2" t="b" cm="1">
        <f t="array" ref="D745:O745">_xlfn._xlws.FILTER(IF(ancillary!$E$4:$P$8="",FALSE,ancillary!$E$4:$P$8),ancillary!$B$4:$B$8=$C745)</f>
        <v>1</v>
      </c>
      <c r="E745" s="2" t="b">
        <v>1</v>
      </c>
      <c r="F745" s="2" t="b">
        <v>1</v>
      </c>
      <c r="G745" s="2" t="b">
        <v>1</v>
      </c>
      <c r="H745" s="2" t="b">
        <v>1</v>
      </c>
      <c r="I745" s="2" t="b">
        <v>1</v>
      </c>
      <c r="J745" s="2" t="b">
        <v>0</v>
      </c>
      <c r="K745" s="2" t="b">
        <v>0</v>
      </c>
      <c r="L745" s="2" t="b">
        <v>0</v>
      </c>
      <c r="M745" s="2" t="b">
        <v>0</v>
      </c>
      <c r="N745" s="2" t="b">
        <v>0</v>
      </c>
      <c r="O745" s="2" t="b">
        <v>0</v>
      </c>
      <c r="P745" s="68"/>
      <c r="R745" s="69"/>
      <c r="S745" s="68"/>
      <c r="U745" s="69"/>
      <c r="V745" s="68"/>
      <c r="X745" s="69"/>
      <c r="Y745" s="68"/>
      <c r="AA745" s="69"/>
      <c r="AB745" s="33">
        <f t="shared" si="23"/>
        <v>0</v>
      </c>
      <c r="AC745" s="45">
        <f>_xlfn.LET(_xlpm.ps_1,P745:R745, _xlpm.ps_2,S745:U745, _xlpm.ps_3,V745:X745, _xlpm.ps_4,Y745:AA745,
_xlpm.phase, MID(C745,SEARCH("-",C745)+1,256),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(_xlfn.XLOOKUP($C$7,site_assumptions[Details],site_assumptions[Volts])*SUMIFS(P745:AA745,_xlfn.ANCHORARRAY(D745),TRUE)/10*0.95)/1000,
IFERROR(IF(_xlpm.phase="3Phase", _xlpm.p3_calc, _xlpm.sp_calc),0))</f>
        <v>0</v>
      </c>
      <c r="AD745" s="29"/>
      <c r="AE745" s="30"/>
      <c r="AF745" s="30"/>
      <c r="AG745" s="30"/>
      <c r="AH745" s="31"/>
      <c r="AI745" s="49">
        <f t="shared" si="22"/>
        <v>0</v>
      </c>
      <c r="AJ745" s="71"/>
    </row>
    <row r="746" spans="2:36" x14ac:dyDescent="0.25">
      <c r="B746" s="29"/>
      <c r="C746" s="10" t="s">
        <v>2070</v>
      </c>
      <c r="D746" s="2" t="b" cm="1">
        <f t="array" ref="D746:O746">_xlfn._xlws.FILTER(IF(ancillary!$E$4:$P$8="",FALSE,ancillary!$E$4:$P$8),ancillary!$B$4:$B$8=$C746)</f>
        <v>1</v>
      </c>
      <c r="E746" s="2" t="b">
        <v>1</v>
      </c>
      <c r="F746" s="2" t="b">
        <v>1</v>
      </c>
      <c r="G746" s="2" t="b">
        <v>1</v>
      </c>
      <c r="H746" s="2" t="b">
        <v>1</v>
      </c>
      <c r="I746" s="2" t="b">
        <v>1</v>
      </c>
      <c r="J746" s="2" t="b">
        <v>0</v>
      </c>
      <c r="K746" s="2" t="b">
        <v>0</v>
      </c>
      <c r="L746" s="2" t="b">
        <v>0</v>
      </c>
      <c r="M746" s="2" t="b">
        <v>0</v>
      </c>
      <c r="N746" s="2" t="b">
        <v>0</v>
      </c>
      <c r="O746" s="2" t="b">
        <v>0</v>
      </c>
      <c r="P746" s="68"/>
      <c r="R746" s="69"/>
      <c r="S746" s="68"/>
      <c r="U746" s="69"/>
      <c r="V746" s="68"/>
      <c r="X746" s="69"/>
      <c r="Y746" s="68"/>
      <c r="AA746" s="69"/>
      <c r="AB746" s="33">
        <f t="shared" si="23"/>
        <v>0</v>
      </c>
      <c r="AC746" s="45">
        <f>_xlfn.LET(_xlpm.ps_1,P746:R746, _xlpm.ps_2,S746:U746, _xlpm.ps_3,V746:X746, _xlpm.ps_4,Y746:AA746,
_xlpm.phase, MID(C746,SEARCH("-",C746)+1,256),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(_xlfn.XLOOKUP($C$7,site_assumptions[Details],site_assumptions[Volts])*SUMIFS(P746:AA746,_xlfn.ANCHORARRAY(D746),TRUE)/10*0.95)/1000,
IFERROR(IF(_xlpm.phase="3Phase", _xlpm.p3_calc, _xlpm.sp_calc),0))</f>
        <v>0</v>
      </c>
      <c r="AD746" s="29"/>
      <c r="AE746" s="30"/>
      <c r="AF746" s="30"/>
      <c r="AG746" s="30"/>
      <c r="AH746" s="31"/>
      <c r="AI746" s="49">
        <f t="shared" si="22"/>
        <v>0</v>
      </c>
      <c r="AJ746" s="71"/>
    </row>
    <row r="747" spans="2:36" x14ac:dyDescent="0.25">
      <c r="B747" s="29"/>
      <c r="C747" s="10" t="s">
        <v>2070</v>
      </c>
      <c r="D747" s="2" t="b" cm="1">
        <f t="array" ref="D747:O747">_xlfn._xlws.FILTER(IF(ancillary!$E$4:$P$8="",FALSE,ancillary!$E$4:$P$8),ancillary!$B$4:$B$8=$C747)</f>
        <v>1</v>
      </c>
      <c r="E747" s="2" t="b">
        <v>1</v>
      </c>
      <c r="F747" s="2" t="b">
        <v>1</v>
      </c>
      <c r="G747" s="2" t="b">
        <v>1</v>
      </c>
      <c r="H747" s="2" t="b">
        <v>1</v>
      </c>
      <c r="I747" s="2" t="b">
        <v>1</v>
      </c>
      <c r="J747" s="2" t="b">
        <v>0</v>
      </c>
      <c r="K747" s="2" t="b">
        <v>0</v>
      </c>
      <c r="L747" s="2" t="b">
        <v>0</v>
      </c>
      <c r="M747" s="2" t="b">
        <v>0</v>
      </c>
      <c r="N747" s="2" t="b">
        <v>0</v>
      </c>
      <c r="O747" s="2" t="b">
        <v>0</v>
      </c>
      <c r="P747" s="68"/>
      <c r="R747" s="69"/>
      <c r="S747" s="68"/>
      <c r="U747" s="69"/>
      <c r="V747" s="68"/>
      <c r="X747" s="69"/>
      <c r="Y747" s="68"/>
      <c r="AA747" s="69"/>
      <c r="AB747" s="33">
        <f t="shared" si="23"/>
        <v>0</v>
      </c>
      <c r="AC747" s="45">
        <f>_xlfn.LET(_xlpm.ps_1,P747:R747, _xlpm.ps_2,S747:U747, _xlpm.ps_3,V747:X747, _xlpm.ps_4,Y747:AA747,
_xlpm.phase, MID(C747,SEARCH("-",C747)+1,256),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(_xlfn.XLOOKUP($C$7,site_assumptions[Details],site_assumptions[Volts])*SUMIFS(P747:AA747,_xlfn.ANCHORARRAY(D747),TRUE)/10*0.95)/1000,
IFERROR(IF(_xlpm.phase="3Phase", _xlpm.p3_calc, _xlpm.sp_calc),0))</f>
        <v>0</v>
      </c>
      <c r="AD747" s="29"/>
      <c r="AE747" s="30"/>
      <c r="AF747" s="30"/>
      <c r="AG747" s="30"/>
      <c r="AH747" s="31"/>
      <c r="AI747" s="49">
        <f t="shared" si="22"/>
        <v>0</v>
      </c>
      <c r="AJ747" s="71"/>
    </row>
    <row r="748" spans="2:36" x14ac:dyDescent="0.25">
      <c r="B748" s="29"/>
      <c r="C748" s="10" t="s">
        <v>2070</v>
      </c>
      <c r="D748" s="2" t="b" cm="1">
        <f t="array" ref="D748:O748">_xlfn._xlws.FILTER(IF(ancillary!$E$4:$P$8="",FALSE,ancillary!$E$4:$P$8),ancillary!$B$4:$B$8=$C748)</f>
        <v>1</v>
      </c>
      <c r="E748" s="2" t="b">
        <v>1</v>
      </c>
      <c r="F748" s="2" t="b">
        <v>1</v>
      </c>
      <c r="G748" s="2" t="b">
        <v>1</v>
      </c>
      <c r="H748" s="2" t="b">
        <v>1</v>
      </c>
      <c r="I748" s="2" t="b">
        <v>1</v>
      </c>
      <c r="J748" s="2" t="b">
        <v>0</v>
      </c>
      <c r="K748" s="2" t="b">
        <v>0</v>
      </c>
      <c r="L748" s="2" t="b">
        <v>0</v>
      </c>
      <c r="M748" s="2" t="b">
        <v>0</v>
      </c>
      <c r="N748" s="2" t="b">
        <v>0</v>
      </c>
      <c r="O748" s="2" t="b">
        <v>0</v>
      </c>
      <c r="P748" s="68"/>
      <c r="R748" s="69"/>
      <c r="S748" s="68"/>
      <c r="U748" s="69"/>
      <c r="V748" s="68"/>
      <c r="X748" s="69"/>
      <c r="Y748" s="68"/>
      <c r="AA748" s="69"/>
      <c r="AB748" s="33">
        <f t="shared" si="23"/>
        <v>0</v>
      </c>
      <c r="AC748" s="45">
        <f>_xlfn.LET(_xlpm.ps_1,P748:R748, _xlpm.ps_2,S748:U748, _xlpm.ps_3,V748:X748, _xlpm.ps_4,Y748:AA748,
_xlpm.phase, MID(C748,SEARCH("-",C748)+1,256),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(_xlfn.XLOOKUP($C$7,site_assumptions[Details],site_assumptions[Volts])*SUMIFS(P748:AA748,_xlfn.ANCHORARRAY(D748),TRUE)/10*0.95)/1000,
IFERROR(IF(_xlpm.phase="3Phase", _xlpm.p3_calc, _xlpm.sp_calc),0))</f>
        <v>0</v>
      </c>
      <c r="AD748" s="29"/>
      <c r="AE748" s="30"/>
      <c r="AF748" s="30"/>
      <c r="AG748" s="30"/>
      <c r="AH748" s="31"/>
      <c r="AI748" s="49">
        <f t="shared" si="22"/>
        <v>0</v>
      </c>
      <c r="AJ748" s="71"/>
    </row>
    <row r="749" spans="2:36" x14ac:dyDescent="0.25">
      <c r="B749" s="29"/>
      <c r="C749" s="10" t="s">
        <v>2070</v>
      </c>
      <c r="D749" s="2" t="b" cm="1">
        <f t="array" ref="D749:O749">_xlfn._xlws.FILTER(IF(ancillary!$E$4:$P$8="",FALSE,ancillary!$E$4:$P$8),ancillary!$B$4:$B$8=$C749)</f>
        <v>1</v>
      </c>
      <c r="E749" s="2" t="b">
        <v>1</v>
      </c>
      <c r="F749" s="2" t="b">
        <v>1</v>
      </c>
      <c r="G749" s="2" t="b">
        <v>1</v>
      </c>
      <c r="H749" s="2" t="b">
        <v>1</v>
      </c>
      <c r="I749" s="2" t="b">
        <v>1</v>
      </c>
      <c r="J749" s="2" t="b">
        <v>0</v>
      </c>
      <c r="K749" s="2" t="b">
        <v>0</v>
      </c>
      <c r="L749" s="2" t="b">
        <v>0</v>
      </c>
      <c r="M749" s="2" t="b">
        <v>0</v>
      </c>
      <c r="N749" s="2" t="b">
        <v>0</v>
      </c>
      <c r="O749" s="2" t="b">
        <v>0</v>
      </c>
      <c r="P749" s="68"/>
      <c r="R749" s="69"/>
      <c r="S749" s="68"/>
      <c r="U749" s="69"/>
      <c r="V749" s="68"/>
      <c r="X749" s="69"/>
      <c r="Y749" s="68"/>
      <c r="AA749" s="69"/>
      <c r="AB749" s="33">
        <f t="shared" si="23"/>
        <v>0</v>
      </c>
      <c r="AC749" s="45">
        <f>_xlfn.LET(_xlpm.ps_1,P749:R749, _xlpm.ps_2,S749:U749, _xlpm.ps_3,V749:X749, _xlpm.ps_4,Y749:AA749,
_xlpm.phase, MID(C749,SEARCH("-",C749)+1,256),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(_xlfn.XLOOKUP($C$7,site_assumptions[Details],site_assumptions[Volts])*SUMIFS(P749:AA749,_xlfn.ANCHORARRAY(D749),TRUE)/10*0.95)/1000,
IFERROR(IF(_xlpm.phase="3Phase", _xlpm.p3_calc, _xlpm.sp_calc),0))</f>
        <v>0</v>
      </c>
      <c r="AD749" s="29"/>
      <c r="AE749" s="30"/>
      <c r="AF749" s="30"/>
      <c r="AG749" s="30"/>
      <c r="AH749" s="31"/>
      <c r="AI749" s="49">
        <f t="shared" si="22"/>
        <v>0</v>
      </c>
      <c r="AJ749" s="71"/>
    </row>
    <row r="750" spans="2:36" x14ac:dyDescent="0.25">
      <c r="B750" s="29"/>
      <c r="C750" s="10" t="s">
        <v>2070</v>
      </c>
      <c r="D750" s="2" t="b" cm="1">
        <f t="array" ref="D750:O750">_xlfn._xlws.FILTER(IF(ancillary!$E$4:$P$8="",FALSE,ancillary!$E$4:$P$8),ancillary!$B$4:$B$8=$C750)</f>
        <v>1</v>
      </c>
      <c r="E750" s="2" t="b">
        <v>1</v>
      </c>
      <c r="F750" s="2" t="b">
        <v>1</v>
      </c>
      <c r="G750" s="2" t="b">
        <v>1</v>
      </c>
      <c r="H750" s="2" t="b">
        <v>1</v>
      </c>
      <c r="I750" s="2" t="b">
        <v>1</v>
      </c>
      <c r="J750" s="2" t="b">
        <v>0</v>
      </c>
      <c r="K750" s="2" t="b">
        <v>0</v>
      </c>
      <c r="L750" s="2" t="b">
        <v>0</v>
      </c>
      <c r="M750" s="2" t="b">
        <v>0</v>
      </c>
      <c r="N750" s="2" t="b">
        <v>0</v>
      </c>
      <c r="O750" s="2" t="b">
        <v>0</v>
      </c>
      <c r="P750" s="68"/>
      <c r="R750" s="69"/>
      <c r="S750" s="68"/>
      <c r="U750" s="69"/>
      <c r="V750" s="68"/>
      <c r="X750" s="69"/>
      <c r="Y750" s="68"/>
      <c r="AA750" s="69"/>
      <c r="AB750" s="33">
        <f t="shared" si="23"/>
        <v>0</v>
      </c>
      <c r="AC750" s="45">
        <f>_xlfn.LET(_xlpm.ps_1,P750:R750, _xlpm.ps_2,S750:U750, _xlpm.ps_3,V750:X750, _xlpm.ps_4,Y750:AA750,
_xlpm.phase, MID(C750,SEARCH("-",C750)+1,256),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(_xlfn.XLOOKUP($C$7,site_assumptions[Details],site_assumptions[Volts])*SUMIFS(P750:AA750,_xlfn.ANCHORARRAY(D750),TRUE)/10*0.95)/1000,
IFERROR(IF(_xlpm.phase="3Phase", _xlpm.p3_calc, _xlpm.sp_calc),0))</f>
        <v>0</v>
      </c>
      <c r="AD750" s="29"/>
      <c r="AE750" s="30"/>
      <c r="AF750" s="30"/>
      <c r="AG750" s="30"/>
      <c r="AH750" s="31"/>
      <c r="AI750" s="49">
        <f t="shared" si="22"/>
        <v>0</v>
      </c>
      <c r="AJ750" s="71"/>
    </row>
    <row r="751" spans="2:36" x14ac:dyDescent="0.25">
      <c r="B751" s="29"/>
      <c r="C751" s="10" t="s">
        <v>2070</v>
      </c>
      <c r="D751" s="2" t="b" cm="1">
        <f t="array" ref="D751:O751">_xlfn._xlws.FILTER(IF(ancillary!$E$4:$P$8="",FALSE,ancillary!$E$4:$P$8),ancillary!$B$4:$B$8=$C751)</f>
        <v>1</v>
      </c>
      <c r="E751" s="2" t="b">
        <v>1</v>
      </c>
      <c r="F751" s="2" t="b">
        <v>1</v>
      </c>
      <c r="G751" s="2" t="b">
        <v>1</v>
      </c>
      <c r="H751" s="2" t="b">
        <v>1</v>
      </c>
      <c r="I751" s="2" t="b">
        <v>1</v>
      </c>
      <c r="J751" s="2" t="b">
        <v>0</v>
      </c>
      <c r="K751" s="2" t="b">
        <v>0</v>
      </c>
      <c r="L751" s="2" t="b">
        <v>0</v>
      </c>
      <c r="M751" s="2" t="b">
        <v>0</v>
      </c>
      <c r="N751" s="2" t="b">
        <v>0</v>
      </c>
      <c r="O751" s="2" t="b">
        <v>0</v>
      </c>
      <c r="P751" s="68"/>
      <c r="R751" s="69"/>
      <c r="S751" s="68"/>
      <c r="U751" s="69"/>
      <c r="V751" s="68"/>
      <c r="X751" s="69"/>
      <c r="Y751" s="68"/>
      <c r="AA751" s="69"/>
      <c r="AB751" s="33">
        <f t="shared" si="23"/>
        <v>0</v>
      </c>
      <c r="AC751" s="45">
        <f>_xlfn.LET(_xlpm.ps_1,P751:R751, _xlpm.ps_2,S751:U751, _xlpm.ps_3,V751:X751, _xlpm.ps_4,Y751:AA751,
_xlpm.phase, MID(C751,SEARCH("-",C751)+1,256),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(_xlfn.XLOOKUP($C$7,site_assumptions[Details],site_assumptions[Volts])*SUMIFS(P751:AA751,_xlfn.ANCHORARRAY(D751),TRUE)/10*0.95)/1000,
IFERROR(IF(_xlpm.phase="3Phase", _xlpm.p3_calc, _xlpm.sp_calc),0))</f>
        <v>0</v>
      </c>
      <c r="AD751" s="29"/>
      <c r="AE751" s="30"/>
      <c r="AF751" s="30"/>
      <c r="AG751" s="30"/>
      <c r="AH751" s="31"/>
      <c r="AI751" s="49">
        <f t="shared" si="22"/>
        <v>0</v>
      </c>
      <c r="AJ751" s="71"/>
    </row>
    <row r="752" spans="2:36" x14ac:dyDescent="0.25">
      <c r="B752" s="29"/>
      <c r="C752" s="10" t="s">
        <v>2070</v>
      </c>
      <c r="D752" s="2" t="b" cm="1">
        <f t="array" ref="D752:O752">_xlfn._xlws.FILTER(IF(ancillary!$E$4:$P$8="",FALSE,ancillary!$E$4:$P$8),ancillary!$B$4:$B$8=$C752)</f>
        <v>1</v>
      </c>
      <c r="E752" s="2" t="b">
        <v>1</v>
      </c>
      <c r="F752" s="2" t="b">
        <v>1</v>
      </c>
      <c r="G752" s="2" t="b">
        <v>1</v>
      </c>
      <c r="H752" s="2" t="b">
        <v>1</v>
      </c>
      <c r="I752" s="2" t="b">
        <v>1</v>
      </c>
      <c r="J752" s="2" t="b">
        <v>0</v>
      </c>
      <c r="K752" s="2" t="b">
        <v>0</v>
      </c>
      <c r="L752" s="2" t="b">
        <v>0</v>
      </c>
      <c r="M752" s="2" t="b">
        <v>0</v>
      </c>
      <c r="N752" s="2" t="b">
        <v>0</v>
      </c>
      <c r="O752" s="2" t="b">
        <v>0</v>
      </c>
      <c r="P752" s="68"/>
      <c r="R752" s="69"/>
      <c r="S752" s="68"/>
      <c r="U752" s="69"/>
      <c r="V752" s="68"/>
      <c r="X752" s="69"/>
      <c r="Y752" s="68"/>
      <c r="AA752" s="69"/>
      <c r="AB752" s="33">
        <f t="shared" si="23"/>
        <v>0</v>
      </c>
      <c r="AC752" s="45">
        <f>_xlfn.LET(_xlpm.ps_1,P752:R752, _xlpm.ps_2,S752:U752, _xlpm.ps_3,V752:X752, _xlpm.ps_4,Y752:AA752,
_xlpm.phase, MID(C752,SEARCH("-",C752)+1,256),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(_xlfn.XLOOKUP($C$7,site_assumptions[Details],site_assumptions[Volts])*SUMIFS(P752:AA752,_xlfn.ANCHORARRAY(D752),TRUE)/10*0.95)/1000,
IFERROR(IF(_xlpm.phase="3Phase", _xlpm.p3_calc, _xlpm.sp_calc),0))</f>
        <v>0</v>
      </c>
      <c r="AD752" s="29"/>
      <c r="AE752" s="30"/>
      <c r="AF752" s="30"/>
      <c r="AG752" s="30"/>
      <c r="AH752" s="31"/>
      <c r="AI752" s="49">
        <f t="shared" si="22"/>
        <v>0</v>
      </c>
      <c r="AJ752" s="71"/>
    </row>
    <row r="753" spans="2:36" x14ac:dyDescent="0.25">
      <c r="B753" s="29"/>
      <c r="C753" s="10" t="s">
        <v>2070</v>
      </c>
      <c r="D753" s="2" t="b" cm="1">
        <f t="array" ref="D753:O753">_xlfn._xlws.FILTER(IF(ancillary!$E$4:$P$8="",FALSE,ancillary!$E$4:$P$8),ancillary!$B$4:$B$8=$C753)</f>
        <v>1</v>
      </c>
      <c r="E753" s="2" t="b">
        <v>1</v>
      </c>
      <c r="F753" s="2" t="b">
        <v>1</v>
      </c>
      <c r="G753" s="2" t="b">
        <v>1</v>
      </c>
      <c r="H753" s="2" t="b">
        <v>1</v>
      </c>
      <c r="I753" s="2" t="b">
        <v>1</v>
      </c>
      <c r="J753" s="2" t="b">
        <v>0</v>
      </c>
      <c r="K753" s="2" t="b">
        <v>0</v>
      </c>
      <c r="L753" s="2" t="b">
        <v>0</v>
      </c>
      <c r="M753" s="2" t="b">
        <v>0</v>
      </c>
      <c r="N753" s="2" t="b">
        <v>0</v>
      </c>
      <c r="O753" s="2" t="b">
        <v>0</v>
      </c>
      <c r="P753" s="68"/>
      <c r="R753" s="69"/>
      <c r="S753" s="68"/>
      <c r="U753" s="69"/>
      <c r="V753" s="68"/>
      <c r="X753" s="69"/>
      <c r="Y753" s="68"/>
      <c r="AA753" s="69"/>
      <c r="AB753" s="33">
        <f t="shared" si="23"/>
        <v>0</v>
      </c>
      <c r="AC753" s="45">
        <f>_xlfn.LET(_xlpm.ps_1,P753:R753, _xlpm.ps_2,S753:U753, _xlpm.ps_3,V753:X753, _xlpm.ps_4,Y753:AA753,
_xlpm.phase, MID(C753,SEARCH("-",C753)+1,256),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(_xlfn.XLOOKUP($C$7,site_assumptions[Details],site_assumptions[Volts])*SUMIFS(P753:AA753,_xlfn.ANCHORARRAY(D753),TRUE)/10*0.95)/1000,
IFERROR(IF(_xlpm.phase="3Phase", _xlpm.p3_calc, _xlpm.sp_calc),0))</f>
        <v>0</v>
      </c>
      <c r="AD753" s="29"/>
      <c r="AE753" s="30"/>
      <c r="AF753" s="30"/>
      <c r="AG753" s="30"/>
      <c r="AH753" s="31"/>
      <c r="AI753" s="49">
        <f t="shared" si="22"/>
        <v>0</v>
      </c>
      <c r="AJ753" s="71"/>
    </row>
    <row r="754" spans="2:36" x14ac:dyDescent="0.25">
      <c r="B754" s="29"/>
      <c r="C754" s="10" t="s">
        <v>2070</v>
      </c>
      <c r="D754" s="2" t="b" cm="1">
        <f t="array" ref="D754:O754">_xlfn._xlws.FILTER(IF(ancillary!$E$4:$P$8="",FALSE,ancillary!$E$4:$P$8),ancillary!$B$4:$B$8=$C754)</f>
        <v>1</v>
      </c>
      <c r="E754" s="2" t="b">
        <v>1</v>
      </c>
      <c r="F754" s="2" t="b">
        <v>1</v>
      </c>
      <c r="G754" s="2" t="b">
        <v>1</v>
      </c>
      <c r="H754" s="2" t="b">
        <v>1</v>
      </c>
      <c r="I754" s="2" t="b">
        <v>1</v>
      </c>
      <c r="J754" s="2" t="b">
        <v>0</v>
      </c>
      <c r="K754" s="2" t="b">
        <v>0</v>
      </c>
      <c r="L754" s="2" t="b">
        <v>0</v>
      </c>
      <c r="M754" s="2" t="b">
        <v>0</v>
      </c>
      <c r="N754" s="2" t="b">
        <v>0</v>
      </c>
      <c r="O754" s="2" t="b">
        <v>0</v>
      </c>
      <c r="P754" s="68"/>
      <c r="R754" s="69"/>
      <c r="S754" s="68"/>
      <c r="U754" s="69"/>
      <c r="V754" s="68"/>
      <c r="X754" s="69"/>
      <c r="Y754" s="68"/>
      <c r="AA754" s="69"/>
      <c r="AB754" s="33">
        <f t="shared" si="23"/>
        <v>0</v>
      </c>
      <c r="AC754" s="45">
        <f>_xlfn.LET(_xlpm.ps_1,P754:R754, _xlpm.ps_2,S754:U754, _xlpm.ps_3,V754:X754, _xlpm.ps_4,Y754:AA754,
_xlpm.phase, MID(C754,SEARCH("-",C754)+1,256),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(_xlfn.XLOOKUP($C$7,site_assumptions[Details],site_assumptions[Volts])*SUMIFS(P754:AA754,_xlfn.ANCHORARRAY(D754),TRUE)/10*0.95)/1000,
IFERROR(IF(_xlpm.phase="3Phase", _xlpm.p3_calc, _xlpm.sp_calc),0))</f>
        <v>0</v>
      </c>
      <c r="AD754" s="29"/>
      <c r="AE754" s="30"/>
      <c r="AF754" s="30"/>
      <c r="AG754" s="30"/>
      <c r="AH754" s="31"/>
      <c r="AI754" s="49">
        <f t="shared" si="22"/>
        <v>0</v>
      </c>
      <c r="AJ754" s="71"/>
    </row>
    <row r="755" spans="2:36" x14ac:dyDescent="0.25">
      <c r="B755" s="29"/>
      <c r="C755" s="10" t="s">
        <v>2070</v>
      </c>
      <c r="D755" s="2" t="b" cm="1">
        <f t="array" ref="D755:O755">_xlfn._xlws.FILTER(IF(ancillary!$E$4:$P$8="",FALSE,ancillary!$E$4:$P$8),ancillary!$B$4:$B$8=$C755)</f>
        <v>1</v>
      </c>
      <c r="E755" s="2" t="b">
        <v>1</v>
      </c>
      <c r="F755" s="2" t="b">
        <v>1</v>
      </c>
      <c r="G755" s="2" t="b">
        <v>1</v>
      </c>
      <c r="H755" s="2" t="b">
        <v>1</v>
      </c>
      <c r="I755" s="2" t="b">
        <v>1</v>
      </c>
      <c r="J755" s="2" t="b">
        <v>0</v>
      </c>
      <c r="K755" s="2" t="b">
        <v>0</v>
      </c>
      <c r="L755" s="2" t="b">
        <v>0</v>
      </c>
      <c r="M755" s="2" t="b">
        <v>0</v>
      </c>
      <c r="N755" s="2" t="b">
        <v>0</v>
      </c>
      <c r="O755" s="2" t="b">
        <v>0</v>
      </c>
      <c r="P755" s="68"/>
      <c r="R755" s="69"/>
      <c r="S755" s="68"/>
      <c r="U755" s="69"/>
      <c r="V755" s="68"/>
      <c r="X755" s="69"/>
      <c r="Y755" s="68"/>
      <c r="AA755" s="69"/>
      <c r="AB755" s="33">
        <f t="shared" si="23"/>
        <v>0</v>
      </c>
      <c r="AC755" s="45">
        <f>_xlfn.LET(_xlpm.ps_1,P755:R755, _xlpm.ps_2,S755:U755, _xlpm.ps_3,V755:X755, _xlpm.ps_4,Y755:AA755,
_xlpm.phase, MID(C755,SEARCH("-",C755)+1,256),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(_xlfn.XLOOKUP($C$7,site_assumptions[Details],site_assumptions[Volts])*SUMIFS(P755:AA755,_xlfn.ANCHORARRAY(D755),TRUE)/10*0.95)/1000,
IFERROR(IF(_xlpm.phase="3Phase", _xlpm.p3_calc, _xlpm.sp_calc),0))</f>
        <v>0</v>
      </c>
      <c r="AD755" s="29"/>
      <c r="AE755" s="30"/>
      <c r="AF755" s="30"/>
      <c r="AG755" s="30"/>
      <c r="AH755" s="31"/>
      <c r="AI755" s="49">
        <f t="shared" si="22"/>
        <v>0</v>
      </c>
      <c r="AJ755" s="71"/>
    </row>
    <row r="756" spans="2:36" x14ac:dyDescent="0.25">
      <c r="B756" s="29"/>
      <c r="C756" s="10" t="s">
        <v>2070</v>
      </c>
      <c r="D756" s="2" t="b" cm="1">
        <f t="array" ref="D756:O756">_xlfn._xlws.FILTER(IF(ancillary!$E$4:$P$8="",FALSE,ancillary!$E$4:$P$8),ancillary!$B$4:$B$8=$C756)</f>
        <v>1</v>
      </c>
      <c r="E756" s="2" t="b">
        <v>1</v>
      </c>
      <c r="F756" s="2" t="b">
        <v>1</v>
      </c>
      <c r="G756" s="2" t="b">
        <v>1</v>
      </c>
      <c r="H756" s="2" t="b">
        <v>1</v>
      </c>
      <c r="I756" s="2" t="b">
        <v>1</v>
      </c>
      <c r="J756" s="2" t="b">
        <v>0</v>
      </c>
      <c r="K756" s="2" t="b">
        <v>0</v>
      </c>
      <c r="L756" s="2" t="b">
        <v>0</v>
      </c>
      <c r="M756" s="2" t="b">
        <v>0</v>
      </c>
      <c r="N756" s="2" t="b">
        <v>0</v>
      </c>
      <c r="O756" s="2" t="b">
        <v>0</v>
      </c>
      <c r="P756" s="68"/>
      <c r="R756" s="69"/>
      <c r="S756" s="68"/>
      <c r="U756" s="69"/>
      <c r="V756" s="68"/>
      <c r="X756" s="69"/>
      <c r="Y756" s="68"/>
      <c r="AA756" s="69"/>
      <c r="AB756" s="33">
        <f t="shared" si="23"/>
        <v>0</v>
      </c>
      <c r="AC756" s="45">
        <f>_xlfn.LET(_xlpm.ps_1,P756:R756, _xlpm.ps_2,S756:U756, _xlpm.ps_3,V756:X756, _xlpm.ps_4,Y756:AA756,
_xlpm.phase, MID(C756,SEARCH("-",C756)+1,256),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(_xlfn.XLOOKUP($C$7,site_assumptions[Details],site_assumptions[Volts])*SUMIFS(P756:AA756,_xlfn.ANCHORARRAY(D756),TRUE)/10*0.95)/1000,
IFERROR(IF(_xlpm.phase="3Phase", _xlpm.p3_calc, _xlpm.sp_calc),0))</f>
        <v>0</v>
      </c>
      <c r="AD756" s="29"/>
      <c r="AE756" s="30"/>
      <c r="AF756" s="30"/>
      <c r="AG756" s="30"/>
      <c r="AH756" s="31"/>
      <c r="AI756" s="49">
        <f t="shared" ref="AI756:AI819" si="24">IFERROR(AC756/AG756,0)</f>
        <v>0</v>
      </c>
      <c r="AJ756" s="71"/>
    </row>
    <row r="757" spans="2:36" x14ac:dyDescent="0.25">
      <c r="B757" s="29"/>
      <c r="C757" s="10" t="s">
        <v>2070</v>
      </c>
      <c r="D757" s="2" t="b" cm="1">
        <f t="array" ref="D757:O757">_xlfn._xlws.FILTER(IF(ancillary!$E$4:$P$8="",FALSE,ancillary!$E$4:$P$8),ancillary!$B$4:$B$8=$C757)</f>
        <v>1</v>
      </c>
      <c r="E757" s="2" t="b">
        <v>1</v>
      </c>
      <c r="F757" s="2" t="b">
        <v>1</v>
      </c>
      <c r="G757" s="2" t="b">
        <v>1</v>
      </c>
      <c r="H757" s="2" t="b">
        <v>1</v>
      </c>
      <c r="I757" s="2" t="b">
        <v>1</v>
      </c>
      <c r="J757" s="2" t="b">
        <v>0</v>
      </c>
      <c r="K757" s="2" t="b">
        <v>0</v>
      </c>
      <c r="L757" s="2" t="b">
        <v>0</v>
      </c>
      <c r="M757" s="2" t="b">
        <v>0</v>
      </c>
      <c r="N757" s="2" t="b">
        <v>0</v>
      </c>
      <c r="O757" s="2" t="b">
        <v>0</v>
      </c>
      <c r="P757" s="68"/>
      <c r="R757" s="69"/>
      <c r="S757" s="68"/>
      <c r="U757" s="69"/>
      <c r="V757" s="68"/>
      <c r="X757" s="69"/>
      <c r="Y757" s="68"/>
      <c r="AA757" s="69"/>
      <c r="AB757" s="33">
        <f t="shared" si="23"/>
        <v>0</v>
      </c>
      <c r="AC757" s="45">
        <f>_xlfn.LET(_xlpm.ps_1,P757:R757, _xlpm.ps_2,S757:U757, _xlpm.ps_3,V757:X757, _xlpm.ps_4,Y757:AA757,
_xlpm.phase, MID(C757,SEARCH("-",C757)+1,256),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(_xlfn.XLOOKUP($C$7,site_assumptions[Details],site_assumptions[Volts])*SUMIFS(P757:AA757,_xlfn.ANCHORARRAY(D757),TRUE)/10*0.95)/1000,
IFERROR(IF(_xlpm.phase="3Phase", _xlpm.p3_calc, _xlpm.sp_calc),0))</f>
        <v>0</v>
      </c>
      <c r="AD757" s="29"/>
      <c r="AE757" s="30"/>
      <c r="AF757" s="30"/>
      <c r="AG757" s="30"/>
      <c r="AH757" s="31"/>
      <c r="AI757" s="49">
        <f t="shared" si="24"/>
        <v>0</v>
      </c>
      <c r="AJ757" s="71"/>
    </row>
    <row r="758" spans="2:36" x14ac:dyDescent="0.25">
      <c r="B758" s="29"/>
      <c r="C758" s="10" t="s">
        <v>2070</v>
      </c>
      <c r="D758" s="2" t="b" cm="1">
        <f t="array" ref="D758:O758">_xlfn._xlws.FILTER(IF(ancillary!$E$4:$P$8="",FALSE,ancillary!$E$4:$P$8),ancillary!$B$4:$B$8=$C758)</f>
        <v>1</v>
      </c>
      <c r="E758" s="2" t="b">
        <v>1</v>
      </c>
      <c r="F758" s="2" t="b">
        <v>1</v>
      </c>
      <c r="G758" s="2" t="b">
        <v>1</v>
      </c>
      <c r="H758" s="2" t="b">
        <v>1</v>
      </c>
      <c r="I758" s="2" t="b">
        <v>1</v>
      </c>
      <c r="J758" s="2" t="b">
        <v>0</v>
      </c>
      <c r="K758" s="2" t="b">
        <v>0</v>
      </c>
      <c r="L758" s="2" t="b">
        <v>0</v>
      </c>
      <c r="M758" s="2" t="b">
        <v>0</v>
      </c>
      <c r="N758" s="2" t="b">
        <v>0</v>
      </c>
      <c r="O758" s="2" t="b">
        <v>0</v>
      </c>
      <c r="P758" s="68"/>
      <c r="R758" s="69"/>
      <c r="S758" s="68"/>
      <c r="U758" s="69"/>
      <c r="V758" s="68"/>
      <c r="X758" s="69"/>
      <c r="Y758" s="68"/>
      <c r="AA758" s="69"/>
      <c r="AB758" s="33">
        <f t="shared" si="23"/>
        <v>0</v>
      </c>
      <c r="AC758" s="45">
        <f>_xlfn.LET(_xlpm.ps_1,P758:R758, _xlpm.ps_2,S758:U758, _xlpm.ps_3,V758:X758, _xlpm.ps_4,Y758:AA758,
_xlpm.phase, MID(C758,SEARCH("-",C758)+1,256),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(_xlfn.XLOOKUP($C$7,site_assumptions[Details],site_assumptions[Volts])*SUMIFS(P758:AA758,_xlfn.ANCHORARRAY(D758),TRUE)/10*0.95)/1000,
IFERROR(IF(_xlpm.phase="3Phase", _xlpm.p3_calc, _xlpm.sp_calc),0))</f>
        <v>0</v>
      </c>
      <c r="AD758" s="29"/>
      <c r="AE758" s="30"/>
      <c r="AF758" s="30"/>
      <c r="AG758" s="30"/>
      <c r="AH758" s="31"/>
      <c r="AI758" s="49">
        <f t="shared" si="24"/>
        <v>0</v>
      </c>
      <c r="AJ758" s="71"/>
    </row>
    <row r="759" spans="2:36" x14ac:dyDescent="0.25">
      <c r="B759" s="29"/>
      <c r="C759" s="10" t="s">
        <v>2070</v>
      </c>
      <c r="D759" s="2" t="b" cm="1">
        <f t="array" ref="D759:O759">_xlfn._xlws.FILTER(IF(ancillary!$E$4:$P$8="",FALSE,ancillary!$E$4:$P$8),ancillary!$B$4:$B$8=$C759)</f>
        <v>1</v>
      </c>
      <c r="E759" s="2" t="b">
        <v>1</v>
      </c>
      <c r="F759" s="2" t="b">
        <v>1</v>
      </c>
      <c r="G759" s="2" t="b">
        <v>1</v>
      </c>
      <c r="H759" s="2" t="b">
        <v>1</v>
      </c>
      <c r="I759" s="2" t="b">
        <v>1</v>
      </c>
      <c r="J759" s="2" t="b">
        <v>0</v>
      </c>
      <c r="K759" s="2" t="b">
        <v>0</v>
      </c>
      <c r="L759" s="2" t="b">
        <v>0</v>
      </c>
      <c r="M759" s="2" t="b">
        <v>0</v>
      </c>
      <c r="N759" s="2" t="b">
        <v>0</v>
      </c>
      <c r="O759" s="2" t="b">
        <v>0</v>
      </c>
      <c r="P759" s="68"/>
      <c r="R759" s="69"/>
      <c r="S759" s="68"/>
      <c r="U759" s="69"/>
      <c r="V759" s="68"/>
      <c r="X759" s="69"/>
      <c r="Y759" s="68"/>
      <c r="AA759" s="69"/>
      <c r="AB759" s="33">
        <f t="shared" si="23"/>
        <v>0</v>
      </c>
      <c r="AC759" s="45">
        <f>_xlfn.LET(_xlpm.ps_1,P759:R759, _xlpm.ps_2,S759:U759, _xlpm.ps_3,V759:X759, _xlpm.ps_4,Y759:AA759,
_xlpm.phase, MID(C759,SEARCH("-",C759)+1,256),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(_xlfn.XLOOKUP($C$7,site_assumptions[Details],site_assumptions[Volts])*SUMIFS(P759:AA759,_xlfn.ANCHORARRAY(D759),TRUE)/10*0.95)/1000,
IFERROR(IF(_xlpm.phase="3Phase", _xlpm.p3_calc, _xlpm.sp_calc),0))</f>
        <v>0</v>
      </c>
      <c r="AD759" s="29"/>
      <c r="AE759" s="30"/>
      <c r="AF759" s="30"/>
      <c r="AG759" s="30"/>
      <c r="AH759" s="31"/>
      <c r="AI759" s="49">
        <f t="shared" si="24"/>
        <v>0</v>
      </c>
      <c r="AJ759" s="71"/>
    </row>
    <row r="760" spans="2:36" x14ac:dyDescent="0.25">
      <c r="B760" s="29"/>
      <c r="C760" s="10" t="s">
        <v>2070</v>
      </c>
      <c r="D760" s="2" t="b" cm="1">
        <f t="array" ref="D760:O760">_xlfn._xlws.FILTER(IF(ancillary!$E$4:$P$8="",FALSE,ancillary!$E$4:$P$8),ancillary!$B$4:$B$8=$C760)</f>
        <v>1</v>
      </c>
      <c r="E760" s="2" t="b">
        <v>1</v>
      </c>
      <c r="F760" s="2" t="b">
        <v>1</v>
      </c>
      <c r="G760" s="2" t="b">
        <v>1</v>
      </c>
      <c r="H760" s="2" t="b">
        <v>1</v>
      </c>
      <c r="I760" s="2" t="b">
        <v>1</v>
      </c>
      <c r="J760" s="2" t="b">
        <v>0</v>
      </c>
      <c r="K760" s="2" t="b">
        <v>0</v>
      </c>
      <c r="L760" s="2" t="b">
        <v>0</v>
      </c>
      <c r="M760" s="2" t="b">
        <v>0</v>
      </c>
      <c r="N760" s="2" t="b">
        <v>0</v>
      </c>
      <c r="O760" s="2" t="b">
        <v>0</v>
      </c>
      <c r="P760" s="68"/>
      <c r="R760" s="69"/>
      <c r="S760" s="68"/>
      <c r="U760" s="69"/>
      <c r="V760" s="68"/>
      <c r="X760" s="69"/>
      <c r="Y760" s="68"/>
      <c r="AA760" s="69"/>
      <c r="AB760" s="33">
        <f t="shared" si="23"/>
        <v>0</v>
      </c>
      <c r="AC760" s="45">
        <f>_xlfn.LET(_xlpm.ps_1,P760:R760, _xlpm.ps_2,S760:U760, _xlpm.ps_3,V760:X760, _xlpm.ps_4,Y760:AA760,
_xlpm.phase, MID(C760,SEARCH("-",C760)+1,256),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(_xlfn.XLOOKUP($C$7,site_assumptions[Details],site_assumptions[Volts])*SUMIFS(P760:AA760,_xlfn.ANCHORARRAY(D760),TRUE)/10*0.95)/1000,
IFERROR(IF(_xlpm.phase="3Phase", _xlpm.p3_calc, _xlpm.sp_calc),0))</f>
        <v>0</v>
      </c>
      <c r="AD760" s="29"/>
      <c r="AE760" s="30"/>
      <c r="AF760" s="30"/>
      <c r="AG760" s="30"/>
      <c r="AH760" s="31"/>
      <c r="AI760" s="49">
        <f t="shared" si="24"/>
        <v>0</v>
      </c>
      <c r="AJ760" s="71"/>
    </row>
    <row r="761" spans="2:36" x14ac:dyDescent="0.25">
      <c r="B761" s="29"/>
      <c r="C761" s="10" t="s">
        <v>2070</v>
      </c>
      <c r="D761" s="2" t="b" cm="1">
        <f t="array" ref="D761:O761">_xlfn._xlws.FILTER(IF(ancillary!$E$4:$P$8="",FALSE,ancillary!$E$4:$P$8),ancillary!$B$4:$B$8=$C761)</f>
        <v>1</v>
      </c>
      <c r="E761" s="2" t="b">
        <v>1</v>
      </c>
      <c r="F761" s="2" t="b">
        <v>1</v>
      </c>
      <c r="G761" s="2" t="b">
        <v>1</v>
      </c>
      <c r="H761" s="2" t="b">
        <v>1</v>
      </c>
      <c r="I761" s="2" t="b">
        <v>1</v>
      </c>
      <c r="J761" s="2" t="b">
        <v>0</v>
      </c>
      <c r="K761" s="2" t="b">
        <v>0</v>
      </c>
      <c r="L761" s="2" t="b">
        <v>0</v>
      </c>
      <c r="M761" s="2" t="b">
        <v>0</v>
      </c>
      <c r="N761" s="2" t="b">
        <v>0</v>
      </c>
      <c r="O761" s="2" t="b">
        <v>0</v>
      </c>
      <c r="P761" s="68"/>
      <c r="R761" s="69"/>
      <c r="S761" s="68"/>
      <c r="U761" s="69"/>
      <c r="V761" s="68"/>
      <c r="X761" s="69"/>
      <c r="Y761" s="68"/>
      <c r="AA761" s="69"/>
      <c r="AB761" s="33">
        <f t="shared" si="23"/>
        <v>0</v>
      </c>
      <c r="AC761" s="45">
        <f>_xlfn.LET(_xlpm.ps_1,P761:R761, _xlpm.ps_2,S761:U761, _xlpm.ps_3,V761:X761, _xlpm.ps_4,Y761:AA761,
_xlpm.phase, MID(C761,SEARCH("-",C761)+1,256),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(_xlfn.XLOOKUP($C$7,site_assumptions[Details],site_assumptions[Volts])*SUMIFS(P761:AA761,_xlfn.ANCHORARRAY(D761),TRUE)/10*0.95)/1000,
IFERROR(IF(_xlpm.phase="3Phase", _xlpm.p3_calc, _xlpm.sp_calc),0))</f>
        <v>0</v>
      </c>
      <c r="AD761" s="29"/>
      <c r="AE761" s="30"/>
      <c r="AF761" s="30"/>
      <c r="AG761" s="30"/>
      <c r="AH761" s="31"/>
      <c r="AI761" s="49">
        <f t="shared" si="24"/>
        <v>0</v>
      </c>
      <c r="AJ761" s="71"/>
    </row>
    <row r="762" spans="2:36" x14ac:dyDescent="0.25">
      <c r="B762" s="29"/>
      <c r="C762" s="10" t="s">
        <v>2070</v>
      </c>
      <c r="D762" s="2" t="b" cm="1">
        <f t="array" ref="D762:O762">_xlfn._xlws.FILTER(IF(ancillary!$E$4:$P$8="",FALSE,ancillary!$E$4:$P$8),ancillary!$B$4:$B$8=$C762)</f>
        <v>1</v>
      </c>
      <c r="E762" s="2" t="b">
        <v>1</v>
      </c>
      <c r="F762" s="2" t="b">
        <v>1</v>
      </c>
      <c r="G762" s="2" t="b">
        <v>1</v>
      </c>
      <c r="H762" s="2" t="b">
        <v>1</v>
      </c>
      <c r="I762" s="2" t="b">
        <v>1</v>
      </c>
      <c r="J762" s="2" t="b">
        <v>0</v>
      </c>
      <c r="K762" s="2" t="b">
        <v>0</v>
      </c>
      <c r="L762" s="2" t="b">
        <v>0</v>
      </c>
      <c r="M762" s="2" t="b">
        <v>0</v>
      </c>
      <c r="N762" s="2" t="b">
        <v>0</v>
      </c>
      <c r="O762" s="2" t="b">
        <v>0</v>
      </c>
      <c r="P762" s="68"/>
      <c r="R762" s="69"/>
      <c r="S762" s="68"/>
      <c r="U762" s="69"/>
      <c r="V762" s="68"/>
      <c r="X762" s="69"/>
      <c r="Y762" s="68"/>
      <c r="AA762" s="69"/>
      <c r="AB762" s="33">
        <f t="shared" si="23"/>
        <v>0</v>
      </c>
      <c r="AC762" s="45">
        <f>_xlfn.LET(_xlpm.ps_1,P762:R762, _xlpm.ps_2,S762:U762, _xlpm.ps_3,V762:X762, _xlpm.ps_4,Y762:AA762,
_xlpm.phase, MID(C762,SEARCH("-",C762)+1,256),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(_xlfn.XLOOKUP($C$7,site_assumptions[Details],site_assumptions[Volts])*SUMIFS(P762:AA762,_xlfn.ANCHORARRAY(D762),TRUE)/10*0.95)/1000,
IFERROR(IF(_xlpm.phase="3Phase", _xlpm.p3_calc, _xlpm.sp_calc),0))</f>
        <v>0</v>
      </c>
      <c r="AD762" s="29"/>
      <c r="AE762" s="30"/>
      <c r="AF762" s="30"/>
      <c r="AG762" s="30"/>
      <c r="AH762" s="31"/>
      <c r="AI762" s="49">
        <f t="shared" si="24"/>
        <v>0</v>
      </c>
      <c r="AJ762" s="71"/>
    </row>
    <row r="763" spans="2:36" x14ac:dyDescent="0.25">
      <c r="B763" s="29"/>
      <c r="C763" s="10" t="s">
        <v>2070</v>
      </c>
      <c r="D763" s="2" t="b" cm="1">
        <f t="array" ref="D763:O763">_xlfn._xlws.FILTER(IF(ancillary!$E$4:$P$8="",FALSE,ancillary!$E$4:$P$8),ancillary!$B$4:$B$8=$C763)</f>
        <v>1</v>
      </c>
      <c r="E763" s="2" t="b">
        <v>1</v>
      </c>
      <c r="F763" s="2" t="b">
        <v>1</v>
      </c>
      <c r="G763" s="2" t="b">
        <v>1</v>
      </c>
      <c r="H763" s="2" t="b">
        <v>1</v>
      </c>
      <c r="I763" s="2" t="b">
        <v>1</v>
      </c>
      <c r="J763" s="2" t="b">
        <v>0</v>
      </c>
      <c r="K763" s="2" t="b">
        <v>0</v>
      </c>
      <c r="L763" s="2" t="b">
        <v>0</v>
      </c>
      <c r="M763" s="2" t="b">
        <v>0</v>
      </c>
      <c r="N763" s="2" t="b">
        <v>0</v>
      </c>
      <c r="O763" s="2" t="b">
        <v>0</v>
      </c>
      <c r="P763" s="68"/>
      <c r="R763" s="69"/>
      <c r="S763" s="68"/>
      <c r="U763" s="69"/>
      <c r="V763" s="68"/>
      <c r="X763" s="69"/>
      <c r="Y763" s="68"/>
      <c r="AA763" s="69"/>
      <c r="AB763" s="33">
        <f t="shared" si="23"/>
        <v>0</v>
      </c>
      <c r="AC763" s="45">
        <f>_xlfn.LET(_xlpm.ps_1,P763:R763, _xlpm.ps_2,S763:U763, _xlpm.ps_3,V763:X763, _xlpm.ps_4,Y763:AA763,
_xlpm.phase, MID(C763,SEARCH("-",C763)+1,256),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(_xlfn.XLOOKUP($C$7,site_assumptions[Details],site_assumptions[Volts])*SUMIFS(P763:AA763,_xlfn.ANCHORARRAY(D763),TRUE)/10*0.95)/1000,
IFERROR(IF(_xlpm.phase="3Phase", _xlpm.p3_calc, _xlpm.sp_calc),0))</f>
        <v>0</v>
      </c>
      <c r="AD763" s="29"/>
      <c r="AE763" s="30"/>
      <c r="AF763" s="30"/>
      <c r="AG763" s="30"/>
      <c r="AH763" s="31"/>
      <c r="AI763" s="49">
        <f t="shared" si="24"/>
        <v>0</v>
      </c>
      <c r="AJ763" s="71"/>
    </row>
    <row r="764" spans="2:36" x14ac:dyDescent="0.25">
      <c r="B764" s="29"/>
      <c r="C764" s="10" t="s">
        <v>2070</v>
      </c>
      <c r="D764" s="2" t="b" cm="1">
        <f t="array" ref="D764:O764">_xlfn._xlws.FILTER(IF(ancillary!$E$4:$P$8="",FALSE,ancillary!$E$4:$P$8),ancillary!$B$4:$B$8=$C764)</f>
        <v>1</v>
      </c>
      <c r="E764" s="2" t="b">
        <v>1</v>
      </c>
      <c r="F764" s="2" t="b">
        <v>1</v>
      </c>
      <c r="G764" s="2" t="b">
        <v>1</v>
      </c>
      <c r="H764" s="2" t="b">
        <v>1</v>
      </c>
      <c r="I764" s="2" t="b">
        <v>1</v>
      </c>
      <c r="J764" s="2" t="b">
        <v>0</v>
      </c>
      <c r="K764" s="2" t="b">
        <v>0</v>
      </c>
      <c r="L764" s="2" t="b">
        <v>0</v>
      </c>
      <c r="M764" s="2" t="b">
        <v>0</v>
      </c>
      <c r="N764" s="2" t="b">
        <v>0</v>
      </c>
      <c r="O764" s="2" t="b">
        <v>0</v>
      </c>
      <c r="P764" s="68"/>
      <c r="R764" s="69"/>
      <c r="S764" s="68"/>
      <c r="U764" s="69"/>
      <c r="V764" s="68"/>
      <c r="X764" s="69"/>
      <c r="Y764" s="68"/>
      <c r="AA764" s="69"/>
      <c r="AB764" s="33">
        <f t="shared" si="23"/>
        <v>0</v>
      </c>
      <c r="AC764" s="45">
        <f>_xlfn.LET(_xlpm.ps_1,P764:R764, _xlpm.ps_2,S764:U764, _xlpm.ps_3,V764:X764, _xlpm.ps_4,Y764:AA764,
_xlpm.phase, MID(C764,SEARCH("-",C764)+1,256),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(_xlfn.XLOOKUP($C$7,site_assumptions[Details],site_assumptions[Volts])*SUMIFS(P764:AA764,_xlfn.ANCHORARRAY(D764),TRUE)/10*0.95)/1000,
IFERROR(IF(_xlpm.phase="3Phase", _xlpm.p3_calc, _xlpm.sp_calc),0))</f>
        <v>0</v>
      </c>
      <c r="AD764" s="29"/>
      <c r="AE764" s="30"/>
      <c r="AF764" s="30"/>
      <c r="AG764" s="30"/>
      <c r="AH764" s="31"/>
      <c r="AI764" s="49">
        <f t="shared" si="24"/>
        <v>0</v>
      </c>
      <c r="AJ764" s="71"/>
    </row>
    <row r="765" spans="2:36" x14ac:dyDescent="0.25">
      <c r="B765" s="29"/>
      <c r="C765" s="10" t="s">
        <v>2070</v>
      </c>
      <c r="D765" s="2" t="b" cm="1">
        <f t="array" ref="D765:O765">_xlfn._xlws.FILTER(IF(ancillary!$E$4:$P$8="",FALSE,ancillary!$E$4:$P$8),ancillary!$B$4:$B$8=$C765)</f>
        <v>1</v>
      </c>
      <c r="E765" s="2" t="b">
        <v>1</v>
      </c>
      <c r="F765" s="2" t="b">
        <v>1</v>
      </c>
      <c r="G765" s="2" t="b">
        <v>1</v>
      </c>
      <c r="H765" s="2" t="b">
        <v>1</v>
      </c>
      <c r="I765" s="2" t="b">
        <v>1</v>
      </c>
      <c r="J765" s="2" t="b">
        <v>0</v>
      </c>
      <c r="K765" s="2" t="b">
        <v>0</v>
      </c>
      <c r="L765" s="2" t="b">
        <v>0</v>
      </c>
      <c r="M765" s="2" t="b">
        <v>0</v>
      </c>
      <c r="N765" s="2" t="b">
        <v>0</v>
      </c>
      <c r="O765" s="2" t="b">
        <v>0</v>
      </c>
      <c r="P765" s="68"/>
      <c r="R765" s="69"/>
      <c r="S765" s="68"/>
      <c r="U765" s="69"/>
      <c r="V765" s="68"/>
      <c r="X765" s="69"/>
      <c r="Y765" s="68"/>
      <c r="AA765" s="69"/>
      <c r="AB765" s="33">
        <f t="shared" si="23"/>
        <v>0</v>
      </c>
      <c r="AC765" s="45">
        <f>_xlfn.LET(_xlpm.ps_1,P765:R765, _xlpm.ps_2,S765:U765, _xlpm.ps_3,V765:X765, _xlpm.ps_4,Y765:AA765,
_xlpm.phase, MID(C765,SEARCH("-",C765)+1,256),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(_xlfn.XLOOKUP($C$7,site_assumptions[Details],site_assumptions[Volts])*SUMIFS(P765:AA765,_xlfn.ANCHORARRAY(D765),TRUE)/10*0.95)/1000,
IFERROR(IF(_xlpm.phase="3Phase", _xlpm.p3_calc, _xlpm.sp_calc),0))</f>
        <v>0</v>
      </c>
      <c r="AD765" s="29"/>
      <c r="AE765" s="30"/>
      <c r="AF765" s="30"/>
      <c r="AG765" s="30"/>
      <c r="AH765" s="31"/>
      <c r="AI765" s="49">
        <f t="shared" si="24"/>
        <v>0</v>
      </c>
      <c r="AJ765" s="71"/>
    </row>
    <row r="766" spans="2:36" x14ac:dyDescent="0.25">
      <c r="B766" s="29"/>
      <c r="C766" s="10" t="s">
        <v>2070</v>
      </c>
      <c r="D766" s="2" t="b" cm="1">
        <f t="array" ref="D766:O766">_xlfn._xlws.FILTER(IF(ancillary!$E$4:$P$8="",FALSE,ancillary!$E$4:$P$8),ancillary!$B$4:$B$8=$C766)</f>
        <v>1</v>
      </c>
      <c r="E766" s="2" t="b">
        <v>1</v>
      </c>
      <c r="F766" s="2" t="b">
        <v>1</v>
      </c>
      <c r="G766" s="2" t="b">
        <v>1</v>
      </c>
      <c r="H766" s="2" t="b">
        <v>1</v>
      </c>
      <c r="I766" s="2" t="b">
        <v>1</v>
      </c>
      <c r="J766" s="2" t="b">
        <v>0</v>
      </c>
      <c r="K766" s="2" t="b">
        <v>0</v>
      </c>
      <c r="L766" s="2" t="b">
        <v>0</v>
      </c>
      <c r="M766" s="2" t="b">
        <v>0</v>
      </c>
      <c r="N766" s="2" t="b">
        <v>0</v>
      </c>
      <c r="O766" s="2" t="b">
        <v>0</v>
      </c>
      <c r="P766" s="68"/>
      <c r="R766" s="69"/>
      <c r="S766" s="68"/>
      <c r="U766" s="69"/>
      <c r="V766" s="68"/>
      <c r="X766" s="69"/>
      <c r="Y766" s="68"/>
      <c r="AA766" s="69"/>
      <c r="AB766" s="33">
        <f t="shared" si="23"/>
        <v>0</v>
      </c>
      <c r="AC766" s="45">
        <f>_xlfn.LET(_xlpm.ps_1,P766:R766, _xlpm.ps_2,S766:U766, _xlpm.ps_3,V766:X766, _xlpm.ps_4,Y766:AA766,
_xlpm.phase, MID(C766,SEARCH("-",C766)+1,256),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(_xlfn.XLOOKUP($C$7,site_assumptions[Details],site_assumptions[Volts])*SUMIFS(P766:AA766,_xlfn.ANCHORARRAY(D766),TRUE)/10*0.95)/1000,
IFERROR(IF(_xlpm.phase="3Phase", _xlpm.p3_calc, _xlpm.sp_calc),0))</f>
        <v>0</v>
      </c>
      <c r="AD766" s="29"/>
      <c r="AE766" s="30"/>
      <c r="AF766" s="30"/>
      <c r="AG766" s="30"/>
      <c r="AH766" s="31"/>
      <c r="AI766" s="49">
        <f t="shared" si="24"/>
        <v>0</v>
      </c>
      <c r="AJ766" s="71"/>
    </row>
    <row r="767" spans="2:36" x14ac:dyDescent="0.25">
      <c r="B767" s="29"/>
      <c r="C767" s="10" t="s">
        <v>2070</v>
      </c>
      <c r="D767" s="2" t="b" cm="1">
        <f t="array" ref="D767:O767">_xlfn._xlws.FILTER(IF(ancillary!$E$4:$P$8="",FALSE,ancillary!$E$4:$P$8),ancillary!$B$4:$B$8=$C767)</f>
        <v>1</v>
      </c>
      <c r="E767" s="2" t="b">
        <v>1</v>
      </c>
      <c r="F767" s="2" t="b">
        <v>1</v>
      </c>
      <c r="G767" s="2" t="b">
        <v>1</v>
      </c>
      <c r="H767" s="2" t="b">
        <v>1</v>
      </c>
      <c r="I767" s="2" t="b">
        <v>1</v>
      </c>
      <c r="J767" s="2" t="b">
        <v>0</v>
      </c>
      <c r="K767" s="2" t="b">
        <v>0</v>
      </c>
      <c r="L767" s="2" t="b">
        <v>0</v>
      </c>
      <c r="M767" s="2" t="b">
        <v>0</v>
      </c>
      <c r="N767" s="2" t="b">
        <v>0</v>
      </c>
      <c r="O767" s="2" t="b">
        <v>0</v>
      </c>
      <c r="P767" s="68"/>
      <c r="R767" s="69"/>
      <c r="S767" s="68"/>
      <c r="U767" s="69"/>
      <c r="V767" s="68"/>
      <c r="X767" s="69"/>
      <c r="Y767" s="68"/>
      <c r="AA767" s="69"/>
      <c r="AB767" s="33">
        <f t="shared" si="23"/>
        <v>0</v>
      </c>
      <c r="AC767" s="45">
        <f>_xlfn.LET(_xlpm.ps_1,P767:R767, _xlpm.ps_2,S767:U767, _xlpm.ps_3,V767:X767, _xlpm.ps_4,Y767:AA767,
_xlpm.phase, MID(C767,SEARCH("-",C767)+1,256),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(_xlfn.XLOOKUP($C$7,site_assumptions[Details],site_assumptions[Volts])*SUMIFS(P767:AA767,_xlfn.ANCHORARRAY(D767),TRUE)/10*0.95)/1000,
IFERROR(IF(_xlpm.phase="3Phase", _xlpm.p3_calc, _xlpm.sp_calc),0))</f>
        <v>0</v>
      </c>
      <c r="AD767" s="29"/>
      <c r="AE767" s="30"/>
      <c r="AF767" s="30"/>
      <c r="AG767" s="30"/>
      <c r="AH767" s="31"/>
      <c r="AI767" s="49">
        <f t="shared" si="24"/>
        <v>0</v>
      </c>
      <c r="AJ767" s="71"/>
    </row>
    <row r="768" spans="2:36" x14ac:dyDescent="0.25">
      <c r="B768" s="29"/>
      <c r="C768" s="10" t="s">
        <v>2070</v>
      </c>
      <c r="D768" s="2" t="b" cm="1">
        <f t="array" ref="D768:O768">_xlfn._xlws.FILTER(IF(ancillary!$E$4:$P$8="",FALSE,ancillary!$E$4:$P$8),ancillary!$B$4:$B$8=$C768)</f>
        <v>1</v>
      </c>
      <c r="E768" s="2" t="b">
        <v>1</v>
      </c>
      <c r="F768" s="2" t="b">
        <v>1</v>
      </c>
      <c r="G768" s="2" t="b">
        <v>1</v>
      </c>
      <c r="H768" s="2" t="b">
        <v>1</v>
      </c>
      <c r="I768" s="2" t="b">
        <v>1</v>
      </c>
      <c r="J768" s="2" t="b">
        <v>0</v>
      </c>
      <c r="K768" s="2" t="b">
        <v>0</v>
      </c>
      <c r="L768" s="2" t="b">
        <v>0</v>
      </c>
      <c r="M768" s="2" t="b">
        <v>0</v>
      </c>
      <c r="N768" s="2" t="b">
        <v>0</v>
      </c>
      <c r="O768" s="2" t="b">
        <v>0</v>
      </c>
      <c r="P768" s="68"/>
      <c r="R768" s="69"/>
      <c r="S768" s="68"/>
      <c r="U768" s="69"/>
      <c r="V768" s="68"/>
      <c r="X768" s="69"/>
      <c r="Y768" s="68"/>
      <c r="AA768" s="69"/>
      <c r="AB768" s="33">
        <f t="shared" si="23"/>
        <v>0</v>
      </c>
      <c r="AC768" s="45">
        <f>_xlfn.LET(_xlpm.ps_1,P768:R768, _xlpm.ps_2,S768:U768, _xlpm.ps_3,V768:X768, _xlpm.ps_4,Y768:AA768,
_xlpm.phase, MID(C768,SEARCH("-",C768)+1,256),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(_xlfn.XLOOKUP($C$7,site_assumptions[Details],site_assumptions[Volts])*SUMIFS(P768:AA768,_xlfn.ANCHORARRAY(D768),TRUE)/10*0.95)/1000,
IFERROR(IF(_xlpm.phase="3Phase", _xlpm.p3_calc, _xlpm.sp_calc),0))</f>
        <v>0</v>
      </c>
      <c r="AD768" s="29"/>
      <c r="AE768" s="30"/>
      <c r="AF768" s="30"/>
      <c r="AG768" s="30"/>
      <c r="AH768" s="31"/>
      <c r="AI768" s="49">
        <f t="shared" si="24"/>
        <v>0</v>
      </c>
      <c r="AJ768" s="71"/>
    </row>
    <row r="769" spans="2:36" x14ac:dyDescent="0.25">
      <c r="B769" s="29"/>
      <c r="C769" s="10" t="s">
        <v>2070</v>
      </c>
      <c r="D769" s="2" t="b" cm="1">
        <f t="array" ref="D769:O769">_xlfn._xlws.FILTER(IF(ancillary!$E$4:$P$8="",FALSE,ancillary!$E$4:$P$8),ancillary!$B$4:$B$8=$C769)</f>
        <v>1</v>
      </c>
      <c r="E769" s="2" t="b">
        <v>1</v>
      </c>
      <c r="F769" s="2" t="b">
        <v>1</v>
      </c>
      <c r="G769" s="2" t="b">
        <v>1</v>
      </c>
      <c r="H769" s="2" t="b">
        <v>1</v>
      </c>
      <c r="I769" s="2" t="b">
        <v>1</v>
      </c>
      <c r="J769" s="2" t="b">
        <v>0</v>
      </c>
      <c r="K769" s="2" t="b">
        <v>0</v>
      </c>
      <c r="L769" s="2" t="b">
        <v>0</v>
      </c>
      <c r="M769" s="2" t="b">
        <v>0</v>
      </c>
      <c r="N769" s="2" t="b">
        <v>0</v>
      </c>
      <c r="O769" s="2" t="b">
        <v>0</v>
      </c>
      <c r="P769" s="68"/>
      <c r="R769" s="69"/>
      <c r="S769" s="68"/>
      <c r="U769" s="69"/>
      <c r="V769" s="68"/>
      <c r="X769" s="69"/>
      <c r="Y769" s="68"/>
      <c r="AA769" s="69"/>
      <c r="AB769" s="33">
        <f t="shared" si="23"/>
        <v>0</v>
      </c>
      <c r="AC769" s="45">
        <f>_xlfn.LET(_xlpm.ps_1,P769:R769, _xlpm.ps_2,S769:U769, _xlpm.ps_3,V769:X769, _xlpm.ps_4,Y769:AA769,
_xlpm.phase, MID(C769,SEARCH("-",C769)+1,256),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(_xlfn.XLOOKUP($C$7,site_assumptions[Details],site_assumptions[Volts])*SUMIFS(P769:AA769,_xlfn.ANCHORARRAY(D769),TRUE)/10*0.95)/1000,
IFERROR(IF(_xlpm.phase="3Phase", _xlpm.p3_calc, _xlpm.sp_calc),0))</f>
        <v>0</v>
      </c>
      <c r="AD769" s="29"/>
      <c r="AE769" s="30"/>
      <c r="AF769" s="30"/>
      <c r="AG769" s="30"/>
      <c r="AH769" s="31"/>
      <c r="AI769" s="49">
        <f t="shared" si="24"/>
        <v>0</v>
      </c>
      <c r="AJ769" s="71"/>
    </row>
    <row r="770" spans="2:36" x14ac:dyDescent="0.25">
      <c r="B770" s="29"/>
      <c r="C770" s="10" t="s">
        <v>2070</v>
      </c>
      <c r="D770" s="2" t="b" cm="1">
        <f t="array" ref="D770:O770">_xlfn._xlws.FILTER(IF(ancillary!$E$4:$P$8="",FALSE,ancillary!$E$4:$P$8),ancillary!$B$4:$B$8=$C770)</f>
        <v>1</v>
      </c>
      <c r="E770" s="2" t="b">
        <v>1</v>
      </c>
      <c r="F770" s="2" t="b">
        <v>1</v>
      </c>
      <c r="G770" s="2" t="b">
        <v>1</v>
      </c>
      <c r="H770" s="2" t="b">
        <v>1</v>
      </c>
      <c r="I770" s="2" t="b">
        <v>1</v>
      </c>
      <c r="J770" s="2" t="b">
        <v>0</v>
      </c>
      <c r="K770" s="2" t="b">
        <v>0</v>
      </c>
      <c r="L770" s="2" t="b">
        <v>0</v>
      </c>
      <c r="M770" s="2" t="b">
        <v>0</v>
      </c>
      <c r="N770" s="2" t="b">
        <v>0</v>
      </c>
      <c r="O770" s="2" t="b">
        <v>0</v>
      </c>
      <c r="P770" s="68"/>
      <c r="R770" s="69"/>
      <c r="S770" s="68"/>
      <c r="U770" s="69"/>
      <c r="V770" s="68"/>
      <c r="X770" s="69"/>
      <c r="Y770" s="68"/>
      <c r="AA770" s="69"/>
      <c r="AB770" s="33">
        <f t="shared" si="23"/>
        <v>0</v>
      </c>
      <c r="AC770" s="45">
        <f>_xlfn.LET(_xlpm.ps_1,P770:R770, _xlpm.ps_2,S770:U770, _xlpm.ps_3,V770:X770, _xlpm.ps_4,Y770:AA770,
_xlpm.phase, MID(C770,SEARCH("-",C770)+1,256),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(_xlfn.XLOOKUP($C$7,site_assumptions[Details],site_assumptions[Volts])*SUMIFS(P770:AA770,_xlfn.ANCHORARRAY(D770),TRUE)/10*0.95)/1000,
IFERROR(IF(_xlpm.phase="3Phase", _xlpm.p3_calc, _xlpm.sp_calc),0))</f>
        <v>0</v>
      </c>
      <c r="AD770" s="29"/>
      <c r="AE770" s="30"/>
      <c r="AF770" s="30"/>
      <c r="AG770" s="30"/>
      <c r="AH770" s="31"/>
      <c r="AI770" s="49">
        <f t="shared" si="24"/>
        <v>0</v>
      </c>
      <c r="AJ770" s="71"/>
    </row>
    <row r="771" spans="2:36" x14ac:dyDescent="0.25">
      <c r="B771" s="29"/>
      <c r="C771" s="10" t="s">
        <v>2070</v>
      </c>
      <c r="D771" s="2" t="b" cm="1">
        <f t="array" ref="D771:O771">_xlfn._xlws.FILTER(IF(ancillary!$E$4:$P$8="",FALSE,ancillary!$E$4:$P$8),ancillary!$B$4:$B$8=$C771)</f>
        <v>1</v>
      </c>
      <c r="E771" s="2" t="b">
        <v>1</v>
      </c>
      <c r="F771" s="2" t="b">
        <v>1</v>
      </c>
      <c r="G771" s="2" t="b">
        <v>1</v>
      </c>
      <c r="H771" s="2" t="b">
        <v>1</v>
      </c>
      <c r="I771" s="2" t="b">
        <v>1</v>
      </c>
      <c r="J771" s="2" t="b">
        <v>0</v>
      </c>
      <c r="K771" s="2" t="b">
        <v>0</v>
      </c>
      <c r="L771" s="2" t="b">
        <v>0</v>
      </c>
      <c r="M771" s="2" t="b">
        <v>0</v>
      </c>
      <c r="N771" s="2" t="b">
        <v>0</v>
      </c>
      <c r="O771" s="2" t="b">
        <v>0</v>
      </c>
      <c r="P771" s="68"/>
      <c r="R771" s="69"/>
      <c r="S771" s="68"/>
      <c r="U771" s="69"/>
      <c r="V771" s="68"/>
      <c r="X771" s="69"/>
      <c r="Y771" s="68"/>
      <c r="AA771" s="69"/>
      <c r="AB771" s="33">
        <f t="shared" si="23"/>
        <v>0</v>
      </c>
      <c r="AC771" s="45">
        <f>_xlfn.LET(_xlpm.ps_1,P771:R771, _xlpm.ps_2,S771:U771, _xlpm.ps_3,V771:X771, _xlpm.ps_4,Y771:AA771,
_xlpm.phase, MID(C771,SEARCH("-",C771)+1,256),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(_xlfn.XLOOKUP($C$7,site_assumptions[Details],site_assumptions[Volts])*SUMIFS(P771:AA771,_xlfn.ANCHORARRAY(D771),TRUE)/10*0.95)/1000,
IFERROR(IF(_xlpm.phase="3Phase", _xlpm.p3_calc, _xlpm.sp_calc),0))</f>
        <v>0</v>
      </c>
      <c r="AD771" s="29"/>
      <c r="AE771" s="30"/>
      <c r="AF771" s="30"/>
      <c r="AG771" s="30"/>
      <c r="AH771" s="31"/>
      <c r="AI771" s="49">
        <f t="shared" si="24"/>
        <v>0</v>
      </c>
      <c r="AJ771" s="71"/>
    </row>
    <row r="772" spans="2:36" x14ac:dyDescent="0.25">
      <c r="B772" s="29"/>
      <c r="C772" s="10" t="s">
        <v>2070</v>
      </c>
      <c r="D772" s="2" t="b" cm="1">
        <f t="array" ref="D772:O772">_xlfn._xlws.FILTER(IF(ancillary!$E$4:$P$8="",FALSE,ancillary!$E$4:$P$8),ancillary!$B$4:$B$8=$C772)</f>
        <v>1</v>
      </c>
      <c r="E772" s="2" t="b">
        <v>1</v>
      </c>
      <c r="F772" s="2" t="b">
        <v>1</v>
      </c>
      <c r="G772" s="2" t="b">
        <v>1</v>
      </c>
      <c r="H772" s="2" t="b">
        <v>1</v>
      </c>
      <c r="I772" s="2" t="b">
        <v>1</v>
      </c>
      <c r="J772" s="2" t="b">
        <v>0</v>
      </c>
      <c r="K772" s="2" t="b">
        <v>0</v>
      </c>
      <c r="L772" s="2" t="b">
        <v>0</v>
      </c>
      <c r="M772" s="2" t="b">
        <v>0</v>
      </c>
      <c r="N772" s="2" t="b">
        <v>0</v>
      </c>
      <c r="O772" s="2" t="b">
        <v>0</v>
      </c>
      <c r="P772" s="68"/>
      <c r="R772" s="69"/>
      <c r="S772" s="68"/>
      <c r="U772" s="69"/>
      <c r="V772" s="68"/>
      <c r="X772" s="69"/>
      <c r="Y772" s="68"/>
      <c r="AA772" s="69"/>
      <c r="AB772" s="33">
        <f t="shared" si="23"/>
        <v>0</v>
      </c>
      <c r="AC772" s="45">
        <f>_xlfn.LET(_xlpm.ps_1,P772:R772, _xlpm.ps_2,S772:U772, _xlpm.ps_3,V772:X772, _xlpm.ps_4,Y772:AA772,
_xlpm.phase, MID(C772,SEARCH("-",C772)+1,256),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(_xlfn.XLOOKUP($C$7,site_assumptions[Details],site_assumptions[Volts])*SUMIFS(P772:AA772,_xlfn.ANCHORARRAY(D772),TRUE)/10*0.95)/1000,
IFERROR(IF(_xlpm.phase="3Phase", _xlpm.p3_calc, _xlpm.sp_calc),0))</f>
        <v>0</v>
      </c>
      <c r="AD772" s="29"/>
      <c r="AE772" s="30"/>
      <c r="AF772" s="30"/>
      <c r="AG772" s="30"/>
      <c r="AH772" s="31"/>
      <c r="AI772" s="49">
        <f t="shared" si="24"/>
        <v>0</v>
      </c>
      <c r="AJ772" s="71"/>
    </row>
    <row r="773" spans="2:36" x14ac:dyDescent="0.25">
      <c r="B773" s="29"/>
      <c r="C773" s="10" t="s">
        <v>2070</v>
      </c>
      <c r="D773" s="2" t="b" cm="1">
        <f t="array" ref="D773:O773">_xlfn._xlws.FILTER(IF(ancillary!$E$4:$P$8="",FALSE,ancillary!$E$4:$P$8),ancillary!$B$4:$B$8=$C773)</f>
        <v>1</v>
      </c>
      <c r="E773" s="2" t="b">
        <v>1</v>
      </c>
      <c r="F773" s="2" t="b">
        <v>1</v>
      </c>
      <c r="G773" s="2" t="b">
        <v>1</v>
      </c>
      <c r="H773" s="2" t="b">
        <v>1</v>
      </c>
      <c r="I773" s="2" t="b">
        <v>1</v>
      </c>
      <c r="J773" s="2" t="b">
        <v>0</v>
      </c>
      <c r="K773" s="2" t="b">
        <v>0</v>
      </c>
      <c r="L773" s="2" t="b">
        <v>0</v>
      </c>
      <c r="M773" s="2" t="b">
        <v>0</v>
      </c>
      <c r="N773" s="2" t="b">
        <v>0</v>
      </c>
      <c r="O773" s="2" t="b">
        <v>0</v>
      </c>
      <c r="P773" s="68"/>
      <c r="R773" s="69"/>
      <c r="S773" s="68"/>
      <c r="U773" s="69"/>
      <c r="V773" s="68"/>
      <c r="X773" s="69"/>
      <c r="Y773" s="68"/>
      <c r="AA773" s="69"/>
      <c r="AB773" s="33">
        <f t="shared" si="23"/>
        <v>0</v>
      </c>
      <c r="AC773" s="45">
        <f>_xlfn.LET(_xlpm.ps_1,P773:R773, _xlpm.ps_2,S773:U773, _xlpm.ps_3,V773:X773, _xlpm.ps_4,Y773:AA773,
_xlpm.phase, MID(C773,SEARCH("-",C773)+1,256),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(_xlfn.XLOOKUP($C$7,site_assumptions[Details],site_assumptions[Volts])*SUMIFS(P773:AA773,_xlfn.ANCHORARRAY(D773),TRUE)/10*0.95)/1000,
IFERROR(IF(_xlpm.phase="3Phase", _xlpm.p3_calc, _xlpm.sp_calc),0))</f>
        <v>0</v>
      </c>
      <c r="AD773" s="29"/>
      <c r="AE773" s="30"/>
      <c r="AF773" s="30"/>
      <c r="AG773" s="30"/>
      <c r="AH773" s="31"/>
      <c r="AI773" s="49">
        <f t="shared" si="24"/>
        <v>0</v>
      </c>
      <c r="AJ773" s="71"/>
    </row>
    <row r="774" spans="2:36" x14ac:dyDescent="0.25">
      <c r="B774" s="29"/>
      <c r="C774" s="10" t="s">
        <v>2070</v>
      </c>
      <c r="D774" s="2" t="b" cm="1">
        <f t="array" ref="D774:O774">_xlfn._xlws.FILTER(IF(ancillary!$E$4:$P$8="",FALSE,ancillary!$E$4:$P$8),ancillary!$B$4:$B$8=$C774)</f>
        <v>1</v>
      </c>
      <c r="E774" s="2" t="b">
        <v>1</v>
      </c>
      <c r="F774" s="2" t="b">
        <v>1</v>
      </c>
      <c r="G774" s="2" t="b">
        <v>1</v>
      </c>
      <c r="H774" s="2" t="b">
        <v>1</v>
      </c>
      <c r="I774" s="2" t="b">
        <v>1</v>
      </c>
      <c r="J774" s="2" t="b">
        <v>0</v>
      </c>
      <c r="K774" s="2" t="b">
        <v>0</v>
      </c>
      <c r="L774" s="2" t="b">
        <v>0</v>
      </c>
      <c r="M774" s="2" t="b">
        <v>0</v>
      </c>
      <c r="N774" s="2" t="b">
        <v>0</v>
      </c>
      <c r="O774" s="2" t="b">
        <v>0</v>
      </c>
      <c r="P774" s="68"/>
      <c r="R774" s="69"/>
      <c r="S774" s="68"/>
      <c r="U774" s="69"/>
      <c r="V774" s="68"/>
      <c r="X774" s="69"/>
      <c r="Y774" s="68"/>
      <c r="AA774" s="69"/>
      <c r="AB774" s="33">
        <f t="shared" si="23"/>
        <v>0</v>
      </c>
      <c r="AC774" s="45">
        <f>_xlfn.LET(_xlpm.ps_1,P774:R774, _xlpm.ps_2,S774:U774, _xlpm.ps_3,V774:X774, _xlpm.ps_4,Y774:AA774,
_xlpm.phase, MID(C774,SEARCH("-",C774)+1,256),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(_xlfn.XLOOKUP($C$7,site_assumptions[Details],site_assumptions[Volts])*SUMIFS(P774:AA774,_xlfn.ANCHORARRAY(D774),TRUE)/10*0.95)/1000,
IFERROR(IF(_xlpm.phase="3Phase", _xlpm.p3_calc, _xlpm.sp_calc),0))</f>
        <v>0</v>
      </c>
      <c r="AD774" s="29"/>
      <c r="AE774" s="30"/>
      <c r="AF774" s="30"/>
      <c r="AG774" s="30"/>
      <c r="AH774" s="31"/>
      <c r="AI774" s="49">
        <f t="shared" si="24"/>
        <v>0</v>
      </c>
      <c r="AJ774" s="71"/>
    </row>
    <row r="775" spans="2:36" x14ac:dyDescent="0.25">
      <c r="B775" s="29"/>
      <c r="C775" s="10" t="s">
        <v>2070</v>
      </c>
      <c r="D775" s="2" t="b" cm="1">
        <f t="array" ref="D775:O775">_xlfn._xlws.FILTER(IF(ancillary!$E$4:$P$8="",FALSE,ancillary!$E$4:$P$8),ancillary!$B$4:$B$8=$C775)</f>
        <v>1</v>
      </c>
      <c r="E775" s="2" t="b">
        <v>1</v>
      </c>
      <c r="F775" s="2" t="b">
        <v>1</v>
      </c>
      <c r="G775" s="2" t="b">
        <v>1</v>
      </c>
      <c r="H775" s="2" t="b">
        <v>1</v>
      </c>
      <c r="I775" s="2" t="b">
        <v>1</v>
      </c>
      <c r="J775" s="2" t="b">
        <v>0</v>
      </c>
      <c r="K775" s="2" t="b">
        <v>0</v>
      </c>
      <c r="L775" s="2" t="b">
        <v>0</v>
      </c>
      <c r="M775" s="2" t="b">
        <v>0</v>
      </c>
      <c r="N775" s="2" t="b">
        <v>0</v>
      </c>
      <c r="O775" s="2" t="b">
        <v>0</v>
      </c>
      <c r="P775" s="68"/>
      <c r="R775" s="69"/>
      <c r="S775" s="68"/>
      <c r="U775" s="69"/>
      <c r="V775" s="68"/>
      <c r="X775" s="69"/>
      <c r="Y775" s="68"/>
      <c r="AA775" s="69"/>
      <c r="AB775" s="33">
        <f t="shared" si="23"/>
        <v>0</v>
      </c>
      <c r="AC775" s="45">
        <f>_xlfn.LET(_xlpm.ps_1,P775:R775, _xlpm.ps_2,S775:U775, _xlpm.ps_3,V775:X775, _xlpm.ps_4,Y775:AA775,
_xlpm.phase, MID(C775,SEARCH("-",C775)+1,256),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(_xlfn.XLOOKUP($C$7,site_assumptions[Details],site_assumptions[Volts])*SUMIFS(P775:AA775,_xlfn.ANCHORARRAY(D775),TRUE)/10*0.95)/1000,
IFERROR(IF(_xlpm.phase="3Phase", _xlpm.p3_calc, _xlpm.sp_calc),0))</f>
        <v>0</v>
      </c>
      <c r="AD775" s="29"/>
      <c r="AE775" s="30"/>
      <c r="AF775" s="30"/>
      <c r="AG775" s="30"/>
      <c r="AH775" s="31"/>
      <c r="AI775" s="49">
        <f t="shared" si="24"/>
        <v>0</v>
      </c>
      <c r="AJ775" s="71"/>
    </row>
    <row r="776" spans="2:36" x14ac:dyDescent="0.25">
      <c r="B776" s="29"/>
      <c r="C776" s="10" t="s">
        <v>2070</v>
      </c>
      <c r="D776" s="2" t="b" cm="1">
        <f t="array" ref="D776:O776">_xlfn._xlws.FILTER(IF(ancillary!$E$4:$P$8="",FALSE,ancillary!$E$4:$P$8),ancillary!$B$4:$B$8=$C776)</f>
        <v>1</v>
      </c>
      <c r="E776" s="2" t="b">
        <v>1</v>
      </c>
      <c r="F776" s="2" t="b">
        <v>1</v>
      </c>
      <c r="G776" s="2" t="b">
        <v>1</v>
      </c>
      <c r="H776" s="2" t="b">
        <v>1</v>
      </c>
      <c r="I776" s="2" t="b">
        <v>1</v>
      </c>
      <c r="J776" s="2" t="b">
        <v>0</v>
      </c>
      <c r="K776" s="2" t="b">
        <v>0</v>
      </c>
      <c r="L776" s="2" t="b">
        <v>0</v>
      </c>
      <c r="M776" s="2" t="b">
        <v>0</v>
      </c>
      <c r="N776" s="2" t="b">
        <v>0</v>
      </c>
      <c r="O776" s="2" t="b">
        <v>0</v>
      </c>
      <c r="P776" s="68"/>
      <c r="R776" s="69"/>
      <c r="S776" s="68"/>
      <c r="U776" s="69"/>
      <c r="V776" s="68"/>
      <c r="X776" s="69"/>
      <c r="Y776" s="68"/>
      <c r="AA776" s="69"/>
      <c r="AB776" s="33">
        <f t="shared" si="23"/>
        <v>0</v>
      </c>
      <c r="AC776" s="45">
        <f>_xlfn.LET(_xlpm.ps_1,P776:R776, _xlpm.ps_2,S776:U776, _xlpm.ps_3,V776:X776, _xlpm.ps_4,Y776:AA776,
_xlpm.phase, MID(C776,SEARCH("-",C776)+1,256),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(_xlfn.XLOOKUP($C$7,site_assumptions[Details],site_assumptions[Volts])*SUMIFS(P776:AA776,_xlfn.ANCHORARRAY(D776),TRUE)/10*0.95)/1000,
IFERROR(IF(_xlpm.phase="3Phase", _xlpm.p3_calc, _xlpm.sp_calc),0))</f>
        <v>0</v>
      </c>
      <c r="AD776" s="29"/>
      <c r="AE776" s="30"/>
      <c r="AF776" s="30"/>
      <c r="AG776" s="30"/>
      <c r="AH776" s="31"/>
      <c r="AI776" s="49">
        <f t="shared" si="24"/>
        <v>0</v>
      </c>
      <c r="AJ776" s="71"/>
    </row>
    <row r="777" spans="2:36" x14ac:dyDescent="0.25">
      <c r="B777" s="29"/>
      <c r="C777" s="10" t="s">
        <v>2070</v>
      </c>
      <c r="D777" s="2" t="b" cm="1">
        <f t="array" ref="D777:O777">_xlfn._xlws.FILTER(IF(ancillary!$E$4:$P$8="",FALSE,ancillary!$E$4:$P$8),ancillary!$B$4:$B$8=$C777)</f>
        <v>1</v>
      </c>
      <c r="E777" s="2" t="b">
        <v>1</v>
      </c>
      <c r="F777" s="2" t="b">
        <v>1</v>
      </c>
      <c r="G777" s="2" t="b">
        <v>1</v>
      </c>
      <c r="H777" s="2" t="b">
        <v>1</v>
      </c>
      <c r="I777" s="2" t="b">
        <v>1</v>
      </c>
      <c r="J777" s="2" t="b">
        <v>0</v>
      </c>
      <c r="K777" s="2" t="b">
        <v>0</v>
      </c>
      <c r="L777" s="2" t="b">
        <v>0</v>
      </c>
      <c r="M777" s="2" t="b">
        <v>0</v>
      </c>
      <c r="N777" s="2" t="b">
        <v>0</v>
      </c>
      <c r="O777" s="2" t="b">
        <v>0</v>
      </c>
      <c r="P777" s="68"/>
      <c r="R777" s="69"/>
      <c r="S777" s="68"/>
      <c r="U777" s="69"/>
      <c r="V777" s="68"/>
      <c r="X777" s="69"/>
      <c r="Y777" s="68"/>
      <c r="AA777" s="69"/>
      <c r="AB777" s="33">
        <f t="shared" si="23"/>
        <v>0</v>
      </c>
      <c r="AC777" s="45">
        <f>_xlfn.LET(_xlpm.ps_1,P777:R777, _xlpm.ps_2,S777:U777, _xlpm.ps_3,V777:X777, _xlpm.ps_4,Y777:AA777,
_xlpm.phase, MID(C777,SEARCH("-",C777)+1,256),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(_xlfn.XLOOKUP($C$7,site_assumptions[Details],site_assumptions[Volts])*SUMIFS(P777:AA777,_xlfn.ANCHORARRAY(D777),TRUE)/10*0.95)/1000,
IFERROR(IF(_xlpm.phase="3Phase", _xlpm.p3_calc, _xlpm.sp_calc),0))</f>
        <v>0</v>
      </c>
      <c r="AD777" s="29"/>
      <c r="AE777" s="30"/>
      <c r="AF777" s="30"/>
      <c r="AG777" s="30"/>
      <c r="AH777" s="31"/>
      <c r="AI777" s="49">
        <f t="shared" si="24"/>
        <v>0</v>
      </c>
      <c r="AJ777" s="71"/>
    </row>
    <row r="778" spans="2:36" x14ac:dyDescent="0.25">
      <c r="B778" s="29"/>
      <c r="C778" s="10" t="s">
        <v>2070</v>
      </c>
      <c r="D778" s="2" t="b" cm="1">
        <f t="array" ref="D778:O778">_xlfn._xlws.FILTER(IF(ancillary!$E$4:$P$8="",FALSE,ancillary!$E$4:$P$8),ancillary!$B$4:$B$8=$C778)</f>
        <v>1</v>
      </c>
      <c r="E778" s="2" t="b">
        <v>1</v>
      </c>
      <c r="F778" s="2" t="b">
        <v>1</v>
      </c>
      <c r="G778" s="2" t="b">
        <v>1</v>
      </c>
      <c r="H778" s="2" t="b">
        <v>1</v>
      </c>
      <c r="I778" s="2" t="b">
        <v>1</v>
      </c>
      <c r="J778" s="2" t="b">
        <v>0</v>
      </c>
      <c r="K778" s="2" t="b">
        <v>0</v>
      </c>
      <c r="L778" s="2" t="b">
        <v>0</v>
      </c>
      <c r="M778" s="2" t="b">
        <v>0</v>
      </c>
      <c r="N778" s="2" t="b">
        <v>0</v>
      </c>
      <c r="O778" s="2" t="b">
        <v>0</v>
      </c>
      <c r="P778" s="68"/>
      <c r="R778" s="69"/>
      <c r="S778" s="68"/>
      <c r="U778" s="69"/>
      <c r="V778" s="68"/>
      <c r="X778" s="69"/>
      <c r="Y778" s="68"/>
      <c r="AA778" s="69"/>
      <c r="AB778" s="33">
        <f t="shared" si="23"/>
        <v>0</v>
      </c>
      <c r="AC778" s="45">
        <f>_xlfn.LET(_xlpm.ps_1,P778:R778, _xlpm.ps_2,S778:U778, _xlpm.ps_3,V778:X778, _xlpm.ps_4,Y778:AA778,
_xlpm.phase, MID(C778,SEARCH("-",C778)+1,256),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(_xlfn.XLOOKUP($C$7,site_assumptions[Details],site_assumptions[Volts])*SUMIFS(P778:AA778,_xlfn.ANCHORARRAY(D778),TRUE)/10*0.95)/1000,
IFERROR(IF(_xlpm.phase="3Phase", _xlpm.p3_calc, _xlpm.sp_calc),0))</f>
        <v>0</v>
      </c>
      <c r="AD778" s="29"/>
      <c r="AE778" s="30"/>
      <c r="AF778" s="30"/>
      <c r="AG778" s="30"/>
      <c r="AH778" s="31"/>
      <c r="AI778" s="49">
        <f t="shared" si="24"/>
        <v>0</v>
      </c>
      <c r="AJ778" s="71"/>
    </row>
    <row r="779" spans="2:36" x14ac:dyDescent="0.25">
      <c r="B779" s="29"/>
      <c r="C779" s="10" t="s">
        <v>2070</v>
      </c>
      <c r="D779" s="2" t="b" cm="1">
        <f t="array" ref="D779:O779">_xlfn._xlws.FILTER(IF(ancillary!$E$4:$P$8="",FALSE,ancillary!$E$4:$P$8),ancillary!$B$4:$B$8=$C779)</f>
        <v>1</v>
      </c>
      <c r="E779" s="2" t="b">
        <v>1</v>
      </c>
      <c r="F779" s="2" t="b">
        <v>1</v>
      </c>
      <c r="G779" s="2" t="b">
        <v>1</v>
      </c>
      <c r="H779" s="2" t="b">
        <v>1</v>
      </c>
      <c r="I779" s="2" t="b">
        <v>1</v>
      </c>
      <c r="J779" s="2" t="b">
        <v>0</v>
      </c>
      <c r="K779" s="2" t="b">
        <v>0</v>
      </c>
      <c r="L779" s="2" t="b">
        <v>0</v>
      </c>
      <c r="M779" s="2" t="b">
        <v>0</v>
      </c>
      <c r="N779" s="2" t="b">
        <v>0</v>
      </c>
      <c r="O779" s="2" t="b">
        <v>0</v>
      </c>
      <c r="P779" s="68"/>
      <c r="R779" s="69"/>
      <c r="S779" s="68"/>
      <c r="U779" s="69"/>
      <c r="V779" s="68"/>
      <c r="X779" s="69"/>
      <c r="Y779" s="68"/>
      <c r="AA779" s="69"/>
      <c r="AB779" s="33">
        <f t="shared" si="23"/>
        <v>0</v>
      </c>
      <c r="AC779" s="45">
        <f>_xlfn.LET(_xlpm.ps_1,P779:R779, _xlpm.ps_2,S779:U779, _xlpm.ps_3,V779:X779, _xlpm.ps_4,Y779:AA779,
_xlpm.phase, MID(C779,SEARCH("-",C779)+1,256),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(_xlfn.XLOOKUP($C$7,site_assumptions[Details],site_assumptions[Volts])*SUMIFS(P779:AA779,_xlfn.ANCHORARRAY(D779),TRUE)/10*0.95)/1000,
IFERROR(IF(_xlpm.phase="3Phase", _xlpm.p3_calc, _xlpm.sp_calc),0))</f>
        <v>0</v>
      </c>
      <c r="AD779" s="29"/>
      <c r="AE779" s="30"/>
      <c r="AF779" s="30"/>
      <c r="AG779" s="30"/>
      <c r="AH779" s="31"/>
      <c r="AI779" s="49">
        <f t="shared" si="24"/>
        <v>0</v>
      </c>
      <c r="AJ779" s="71"/>
    </row>
    <row r="780" spans="2:36" x14ac:dyDescent="0.25">
      <c r="B780" s="29"/>
      <c r="C780" s="10" t="s">
        <v>2070</v>
      </c>
      <c r="D780" s="2" t="b" cm="1">
        <f t="array" ref="D780:O780">_xlfn._xlws.FILTER(IF(ancillary!$E$4:$P$8="",FALSE,ancillary!$E$4:$P$8),ancillary!$B$4:$B$8=$C780)</f>
        <v>1</v>
      </c>
      <c r="E780" s="2" t="b">
        <v>1</v>
      </c>
      <c r="F780" s="2" t="b">
        <v>1</v>
      </c>
      <c r="G780" s="2" t="b">
        <v>1</v>
      </c>
      <c r="H780" s="2" t="b">
        <v>1</v>
      </c>
      <c r="I780" s="2" t="b">
        <v>1</v>
      </c>
      <c r="J780" s="2" t="b">
        <v>0</v>
      </c>
      <c r="K780" s="2" t="b">
        <v>0</v>
      </c>
      <c r="L780" s="2" t="b">
        <v>0</v>
      </c>
      <c r="M780" s="2" t="b">
        <v>0</v>
      </c>
      <c r="N780" s="2" t="b">
        <v>0</v>
      </c>
      <c r="O780" s="2" t="b">
        <v>0</v>
      </c>
      <c r="P780" s="68"/>
      <c r="R780" s="69"/>
      <c r="S780" s="68"/>
      <c r="U780" s="69"/>
      <c r="V780" s="68"/>
      <c r="X780" s="69"/>
      <c r="Y780" s="68"/>
      <c r="AA780" s="69"/>
      <c r="AB780" s="33">
        <f t="shared" si="23"/>
        <v>0</v>
      </c>
      <c r="AC780" s="45">
        <f>_xlfn.LET(_xlpm.ps_1,P780:R780, _xlpm.ps_2,S780:U780, _xlpm.ps_3,V780:X780, _xlpm.ps_4,Y780:AA780,
_xlpm.phase, MID(C780,SEARCH("-",C780)+1,256),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(_xlfn.XLOOKUP($C$7,site_assumptions[Details],site_assumptions[Volts])*SUMIFS(P780:AA780,_xlfn.ANCHORARRAY(D780),TRUE)/10*0.95)/1000,
IFERROR(IF(_xlpm.phase="3Phase", _xlpm.p3_calc, _xlpm.sp_calc),0))</f>
        <v>0</v>
      </c>
      <c r="AD780" s="29"/>
      <c r="AE780" s="30"/>
      <c r="AF780" s="30"/>
      <c r="AG780" s="30"/>
      <c r="AH780" s="31"/>
      <c r="AI780" s="49">
        <f t="shared" si="24"/>
        <v>0</v>
      </c>
      <c r="AJ780" s="71"/>
    </row>
    <row r="781" spans="2:36" x14ac:dyDescent="0.25">
      <c r="B781" s="29"/>
      <c r="C781" s="10" t="s">
        <v>2070</v>
      </c>
      <c r="D781" s="2" t="b" cm="1">
        <f t="array" ref="D781:O781">_xlfn._xlws.FILTER(IF(ancillary!$E$4:$P$8="",FALSE,ancillary!$E$4:$P$8),ancillary!$B$4:$B$8=$C781)</f>
        <v>1</v>
      </c>
      <c r="E781" s="2" t="b">
        <v>1</v>
      </c>
      <c r="F781" s="2" t="b">
        <v>1</v>
      </c>
      <c r="G781" s="2" t="b">
        <v>1</v>
      </c>
      <c r="H781" s="2" t="b">
        <v>1</v>
      </c>
      <c r="I781" s="2" t="b">
        <v>1</v>
      </c>
      <c r="J781" s="2" t="b">
        <v>0</v>
      </c>
      <c r="K781" s="2" t="b">
        <v>0</v>
      </c>
      <c r="L781" s="2" t="b">
        <v>0</v>
      </c>
      <c r="M781" s="2" t="b">
        <v>0</v>
      </c>
      <c r="N781" s="2" t="b">
        <v>0</v>
      </c>
      <c r="O781" s="2" t="b">
        <v>0</v>
      </c>
      <c r="P781" s="68"/>
      <c r="R781" s="69"/>
      <c r="S781" s="68"/>
      <c r="U781" s="69"/>
      <c r="V781" s="68"/>
      <c r="X781" s="69"/>
      <c r="Y781" s="68"/>
      <c r="AA781" s="69"/>
      <c r="AB781" s="33">
        <f t="shared" si="23"/>
        <v>0</v>
      </c>
      <c r="AC781" s="45">
        <f>_xlfn.LET(_xlpm.ps_1,P781:R781, _xlpm.ps_2,S781:U781, _xlpm.ps_3,V781:X781, _xlpm.ps_4,Y781:AA781,
_xlpm.phase, MID(C781,SEARCH("-",C781)+1,256),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(_xlfn.XLOOKUP($C$7,site_assumptions[Details],site_assumptions[Volts])*SUMIFS(P781:AA781,_xlfn.ANCHORARRAY(D781),TRUE)/10*0.95)/1000,
IFERROR(IF(_xlpm.phase="3Phase", _xlpm.p3_calc, _xlpm.sp_calc),0))</f>
        <v>0</v>
      </c>
      <c r="AD781" s="29"/>
      <c r="AE781" s="30"/>
      <c r="AF781" s="30"/>
      <c r="AG781" s="30"/>
      <c r="AH781" s="31"/>
      <c r="AI781" s="49">
        <f t="shared" si="24"/>
        <v>0</v>
      </c>
      <c r="AJ781" s="71"/>
    </row>
    <row r="782" spans="2:36" x14ac:dyDescent="0.25">
      <c r="B782" s="29"/>
      <c r="C782" s="10" t="s">
        <v>2070</v>
      </c>
      <c r="D782" s="2" t="b" cm="1">
        <f t="array" ref="D782:O782">_xlfn._xlws.FILTER(IF(ancillary!$E$4:$P$8="",FALSE,ancillary!$E$4:$P$8),ancillary!$B$4:$B$8=$C782)</f>
        <v>1</v>
      </c>
      <c r="E782" s="2" t="b">
        <v>1</v>
      </c>
      <c r="F782" s="2" t="b">
        <v>1</v>
      </c>
      <c r="G782" s="2" t="b">
        <v>1</v>
      </c>
      <c r="H782" s="2" t="b">
        <v>1</v>
      </c>
      <c r="I782" s="2" t="b">
        <v>1</v>
      </c>
      <c r="J782" s="2" t="b">
        <v>0</v>
      </c>
      <c r="K782" s="2" t="b">
        <v>0</v>
      </c>
      <c r="L782" s="2" t="b">
        <v>0</v>
      </c>
      <c r="M782" s="2" t="b">
        <v>0</v>
      </c>
      <c r="N782" s="2" t="b">
        <v>0</v>
      </c>
      <c r="O782" s="2" t="b">
        <v>0</v>
      </c>
      <c r="P782" s="68"/>
      <c r="R782" s="69"/>
      <c r="S782" s="68"/>
      <c r="U782" s="69"/>
      <c r="V782" s="68"/>
      <c r="X782" s="69"/>
      <c r="Y782" s="68"/>
      <c r="AA782" s="69"/>
      <c r="AB782" s="33">
        <f t="shared" ref="AB782:AB845" si="25">IFERROR(AVERAGEIFS(P782:AA782,_xlfn.ANCHORARRAY(D782),TRUE),0)/10</f>
        <v>0</v>
      </c>
      <c r="AC782" s="45">
        <f>_xlfn.LET(_xlpm.ps_1,P782:R782, _xlpm.ps_2,S782:U782, _xlpm.ps_3,V782:X782, _xlpm.ps_4,Y782:AA782,
_xlpm.phase, MID(C782,SEARCH("-",C782)+1,256),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(_xlfn.XLOOKUP($C$7,site_assumptions[Details],site_assumptions[Volts])*SUMIFS(P782:AA782,_xlfn.ANCHORARRAY(D782),TRUE)/10*0.95)/1000,
IFERROR(IF(_xlpm.phase="3Phase", _xlpm.p3_calc, _xlpm.sp_calc),0))</f>
        <v>0</v>
      </c>
      <c r="AD782" s="29"/>
      <c r="AE782" s="30"/>
      <c r="AF782" s="30"/>
      <c r="AG782" s="30"/>
      <c r="AH782" s="31"/>
      <c r="AI782" s="49">
        <f t="shared" si="24"/>
        <v>0</v>
      </c>
      <c r="AJ782" s="71"/>
    </row>
    <row r="783" spans="2:36" x14ac:dyDescent="0.25">
      <c r="B783" s="29"/>
      <c r="C783" s="10" t="s">
        <v>2070</v>
      </c>
      <c r="D783" s="2" t="b" cm="1">
        <f t="array" ref="D783:O783">_xlfn._xlws.FILTER(IF(ancillary!$E$4:$P$8="",FALSE,ancillary!$E$4:$P$8),ancillary!$B$4:$B$8=$C783)</f>
        <v>1</v>
      </c>
      <c r="E783" s="2" t="b">
        <v>1</v>
      </c>
      <c r="F783" s="2" t="b">
        <v>1</v>
      </c>
      <c r="G783" s="2" t="b">
        <v>1</v>
      </c>
      <c r="H783" s="2" t="b">
        <v>1</v>
      </c>
      <c r="I783" s="2" t="b">
        <v>1</v>
      </c>
      <c r="J783" s="2" t="b">
        <v>0</v>
      </c>
      <c r="K783" s="2" t="b">
        <v>0</v>
      </c>
      <c r="L783" s="2" t="b">
        <v>0</v>
      </c>
      <c r="M783" s="2" t="b">
        <v>0</v>
      </c>
      <c r="N783" s="2" t="b">
        <v>0</v>
      </c>
      <c r="O783" s="2" t="b">
        <v>0</v>
      </c>
      <c r="P783" s="68"/>
      <c r="R783" s="69"/>
      <c r="S783" s="68"/>
      <c r="U783" s="69"/>
      <c r="V783" s="68"/>
      <c r="X783" s="69"/>
      <c r="Y783" s="68"/>
      <c r="AA783" s="69"/>
      <c r="AB783" s="33">
        <f t="shared" si="25"/>
        <v>0</v>
      </c>
      <c r="AC783" s="45">
        <f>_xlfn.LET(_xlpm.ps_1,P783:R783, _xlpm.ps_2,S783:U783, _xlpm.ps_3,V783:X783, _xlpm.ps_4,Y783:AA783,
_xlpm.phase, MID(C783,SEARCH("-",C783)+1,256),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(_xlfn.XLOOKUP($C$7,site_assumptions[Details],site_assumptions[Volts])*SUMIFS(P783:AA783,_xlfn.ANCHORARRAY(D783),TRUE)/10*0.95)/1000,
IFERROR(IF(_xlpm.phase="3Phase", _xlpm.p3_calc, _xlpm.sp_calc),0))</f>
        <v>0</v>
      </c>
      <c r="AD783" s="29"/>
      <c r="AE783" s="30"/>
      <c r="AF783" s="30"/>
      <c r="AG783" s="30"/>
      <c r="AH783" s="31"/>
      <c r="AI783" s="49">
        <f t="shared" si="24"/>
        <v>0</v>
      </c>
      <c r="AJ783" s="71"/>
    </row>
    <row r="784" spans="2:36" x14ac:dyDescent="0.25">
      <c r="B784" s="29"/>
      <c r="C784" s="10" t="s">
        <v>2070</v>
      </c>
      <c r="D784" s="2" t="b" cm="1">
        <f t="array" ref="D784:O784">_xlfn._xlws.FILTER(IF(ancillary!$E$4:$P$8="",FALSE,ancillary!$E$4:$P$8),ancillary!$B$4:$B$8=$C784)</f>
        <v>1</v>
      </c>
      <c r="E784" s="2" t="b">
        <v>1</v>
      </c>
      <c r="F784" s="2" t="b">
        <v>1</v>
      </c>
      <c r="G784" s="2" t="b">
        <v>1</v>
      </c>
      <c r="H784" s="2" t="b">
        <v>1</v>
      </c>
      <c r="I784" s="2" t="b">
        <v>1</v>
      </c>
      <c r="J784" s="2" t="b">
        <v>0</v>
      </c>
      <c r="K784" s="2" t="b">
        <v>0</v>
      </c>
      <c r="L784" s="2" t="b">
        <v>0</v>
      </c>
      <c r="M784" s="2" t="b">
        <v>0</v>
      </c>
      <c r="N784" s="2" t="b">
        <v>0</v>
      </c>
      <c r="O784" s="2" t="b">
        <v>0</v>
      </c>
      <c r="P784" s="68"/>
      <c r="R784" s="69"/>
      <c r="S784" s="68"/>
      <c r="U784" s="69"/>
      <c r="V784" s="68"/>
      <c r="X784" s="69"/>
      <c r="Y784" s="68"/>
      <c r="AA784" s="69"/>
      <c r="AB784" s="33">
        <f t="shared" si="25"/>
        <v>0</v>
      </c>
      <c r="AC784" s="45">
        <f>_xlfn.LET(_xlpm.ps_1,P784:R784, _xlpm.ps_2,S784:U784, _xlpm.ps_3,V784:X784, _xlpm.ps_4,Y784:AA784,
_xlpm.phase, MID(C784,SEARCH("-",C784)+1,256),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(_xlfn.XLOOKUP($C$7,site_assumptions[Details],site_assumptions[Volts])*SUMIFS(P784:AA784,_xlfn.ANCHORARRAY(D784),TRUE)/10*0.95)/1000,
IFERROR(IF(_xlpm.phase="3Phase", _xlpm.p3_calc, _xlpm.sp_calc),0))</f>
        <v>0</v>
      </c>
      <c r="AD784" s="29"/>
      <c r="AE784" s="30"/>
      <c r="AF784" s="30"/>
      <c r="AG784" s="30"/>
      <c r="AH784" s="31"/>
      <c r="AI784" s="49">
        <f t="shared" si="24"/>
        <v>0</v>
      </c>
      <c r="AJ784" s="71"/>
    </row>
    <row r="785" spans="2:36" x14ac:dyDescent="0.25">
      <c r="B785" s="29"/>
      <c r="C785" s="10" t="s">
        <v>2070</v>
      </c>
      <c r="D785" s="2" t="b" cm="1">
        <f t="array" ref="D785:O785">_xlfn._xlws.FILTER(IF(ancillary!$E$4:$P$8="",FALSE,ancillary!$E$4:$P$8),ancillary!$B$4:$B$8=$C785)</f>
        <v>1</v>
      </c>
      <c r="E785" s="2" t="b">
        <v>1</v>
      </c>
      <c r="F785" s="2" t="b">
        <v>1</v>
      </c>
      <c r="G785" s="2" t="b">
        <v>1</v>
      </c>
      <c r="H785" s="2" t="b">
        <v>1</v>
      </c>
      <c r="I785" s="2" t="b">
        <v>1</v>
      </c>
      <c r="J785" s="2" t="b">
        <v>0</v>
      </c>
      <c r="K785" s="2" t="b">
        <v>0</v>
      </c>
      <c r="L785" s="2" t="b">
        <v>0</v>
      </c>
      <c r="M785" s="2" t="b">
        <v>0</v>
      </c>
      <c r="N785" s="2" t="b">
        <v>0</v>
      </c>
      <c r="O785" s="2" t="b">
        <v>0</v>
      </c>
      <c r="P785" s="68"/>
      <c r="R785" s="69"/>
      <c r="S785" s="68"/>
      <c r="U785" s="69"/>
      <c r="V785" s="68"/>
      <c r="X785" s="69"/>
      <c r="Y785" s="68"/>
      <c r="AA785" s="69"/>
      <c r="AB785" s="33">
        <f t="shared" si="25"/>
        <v>0</v>
      </c>
      <c r="AC785" s="45">
        <f>_xlfn.LET(_xlpm.ps_1,P785:R785, _xlpm.ps_2,S785:U785, _xlpm.ps_3,V785:X785, _xlpm.ps_4,Y785:AA785,
_xlpm.phase, MID(C785,SEARCH("-",C785)+1,256),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(_xlfn.XLOOKUP($C$7,site_assumptions[Details],site_assumptions[Volts])*SUMIFS(P785:AA785,_xlfn.ANCHORARRAY(D785),TRUE)/10*0.95)/1000,
IFERROR(IF(_xlpm.phase="3Phase", _xlpm.p3_calc, _xlpm.sp_calc),0))</f>
        <v>0</v>
      </c>
      <c r="AD785" s="29"/>
      <c r="AE785" s="30"/>
      <c r="AF785" s="30"/>
      <c r="AG785" s="30"/>
      <c r="AH785" s="31"/>
      <c r="AI785" s="49">
        <f t="shared" si="24"/>
        <v>0</v>
      </c>
      <c r="AJ785" s="71"/>
    </row>
    <row r="786" spans="2:36" x14ac:dyDescent="0.25">
      <c r="B786" s="29"/>
      <c r="C786" s="10" t="s">
        <v>2070</v>
      </c>
      <c r="D786" s="2" t="b" cm="1">
        <f t="array" ref="D786:O786">_xlfn._xlws.FILTER(IF(ancillary!$E$4:$P$8="",FALSE,ancillary!$E$4:$P$8),ancillary!$B$4:$B$8=$C786)</f>
        <v>1</v>
      </c>
      <c r="E786" s="2" t="b">
        <v>1</v>
      </c>
      <c r="F786" s="2" t="b">
        <v>1</v>
      </c>
      <c r="G786" s="2" t="b">
        <v>1</v>
      </c>
      <c r="H786" s="2" t="b">
        <v>1</v>
      </c>
      <c r="I786" s="2" t="b">
        <v>1</v>
      </c>
      <c r="J786" s="2" t="b">
        <v>0</v>
      </c>
      <c r="K786" s="2" t="b">
        <v>0</v>
      </c>
      <c r="L786" s="2" t="b">
        <v>0</v>
      </c>
      <c r="M786" s="2" t="b">
        <v>0</v>
      </c>
      <c r="N786" s="2" t="b">
        <v>0</v>
      </c>
      <c r="O786" s="2" t="b">
        <v>0</v>
      </c>
      <c r="P786" s="68"/>
      <c r="R786" s="69"/>
      <c r="S786" s="68"/>
      <c r="U786" s="69"/>
      <c r="V786" s="68"/>
      <c r="X786" s="69"/>
      <c r="Y786" s="68"/>
      <c r="AA786" s="69"/>
      <c r="AB786" s="33">
        <f t="shared" si="25"/>
        <v>0</v>
      </c>
      <c r="AC786" s="45">
        <f>_xlfn.LET(_xlpm.ps_1,P786:R786, _xlpm.ps_2,S786:U786, _xlpm.ps_3,V786:X786, _xlpm.ps_4,Y786:AA786,
_xlpm.phase, MID(C786,SEARCH("-",C786)+1,256),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(_xlfn.XLOOKUP($C$7,site_assumptions[Details],site_assumptions[Volts])*SUMIFS(P786:AA786,_xlfn.ANCHORARRAY(D786),TRUE)/10*0.95)/1000,
IFERROR(IF(_xlpm.phase="3Phase", _xlpm.p3_calc, _xlpm.sp_calc),0))</f>
        <v>0</v>
      </c>
      <c r="AD786" s="29"/>
      <c r="AE786" s="30"/>
      <c r="AF786" s="30"/>
      <c r="AG786" s="30"/>
      <c r="AH786" s="31"/>
      <c r="AI786" s="49">
        <f t="shared" si="24"/>
        <v>0</v>
      </c>
      <c r="AJ786" s="71"/>
    </row>
    <row r="787" spans="2:36" x14ac:dyDescent="0.25">
      <c r="B787" s="29"/>
      <c r="C787" s="10" t="s">
        <v>2070</v>
      </c>
      <c r="D787" s="2" t="b" cm="1">
        <f t="array" ref="D787:O787">_xlfn._xlws.FILTER(IF(ancillary!$E$4:$P$8="",FALSE,ancillary!$E$4:$P$8),ancillary!$B$4:$B$8=$C787)</f>
        <v>1</v>
      </c>
      <c r="E787" s="2" t="b">
        <v>1</v>
      </c>
      <c r="F787" s="2" t="b">
        <v>1</v>
      </c>
      <c r="G787" s="2" t="b">
        <v>1</v>
      </c>
      <c r="H787" s="2" t="b">
        <v>1</v>
      </c>
      <c r="I787" s="2" t="b">
        <v>1</v>
      </c>
      <c r="J787" s="2" t="b">
        <v>0</v>
      </c>
      <c r="K787" s="2" t="b">
        <v>0</v>
      </c>
      <c r="L787" s="2" t="b">
        <v>0</v>
      </c>
      <c r="M787" s="2" t="b">
        <v>0</v>
      </c>
      <c r="N787" s="2" t="b">
        <v>0</v>
      </c>
      <c r="O787" s="2" t="b">
        <v>0</v>
      </c>
      <c r="P787" s="68"/>
      <c r="R787" s="69"/>
      <c r="S787" s="68"/>
      <c r="U787" s="69"/>
      <c r="V787" s="68"/>
      <c r="X787" s="69"/>
      <c r="Y787" s="68"/>
      <c r="AA787" s="69"/>
      <c r="AB787" s="33">
        <f t="shared" si="25"/>
        <v>0</v>
      </c>
      <c r="AC787" s="45">
        <f>_xlfn.LET(_xlpm.ps_1,P787:R787, _xlpm.ps_2,S787:U787, _xlpm.ps_3,V787:X787, _xlpm.ps_4,Y787:AA787,
_xlpm.phase, MID(C787,SEARCH("-",C787)+1,256),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(_xlfn.XLOOKUP($C$7,site_assumptions[Details],site_assumptions[Volts])*SUMIFS(P787:AA787,_xlfn.ANCHORARRAY(D787),TRUE)/10*0.95)/1000,
IFERROR(IF(_xlpm.phase="3Phase", _xlpm.p3_calc, _xlpm.sp_calc),0))</f>
        <v>0</v>
      </c>
      <c r="AD787" s="29"/>
      <c r="AE787" s="30"/>
      <c r="AF787" s="30"/>
      <c r="AG787" s="30"/>
      <c r="AH787" s="31"/>
      <c r="AI787" s="49">
        <f t="shared" si="24"/>
        <v>0</v>
      </c>
      <c r="AJ787" s="71"/>
    </row>
    <row r="788" spans="2:36" x14ac:dyDescent="0.25">
      <c r="B788" s="29"/>
      <c r="C788" s="10" t="s">
        <v>2070</v>
      </c>
      <c r="D788" s="2" t="b" cm="1">
        <f t="array" ref="D788:O788">_xlfn._xlws.FILTER(IF(ancillary!$E$4:$P$8="",FALSE,ancillary!$E$4:$P$8),ancillary!$B$4:$B$8=$C788)</f>
        <v>1</v>
      </c>
      <c r="E788" s="2" t="b">
        <v>1</v>
      </c>
      <c r="F788" s="2" t="b">
        <v>1</v>
      </c>
      <c r="G788" s="2" t="b">
        <v>1</v>
      </c>
      <c r="H788" s="2" t="b">
        <v>1</v>
      </c>
      <c r="I788" s="2" t="b">
        <v>1</v>
      </c>
      <c r="J788" s="2" t="b">
        <v>0</v>
      </c>
      <c r="K788" s="2" t="b">
        <v>0</v>
      </c>
      <c r="L788" s="2" t="b">
        <v>0</v>
      </c>
      <c r="M788" s="2" t="b">
        <v>0</v>
      </c>
      <c r="N788" s="2" t="b">
        <v>0</v>
      </c>
      <c r="O788" s="2" t="b">
        <v>0</v>
      </c>
      <c r="P788" s="68"/>
      <c r="R788" s="69"/>
      <c r="S788" s="68"/>
      <c r="U788" s="69"/>
      <c r="V788" s="68"/>
      <c r="X788" s="69"/>
      <c r="Y788" s="68"/>
      <c r="AA788" s="69"/>
      <c r="AB788" s="33">
        <f t="shared" si="25"/>
        <v>0</v>
      </c>
      <c r="AC788" s="45">
        <f>_xlfn.LET(_xlpm.ps_1,P788:R788, _xlpm.ps_2,S788:U788, _xlpm.ps_3,V788:X788, _xlpm.ps_4,Y788:AA788,
_xlpm.phase, MID(C788,SEARCH("-",C788)+1,256),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(_xlfn.XLOOKUP($C$7,site_assumptions[Details],site_assumptions[Volts])*SUMIFS(P788:AA788,_xlfn.ANCHORARRAY(D788),TRUE)/10*0.95)/1000,
IFERROR(IF(_xlpm.phase="3Phase", _xlpm.p3_calc, _xlpm.sp_calc),0))</f>
        <v>0</v>
      </c>
      <c r="AD788" s="29"/>
      <c r="AE788" s="30"/>
      <c r="AF788" s="30"/>
      <c r="AG788" s="30"/>
      <c r="AH788" s="31"/>
      <c r="AI788" s="49">
        <f t="shared" si="24"/>
        <v>0</v>
      </c>
      <c r="AJ788" s="71"/>
    </row>
    <row r="789" spans="2:36" x14ac:dyDescent="0.25">
      <c r="B789" s="29"/>
      <c r="C789" s="10" t="s">
        <v>2070</v>
      </c>
      <c r="D789" s="2" t="b" cm="1">
        <f t="array" ref="D789:O789">_xlfn._xlws.FILTER(IF(ancillary!$E$4:$P$8="",FALSE,ancillary!$E$4:$P$8),ancillary!$B$4:$B$8=$C789)</f>
        <v>1</v>
      </c>
      <c r="E789" s="2" t="b">
        <v>1</v>
      </c>
      <c r="F789" s="2" t="b">
        <v>1</v>
      </c>
      <c r="G789" s="2" t="b">
        <v>1</v>
      </c>
      <c r="H789" s="2" t="b">
        <v>1</v>
      </c>
      <c r="I789" s="2" t="b">
        <v>1</v>
      </c>
      <c r="J789" s="2" t="b">
        <v>0</v>
      </c>
      <c r="K789" s="2" t="b">
        <v>0</v>
      </c>
      <c r="L789" s="2" t="b">
        <v>0</v>
      </c>
      <c r="M789" s="2" t="b">
        <v>0</v>
      </c>
      <c r="N789" s="2" t="b">
        <v>0</v>
      </c>
      <c r="O789" s="2" t="b">
        <v>0</v>
      </c>
      <c r="P789" s="68"/>
      <c r="R789" s="69"/>
      <c r="S789" s="68"/>
      <c r="U789" s="69"/>
      <c r="V789" s="68"/>
      <c r="X789" s="69"/>
      <c r="Y789" s="68"/>
      <c r="AA789" s="69"/>
      <c r="AB789" s="33">
        <f t="shared" si="25"/>
        <v>0</v>
      </c>
      <c r="AC789" s="45">
        <f>_xlfn.LET(_xlpm.ps_1,P789:R789, _xlpm.ps_2,S789:U789, _xlpm.ps_3,V789:X789, _xlpm.ps_4,Y789:AA789,
_xlpm.phase, MID(C789,SEARCH("-",C789)+1,256),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(_xlfn.XLOOKUP($C$7,site_assumptions[Details],site_assumptions[Volts])*SUMIFS(P789:AA789,_xlfn.ANCHORARRAY(D789),TRUE)/10*0.95)/1000,
IFERROR(IF(_xlpm.phase="3Phase", _xlpm.p3_calc, _xlpm.sp_calc),0))</f>
        <v>0</v>
      </c>
      <c r="AD789" s="29"/>
      <c r="AE789" s="30"/>
      <c r="AF789" s="30"/>
      <c r="AG789" s="30"/>
      <c r="AH789" s="31"/>
      <c r="AI789" s="49">
        <f t="shared" si="24"/>
        <v>0</v>
      </c>
      <c r="AJ789" s="71"/>
    </row>
    <row r="790" spans="2:36" x14ac:dyDescent="0.25">
      <c r="B790" s="29"/>
      <c r="C790" s="10" t="s">
        <v>2070</v>
      </c>
      <c r="D790" s="2" t="b" cm="1">
        <f t="array" ref="D790:O790">_xlfn._xlws.FILTER(IF(ancillary!$E$4:$P$8="",FALSE,ancillary!$E$4:$P$8),ancillary!$B$4:$B$8=$C790)</f>
        <v>1</v>
      </c>
      <c r="E790" s="2" t="b">
        <v>1</v>
      </c>
      <c r="F790" s="2" t="b">
        <v>1</v>
      </c>
      <c r="G790" s="2" t="b">
        <v>1</v>
      </c>
      <c r="H790" s="2" t="b">
        <v>1</v>
      </c>
      <c r="I790" s="2" t="b">
        <v>1</v>
      </c>
      <c r="J790" s="2" t="b">
        <v>0</v>
      </c>
      <c r="K790" s="2" t="b">
        <v>0</v>
      </c>
      <c r="L790" s="2" t="b">
        <v>0</v>
      </c>
      <c r="M790" s="2" t="b">
        <v>0</v>
      </c>
      <c r="N790" s="2" t="b">
        <v>0</v>
      </c>
      <c r="O790" s="2" t="b">
        <v>0</v>
      </c>
      <c r="P790" s="68"/>
      <c r="R790" s="69"/>
      <c r="S790" s="68"/>
      <c r="U790" s="69"/>
      <c r="V790" s="68"/>
      <c r="X790" s="69"/>
      <c r="Y790" s="68"/>
      <c r="AA790" s="69"/>
      <c r="AB790" s="33">
        <f t="shared" si="25"/>
        <v>0</v>
      </c>
      <c r="AC790" s="45">
        <f>_xlfn.LET(_xlpm.ps_1,P790:R790, _xlpm.ps_2,S790:U790, _xlpm.ps_3,V790:X790, _xlpm.ps_4,Y790:AA790,
_xlpm.phase, MID(C790,SEARCH("-",C790)+1,256),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(_xlfn.XLOOKUP($C$7,site_assumptions[Details],site_assumptions[Volts])*SUMIFS(P790:AA790,_xlfn.ANCHORARRAY(D790),TRUE)/10*0.95)/1000,
IFERROR(IF(_xlpm.phase="3Phase", _xlpm.p3_calc, _xlpm.sp_calc),0))</f>
        <v>0</v>
      </c>
      <c r="AD790" s="29"/>
      <c r="AE790" s="30"/>
      <c r="AF790" s="30"/>
      <c r="AG790" s="30"/>
      <c r="AH790" s="31"/>
      <c r="AI790" s="49">
        <f t="shared" si="24"/>
        <v>0</v>
      </c>
      <c r="AJ790" s="71"/>
    </row>
    <row r="791" spans="2:36" x14ac:dyDescent="0.25">
      <c r="B791" s="29"/>
      <c r="C791" s="10" t="s">
        <v>2070</v>
      </c>
      <c r="D791" s="2" t="b" cm="1">
        <f t="array" ref="D791:O791">_xlfn._xlws.FILTER(IF(ancillary!$E$4:$P$8="",FALSE,ancillary!$E$4:$P$8),ancillary!$B$4:$B$8=$C791)</f>
        <v>1</v>
      </c>
      <c r="E791" s="2" t="b">
        <v>1</v>
      </c>
      <c r="F791" s="2" t="b">
        <v>1</v>
      </c>
      <c r="G791" s="2" t="b">
        <v>1</v>
      </c>
      <c r="H791" s="2" t="b">
        <v>1</v>
      </c>
      <c r="I791" s="2" t="b">
        <v>1</v>
      </c>
      <c r="J791" s="2" t="b">
        <v>0</v>
      </c>
      <c r="K791" s="2" t="b">
        <v>0</v>
      </c>
      <c r="L791" s="2" t="b">
        <v>0</v>
      </c>
      <c r="M791" s="2" t="b">
        <v>0</v>
      </c>
      <c r="N791" s="2" t="b">
        <v>0</v>
      </c>
      <c r="O791" s="2" t="b">
        <v>0</v>
      </c>
      <c r="P791" s="68"/>
      <c r="R791" s="69"/>
      <c r="S791" s="68"/>
      <c r="U791" s="69"/>
      <c r="V791" s="68"/>
      <c r="X791" s="69"/>
      <c r="Y791" s="68"/>
      <c r="AA791" s="69"/>
      <c r="AB791" s="33">
        <f t="shared" si="25"/>
        <v>0</v>
      </c>
      <c r="AC791" s="45">
        <f>_xlfn.LET(_xlpm.ps_1,P791:R791, _xlpm.ps_2,S791:U791, _xlpm.ps_3,V791:X791, _xlpm.ps_4,Y791:AA791,
_xlpm.phase, MID(C791,SEARCH("-",C791)+1,256),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(_xlfn.XLOOKUP($C$7,site_assumptions[Details],site_assumptions[Volts])*SUMIFS(P791:AA791,_xlfn.ANCHORARRAY(D791),TRUE)/10*0.95)/1000,
IFERROR(IF(_xlpm.phase="3Phase", _xlpm.p3_calc, _xlpm.sp_calc),0))</f>
        <v>0</v>
      </c>
      <c r="AD791" s="29"/>
      <c r="AE791" s="30"/>
      <c r="AF791" s="30"/>
      <c r="AG791" s="30"/>
      <c r="AH791" s="31"/>
      <c r="AI791" s="49">
        <f t="shared" si="24"/>
        <v>0</v>
      </c>
      <c r="AJ791" s="71"/>
    </row>
    <row r="792" spans="2:36" x14ac:dyDescent="0.25">
      <c r="B792" s="29"/>
      <c r="C792" s="10" t="s">
        <v>2070</v>
      </c>
      <c r="D792" s="2" t="b" cm="1">
        <f t="array" ref="D792:O792">_xlfn._xlws.FILTER(IF(ancillary!$E$4:$P$8="",FALSE,ancillary!$E$4:$P$8),ancillary!$B$4:$B$8=$C792)</f>
        <v>1</v>
      </c>
      <c r="E792" s="2" t="b">
        <v>1</v>
      </c>
      <c r="F792" s="2" t="b">
        <v>1</v>
      </c>
      <c r="G792" s="2" t="b">
        <v>1</v>
      </c>
      <c r="H792" s="2" t="b">
        <v>1</v>
      </c>
      <c r="I792" s="2" t="b">
        <v>1</v>
      </c>
      <c r="J792" s="2" t="b">
        <v>0</v>
      </c>
      <c r="K792" s="2" t="b">
        <v>0</v>
      </c>
      <c r="L792" s="2" t="b">
        <v>0</v>
      </c>
      <c r="M792" s="2" t="b">
        <v>0</v>
      </c>
      <c r="N792" s="2" t="b">
        <v>0</v>
      </c>
      <c r="O792" s="2" t="b">
        <v>0</v>
      </c>
      <c r="P792" s="68"/>
      <c r="R792" s="69"/>
      <c r="S792" s="68"/>
      <c r="U792" s="69"/>
      <c r="V792" s="68"/>
      <c r="X792" s="69"/>
      <c r="Y792" s="68"/>
      <c r="AA792" s="69"/>
      <c r="AB792" s="33">
        <f t="shared" si="25"/>
        <v>0</v>
      </c>
      <c r="AC792" s="45">
        <f>_xlfn.LET(_xlpm.ps_1,P792:R792, _xlpm.ps_2,S792:U792, _xlpm.ps_3,V792:X792, _xlpm.ps_4,Y792:AA792,
_xlpm.phase, MID(C792,SEARCH("-",C792)+1,256),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(_xlfn.XLOOKUP($C$7,site_assumptions[Details],site_assumptions[Volts])*SUMIFS(P792:AA792,_xlfn.ANCHORARRAY(D792),TRUE)/10*0.95)/1000,
IFERROR(IF(_xlpm.phase="3Phase", _xlpm.p3_calc, _xlpm.sp_calc),0))</f>
        <v>0</v>
      </c>
      <c r="AD792" s="29"/>
      <c r="AE792" s="30"/>
      <c r="AF792" s="30"/>
      <c r="AG792" s="30"/>
      <c r="AH792" s="31"/>
      <c r="AI792" s="49">
        <f t="shared" si="24"/>
        <v>0</v>
      </c>
      <c r="AJ792" s="71"/>
    </row>
    <row r="793" spans="2:36" x14ac:dyDescent="0.25">
      <c r="B793" s="29"/>
      <c r="C793" s="10" t="s">
        <v>2070</v>
      </c>
      <c r="D793" s="2" t="b" cm="1">
        <f t="array" ref="D793:O793">_xlfn._xlws.FILTER(IF(ancillary!$E$4:$P$8="",FALSE,ancillary!$E$4:$P$8),ancillary!$B$4:$B$8=$C793)</f>
        <v>1</v>
      </c>
      <c r="E793" s="2" t="b">
        <v>1</v>
      </c>
      <c r="F793" s="2" t="b">
        <v>1</v>
      </c>
      <c r="G793" s="2" t="b">
        <v>1</v>
      </c>
      <c r="H793" s="2" t="b">
        <v>1</v>
      </c>
      <c r="I793" s="2" t="b">
        <v>1</v>
      </c>
      <c r="J793" s="2" t="b">
        <v>0</v>
      </c>
      <c r="K793" s="2" t="b">
        <v>0</v>
      </c>
      <c r="L793" s="2" t="b">
        <v>0</v>
      </c>
      <c r="M793" s="2" t="b">
        <v>0</v>
      </c>
      <c r="N793" s="2" t="b">
        <v>0</v>
      </c>
      <c r="O793" s="2" t="b">
        <v>0</v>
      </c>
      <c r="P793" s="68"/>
      <c r="R793" s="69"/>
      <c r="S793" s="68"/>
      <c r="U793" s="69"/>
      <c r="V793" s="68"/>
      <c r="X793" s="69"/>
      <c r="Y793" s="68"/>
      <c r="AA793" s="69"/>
      <c r="AB793" s="33">
        <f t="shared" si="25"/>
        <v>0</v>
      </c>
      <c r="AC793" s="45">
        <f>_xlfn.LET(_xlpm.ps_1,P793:R793, _xlpm.ps_2,S793:U793, _xlpm.ps_3,V793:X793, _xlpm.ps_4,Y793:AA793,
_xlpm.phase, MID(C793,SEARCH("-",C793)+1,256),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(_xlfn.XLOOKUP($C$7,site_assumptions[Details],site_assumptions[Volts])*SUMIFS(P793:AA793,_xlfn.ANCHORARRAY(D793),TRUE)/10*0.95)/1000,
IFERROR(IF(_xlpm.phase="3Phase", _xlpm.p3_calc, _xlpm.sp_calc),0))</f>
        <v>0</v>
      </c>
      <c r="AD793" s="29"/>
      <c r="AE793" s="30"/>
      <c r="AF793" s="30"/>
      <c r="AG793" s="30"/>
      <c r="AH793" s="31"/>
      <c r="AI793" s="49">
        <f t="shared" si="24"/>
        <v>0</v>
      </c>
      <c r="AJ793" s="71"/>
    </row>
    <row r="794" spans="2:36" x14ac:dyDescent="0.25">
      <c r="B794" s="29"/>
      <c r="C794" s="10" t="s">
        <v>2070</v>
      </c>
      <c r="D794" s="2" t="b" cm="1">
        <f t="array" ref="D794:O794">_xlfn._xlws.FILTER(IF(ancillary!$E$4:$P$8="",FALSE,ancillary!$E$4:$P$8),ancillary!$B$4:$B$8=$C794)</f>
        <v>1</v>
      </c>
      <c r="E794" s="2" t="b">
        <v>1</v>
      </c>
      <c r="F794" s="2" t="b">
        <v>1</v>
      </c>
      <c r="G794" s="2" t="b">
        <v>1</v>
      </c>
      <c r="H794" s="2" t="b">
        <v>1</v>
      </c>
      <c r="I794" s="2" t="b">
        <v>1</v>
      </c>
      <c r="J794" s="2" t="b">
        <v>0</v>
      </c>
      <c r="K794" s="2" t="b">
        <v>0</v>
      </c>
      <c r="L794" s="2" t="b">
        <v>0</v>
      </c>
      <c r="M794" s="2" t="b">
        <v>0</v>
      </c>
      <c r="N794" s="2" t="b">
        <v>0</v>
      </c>
      <c r="O794" s="2" t="b">
        <v>0</v>
      </c>
      <c r="P794" s="68"/>
      <c r="R794" s="69"/>
      <c r="S794" s="68"/>
      <c r="U794" s="69"/>
      <c r="V794" s="68"/>
      <c r="X794" s="69"/>
      <c r="Y794" s="68"/>
      <c r="AA794" s="69"/>
      <c r="AB794" s="33">
        <f t="shared" si="25"/>
        <v>0</v>
      </c>
      <c r="AC794" s="45">
        <f>_xlfn.LET(_xlpm.ps_1,P794:R794, _xlpm.ps_2,S794:U794, _xlpm.ps_3,V794:X794, _xlpm.ps_4,Y794:AA794,
_xlpm.phase, MID(C794,SEARCH("-",C794)+1,256),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(_xlfn.XLOOKUP($C$7,site_assumptions[Details],site_assumptions[Volts])*SUMIFS(P794:AA794,_xlfn.ANCHORARRAY(D794),TRUE)/10*0.95)/1000,
IFERROR(IF(_xlpm.phase="3Phase", _xlpm.p3_calc, _xlpm.sp_calc),0))</f>
        <v>0</v>
      </c>
      <c r="AD794" s="29"/>
      <c r="AE794" s="30"/>
      <c r="AF794" s="30"/>
      <c r="AG794" s="30"/>
      <c r="AH794" s="31"/>
      <c r="AI794" s="49">
        <f t="shared" si="24"/>
        <v>0</v>
      </c>
      <c r="AJ794" s="71"/>
    </row>
    <row r="795" spans="2:36" x14ac:dyDescent="0.25">
      <c r="B795" s="29"/>
      <c r="C795" s="10" t="s">
        <v>2070</v>
      </c>
      <c r="D795" s="2" t="b" cm="1">
        <f t="array" ref="D795:O795">_xlfn._xlws.FILTER(IF(ancillary!$E$4:$P$8="",FALSE,ancillary!$E$4:$P$8),ancillary!$B$4:$B$8=$C795)</f>
        <v>1</v>
      </c>
      <c r="E795" s="2" t="b">
        <v>1</v>
      </c>
      <c r="F795" s="2" t="b">
        <v>1</v>
      </c>
      <c r="G795" s="2" t="b">
        <v>1</v>
      </c>
      <c r="H795" s="2" t="b">
        <v>1</v>
      </c>
      <c r="I795" s="2" t="b">
        <v>1</v>
      </c>
      <c r="J795" s="2" t="b">
        <v>0</v>
      </c>
      <c r="K795" s="2" t="b">
        <v>0</v>
      </c>
      <c r="L795" s="2" t="b">
        <v>0</v>
      </c>
      <c r="M795" s="2" t="b">
        <v>0</v>
      </c>
      <c r="N795" s="2" t="b">
        <v>0</v>
      </c>
      <c r="O795" s="2" t="b">
        <v>0</v>
      </c>
      <c r="P795" s="68"/>
      <c r="R795" s="69"/>
      <c r="S795" s="68"/>
      <c r="U795" s="69"/>
      <c r="V795" s="68"/>
      <c r="X795" s="69"/>
      <c r="Y795" s="68"/>
      <c r="AA795" s="69"/>
      <c r="AB795" s="33">
        <f t="shared" si="25"/>
        <v>0</v>
      </c>
      <c r="AC795" s="45">
        <f>_xlfn.LET(_xlpm.ps_1,P795:R795, _xlpm.ps_2,S795:U795, _xlpm.ps_3,V795:X795, _xlpm.ps_4,Y795:AA795,
_xlpm.phase, MID(C795,SEARCH("-",C795)+1,256),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(_xlfn.XLOOKUP($C$7,site_assumptions[Details],site_assumptions[Volts])*SUMIFS(P795:AA795,_xlfn.ANCHORARRAY(D795),TRUE)/10*0.95)/1000,
IFERROR(IF(_xlpm.phase="3Phase", _xlpm.p3_calc, _xlpm.sp_calc),0))</f>
        <v>0</v>
      </c>
      <c r="AD795" s="29"/>
      <c r="AE795" s="30"/>
      <c r="AF795" s="30"/>
      <c r="AG795" s="30"/>
      <c r="AH795" s="31"/>
      <c r="AI795" s="49">
        <f t="shared" si="24"/>
        <v>0</v>
      </c>
      <c r="AJ795" s="71"/>
    </row>
    <row r="796" spans="2:36" x14ac:dyDescent="0.25">
      <c r="B796" s="29"/>
      <c r="C796" s="10" t="s">
        <v>2070</v>
      </c>
      <c r="D796" s="2" t="b" cm="1">
        <f t="array" ref="D796:O796">_xlfn._xlws.FILTER(IF(ancillary!$E$4:$P$8="",FALSE,ancillary!$E$4:$P$8),ancillary!$B$4:$B$8=$C796)</f>
        <v>1</v>
      </c>
      <c r="E796" s="2" t="b">
        <v>1</v>
      </c>
      <c r="F796" s="2" t="b">
        <v>1</v>
      </c>
      <c r="G796" s="2" t="b">
        <v>1</v>
      </c>
      <c r="H796" s="2" t="b">
        <v>1</v>
      </c>
      <c r="I796" s="2" t="b">
        <v>1</v>
      </c>
      <c r="J796" s="2" t="b">
        <v>0</v>
      </c>
      <c r="K796" s="2" t="b">
        <v>0</v>
      </c>
      <c r="L796" s="2" t="b">
        <v>0</v>
      </c>
      <c r="M796" s="2" t="b">
        <v>0</v>
      </c>
      <c r="N796" s="2" t="b">
        <v>0</v>
      </c>
      <c r="O796" s="2" t="b">
        <v>0</v>
      </c>
      <c r="P796" s="68"/>
      <c r="R796" s="69"/>
      <c r="S796" s="68"/>
      <c r="U796" s="69"/>
      <c r="V796" s="68"/>
      <c r="X796" s="69"/>
      <c r="Y796" s="68"/>
      <c r="AA796" s="69"/>
      <c r="AB796" s="33">
        <f t="shared" si="25"/>
        <v>0</v>
      </c>
      <c r="AC796" s="45">
        <f>_xlfn.LET(_xlpm.ps_1,P796:R796, _xlpm.ps_2,S796:U796, _xlpm.ps_3,V796:X796, _xlpm.ps_4,Y796:AA796,
_xlpm.phase, MID(C796,SEARCH("-",C796)+1,256),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(_xlfn.XLOOKUP($C$7,site_assumptions[Details],site_assumptions[Volts])*SUMIFS(P796:AA796,_xlfn.ANCHORARRAY(D796),TRUE)/10*0.95)/1000,
IFERROR(IF(_xlpm.phase="3Phase", _xlpm.p3_calc, _xlpm.sp_calc),0))</f>
        <v>0</v>
      </c>
      <c r="AD796" s="29"/>
      <c r="AE796" s="30"/>
      <c r="AF796" s="30"/>
      <c r="AG796" s="30"/>
      <c r="AH796" s="31"/>
      <c r="AI796" s="49">
        <f t="shared" si="24"/>
        <v>0</v>
      </c>
      <c r="AJ796" s="71"/>
    </row>
    <row r="797" spans="2:36" x14ac:dyDescent="0.25">
      <c r="B797" s="29"/>
      <c r="C797" s="10" t="s">
        <v>2070</v>
      </c>
      <c r="D797" s="2" t="b" cm="1">
        <f t="array" ref="D797:O797">_xlfn._xlws.FILTER(IF(ancillary!$E$4:$P$8="",FALSE,ancillary!$E$4:$P$8),ancillary!$B$4:$B$8=$C797)</f>
        <v>1</v>
      </c>
      <c r="E797" s="2" t="b">
        <v>1</v>
      </c>
      <c r="F797" s="2" t="b">
        <v>1</v>
      </c>
      <c r="G797" s="2" t="b">
        <v>1</v>
      </c>
      <c r="H797" s="2" t="b">
        <v>1</v>
      </c>
      <c r="I797" s="2" t="b">
        <v>1</v>
      </c>
      <c r="J797" s="2" t="b">
        <v>0</v>
      </c>
      <c r="K797" s="2" t="b">
        <v>0</v>
      </c>
      <c r="L797" s="2" t="b">
        <v>0</v>
      </c>
      <c r="M797" s="2" t="b">
        <v>0</v>
      </c>
      <c r="N797" s="2" t="b">
        <v>0</v>
      </c>
      <c r="O797" s="2" t="b">
        <v>0</v>
      </c>
      <c r="P797" s="68"/>
      <c r="R797" s="69"/>
      <c r="S797" s="68"/>
      <c r="U797" s="69"/>
      <c r="V797" s="68"/>
      <c r="X797" s="69"/>
      <c r="Y797" s="68"/>
      <c r="AA797" s="69"/>
      <c r="AB797" s="33">
        <f t="shared" si="25"/>
        <v>0</v>
      </c>
      <c r="AC797" s="45">
        <f>_xlfn.LET(_xlpm.ps_1,P797:R797, _xlpm.ps_2,S797:U797, _xlpm.ps_3,V797:X797, _xlpm.ps_4,Y797:AA797,
_xlpm.phase, MID(C797,SEARCH("-",C797)+1,256),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(_xlfn.XLOOKUP($C$7,site_assumptions[Details],site_assumptions[Volts])*SUMIFS(P797:AA797,_xlfn.ANCHORARRAY(D797),TRUE)/10*0.95)/1000,
IFERROR(IF(_xlpm.phase="3Phase", _xlpm.p3_calc, _xlpm.sp_calc),0))</f>
        <v>0</v>
      </c>
      <c r="AD797" s="29"/>
      <c r="AE797" s="30"/>
      <c r="AF797" s="30"/>
      <c r="AG797" s="30"/>
      <c r="AH797" s="31"/>
      <c r="AI797" s="49">
        <f t="shared" si="24"/>
        <v>0</v>
      </c>
      <c r="AJ797" s="71"/>
    </row>
    <row r="798" spans="2:36" x14ac:dyDescent="0.25">
      <c r="B798" s="29"/>
      <c r="C798" s="10" t="s">
        <v>2070</v>
      </c>
      <c r="D798" s="2" t="b" cm="1">
        <f t="array" ref="D798:O798">_xlfn._xlws.FILTER(IF(ancillary!$E$4:$P$8="",FALSE,ancillary!$E$4:$P$8),ancillary!$B$4:$B$8=$C798)</f>
        <v>1</v>
      </c>
      <c r="E798" s="2" t="b">
        <v>1</v>
      </c>
      <c r="F798" s="2" t="b">
        <v>1</v>
      </c>
      <c r="G798" s="2" t="b">
        <v>1</v>
      </c>
      <c r="H798" s="2" t="b">
        <v>1</v>
      </c>
      <c r="I798" s="2" t="b">
        <v>1</v>
      </c>
      <c r="J798" s="2" t="b">
        <v>0</v>
      </c>
      <c r="K798" s="2" t="b">
        <v>0</v>
      </c>
      <c r="L798" s="2" t="b">
        <v>0</v>
      </c>
      <c r="M798" s="2" t="b">
        <v>0</v>
      </c>
      <c r="N798" s="2" t="b">
        <v>0</v>
      </c>
      <c r="O798" s="2" t="b">
        <v>0</v>
      </c>
      <c r="P798" s="68"/>
      <c r="R798" s="69"/>
      <c r="S798" s="68"/>
      <c r="U798" s="69"/>
      <c r="V798" s="68"/>
      <c r="X798" s="69"/>
      <c r="Y798" s="68"/>
      <c r="AA798" s="69"/>
      <c r="AB798" s="33">
        <f t="shared" si="25"/>
        <v>0</v>
      </c>
      <c r="AC798" s="45">
        <f>_xlfn.LET(_xlpm.ps_1,P798:R798, _xlpm.ps_2,S798:U798, _xlpm.ps_3,V798:X798, _xlpm.ps_4,Y798:AA798,
_xlpm.phase, MID(C798,SEARCH("-",C798)+1,256),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(_xlfn.XLOOKUP($C$7,site_assumptions[Details],site_assumptions[Volts])*SUMIFS(P798:AA798,_xlfn.ANCHORARRAY(D798),TRUE)/10*0.95)/1000,
IFERROR(IF(_xlpm.phase="3Phase", _xlpm.p3_calc, _xlpm.sp_calc),0))</f>
        <v>0</v>
      </c>
      <c r="AD798" s="29"/>
      <c r="AE798" s="30"/>
      <c r="AF798" s="30"/>
      <c r="AG798" s="30"/>
      <c r="AH798" s="31"/>
      <c r="AI798" s="49">
        <f t="shared" si="24"/>
        <v>0</v>
      </c>
      <c r="AJ798" s="71"/>
    </row>
    <row r="799" spans="2:36" x14ac:dyDescent="0.25">
      <c r="B799" s="29"/>
      <c r="C799" s="10" t="s">
        <v>2070</v>
      </c>
      <c r="D799" s="2" t="b" cm="1">
        <f t="array" ref="D799:O799">_xlfn._xlws.FILTER(IF(ancillary!$E$4:$P$8="",FALSE,ancillary!$E$4:$P$8),ancillary!$B$4:$B$8=$C799)</f>
        <v>1</v>
      </c>
      <c r="E799" s="2" t="b">
        <v>1</v>
      </c>
      <c r="F799" s="2" t="b">
        <v>1</v>
      </c>
      <c r="G799" s="2" t="b">
        <v>1</v>
      </c>
      <c r="H799" s="2" t="b">
        <v>1</v>
      </c>
      <c r="I799" s="2" t="b">
        <v>1</v>
      </c>
      <c r="J799" s="2" t="b">
        <v>0</v>
      </c>
      <c r="K799" s="2" t="b">
        <v>0</v>
      </c>
      <c r="L799" s="2" t="b">
        <v>0</v>
      </c>
      <c r="M799" s="2" t="b">
        <v>0</v>
      </c>
      <c r="N799" s="2" t="b">
        <v>0</v>
      </c>
      <c r="O799" s="2" t="b">
        <v>0</v>
      </c>
      <c r="P799" s="68"/>
      <c r="R799" s="69"/>
      <c r="S799" s="68"/>
      <c r="U799" s="69"/>
      <c r="V799" s="68"/>
      <c r="X799" s="69"/>
      <c r="Y799" s="68"/>
      <c r="AA799" s="69"/>
      <c r="AB799" s="33">
        <f t="shared" si="25"/>
        <v>0</v>
      </c>
      <c r="AC799" s="45">
        <f>_xlfn.LET(_xlpm.ps_1,P799:R799, _xlpm.ps_2,S799:U799, _xlpm.ps_3,V799:X799, _xlpm.ps_4,Y799:AA799,
_xlpm.phase, MID(C799,SEARCH("-",C799)+1,256),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(_xlfn.XLOOKUP($C$7,site_assumptions[Details],site_assumptions[Volts])*SUMIFS(P799:AA799,_xlfn.ANCHORARRAY(D799),TRUE)/10*0.95)/1000,
IFERROR(IF(_xlpm.phase="3Phase", _xlpm.p3_calc, _xlpm.sp_calc),0))</f>
        <v>0</v>
      </c>
      <c r="AD799" s="29"/>
      <c r="AE799" s="30"/>
      <c r="AF799" s="30"/>
      <c r="AG799" s="30"/>
      <c r="AH799" s="31"/>
      <c r="AI799" s="49">
        <f t="shared" si="24"/>
        <v>0</v>
      </c>
      <c r="AJ799" s="71"/>
    </row>
    <row r="800" spans="2:36" x14ac:dyDescent="0.25">
      <c r="B800" s="29"/>
      <c r="C800" s="10" t="s">
        <v>2070</v>
      </c>
      <c r="D800" s="2" t="b" cm="1">
        <f t="array" ref="D800:O800">_xlfn._xlws.FILTER(IF(ancillary!$E$4:$P$8="",FALSE,ancillary!$E$4:$P$8),ancillary!$B$4:$B$8=$C800)</f>
        <v>1</v>
      </c>
      <c r="E800" s="2" t="b">
        <v>1</v>
      </c>
      <c r="F800" s="2" t="b">
        <v>1</v>
      </c>
      <c r="G800" s="2" t="b">
        <v>1</v>
      </c>
      <c r="H800" s="2" t="b">
        <v>1</v>
      </c>
      <c r="I800" s="2" t="b">
        <v>1</v>
      </c>
      <c r="J800" s="2" t="b">
        <v>0</v>
      </c>
      <c r="K800" s="2" t="b">
        <v>0</v>
      </c>
      <c r="L800" s="2" t="b">
        <v>0</v>
      </c>
      <c r="M800" s="2" t="b">
        <v>0</v>
      </c>
      <c r="N800" s="2" t="b">
        <v>0</v>
      </c>
      <c r="O800" s="2" t="b">
        <v>0</v>
      </c>
      <c r="P800" s="68"/>
      <c r="R800" s="69"/>
      <c r="S800" s="68"/>
      <c r="U800" s="69"/>
      <c r="V800" s="68"/>
      <c r="X800" s="69"/>
      <c r="Y800" s="68"/>
      <c r="AA800" s="69"/>
      <c r="AB800" s="33">
        <f t="shared" si="25"/>
        <v>0</v>
      </c>
      <c r="AC800" s="45">
        <f>_xlfn.LET(_xlpm.ps_1,P800:R800, _xlpm.ps_2,S800:U800, _xlpm.ps_3,V800:X800, _xlpm.ps_4,Y800:AA800,
_xlpm.phase, MID(C800,SEARCH("-",C800)+1,256),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(_xlfn.XLOOKUP($C$7,site_assumptions[Details],site_assumptions[Volts])*SUMIFS(P800:AA800,_xlfn.ANCHORARRAY(D800),TRUE)/10*0.95)/1000,
IFERROR(IF(_xlpm.phase="3Phase", _xlpm.p3_calc, _xlpm.sp_calc),0))</f>
        <v>0</v>
      </c>
      <c r="AD800" s="29"/>
      <c r="AE800" s="30"/>
      <c r="AF800" s="30"/>
      <c r="AG800" s="30"/>
      <c r="AH800" s="31"/>
      <c r="AI800" s="49">
        <f t="shared" si="24"/>
        <v>0</v>
      </c>
      <c r="AJ800" s="71"/>
    </row>
    <row r="801" spans="2:36" x14ac:dyDescent="0.25">
      <c r="B801" s="29"/>
      <c r="C801" s="10" t="s">
        <v>2070</v>
      </c>
      <c r="D801" s="2" t="b" cm="1">
        <f t="array" ref="D801:O801">_xlfn._xlws.FILTER(IF(ancillary!$E$4:$P$8="",FALSE,ancillary!$E$4:$P$8),ancillary!$B$4:$B$8=$C801)</f>
        <v>1</v>
      </c>
      <c r="E801" s="2" t="b">
        <v>1</v>
      </c>
      <c r="F801" s="2" t="b">
        <v>1</v>
      </c>
      <c r="G801" s="2" t="b">
        <v>1</v>
      </c>
      <c r="H801" s="2" t="b">
        <v>1</v>
      </c>
      <c r="I801" s="2" t="b">
        <v>1</v>
      </c>
      <c r="J801" s="2" t="b">
        <v>0</v>
      </c>
      <c r="K801" s="2" t="b">
        <v>0</v>
      </c>
      <c r="L801" s="2" t="b">
        <v>0</v>
      </c>
      <c r="M801" s="2" t="b">
        <v>0</v>
      </c>
      <c r="N801" s="2" t="b">
        <v>0</v>
      </c>
      <c r="O801" s="2" t="b">
        <v>0</v>
      </c>
      <c r="P801" s="68"/>
      <c r="R801" s="69"/>
      <c r="S801" s="68"/>
      <c r="U801" s="69"/>
      <c r="V801" s="68"/>
      <c r="X801" s="69"/>
      <c r="Y801" s="68"/>
      <c r="AA801" s="69"/>
      <c r="AB801" s="33">
        <f t="shared" si="25"/>
        <v>0</v>
      </c>
      <c r="AC801" s="45">
        <f>_xlfn.LET(_xlpm.ps_1,P801:R801, _xlpm.ps_2,S801:U801, _xlpm.ps_3,V801:X801, _xlpm.ps_4,Y801:AA801,
_xlpm.phase, MID(C801,SEARCH("-",C801)+1,256),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(_xlfn.XLOOKUP($C$7,site_assumptions[Details],site_assumptions[Volts])*SUMIFS(P801:AA801,_xlfn.ANCHORARRAY(D801),TRUE)/10*0.95)/1000,
IFERROR(IF(_xlpm.phase="3Phase", _xlpm.p3_calc, _xlpm.sp_calc),0))</f>
        <v>0</v>
      </c>
      <c r="AD801" s="29"/>
      <c r="AE801" s="30"/>
      <c r="AF801" s="30"/>
      <c r="AG801" s="30"/>
      <c r="AH801" s="31"/>
      <c r="AI801" s="49">
        <f t="shared" si="24"/>
        <v>0</v>
      </c>
      <c r="AJ801" s="71"/>
    </row>
    <row r="802" spans="2:36" x14ac:dyDescent="0.25">
      <c r="B802" s="29"/>
      <c r="C802" s="10" t="s">
        <v>2070</v>
      </c>
      <c r="D802" s="2" t="b" cm="1">
        <f t="array" ref="D802:O802">_xlfn._xlws.FILTER(IF(ancillary!$E$4:$P$8="",FALSE,ancillary!$E$4:$P$8),ancillary!$B$4:$B$8=$C802)</f>
        <v>1</v>
      </c>
      <c r="E802" s="2" t="b">
        <v>1</v>
      </c>
      <c r="F802" s="2" t="b">
        <v>1</v>
      </c>
      <c r="G802" s="2" t="b">
        <v>1</v>
      </c>
      <c r="H802" s="2" t="b">
        <v>1</v>
      </c>
      <c r="I802" s="2" t="b">
        <v>1</v>
      </c>
      <c r="J802" s="2" t="b">
        <v>0</v>
      </c>
      <c r="K802" s="2" t="b">
        <v>0</v>
      </c>
      <c r="L802" s="2" t="b">
        <v>0</v>
      </c>
      <c r="M802" s="2" t="b">
        <v>0</v>
      </c>
      <c r="N802" s="2" t="b">
        <v>0</v>
      </c>
      <c r="O802" s="2" t="b">
        <v>0</v>
      </c>
      <c r="P802" s="68"/>
      <c r="R802" s="69"/>
      <c r="S802" s="68"/>
      <c r="U802" s="69"/>
      <c r="V802" s="68"/>
      <c r="X802" s="69"/>
      <c r="Y802" s="68"/>
      <c r="AA802" s="69"/>
      <c r="AB802" s="33">
        <f t="shared" si="25"/>
        <v>0</v>
      </c>
      <c r="AC802" s="45">
        <f>_xlfn.LET(_xlpm.ps_1,P802:R802, _xlpm.ps_2,S802:U802, _xlpm.ps_3,V802:X802, _xlpm.ps_4,Y802:AA802,
_xlpm.phase, MID(C802,SEARCH("-",C802)+1,256),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(_xlfn.XLOOKUP($C$7,site_assumptions[Details],site_assumptions[Volts])*SUMIFS(P802:AA802,_xlfn.ANCHORARRAY(D802),TRUE)/10*0.95)/1000,
IFERROR(IF(_xlpm.phase="3Phase", _xlpm.p3_calc, _xlpm.sp_calc),0))</f>
        <v>0</v>
      </c>
      <c r="AD802" s="29"/>
      <c r="AE802" s="30"/>
      <c r="AF802" s="30"/>
      <c r="AG802" s="30"/>
      <c r="AH802" s="31"/>
      <c r="AI802" s="49">
        <f t="shared" si="24"/>
        <v>0</v>
      </c>
      <c r="AJ802" s="71"/>
    </row>
    <row r="803" spans="2:36" x14ac:dyDescent="0.25">
      <c r="B803" s="29"/>
      <c r="C803" s="10" t="s">
        <v>2070</v>
      </c>
      <c r="D803" s="2" t="b" cm="1">
        <f t="array" ref="D803:O803">_xlfn._xlws.FILTER(IF(ancillary!$E$4:$P$8="",FALSE,ancillary!$E$4:$P$8),ancillary!$B$4:$B$8=$C803)</f>
        <v>1</v>
      </c>
      <c r="E803" s="2" t="b">
        <v>1</v>
      </c>
      <c r="F803" s="2" t="b">
        <v>1</v>
      </c>
      <c r="G803" s="2" t="b">
        <v>1</v>
      </c>
      <c r="H803" s="2" t="b">
        <v>1</v>
      </c>
      <c r="I803" s="2" t="b">
        <v>1</v>
      </c>
      <c r="J803" s="2" t="b">
        <v>0</v>
      </c>
      <c r="K803" s="2" t="b">
        <v>0</v>
      </c>
      <c r="L803" s="2" t="b">
        <v>0</v>
      </c>
      <c r="M803" s="2" t="b">
        <v>0</v>
      </c>
      <c r="N803" s="2" t="b">
        <v>0</v>
      </c>
      <c r="O803" s="2" t="b">
        <v>0</v>
      </c>
      <c r="P803" s="68"/>
      <c r="R803" s="69"/>
      <c r="S803" s="68"/>
      <c r="U803" s="69"/>
      <c r="V803" s="68"/>
      <c r="X803" s="69"/>
      <c r="Y803" s="68"/>
      <c r="AA803" s="69"/>
      <c r="AB803" s="33">
        <f t="shared" si="25"/>
        <v>0</v>
      </c>
      <c r="AC803" s="45">
        <f>_xlfn.LET(_xlpm.ps_1,P803:R803, _xlpm.ps_2,S803:U803, _xlpm.ps_3,V803:X803, _xlpm.ps_4,Y803:AA803,
_xlpm.phase, MID(C803,SEARCH("-",C803)+1,256),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(_xlfn.XLOOKUP($C$7,site_assumptions[Details],site_assumptions[Volts])*SUMIFS(P803:AA803,_xlfn.ANCHORARRAY(D803),TRUE)/10*0.95)/1000,
IFERROR(IF(_xlpm.phase="3Phase", _xlpm.p3_calc, _xlpm.sp_calc),0))</f>
        <v>0</v>
      </c>
      <c r="AD803" s="29"/>
      <c r="AE803" s="30"/>
      <c r="AF803" s="30"/>
      <c r="AG803" s="30"/>
      <c r="AH803" s="31"/>
      <c r="AI803" s="49">
        <f t="shared" si="24"/>
        <v>0</v>
      </c>
      <c r="AJ803" s="71"/>
    </row>
    <row r="804" spans="2:36" x14ac:dyDescent="0.25">
      <c r="B804" s="29"/>
      <c r="C804" s="10" t="s">
        <v>2070</v>
      </c>
      <c r="D804" s="2" t="b" cm="1">
        <f t="array" ref="D804:O804">_xlfn._xlws.FILTER(IF(ancillary!$E$4:$P$8="",FALSE,ancillary!$E$4:$P$8),ancillary!$B$4:$B$8=$C804)</f>
        <v>1</v>
      </c>
      <c r="E804" s="2" t="b">
        <v>1</v>
      </c>
      <c r="F804" s="2" t="b">
        <v>1</v>
      </c>
      <c r="G804" s="2" t="b">
        <v>1</v>
      </c>
      <c r="H804" s="2" t="b">
        <v>1</v>
      </c>
      <c r="I804" s="2" t="b">
        <v>1</v>
      </c>
      <c r="J804" s="2" t="b">
        <v>0</v>
      </c>
      <c r="K804" s="2" t="b">
        <v>0</v>
      </c>
      <c r="L804" s="2" t="b">
        <v>0</v>
      </c>
      <c r="M804" s="2" t="b">
        <v>0</v>
      </c>
      <c r="N804" s="2" t="b">
        <v>0</v>
      </c>
      <c r="O804" s="2" t="b">
        <v>0</v>
      </c>
      <c r="P804" s="68"/>
      <c r="R804" s="69"/>
      <c r="S804" s="68"/>
      <c r="U804" s="69"/>
      <c r="V804" s="68"/>
      <c r="X804" s="69"/>
      <c r="Y804" s="68"/>
      <c r="AA804" s="69"/>
      <c r="AB804" s="33">
        <f t="shared" si="25"/>
        <v>0</v>
      </c>
      <c r="AC804" s="45">
        <f>_xlfn.LET(_xlpm.ps_1,P804:R804, _xlpm.ps_2,S804:U804, _xlpm.ps_3,V804:X804, _xlpm.ps_4,Y804:AA804,
_xlpm.phase, MID(C804,SEARCH("-",C804)+1,256),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(_xlfn.XLOOKUP($C$7,site_assumptions[Details],site_assumptions[Volts])*SUMIFS(P804:AA804,_xlfn.ANCHORARRAY(D804),TRUE)/10*0.95)/1000,
IFERROR(IF(_xlpm.phase="3Phase", _xlpm.p3_calc, _xlpm.sp_calc),0))</f>
        <v>0</v>
      </c>
      <c r="AD804" s="29"/>
      <c r="AE804" s="30"/>
      <c r="AF804" s="30"/>
      <c r="AG804" s="30"/>
      <c r="AH804" s="31"/>
      <c r="AI804" s="49">
        <f t="shared" si="24"/>
        <v>0</v>
      </c>
      <c r="AJ804" s="71"/>
    </row>
    <row r="805" spans="2:36" x14ac:dyDescent="0.25">
      <c r="B805" s="29"/>
      <c r="C805" s="10" t="s">
        <v>2070</v>
      </c>
      <c r="D805" s="2" t="b" cm="1">
        <f t="array" ref="D805:O805">_xlfn._xlws.FILTER(IF(ancillary!$E$4:$P$8="",FALSE,ancillary!$E$4:$P$8),ancillary!$B$4:$B$8=$C805)</f>
        <v>1</v>
      </c>
      <c r="E805" s="2" t="b">
        <v>1</v>
      </c>
      <c r="F805" s="2" t="b">
        <v>1</v>
      </c>
      <c r="G805" s="2" t="b">
        <v>1</v>
      </c>
      <c r="H805" s="2" t="b">
        <v>1</v>
      </c>
      <c r="I805" s="2" t="b">
        <v>1</v>
      </c>
      <c r="J805" s="2" t="b">
        <v>0</v>
      </c>
      <c r="K805" s="2" t="b">
        <v>0</v>
      </c>
      <c r="L805" s="2" t="b">
        <v>0</v>
      </c>
      <c r="M805" s="2" t="b">
        <v>0</v>
      </c>
      <c r="N805" s="2" t="b">
        <v>0</v>
      </c>
      <c r="O805" s="2" t="b">
        <v>0</v>
      </c>
      <c r="P805" s="68"/>
      <c r="R805" s="69"/>
      <c r="S805" s="68"/>
      <c r="U805" s="69"/>
      <c r="V805" s="68"/>
      <c r="X805" s="69"/>
      <c r="Y805" s="68"/>
      <c r="AA805" s="69"/>
      <c r="AB805" s="33">
        <f t="shared" si="25"/>
        <v>0</v>
      </c>
      <c r="AC805" s="45">
        <f>_xlfn.LET(_xlpm.ps_1,P805:R805, _xlpm.ps_2,S805:U805, _xlpm.ps_3,V805:X805, _xlpm.ps_4,Y805:AA805,
_xlpm.phase, MID(C805,SEARCH("-",C805)+1,256),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(_xlfn.XLOOKUP($C$7,site_assumptions[Details],site_assumptions[Volts])*SUMIFS(P805:AA805,_xlfn.ANCHORARRAY(D805),TRUE)/10*0.95)/1000,
IFERROR(IF(_xlpm.phase="3Phase", _xlpm.p3_calc, _xlpm.sp_calc),0))</f>
        <v>0</v>
      </c>
      <c r="AD805" s="29"/>
      <c r="AE805" s="30"/>
      <c r="AF805" s="30"/>
      <c r="AG805" s="30"/>
      <c r="AH805" s="31"/>
      <c r="AI805" s="49">
        <f t="shared" si="24"/>
        <v>0</v>
      </c>
      <c r="AJ805" s="71"/>
    </row>
    <row r="806" spans="2:36" x14ac:dyDescent="0.25">
      <c r="B806" s="29"/>
      <c r="C806" s="10" t="s">
        <v>2070</v>
      </c>
      <c r="D806" s="2" t="b" cm="1">
        <f t="array" ref="D806:O806">_xlfn._xlws.FILTER(IF(ancillary!$E$4:$P$8="",FALSE,ancillary!$E$4:$P$8),ancillary!$B$4:$B$8=$C806)</f>
        <v>1</v>
      </c>
      <c r="E806" s="2" t="b">
        <v>1</v>
      </c>
      <c r="F806" s="2" t="b">
        <v>1</v>
      </c>
      <c r="G806" s="2" t="b">
        <v>1</v>
      </c>
      <c r="H806" s="2" t="b">
        <v>1</v>
      </c>
      <c r="I806" s="2" t="b">
        <v>1</v>
      </c>
      <c r="J806" s="2" t="b">
        <v>0</v>
      </c>
      <c r="K806" s="2" t="b">
        <v>0</v>
      </c>
      <c r="L806" s="2" t="b">
        <v>0</v>
      </c>
      <c r="M806" s="2" t="b">
        <v>0</v>
      </c>
      <c r="N806" s="2" t="b">
        <v>0</v>
      </c>
      <c r="O806" s="2" t="b">
        <v>0</v>
      </c>
      <c r="P806" s="68"/>
      <c r="R806" s="69"/>
      <c r="S806" s="68"/>
      <c r="U806" s="69"/>
      <c r="V806" s="68"/>
      <c r="X806" s="69"/>
      <c r="Y806" s="68"/>
      <c r="AA806" s="69"/>
      <c r="AB806" s="33">
        <f t="shared" si="25"/>
        <v>0</v>
      </c>
      <c r="AC806" s="45">
        <f>_xlfn.LET(_xlpm.ps_1,P806:R806, _xlpm.ps_2,S806:U806, _xlpm.ps_3,V806:X806, _xlpm.ps_4,Y806:AA806,
_xlpm.phase, MID(C806,SEARCH("-",C806)+1,256),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(_xlfn.XLOOKUP($C$7,site_assumptions[Details],site_assumptions[Volts])*SUMIFS(P806:AA806,_xlfn.ANCHORARRAY(D806),TRUE)/10*0.95)/1000,
IFERROR(IF(_xlpm.phase="3Phase", _xlpm.p3_calc, _xlpm.sp_calc),0))</f>
        <v>0</v>
      </c>
      <c r="AD806" s="29"/>
      <c r="AE806" s="30"/>
      <c r="AF806" s="30"/>
      <c r="AG806" s="30"/>
      <c r="AH806" s="31"/>
      <c r="AI806" s="49">
        <f t="shared" si="24"/>
        <v>0</v>
      </c>
      <c r="AJ806" s="71"/>
    </row>
    <row r="807" spans="2:36" x14ac:dyDescent="0.25">
      <c r="B807" s="29"/>
      <c r="C807" s="10" t="s">
        <v>2070</v>
      </c>
      <c r="D807" s="2" t="b" cm="1">
        <f t="array" ref="D807:O807">_xlfn._xlws.FILTER(IF(ancillary!$E$4:$P$8="",FALSE,ancillary!$E$4:$P$8),ancillary!$B$4:$B$8=$C807)</f>
        <v>1</v>
      </c>
      <c r="E807" s="2" t="b">
        <v>1</v>
      </c>
      <c r="F807" s="2" t="b">
        <v>1</v>
      </c>
      <c r="G807" s="2" t="b">
        <v>1</v>
      </c>
      <c r="H807" s="2" t="b">
        <v>1</v>
      </c>
      <c r="I807" s="2" t="b">
        <v>1</v>
      </c>
      <c r="J807" s="2" t="b">
        <v>0</v>
      </c>
      <c r="K807" s="2" t="b">
        <v>0</v>
      </c>
      <c r="L807" s="2" t="b">
        <v>0</v>
      </c>
      <c r="M807" s="2" t="b">
        <v>0</v>
      </c>
      <c r="N807" s="2" t="b">
        <v>0</v>
      </c>
      <c r="O807" s="2" t="b">
        <v>0</v>
      </c>
      <c r="P807" s="68"/>
      <c r="R807" s="69"/>
      <c r="S807" s="68"/>
      <c r="U807" s="69"/>
      <c r="V807" s="68"/>
      <c r="X807" s="69"/>
      <c r="Y807" s="68"/>
      <c r="AA807" s="69"/>
      <c r="AB807" s="33">
        <f t="shared" si="25"/>
        <v>0</v>
      </c>
      <c r="AC807" s="45">
        <f>_xlfn.LET(_xlpm.ps_1,P807:R807, _xlpm.ps_2,S807:U807, _xlpm.ps_3,V807:X807, _xlpm.ps_4,Y807:AA807,
_xlpm.phase, MID(C807,SEARCH("-",C807)+1,256),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(_xlfn.XLOOKUP($C$7,site_assumptions[Details],site_assumptions[Volts])*SUMIFS(P807:AA807,_xlfn.ANCHORARRAY(D807),TRUE)/10*0.95)/1000,
IFERROR(IF(_xlpm.phase="3Phase", _xlpm.p3_calc, _xlpm.sp_calc),0))</f>
        <v>0</v>
      </c>
      <c r="AD807" s="29"/>
      <c r="AE807" s="30"/>
      <c r="AF807" s="30"/>
      <c r="AG807" s="30"/>
      <c r="AH807" s="31"/>
      <c r="AI807" s="49">
        <f t="shared" si="24"/>
        <v>0</v>
      </c>
      <c r="AJ807" s="71"/>
    </row>
    <row r="808" spans="2:36" x14ac:dyDescent="0.25">
      <c r="B808" s="29"/>
      <c r="C808" s="10" t="s">
        <v>2070</v>
      </c>
      <c r="D808" s="2" t="b" cm="1">
        <f t="array" ref="D808:O808">_xlfn._xlws.FILTER(IF(ancillary!$E$4:$P$8="",FALSE,ancillary!$E$4:$P$8),ancillary!$B$4:$B$8=$C808)</f>
        <v>1</v>
      </c>
      <c r="E808" s="2" t="b">
        <v>1</v>
      </c>
      <c r="F808" s="2" t="b">
        <v>1</v>
      </c>
      <c r="G808" s="2" t="b">
        <v>1</v>
      </c>
      <c r="H808" s="2" t="b">
        <v>1</v>
      </c>
      <c r="I808" s="2" t="b">
        <v>1</v>
      </c>
      <c r="J808" s="2" t="b">
        <v>0</v>
      </c>
      <c r="K808" s="2" t="b">
        <v>0</v>
      </c>
      <c r="L808" s="2" t="b">
        <v>0</v>
      </c>
      <c r="M808" s="2" t="b">
        <v>0</v>
      </c>
      <c r="N808" s="2" t="b">
        <v>0</v>
      </c>
      <c r="O808" s="2" t="b">
        <v>0</v>
      </c>
      <c r="P808" s="68"/>
      <c r="R808" s="69"/>
      <c r="S808" s="68"/>
      <c r="U808" s="69"/>
      <c r="V808" s="68"/>
      <c r="X808" s="69"/>
      <c r="Y808" s="68"/>
      <c r="AA808" s="69"/>
      <c r="AB808" s="33">
        <f t="shared" si="25"/>
        <v>0</v>
      </c>
      <c r="AC808" s="45">
        <f>_xlfn.LET(_xlpm.ps_1,P808:R808, _xlpm.ps_2,S808:U808, _xlpm.ps_3,V808:X808, _xlpm.ps_4,Y808:AA808,
_xlpm.phase, MID(C808,SEARCH("-",C808)+1,256),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(_xlfn.XLOOKUP($C$7,site_assumptions[Details],site_assumptions[Volts])*SUMIFS(P808:AA808,_xlfn.ANCHORARRAY(D808),TRUE)/10*0.95)/1000,
IFERROR(IF(_xlpm.phase="3Phase", _xlpm.p3_calc, _xlpm.sp_calc),0))</f>
        <v>0</v>
      </c>
      <c r="AD808" s="29"/>
      <c r="AE808" s="30"/>
      <c r="AF808" s="30"/>
      <c r="AG808" s="30"/>
      <c r="AH808" s="31"/>
      <c r="AI808" s="49">
        <f t="shared" si="24"/>
        <v>0</v>
      </c>
      <c r="AJ808" s="71"/>
    </row>
    <row r="809" spans="2:36" x14ac:dyDescent="0.25">
      <c r="B809" s="29"/>
      <c r="C809" s="10" t="s">
        <v>2070</v>
      </c>
      <c r="D809" s="2" t="b" cm="1">
        <f t="array" ref="D809:O809">_xlfn._xlws.FILTER(IF(ancillary!$E$4:$P$8="",FALSE,ancillary!$E$4:$P$8),ancillary!$B$4:$B$8=$C809)</f>
        <v>1</v>
      </c>
      <c r="E809" s="2" t="b">
        <v>1</v>
      </c>
      <c r="F809" s="2" t="b">
        <v>1</v>
      </c>
      <c r="G809" s="2" t="b">
        <v>1</v>
      </c>
      <c r="H809" s="2" t="b">
        <v>1</v>
      </c>
      <c r="I809" s="2" t="b">
        <v>1</v>
      </c>
      <c r="J809" s="2" t="b">
        <v>0</v>
      </c>
      <c r="K809" s="2" t="b">
        <v>0</v>
      </c>
      <c r="L809" s="2" t="b">
        <v>0</v>
      </c>
      <c r="M809" s="2" t="b">
        <v>0</v>
      </c>
      <c r="N809" s="2" t="b">
        <v>0</v>
      </c>
      <c r="O809" s="2" t="b">
        <v>0</v>
      </c>
      <c r="P809" s="68"/>
      <c r="R809" s="69"/>
      <c r="S809" s="68"/>
      <c r="U809" s="69"/>
      <c r="V809" s="68"/>
      <c r="X809" s="69"/>
      <c r="Y809" s="68"/>
      <c r="AA809" s="69"/>
      <c r="AB809" s="33">
        <f t="shared" si="25"/>
        <v>0</v>
      </c>
      <c r="AC809" s="45">
        <f>_xlfn.LET(_xlpm.ps_1,P809:R809, _xlpm.ps_2,S809:U809, _xlpm.ps_3,V809:X809, _xlpm.ps_4,Y809:AA809,
_xlpm.phase, MID(C809,SEARCH("-",C809)+1,256),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(_xlfn.XLOOKUP($C$7,site_assumptions[Details],site_assumptions[Volts])*SUMIFS(P809:AA809,_xlfn.ANCHORARRAY(D809),TRUE)/10*0.95)/1000,
IFERROR(IF(_xlpm.phase="3Phase", _xlpm.p3_calc, _xlpm.sp_calc),0))</f>
        <v>0</v>
      </c>
      <c r="AD809" s="29"/>
      <c r="AE809" s="30"/>
      <c r="AF809" s="30"/>
      <c r="AG809" s="30"/>
      <c r="AH809" s="31"/>
      <c r="AI809" s="49">
        <f t="shared" si="24"/>
        <v>0</v>
      </c>
      <c r="AJ809" s="71"/>
    </row>
    <row r="810" spans="2:36" x14ac:dyDescent="0.25">
      <c r="B810" s="29"/>
      <c r="C810" s="10" t="s">
        <v>2070</v>
      </c>
      <c r="D810" s="2" t="b" cm="1">
        <f t="array" ref="D810:O810">_xlfn._xlws.FILTER(IF(ancillary!$E$4:$P$8="",FALSE,ancillary!$E$4:$P$8),ancillary!$B$4:$B$8=$C810)</f>
        <v>1</v>
      </c>
      <c r="E810" s="2" t="b">
        <v>1</v>
      </c>
      <c r="F810" s="2" t="b">
        <v>1</v>
      </c>
      <c r="G810" s="2" t="b">
        <v>1</v>
      </c>
      <c r="H810" s="2" t="b">
        <v>1</v>
      </c>
      <c r="I810" s="2" t="b">
        <v>1</v>
      </c>
      <c r="J810" s="2" t="b">
        <v>0</v>
      </c>
      <c r="K810" s="2" t="b">
        <v>0</v>
      </c>
      <c r="L810" s="2" t="b">
        <v>0</v>
      </c>
      <c r="M810" s="2" t="b">
        <v>0</v>
      </c>
      <c r="N810" s="2" t="b">
        <v>0</v>
      </c>
      <c r="O810" s="2" t="b">
        <v>0</v>
      </c>
      <c r="P810" s="68"/>
      <c r="R810" s="69"/>
      <c r="S810" s="68"/>
      <c r="U810" s="69"/>
      <c r="V810" s="68"/>
      <c r="X810" s="69"/>
      <c r="Y810" s="68"/>
      <c r="AA810" s="69"/>
      <c r="AB810" s="33">
        <f t="shared" si="25"/>
        <v>0</v>
      </c>
      <c r="AC810" s="45">
        <f>_xlfn.LET(_xlpm.ps_1,P810:R810, _xlpm.ps_2,S810:U810, _xlpm.ps_3,V810:X810, _xlpm.ps_4,Y810:AA810,
_xlpm.phase, MID(C810,SEARCH("-",C810)+1,256),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(_xlfn.XLOOKUP($C$7,site_assumptions[Details],site_assumptions[Volts])*SUMIFS(P810:AA810,_xlfn.ANCHORARRAY(D810),TRUE)/10*0.95)/1000,
IFERROR(IF(_xlpm.phase="3Phase", _xlpm.p3_calc, _xlpm.sp_calc),0))</f>
        <v>0</v>
      </c>
      <c r="AD810" s="29"/>
      <c r="AE810" s="30"/>
      <c r="AF810" s="30"/>
      <c r="AG810" s="30"/>
      <c r="AH810" s="31"/>
      <c r="AI810" s="49">
        <f t="shared" si="24"/>
        <v>0</v>
      </c>
      <c r="AJ810" s="71"/>
    </row>
    <row r="811" spans="2:36" x14ac:dyDescent="0.25">
      <c r="B811" s="29"/>
      <c r="C811" s="10" t="s">
        <v>2070</v>
      </c>
      <c r="D811" s="2" t="b" cm="1">
        <f t="array" ref="D811:O811">_xlfn._xlws.FILTER(IF(ancillary!$E$4:$P$8="",FALSE,ancillary!$E$4:$P$8),ancillary!$B$4:$B$8=$C811)</f>
        <v>1</v>
      </c>
      <c r="E811" s="2" t="b">
        <v>1</v>
      </c>
      <c r="F811" s="2" t="b">
        <v>1</v>
      </c>
      <c r="G811" s="2" t="b">
        <v>1</v>
      </c>
      <c r="H811" s="2" t="b">
        <v>1</v>
      </c>
      <c r="I811" s="2" t="b">
        <v>1</v>
      </c>
      <c r="J811" s="2" t="b">
        <v>0</v>
      </c>
      <c r="K811" s="2" t="b">
        <v>0</v>
      </c>
      <c r="L811" s="2" t="b">
        <v>0</v>
      </c>
      <c r="M811" s="2" t="b">
        <v>0</v>
      </c>
      <c r="N811" s="2" t="b">
        <v>0</v>
      </c>
      <c r="O811" s="2" t="b">
        <v>0</v>
      </c>
      <c r="P811" s="68"/>
      <c r="R811" s="69"/>
      <c r="S811" s="68"/>
      <c r="U811" s="69"/>
      <c r="V811" s="68"/>
      <c r="X811" s="69"/>
      <c r="Y811" s="68"/>
      <c r="AA811" s="69"/>
      <c r="AB811" s="33">
        <f t="shared" si="25"/>
        <v>0</v>
      </c>
      <c r="AC811" s="45">
        <f>_xlfn.LET(_xlpm.ps_1,P811:R811, _xlpm.ps_2,S811:U811, _xlpm.ps_3,V811:X811, _xlpm.ps_4,Y811:AA811,
_xlpm.phase, MID(C811,SEARCH("-",C811)+1,256),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(_xlfn.XLOOKUP($C$7,site_assumptions[Details],site_assumptions[Volts])*SUMIFS(P811:AA811,_xlfn.ANCHORARRAY(D811),TRUE)/10*0.95)/1000,
IFERROR(IF(_xlpm.phase="3Phase", _xlpm.p3_calc, _xlpm.sp_calc),0))</f>
        <v>0</v>
      </c>
      <c r="AD811" s="29"/>
      <c r="AE811" s="30"/>
      <c r="AF811" s="30"/>
      <c r="AG811" s="30"/>
      <c r="AH811" s="31"/>
      <c r="AI811" s="49">
        <f t="shared" si="24"/>
        <v>0</v>
      </c>
      <c r="AJ811" s="71"/>
    </row>
    <row r="812" spans="2:36" x14ac:dyDescent="0.25">
      <c r="B812" s="29"/>
      <c r="C812" s="10" t="s">
        <v>2070</v>
      </c>
      <c r="D812" s="2" t="b" cm="1">
        <f t="array" ref="D812:O812">_xlfn._xlws.FILTER(IF(ancillary!$E$4:$P$8="",FALSE,ancillary!$E$4:$P$8),ancillary!$B$4:$B$8=$C812)</f>
        <v>1</v>
      </c>
      <c r="E812" s="2" t="b">
        <v>1</v>
      </c>
      <c r="F812" s="2" t="b">
        <v>1</v>
      </c>
      <c r="G812" s="2" t="b">
        <v>1</v>
      </c>
      <c r="H812" s="2" t="b">
        <v>1</v>
      </c>
      <c r="I812" s="2" t="b">
        <v>1</v>
      </c>
      <c r="J812" s="2" t="b">
        <v>0</v>
      </c>
      <c r="K812" s="2" t="b">
        <v>0</v>
      </c>
      <c r="L812" s="2" t="b">
        <v>0</v>
      </c>
      <c r="M812" s="2" t="b">
        <v>0</v>
      </c>
      <c r="N812" s="2" t="b">
        <v>0</v>
      </c>
      <c r="O812" s="2" t="b">
        <v>0</v>
      </c>
      <c r="P812" s="68"/>
      <c r="R812" s="69"/>
      <c r="S812" s="68"/>
      <c r="U812" s="69"/>
      <c r="V812" s="68"/>
      <c r="X812" s="69"/>
      <c r="Y812" s="68"/>
      <c r="AA812" s="69"/>
      <c r="AB812" s="33">
        <f t="shared" si="25"/>
        <v>0</v>
      </c>
      <c r="AC812" s="45">
        <f>_xlfn.LET(_xlpm.ps_1,P812:R812, _xlpm.ps_2,S812:U812, _xlpm.ps_3,V812:X812, _xlpm.ps_4,Y812:AA812,
_xlpm.phase, MID(C812,SEARCH("-",C812)+1,256),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(_xlfn.XLOOKUP($C$7,site_assumptions[Details],site_assumptions[Volts])*SUMIFS(P812:AA812,_xlfn.ANCHORARRAY(D812),TRUE)/10*0.95)/1000,
IFERROR(IF(_xlpm.phase="3Phase", _xlpm.p3_calc, _xlpm.sp_calc),0))</f>
        <v>0</v>
      </c>
      <c r="AD812" s="29"/>
      <c r="AE812" s="30"/>
      <c r="AF812" s="30"/>
      <c r="AG812" s="30"/>
      <c r="AH812" s="31"/>
      <c r="AI812" s="49">
        <f t="shared" si="24"/>
        <v>0</v>
      </c>
      <c r="AJ812" s="71"/>
    </row>
    <row r="813" spans="2:36" x14ac:dyDescent="0.25">
      <c r="B813" s="29"/>
      <c r="C813" s="10" t="s">
        <v>2070</v>
      </c>
      <c r="D813" s="2" t="b" cm="1">
        <f t="array" ref="D813:O813">_xlfn._xlws.FILTER(IF(ancillary!$E$4:$P$8="",FALSE,ancillary!$E$4:$P$8),ancillary!$B$4:$B$8=$C813)</f>
        <v>1</v>
      </c>
      <c r="E813" s="2" t="b">
        <v>1</v>
      </c>
      <c r="F813" s="2" t="b">
        <v>1</v>
      </c>
      <c r="G813" s="2" t="b">
        <v>1</v>
      </c>
      <c r="H813" s="2" t="b">
        <v>1</v>
      </c>
      <c r="I813" s="2" t="b">
        <v>1</v>
      </c>
      <c r="J813" s="2" t="b">
        <v>0</v>
      </c>
      <c r="K813" s="2" t="b">
        <v>0</v>
      </c>
      <c r="L813" s="2" t="b">
        <v>0</v>
      </c>
      <c r="M813" s="2" t="b">
        <v>0</v>
      </c>
      <c r="N813" s="2" t="b">
        <v>0</v>
      </c>
      <c r="O813" s="2" t="b">
        <v>0</v>
      </c>
      <c r="P813" s="68"/>
      <c r="R813" s="69"/>
      <c r="S813" s="68"/>
      <c r="U813" s="69"/>
      <c r="V813" s="68"/>
      <c r="X813" s="69"/>
      <c r="Y813" s="68"/>
      <c r="AA813" s="69"/>
      <c r="AB813" s="33">
        <f t="shared" si="25"/>
        <v>0</v>
      </c>
      <c r="AC813" s="45">
        <f>_xlfn.LET(_xlpm.ps_1,P813:R813, _xlpm.ps_2,S813:U813, _xlpm.ps_3,V813:X813, _xlpm.ps_4,Y813:AA813,
_xlpm.phase, MID(C813,SEARCH("-",C813)+1,256),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(_xlfn.XLOOKUP($C$7,site_assumptions[Details],site_assumptions[Volts])*SUMIFS(P813:AA813,_xlfn.ANCHORARRAY(D813),TRUE)/10*0.95)/1000,
IFERROR(IF(_xlpm.phase="3Phase", _xlpm.p3_calc, _xlpm.sp_calc),0))</f>
        <v>0</v>
      </c>
      <c r="AD813" s="29"/>
      <c r="AE813" s="30"/>
      <c r="AF813" s="30"/>
      <c r="AG813" s="30"/>
      <c r="AH813" s="31"/>
      <c r="AI813" s="49">
        <f t="shared" si="24"/>
        <v>0</v>
      </c>
      <c r="AJ813" s="71"/>
    </row>
    <row r="814" spans="2:36" x14ac:dyDescent="0.25">
      <c r="B814" s="29"/>
      <c r="C814" s="10" t="s">
        <v>2070</v>
      </c>
      <c r="D814" s="2" t="b" cm="1">
        <f t="array" ref="D814:O814">_xlfn._xlws.FILTER(IF(ancillary!$E$4:$P$8="",FALSE,ancillary!$E$4:$P$8),ancillary!$B$4:$B$8=$C814)</f>
        <v>1</v>
      </c>
      <c r="E814" s="2" t="b">
        <v>1</v>
      </c>
      <c r="F814" s="2" t="b">
        <v>1</v>
      </c>
      <c r="G814" s="2" t="b">
        <v>1</v>
      </c>
      <c r="H814" s="2" t="b">
        <v>1</v>
      </c>
      <c r="I814" s="2" t="b">
        <v>1</v>
      </c>
      <c r="J814" s="2" t="b">
        <v>0</v>
      </c>
      <c r="K814" s="2" t="b">
        <v>0</v>
      </c>
      <c r="L814" s="2" t="b">
        <v>0</v>
      </c>
      <c r="M814" s="2" t="b">
        <v>0</v>
      </c>
      <c r="N814" s="2" t="b">
        <v>0</v>
      </c>
      <c r="O814" s="2" t="b">
        <v>0</v>
      </c>
      <c r="P814" s="68"/>
      <c r="R814" s="69"/>
      <c r="S814" s="68"/>
      <c r="U814" s="69"/>
      <c r="V814" s="68"/>
      <c r="X814" s="69"/>
      <c r="Y814" s="68"/>
      <c r="AA814" s="69"/>
      <c r="AB814" s="33">
        <f t="shared" si="25"/>
        <v>0</v>
      </c>
      <c r="AC814" s="45">
        <f>_xlfn.LET(_xlpm.ps_1,P814:R814, _xlpm.ps_2,S814:U814, _xlpm.ps_3,V814:X814, _xlpm.ps_4,Y814:AA814,
_xlpm.phase, MID(C814,SEARCH("-",C814)+1,256),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(_xlfn.XLOOKUP($C$7,site_assumptions[Details],site_assumptions[Volts])*SUMIFS(P814:AA814,_xlfn.ANCHORARRAY(D814),TRUE)/10*0.95)/1000,
IFERROR(IF(_xlpm.phase="3Phase", _xlpm.p3_calc, _xlpm.sp_calc),0))</f>
        <v>0</v>
      </c>
      <c r="AD814" s="29"/>
      <c r="AE814" s="30"/>
      <c r="AF814" s="30"/>
      <c r="AG814" s="30"/>
      <c r="AH814" s="31"/>
      <c r="AI814" s="49">
        <f t="shared" si="24"/>
        <v>0</v>
      </c>
      <c r="AJ814" s="71"/>
    </row>
    <row r="815" spans="2:36" x14ac:dyDescent="0.25">
      <c r="B815" s="29"/>
      <c r="C815" s="10" t="s">
        <v>2070</v>
      </c>
      <c r="D815" s="2" t="b" cm="1">
        <f t="array" ref="D815:O815">_xlfn._xlws.FILTER(IF(ancillary!$E$4:$P$8="",FALSE,ancillary!$E$4:$P$8),ancillary!$B$4:$B$8=$C815)</f>
        <v>1</v>
      </c>
      <c r="E815" s="2" t="b">
        <v>1</v>
      </c>
      <c r="F815" s="2" t="b">
        <v>1</v>
      </c>
      <c r="G815" s="2" t="b">
        <v>1</v>
      </c>
      <c r="H815" s="2" t="b">
        <v>1</v>
      </c>
      <c r="I815" s="2" t="b">
        <v>1</v>
      </c>
      <c r="J815" s="2" t="b">
        <v>0</v>
      </c>
      <c r="K815" s="2" t="b">
        <v>0</v>
      </c>
      <c r="L815" s="2" t="b">
        <v>0</v>
      </c>
      <c r="M815" s="2" t="b">
        <v>0</v>
      </c>
      <c r="N815" s="2" t="b">
        <v>0</v>
      </c>
      <c r="O815" s="2" t="b">
        <v>0</v>
      </c>
      <c r="P815" s="68"/>
      <c r="R815" s="69"/>
      <c r="S815" s="68"/>
      <c r="U815" s="69"/>
      <c r="V815" s="68"/>
      <c r="X815" s="69"/>
      <c r="Y815" s="68"/>
      <c r="AA815" s="69"/>
      <c r="AB815" s="33">
        <f t="shared" si="25"/>
        <v>0</v>
      </c>
      <c r="AC815" s="45">
        <f>_xlfn.LET(_xlpm.ps_1,P815:R815, _xlpm.ps_2,S815:U815, _xlpm.ps_3,V815:X815, _xlpm.ps_4,Y815:AA815,
_xlpm.phase, MID(C815,SEARCH("-",C815)+1,256),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(_xlfn.XLOOKUP($C$7,site_assumptions[Details],site_assumptions[Volts])*SUMIFS(P815:AA815,_xlfn.ANCHORARRAY(D815),TRUE)/10*0.95)/1000,
IFERROR(IF(_xlpm.phase="3Phase", _xlpm.p3_calc, _xlpm.sp_calc),0))</f>
        <v>0</v>
      </c>
      <c r="AD815" s="29"/>
      <c r="AE815" s="30"/>
      <c r="AF815" s="30"/>
      <c r="AG815" s="30"/>
      <c r="AH815" s="31"/>
      <c r="AI815" s="49">
        <f t="shared" si="24"/>
        <v>0</v>
      </c>
      <c r="AJ815" s="71"/>
    </row>
    <row r="816" spans="2:36" x14ac:dyDescent="0.25">
      <c r="B816" s="29"/>
      <c r="C816" s="10" t="s">
        <v>2070</v>
      </c>
      <c r="D816" s="2" t="b" cm="1">
        <f t="array" ref="D816:O816">_xlfn._xlws.FILTER(IF(ancillary!$E$4:$P$8="",FALSE,ancillary!$E$4:$P$8),ancillary!$B$4:$B$8=$C816)</f>
        <v>1</v>
      </c>
      <c r="E816" s="2" t="b">
        <v>1</v>
      </c>
      <c r="F816" s="2" t="b">
        <v>1</v>
      </c>
      <c r="G816" s="2" t="b">
        <v>1</v>
      </c>
      <c r="H816" s="2" t="b">
        <v>1</v>
      </c>
      <c r="I816" s="2" t="b">
        <v>1</v>
      </c>
      <c r="J816" s="2" t="b">
        <v>0</v>
      </c>
      <c r="K816" s="2" t="b">
        <v>0</v>
      </c>
      <c r="L816" s="2" t="b">
        <v>0</v>
      </c>
      <c r="M816" s="2" t="b">
        <v>0</v>
      </c>
      <c r="N816" s="2" t="b">
        <v>0</v>
      </c>
      <c r="O816" s="2" t="b">
        <v>0</v>
      </c>
      <c r="P816" s="68"/>
      <c r="R816" s="69"/>
      <c r="S816" s="68"/>
      <c r="U816" s="69"/>
      <c r="V816" s="68"/>
      <c r="X816" s="69"/>
      <c r="Y816" s="68"/>
      <c r="AA816" s="69"/>
      <c r="AB816" s="33">
        <f t="shared" si="25"/>
        <v>0</v>
      </c>
      <c r="AC816" s="45">
        <f>_xlfn.LET(_xlpm.ps_1,P816:R816, _xlpm.ps_2,S816:U816, _xlpm.ps_3,V816:X816, _xlpm.ps_4,Y816:AA816,
_xlpm.phase, MID(C816,SEARCH("-",C816)+1,256),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(_xlfn.XLOOKUP($C$7,site_assumptions[Details],site_assumptions[Volts])*SUMIFS(P816:AA816,_xlfn.ANCHORARRAY(D816),TRUE)/10*0.95)/1000,
IFERROR(IF(_xlpm.phase="3Phase", _xlpm.p3_calc, _xlpm.sp_calc),0))</f>
        <v>0</v>
      </c>
      <c r="AD816" s="29"/>
      <c r="AE816" s="30"/>
      <c r="AF816" s="30"/>
      <c r="AG816" s="30"/>
      <c r="AH816" s="31"/>
      <c r="AI816" s="49">
        <f t="shared" si="24"/>
        <v>0</v>
      </c>
      <c r="AJ816" s="71"/>
    </row>
    <row r="817" spans="2:36" x14ac:dyDescent="0.25">
      <c r="B817" s="29"/>
      <c r="C817" s="10" t="s">
        <v>2070</v>
      </c>
      <c r="D817" s="2" t="b" cm="1">
        <f t="array" ref="D817:O817">_xlfn._xlws.FILTER(IF(ancillary!$E$4:$P$8="",FALSE,ancillary!$E$4:$P$8),ancillary!$B$4:$B$8=$C817)</f>
        <v>1</v>
      </c>
      <c r="E817" s="2" t="b">
        <v>1</v>
      </c>
      <c r="F817" s="2" t="b">
        <v>1</v>
      </c>
      <c r="G817" s="2" t="b">
        <v>1</v>
      </c>
      <c r="H817" s="2" t="b">
        <v>1</v>
      </c>
      <c r="I817" s="2" t="b">
        <v>1</v>
      </c>
      <c r="J817" s="2" t="b">
        <v>0</v>
      </c>
      <c r="K817" s="2" t="b">
        <v>0</v>
      </c>
      <c r="L817" s="2" t="b">
        <v>0</v>
      </c>
      <c r="M817" s="2" t="b">
        <v>0</v>
      </c>
      <c r="N817" s="2" t="b">
        <v>0</v>
      </c>
      <c r="O817" s="2" t="b">
        <v>0</v>
      </c>
      <c r="P817" s="68"/>
      <c r="R817" s="69"/>
      <c r="S817" s="68"/>
      <c r="U817" s="69"/>
      <c r="V817" s="68"/>
      <c r="X817" s="69"/>
      <c r="Y817" s="68"/>
      <c r="AA817" s="69"/>
      <c r="AB817" s="33">
        <f t="shared" si="25"/>
        <v>0</v>
      </c>
      <c r="AC817" s="45">
        <f>_xlfn.LET(_xlpm.ps_1,P817:R817, _xlpm.ps_2,S817:U817, _xlpm.ps_3,V817:X817, _xlpm.ps_4,Y817:AA817,
_xlpm.phase, MID(C817,SEARCH("-",C817)+1,256),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(_xlfn.XLOOKUP($C$7,site_assumptions[Details],site_assumptions[Volts])*SUMIFS(P817:AA817,_xlfn.ANCHORARRAY(D817),TRUE)/10*0.95)/1000,
IFERROR(IF(_xlpm.phase="3Phase", _xlpm.p3_calc, _xlpm.sp_calc),0))</f>
        <v>0</v>
      </c>
      <c r="AD817" s="29"/>
      <c r="AE817" s="30"/>
      <c r="AF817" s="30"/>
      <c r="AG817" s="30"/>
      <c r="AH817" s="31"/>
      <c r="AI817" s="49">
        <f t="shared" si="24"/>
        <v>0</v>
      </c>
      <c r="AJ817" s="71"/>
    </row>
    <row r="818" spans="2:36" x14ac:dyDescent="0.25">
      <c r="B818" s="29"/>
      <c r="C818" s="10" t="s">
        <v>2070</v>
      </c>
      <c r="D818" s="2" t="b" cm="1">
        <f t="array" ref="D818:O818">_xlfn._xlws.FILTER(IF(ancillary!$E$4:$P$8="",FALSE,ancillary!$E$4:$P$8),ancillary!$B$4:$B$8=$C818)</f>
        <v>1</v>
      </c>
      <c r="E818" s="2" t="b">
        <v>1</v>
      </c>
      <c r="F818" s="2" t="b">
        <v>1</v>
      </c>
      <c r="G818" s="2" t="b">
        <v>1</v>
      </c>
      <c r="H818" s="2" t="b">
        <v>1</v>
      </c>
      <c r="I818" s="2" t="b">
        <v>1</v>
      </c>
      <c r="J818" s="2" t="b">
        <v>0</v>
      </c>
      <c r="K818" s="2" t="b">
        <v>0</v>
      </c>
      <c r="L818" s="2" t="b">
        <v>0</v>
      </c>
      <c r="M818" s="2" t="b">
        <v>0</v>
      </c>
      <c r="N818" s="2" t="b">
        <v>0</v>
      </c>
      <c r="O818" s="2" t="b">
        <v>0</v>
      </c>
      <c r="P818" s="68"/>
      <c r="R818" s="69"/>
      <c r="S818" s="68"/>
      <c r="U818" s="69"/>
      <c r="V818" s="68"/>
      <c r="X818" s="69"/>
      <c r="Y818" s="68"/>
      <c r="AA818" s="69"/>
      <c r="AB818" s="33">
        <f t="shared" si="25"/>
        <v>0</v>
      </c>
      <c r="AC818" s="45">
        <f>_xlfn.LET(_xlpm.ps_1,P818:R818, _xlpm.ps_2,S818:U818, _xlpm.ps_3,V818:X818, _xlpm.ps_4,Y818:AA818,
_xlpm.phase, MID(C818,SEARCH("-",C818)+1,256),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(_xlfn.XLOOKUP($C$7,site_assumptions[Details],site_assumptions[Volts])*SUMIFS(P818:AA818,_xlfn.ANCHORARRAY(D818),TRUE)/10*0.95)/1000,
IFERROR(IF(_xlpm.phase="3Phase", _xlpm.p3_calc, _xlpm.sp_calc),0))</f>
        <v>0</v>
      </c>
      <c r="AD818" s="29"/>
      <c r="AE818" s="30"/>
      <c r="AF818" s="30"/>
      <c r="AG818" s="30"/>
      <c r="AH818" s="31"/>
      <c r="AI818" s="49">
        <f t="shared" si="24"/>
        <v>0</v>
      </c>
      <c r="AJ818" s="71"/>
    </row>
    <row r="819" spans="2:36" x14ac:dyDescent="0.25">
      <c r="B819" s="29"/>
      <c r="C819" s="10" t="s">
        <v>2070</v>
      </c>
      <c r="D819" s="2" t="b" cm="1">
        <f t="array" ref="D819:O819">_xlfn._xlws.FILTER(IF(ancillary!$E$4:$P$8="",FALSE,ancillary!$E$4:$P$8),ancillary!$B$4:$B$8=$C819)</f>
        <v>1</v>
      </c>
      <c r="E819" s="2" t="b">
        <v>1</v>
      </c>
      <c r="F819" s="2" t="b">
        <v>1</v>
      </c>
      <c r="G819" s="2" t="b">
        <v>1</v>
      </c>
      <c r="H819" s="2" t="b">
        <v>1</v>
      </c>
      <c r="I819" s="2" t="b">
        <v>1</v>
      </c>
      <c r="J819" s="2" t="b">
        <v>0</v>
      </c>
      <c r="K819" s="2" t="b">
        <v>0</v>
      </c>
      <c r="L819" s="2" t="b">
        <v>0</v>
      </c>
      <c r="M819" s="2" t="b">
        <v>0</v>
      </c>
      <c r="N819" s="2" t="b">
        <v>0</v>
      </c>
      <c r="O819" s="2" t="b">
        <v>0</v>
      </c>
      <c r="P819" s="68"/>
      <c r="R819" s="69"/>
      <c r="S819" s="68"/>
      <c r="U819" s="69"/>
      <c r="V819" s="68"/>
      <c r="X819" s="69"/>
      <c r="Y819" s="68"/>
      <c r="AA819" s="69"/>
      <c r="AB819" s="33">
        <f t="shared" si="25"/>
        <v>0</v>
      </c>
      <c r="AC819" s="45">
        <f>_xlfn.LET(_xlpm.ps_1,P819:R819, _xlpm.ps_2,S819:U819, _xlpm.ps_3,V819:X819, _xlpm.ps_4,Y819:AA819,
_xlpm.phase, MID(C819,SEARCH("-",C819)+1,256),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(_xlfn.XLOOKUP($C$7,site_assumptions[Details],site_assumptions[Volts])*SUMIFS(P819:AA819,_xlfn.ANCHORARRAY(D819),TRUE)/10*0.95)/1000,
IFERROR(IF(_xlpm.phase="3Phase", _xlpm.p3_calc, _xlpm.sp_calc),0))</f>
        <v>0</v>
      </c>
      <c r="AD819" s="29"/>
      <c r="AE819" s="30"/>
      <c r="AF819" s="30"/>
      <c r="AG819" s="30"/>
      <c r="AH819" s="31"/>
      <c r="AI819" s="49">
        <f t="shared" si="24"/>
        <v>0</v>
      </c>
      <c r="AJ819" s="71"/>
    </row>
    <row r="820" spans="2:36" x14ac:dyDescent="0.25">
      <c r="B820" s="29"/>
      <c r="C820" s="10" t="s">
        <v>2070</v>
      </c>
      <c r="D820" s="2" t="b" cm="1">
        <f t="array" ref="D820:O820">_xlfn._xlws.FILTER(IF(ancillary!$E$4:$P$8="",FALSE,ancillary!$E$4:$P$8),ancillary!$B$4:$B$8=$C820)</f>
        <v>1</v>
      </c>
      <c r="E820" s="2" t="b">
        <v>1</v>
      </c>
      <c r="F820" s="2" t="b">
        <v>1</v>
      </c>
      <c r="G820" s="2" t="b">
        <v>1</v>
      </c>
      <c r="H820" s="2" t="b">
        <v>1</v>
      </c>
      <c r="I820" s="2" t="b">
        <v>1</v>
      </c>
      <c r="J820" s="2" t="b">
        <v>0</v>
      </c>
      <c r="K820" s="2" t="b">
        <v>0</v>
      </c>
      <c r="L820" s="2" t="b">
        <v>0</v>
      </c>
      <c r="M820" s="2" t="b">
        <v>0</v>
      </c>
      <c r="N820" s="2" t="b">
        <v>0</v>
      </c>
      <c r="O820" s="2" t="b">
        <v>0</v>
      </c>
      <c r="P820" s="68"/>
      <c r="R820" s="69"/>
      <c r="S820" s="68"/>
      <c r="U820" s="69"/>
      <c r="V820" s="68"/>
      <c r="X820" s="69"/>
      <c r="Y820" s="68"/>
      <c r="AA820" s="69"/>
      <c r="AB820" s="33">
        <f t="shared" si="25"/>
        <v>0</v>
      </c>
      <c r="AC820" s="45">
        <f>_xlfn.LET(_xlpm.ps_1,P820:R820, _xlpm.ps_2,S820:U820, _xlpm.ps_3,V820:X820, _xlpm.ps_4,Y820:AA820,
_xlpm.phase, MID(C820,SEARCH("-",C820)+1,256),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(_xlfn.XLOOKUP($C$7,site_assumptions[Details],site_assumptions[Volts])*SUMIFS(P820:AA820,_xlfn.ANCHORARRAY(D820),TRUE)/10*0.95)/1000,
IFERROR(IF(_xlpm.phase="3Phase", _xlpm.p3_calc, _xlpm.sp_calc),0))</f>
        <v>0</v>
      </c>
      <c r="AD820" s="29"/>
      <c r="AE820" s="30"/>
      <c r="AF820" s="30"/>
      <c r="AG820" s="30"/>
      <c r="AH820" s="31"/>
      <c r="AI820" s="49">
        <f t="shared" ref="AI820:AI883" si="26">IFERROR(AC820/AG820,0)</f>
        <v>0</v>
      </c>
      <c r="AJ820" s="71"/>
    </row>
    <row r="821" spans="2:36" x14ac:dyDescent="0.25">
      <c r="B821" s="29"/>
      <c r="C821" s="10" t="s">
        <v>2070</v>
      </c>
      <c r="D821" s="2" t="b" cm="1">
        <f t="array" ref="D821:O821">_xlfn._xlws.FILTER(IF(ancillary!$E$4:$P$8="",FALSE,ancillary!$E$4:$P$8),ancillary!$B$4:$B$8=$C821)</f>
        <v>1</v>
      </c>
      <c r="E821" s="2" t="b">
        <v>1</v>
      </c>
      <c r="F821" s="2" t="b">
        <v>1</v>
      </c>
      <c r="G821" s="2" t="b">
        <v>1</v>
      </c>
      <c r="H821" s="2" t="b">
        <v>1</v>
      </c>
      <c r="I821" s="2" t="b">
        <v>1</v>
      </c>
      <c r="J821" s="2" t="b">
        <v>0</v>
      </c>
      <c r="K821" s="2" t="b">
        <v>0</v>
      </c>
      <c r="L821" s="2" t="b">
        <v>0</v>
      </c>
      <c r="M821" s="2" t="b">
        <v>0</v>
      </c>
      <c r="N821" s="2" t="b">
        <v>0</v>
      </c>
      <c r="O821" s="2" t="b">
        <v>0</v>
      </c>
      <c r="P821" s="68"/>
      <c r="R821" s="69"/>
      <c r="S821" s="68"/>
      <c r="U821" s="69"/>
      <c r="V821" s="68"/>
      <c r="X821" s="69"/>
      <c r="Y821" s="68"/>
      <c r="AA821" s="69"/>
      <c r="AB821" s="33">
        <f t="shared" si="25"/>
        <v>0</v>
      </c>
      <c r="AC821" s="45">
        <f>_xlfn.LET(_xlpm.ps_1,P821:R821, _xlpm.ps_2,S821:U821, _xlpm.ps_3,V821:X821, _xlpm.ps_4,Y821:AA821,
_xlpm.phase, MID(C821,SEARCH("-",C821)+1,256),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(_xlfn.XLOOKUP($C$7,site_assumptions[Details],site_assumptions[Volts])*SUMIFS(P821:AA821,_xlfn.ANCHORARRAY(D821),TRUE)/10*0.95)/1000,
IFERROR(IF(_xlpm.phase="3Phase", _xlpm.p3_calc, _xlpm.sp_calc),0))</f>
        <v>0</v>
      </c>
      <c r="AD821" s="29"/>
      <c r="AE821" s="30"/>
      <c r="AF821" s="30"/>
      <c r="AG821" s="30"/>
      <c r="AH821" s="31"/>
      <c r="AI821" s="49">
        <f t="shared" si="26"/>
        <v>0</v>
      </c>
      <c r="AJ821" s="71"/>
    </row>
    <row r="822" spans="2:36" x14ac:dyDescent="0.25">
      <c r="B822" s="29"/>
      <c r="C822" s="10" t="s">
        <v>2070</v>
      </c>
      <c r="D822" s="2" t="b" cm="1">
        <f t="array" ref="D822:O822">_xlfn._xlws.FILTER(IF(ancillary!$E$4:$P$8="",FALSE,ancillary!$E$4:$P$8),ancillary!$B$4:$B$8=$C822)</f>
        <v>1</v>
      </c>
      <c r="E822" s="2" t="b">
        <v>1</v>
      </c>
      <c r="F822" s="2" t="b">
        <v>1</v>
      </c>
      <c r="G822" s="2" t="b">
        <v>1</v>
      </c>
      <c r="H822" s="2" t="b">
        <v>1</v>
      </c>
      <c r="I822" s="2" t="b">
        <v>1</v>
      </c>
      <c r="J822" s="2" t="b">
        <v>0</v>
      </c>
      <c r="K822" s="2" t="b">
        <v>0</v>
      </c>
      <c r="L822" s="2" t="b">
        <v>0</v>
      </c>
      <c r="M822" s="2" t="b">
        <v>0</v>
      </c>
      <c r="N822" s="2" t="b">
        <v>0</v>
      </c>
      <c r="O822" s="2" t="b">
        <v>0</v>
      </c>
      <c r="P822" s="68"/>
      <c r="R822" s="69"/>
      <c r="S822" s="68"/>
      <c r="U822" s="69"/>
      <c r="V822" s="68"/>
      <c r="X822" s="69"/>
      <c r="Y822" s="68"/>
      <c r="AA822" s="69"/>
      <c r="AB822" s="33">
        <f t="shared" si="25"/>
        <v>0</v>
      </c>
      <c r="AC822" s="45">
        <f>_xlfn.LET(_xlpm.ps_1,P822:R822, _xlpm.ps_2,S822:U822, _xlpm.ps_3,V822:X822, _xlpm.ps_4,Y822:AA822,
_xlpm.phase, MID(C822,SEARCH("-",C822)+1,256),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(_xlfn.XLOOKUP($C$7,site_assumptions[Details],site_assumptions[Volts])*SUMIFS(P822:AA822,_xlfn.ANCHORARRAY(D822),TRUE)/10*0.95)/1000,
IFERROR(IF(_xlpm.phase="3Phase", _xlpm.p3_calc, _xlpm.sp_calc),0))</f>
        <v>0</v>
      </c>
      <c r="AD822" s="29"/>
      <c r="AE822" s="30"/>
      <c r="AF822" s="30"/>
      <c r="AG822" s="30"/>
      <c r="AH822" s="31"/>
      <c r="AI822" s="49">
        <f t="shared" si="26"/>
        <v>0</v>
      </c>
      <c r="AJ822" s="71"/>
    </row>
    <row r="823" spans="2:36" x14ac:dyDescent="0.25">
      <c r="B823" s="29"/>
      <c r="C823" s="10" t="s">
        <v>2070</v>
      </c>
      <c r="D823" s="2" t="b" cm="1">
        <f t="array" ref="D823:O823">_xlfn._xlws.FILTER(IF(ancillary!$E$4:$P$8="",FALSE,ancillary!$E$4:$P$8),ancillary!$B$4:$B$8=$C823)</f>
        <v>1</v>
      </c>
      <c r="E823" s="2" t="b">
        <v>1</v>
      </c>
      <c r="F823" s="2" t="b">
        <v>1</v>
      </c>
      <c r="G823" s="2" t="b">
        <v>1</v>
      </c>
      <c r="H823" s="2" t="b">
        <v>1</v>
      </c>
      <c r="I823" s="2" t="b">
        <v>1</v>
      </c>
      <c r="J823" s="2" t="b">
        <v>0</v>
      </c>
      <c r="K823" s="2" t="b">
        <v>0</v>
      </c>
      <c r="L823" s="2" t="b">
        <v>0</v>
      </c>
      <c r="M823" s="2" t="b">
        <v>0</v>
      </c>
      <c r="N823" s="2" t="b">
        <v>0</v>
      </c>
      <c r="O823" s="2" t="b">
        <v>0</v>
      </c>
      <c r="P823" s="68"/>
      <c r="R823" s="69"/>
      <c r="S823" s="68"/>
      <c r="U823" s="69"/>
      <c r="V823" s="68"/>
      <c r="X823" s="69"/>
      <c r="Y823" s="68"/>
      <c r="AA823" s="69"/>
      <c r="AB823" s="33">
        <f t="shared" si="25"/>
        <v>0</v>
      </c>
      <c r="AC823" s="45">
        <f>_xlfn.LET(_xlpm.ps_1,P823:R823, _xlpm.ps_2,S823:U823, _xlpm.ps_3,V823:X823, _xlpm.ps_4,Y823:AA823,
_xlpm.phase, MID(C823,SEARCH("-",C823)+1,256),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(_xlfn.XLOOKUP($C$7,site_assumptions[Details],site_assumptions[Volts])*SUMIFS(P823:AA823,_xlfn.ANCHORARRAY(D823),TRUE)/10*0.95)/1000,
IFERROR(IF(_xlpm.phase="3Phase", _xlpm.p3_calc, _xlpm.sp_calc),0))</f>
        <v>0</v>
      </c>
      <c r="AD823" s="29"/>
      <c r="AE823" s="30"/>
      <c r="AF823" s="30"/>
      <c r="AG823" s="30"/>
      <c r="AH823" s="31"/>
      <c r="AI823" s="49">
        <f t="shared" si="26"/>
        <v>0</v>
      </c>
      <c r="AJ823" s="71"/>
    </row>
    <row r="824" spans="2:36" x14ac:dyDescent="0.25">
      <c r="B824" s="29"/>
      <c r="C824" s="10" t="s">
        <v>2070</v>
      </c>
      <c r="D824" s="2" t="b" cm="1">
        <f t="array" ref="D824:O824">_xlfn._xlws.FILTER(IF(ancillary!$E$4:$P$8="",FALSE,ancillary!$E$4:$P$8),ancillary!$B$4:$B$8=$C824)</f>
        <v>1</v>
      </c>
      <c r="E824" s="2" t="b">
        <v>1</v>
      </c>
      <c r="F824" s="2" t="b">
        <v>1</v>
      </c>
      <c r="G824" s="2" t="b">
        <v>1</v>
      </c>
      <c r="H824" s="2" t="b">
        <v>1</v>
      </c>
      <c r="I824" s="2" t="b">
        <v>1</v>
      </c>
      <c r="J824" s="2" t="b">
        <v>0</v>
      </c>
      <c r="K824" s="2" t="b">
        <v>0</v>
      </c>
      <c r="L824" s="2" t="b">
        <v>0</v>
      </c>
      <c r="M824" s="2" t="b">
        <v>0</v>
      </c>
      <c r="N824" s="2" t="b">
        <v>0</v>
      </c>
      <c r="O824" s="2" t="b">
        <v>0</v>
      </c>
      <c r="P824" s="68"/>
      <c r="R824" s="69"/>
      <c r="S824" s="68"/>
      <c r="U824" s="69"/>
      <c r="V824" s="68"/>
      <c r="X824" s="69"/>
      <c r="Y824" s="68"/>
      <c r="AA824" s="69"/>
      <c r="AB824" s="33">
        <f t="shared" si="25"/>
        <v>0</v>
      </c>
      <c r="AC824" s="45">
        <f>_xlfn.LET(_xlpm.ps_1,P824:R824, _xlpm.ps_2,S824:U824, _xlpm.ps_3,V824:X824, _xlpm.ps_4,Y824:AA824,
_xlpm.phase, MID(C824,SEARCH("-",C824)+1,256),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(_xlfn.XLOOKUP($C$7,site_assumptions[Details],site_assumptions[Volts])*SUMIFS(P824:AA824,_xlfn.ANCHORARRAY(D824),TRUE)/10*0.95)/1000,
IFERROR(IF(_xlpm.phase="3Phase", _xlpm.p3_calc, _xlpm.sp_calc),0))</f>
        <v>0</v>
      </c>
      <c r="AD824" s="29"/>
      <c r="AE824" s="30"/>
      <c r="AF824" s="30"/>
      <c r="AG824" s="30"/>
      <c r="AH824" s="31"/>
      <c r="AI824" s="49">
        <f t="shared" si="26"/>
        <v>0</v>
      </c>
      <c r="AJ824" s="71"/>
    </row>
    <row r="825" spans="2:36" x14ac:dyDescent="0.25">
      <c r="B825" s="29"/>
      <c r="C825" s="10" t="s">
        <v>2070</v>
      </c>
      <c r="D825" s="2" t="b" cm="1">
        <f t="array" ref="D825:O825">_xlfn._xlws.FILTER(IF(ancillary!$E$4:$P$8="",FALSE,ancillary!$E$4:$P$8),ancillary!$B$4:$B$8=$C825)</f>
        <v>1</v>
      </c>
      <c r="E825" s="2" t="b">
        <v>1</v>
      </c>
      <c r="F825" s="2" t="b">
        <v>1</v>
      </c>
      <c r="G825" s="2" t="b">
        <v>1</v>
      </c>
      <c r="H825" s="2" t="b">
        <v>1</v>
      </c>
      <c r="I825" s="2" t="b">
        <v>1</v>
      </c>
      <c r="J825" s="2" t="b">
        <v>0</v>
      </c>
      <c r="K825" s="2" t="b">
        <v>0</v>
      </c>
      <c r="L825" s="2" t="b">
        <v>0</v>
      </c>
      <c r="M825" s="2" t="b">
        <v>0</v>
      </c>
      <c r="N825" s="2" t="b">
        <v>0</v>
      </c>
      <c r="O825" s="2" t="b">
        <v>0</v>
      </c>
      <c r="P825" s="68"/>
      <c r="R825" s="69"/>
      <c r="S825" s="68"/>
      <c r="U825" s="69"/>
      <c r="V825" s="68"/>
      <c r="X825" s="69"/>
      <c r="Y825" s="68"/>
      <c r="AA825" s="69"/>
      <c r="AB825" s="33">
        <f t="shared" si="25"/>
        <v>0</v>
      </c>
      <c r="AC825" s="45">
        <f>_xlfn.LET(_xlpm.ps_1,P825:R825, _xlpm.ps_2,S825:U825, _xlpm.ps_3,V825:X825, _xlpm.ps_4,Y825:AA825,
_xlpm.phase, MID(C825,SEARCH("-",C825)+1,256),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(_xlfn.XLOOKUP($C$7,site_assumptions[Details],site_assumptions[Volts])*SUMIFS(P825:AA825,_xlfn.ANCHORARRAY(D825),TRUE)/10*0.95)/1000,
IFERROR(IF(_xlpm.phase="3Phase", _xlpm.p3_calc, _xlpm.sp_calc),0))</f>
        <v>0</v>
      </c>
      <c r="AD825" s="29"/>
      <c r="AE825" s="30"/>
      <c r="AF825" s="30"/>
      <c r="AG825" s="30"/>
      <c r="AH825" s="31"/>
      <c r="AI825" s="49">
        <f t="shared" si="26"/>
        <v>0</v>
      </c>
      <c r="AJ825" s="71"/>
    </row>
    <row r="826" spans="2:36" x14ac:dyDescent="0.25">
      <c r="B826" s="29"/>
      <c r="C826" s="10" t="s">
        <v>2070</v>
      </c>
      <c r="D826" s="2" t="b" cm="1">
        <f t="array" ref="D826:O826">_xlfn._xlws.FILTER(IF(ancillary!$E$4:$P$8="",FALSE,ancillary!$E$4:$P$8),ancillary!$B$4:$B$8=$C826)</f>
        <v>1</v>
      </c>
      <c r="E826" s="2" t="b">
        <v>1</v>
      </c>
      <c r="F826" s="2" t="b">
        <v>1</v>
      </c>
      <c r="G826" s="2" t="b">
        <v>1</v>
      </c>
      <c r="H826" s="2" t="b">
        <v>1</v>
      </c>
      <c r="I826" s="2" t="b">
        <v>1</v>
      </c>
      <c r="J826" s="2" t="b">
        <v>0</v>
      </c>
      <c r="K826" s="2" t="b">
        <v>0</v>
      </c>
      <c r="L826" s="2" t="b">
        <v>0</v>
      </c>
      <c r="M826" s="2" t="b">
        <v>0</v>
      </c>
      <c r="N826" s="2" t="b">
        <v>0</v>
      </c>
      <c r="O826" s="2" t="b">
        <v>0</v>
      </c>
      <c r="P826" s="68"/>
      <c r="R826" s="69"/>
      <c r="S826" s="68"/>
      <c r="U826" s="69"/>
      <c r="V826" s="68"/>
      <c r="X826" s="69"/>
      <c r="Y826" s="68"/>
      <c r="AA826" s="69"/>
      <c r="AB826" s="33">
        <f t="shared" si="25"/>
        <v>0</v>
      </c>
      <c r="AC826" s="45">
        <f>_xlfn.LET(_xlpm.ps_1,P826:R826, _xlpm.ps_2,S826:U826, _xlpm.ps_3,V826:X826, _xlpm.ps_4,Y826:AA826,
_xlpm.phase, MID(C826,SEARCH("-",C826)+1,256),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(_xlfn.XLOOKUP($C$7,site_assumptions[Details],site_assumptions[Volts])*SUMIFS(P826:AA826,_xlfn.ANCHORARRAY(D826),TRUE)/10*0.95)/1000,
IFERROR(IF(_xlpm.phase="3Phase", _xlpm.p3_calc, _xlpm.sp_calc),0))</f>
        <v>0</v>
      </c>
      <c r="AD826" s="29"/>
      <c r="AE826" s="30"/>
      <c r="AF826" s="30"/>
      <c r="AG826" s="30"/>
      <c r="AH826" s="31"/>
      <c r="AI826" s="49">
        <f t="shared" si="26"/>
        <v>0</v>
      </c>
      <c r="AJ826" s="71"/>
    </row>
    <row r="827" spans="2:36" x14ac:dyDescent="0.25">
      <c r="B827" s="29"/>
      <c r="C827" s="10" t="s">
        <v>2070</v>
      </c>
      <c r="D827" s="2" t="b" cm="1">
        <f t="array" ref="D827:O827">_xlfn._xlws.FILTER(IF(ancillary!$E$4:$P$8="",FALSE,ancillary!$E$4:$P$8),ancillary!$B$4:$B$8=$C827)</f>
        <v>1</v>
      </c>
      <c r="E827" s="2" t="b">
        <v>1</v>
      </c>
      <c r="F827" s="2" t="b">
        <v>1</v>
      </c>
      <c r="G827" s="2" t="b">
        <v>1</v>
      </c>
      <c r="H827" s="2" t="b">
        <v>1</v>
      </c>
      <c r="I827" s="2" t="b">
        <v>1</v>
      </c>
      <c r="J827" s="2" t="b">
        <v>0</v>
      </c>
      <c r="K827" s="2" t="b">
        <v>0</v>
      </c>
      <c r="L827" s="2" t="b">
        <v>0</v>
      </c>
      <c r="M827" s="2" t="b">
        <v>0</v>
      </c>
      <c r="N827" s="2" t="b">
        <v>0</v>
      </c>
      <c r="O827" s="2" t="b">
        <v>0</v>
      </c>
      <c r="P827" s="68"/>
      <c r="R827" s="69"/>
      <c r="S827" s="68"/>
      <c r="U827" s="69"/>
      <c r="V827" s="68"/>
      <c r="X827" s="69"/>
      <c r="Y827" s="68"/>
      <c r="AA827" s="69"/>
      <c r="AB827" s="33">
        <f t="shared" si="25"/>
        <v>0</v>
      </c>
      <c r="AC827" s="45">
        <f>_xlfn.LET(_xlpm.ps_1,P827:R827, _xlpm.ps_2,S827:U827, _xlpm.ps_3,V827:X827, _xlpm.ps_4,Y827:AA827,
_xlpm.phase, MID(C827,SEARCH("-",C827)+1,256),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(_xlfn.XLOOKUP($C$7,site_assumptions[Details],site_assumptions[Volts])*SUMIFS(P827:AA827,_xlfn.ANCHORARRAY(D827),TRUE)/10*0.95)/1000,
IFERROR(IF(_xlpm.phase="3Phase", _xlpm.p3_calc, _xlpm.sp_calc),0))</f>
        <v>0</v>
      </c>
      <c r="AD827" s="29"/>
      <c r="AE827" s="30"/>
      <c r="AF827" s="30"/>
      <c r="AG827" s="30"/>
      <c r="AH827" s="31"/>
      <c r="AI827" s="49">
        <f t="shared" si="26"/>
        <v>0</v>
      </c>
      <c r="AJ827" s="71"/>
    </row>
    <row r="828" spans="2:36" x14ac:dyDescent="0.25">
      <c r="B828" s="29"/>
      <c r="C828" s="10" t="s">
        <v>2070</v>
      </c>
      <c r="D828" s="2" t="b" cm="1">
        <f t="array" ref="D828:O828">_xlfn._xlws.FILTER(IF(ancillary!$E$4:$P$8="",FALSE,ancillary!$E$4:$P$8),ancillary!$B$4:$B$8=$C828)</f>
        <v>1</v>
      </c>
      <c r="E828" s="2" t="b">
        <v>1</v>
      </c>
      <c r="F828" s="2" t="b">
        <v>1</v>
      </c>
      <c r="G828" s="2" t="b">
        <v>1</v>
      </c>
      <c r="H828" s="2" t="b">
        <v>1</v>
      </c>
      <c r="I828" s="2" t="b">
        <v>1</v>
      </c>
      <c r="J828" s="2" t="b">
        <v>0</v>
      </c>
      <c r="K828" s="2" t="b">
        <v>0</v>
      </c>
      <c r="L828" s="2" t="b">
        <v>0</v>
      </c>
      <c r="M828" s="2" t="b">
        <v>0</v>
      </c>
      <c r="N828" s="2" t="b">
        <v>0</v>
      </c>
      <c r="O828" s="2" t="b">
        <v>0</v>
      </c>
      <c r="P828" s="68"/>
      <c r="R828" s="69"/>
      <c r="S828" s="68"/>
      <c r="U828" s="69"/>
      <c r="V828" s="68"/>
      <c r="X828" s="69"/>
      <c r="Y828" s="68"/>
      <c r="AA828" s="69"/>
      <c r="AB828" s="33">
        <f t="shared" si="25"/>
        <v>0</v>
      </c>
      <c r="AC828" s="45">
        <f>_xlfn.LET(_xlpm.ps_1,P828:R828, _xlpm.ps_2,S828:U828, _xlpm.ps_3,V828:X828, _xlpm.ps_4,Y828:AA828,
_xlpm.phase, MID(C828,SEARCH("-",C828)+1,256),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(_xlfn.XLOOKUP($C$7,site_assumptions[Details],site_assumptions[Volts])*SUMIFS(P828:AA828,_xlfn.ANCHORARRAY(D828),TRUE)/10*0.95)/1000,
IFERROR(IF(_xlpm.phase="3Phase", _xlpm.p3_calc, _xlpm.sp_calc),0))</f>
        <v>0</v>
      </c>
      <c r="AD828" s="29"/>
      <c r="AE828" s="30"/>
      <c r="AF828" s="30"/>
      <c r="AG828" s="30"/>
      <c r="AH828" s="31"/>
      <c r="AI828" s="49">
        <f t="shared" si="26"/>
        <v>0</v>
      </c>
      <c r="AJ828" s="71"/>
    </row>
    <row r="829" spans="2:36" x14ac:dyDescent="0.25">
      <c r="B829" s="29"/>
      <c r="C829" s="10" t="s">
        <v>2070</v>
      </c>
      <c r="D829" s="2" t="b" cm="1">
        <f t="array" ref="D829:O829">_xlfn._xlws.FILTER(IF(ancillary!$E$4:$P$8="",FALSE,ancillary!$E$4:$P$8),ancillary!$B$4:$B$8=$C829)</f>
        <v>1</v>
      </c>
      <c r="E829" s="2" t="b">
        <v>1</v>
      </c>
      <c r="F829" s="2" t="b">
        <v>1</v>
      </c>
      <c r="G829" s="2" t="b">
        <v>1</v>
      </c>
      <c r="H829" s="2" t="b">
        <v>1</v>
      </c>
      <c r="I829" s="2" t="b">
        <v>1</v>
      </c>
      <c r="J829" s="2" t="b">
        <v>0</v>
      </c>
      <c r="K829" s="2" t="b">
        <v>0</v>
      </c>
      <c r="L829" s="2" t="b">
        <v>0</v>
      </c>
      <c r="M829" s="2" t="b">
        <v>0</v>
      </c>
      <c r="N829" s="2" t="b">
        <v>0</v>
      </c>
      <c r="O829" s="2" t="b">
        <v>0</v>
      </c>
      <c r="P829" s="68"/>
      <c r="R829" s="69"/>
      <c r="S829" s="68"/>
      <c r="U829" s="69"/>
      <c r="V829" s="68"/>
      <c r="X829" s="69"/>
      <c r="Y829" s="68"/>
      <c r="AA829" s="69"/>
      <c r="AB829" s="33">
        <f t="shared" si="25"/>
        <v>0</v>
      </c>
      <c r="AC829" s="45">
        <f>_xlfn.LET(_xlpm.ps_1,P829:R829, _xlpm.ps_2,S829:U829, _xlpm.ps_3,V829:X829, _xlpm.ps_4,Y829:AA829,
_xlpm.phase, MID(C829,SEARCH("-",C829)+1,256),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(_xlfn.XLOOKUP($C$7,site_assumptions[Details],site_assumptions[Volts])*SUMIFS(P829:AA829,_xlfn.ANCHORARRAY(D829),TRUE)/10*0.95)/1000,
IFERROR(IF(_xlpm.phase="3Phase", _xlpm.p3_calc, _xlpm.sp_calc),0))</f>
        <v>0</v>
      </c>
      <c r="AD829" s="29"/>
      <c r="AE829" s="30"/>
      <c r="AF829" s="30"/>
      <c r="AG829" s="30"/>
      <c r="AH829" s="31"/>
      <c r="AI829" s="49">
        <f t="shared" si="26"/>
        <v>0</v>
      </c>
      <c r="AJ829" s="71"/>
    </row>
    <row r="830" spans="2:36" x14ac:dyDescent="0.25">
      <c r="B830" s="29"/>
      <c r="C830" s="10" t="s">
        <v>2070</v>
      </c>
      <c r="D830" s="2" t="b" cm="1">
        <f t="array" ref="D830:O830">_xlfn._xlws.FILTER(IF(ancillary!$E$4:$P$8="",FALSE,ancillary!$E$4:$P$8),ancillary!$B$4:$B$8=$C830)</f>
        <v>1</v>
      </c>
      <c r="E830" s="2" t="b">
        <v>1</v>
      </c>
      <c r="F830" s="2" t="b">
        <v>1</v>
      </c>
      <c r="G830" s="2" t="b">
        <v>1</v>
      </c>
      <c r="H830" s="2" t="b">
        <v>1</v>
      </c>
      <c r="I830" s="2" t="b">
        <v>1</v>
      </c>
      <c r="J830" s="2" t="b">
        <v>0</v>
      </c>
      <c r="K830" s="2" t="b">
        <v>0</v>
      </c>
      <c r="L830" s="2" t="b">
        <v>0</v>
      </c>
      <c r="M830" s="2" t="b">
        <v>0</v>
      </c>
      <c r="N830" s="2" t="b">
        <v>0</v>
      </c>
      <c r="O830" s="2" t="b">
        <v>0</v>
      </c>
      <c r="P830" s="68"/>
      <c r="R830" s="69"/>
      <c r="S830" s="68"/>
      <c r="U830" s="69"/>
      <c r="V830" s="68"/>
      <c r="X830" s="69"/>
      <c r="Y830" s="68"/>
      <c r="AA830" s="69"/>
      <c r="AB830" s="33">
        <f t="shared" si="25"/>
        <v>0</v>
      </c>
      <c r="AC830" s="45">
        <f>_xlfn.LET(_xlpm.ps_1,P830:R830, _xlpm.ps_2,S830:U830, _xlpm.ps_3,V830:X830, _xlpm.ps_4,Y830:AA830,
_xlpm.phase, MID(C830,SEARCH("-",C830)+1,256),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(_xlfn.XLOOKUP($C$7,site_assumptions[Details],site_assumptions[Volts])*SUMIFS(P830:AA830,_xlfn.ANCHORARRAY(D830),TRUE)/10*0.95)/1000,
IFERROR(IF(_xlpm.phase="3Phase", _xlpm.p3_calc, _xlpm.sp_calc),0))</f>
        <v>0</v>
      </c>
      <c r="AD830" s="29"/>
      <c r="AE830" s="30"/>
      <c r="AF830" s="30"/>
      <c r="AG830" s="30"/>
      <c r="AH830" s="31"/>
      <c r="AI830" s="49">
        <f t="shared" si="26"/>
        <v>0</v>
      </c>
      <c r="AJ830" s="71"/>
    </row>
    <row r="831" spans="2:36" x14ac:dyDescent="0.25">
      <c r="B831" s="29"/>
      <c r="C831" s="10" t="s">
        <v>2070</v>
      </c>
      <c r="D831" s="2" t="b" cm="1">
        <f t="array" ref="D831:O831">_xlfn._xlws.FILTER(IF(ancillary!$E$4:$P$8="",FALSE,ancillary!$E$4:$P$8),ancillary!$B$4:$B$8=$C831)</f>
        <v>1</v>
      </c>
      <c r="E831" s="2" t="b">
        <v>1</v>
      </c>
      <c r="F831" s="2" t="b">
        <v>1</v>
      </c>
      <c r="G831" s="2" t="b">
        <v>1</v>
      </c>
      <c r="H831" s="2" t="b">
        <v>1</v>
      </c>
      <c r="I831" s="2" t="b">
        <v>1</v>
      </c>
      <c r="J831" s="2" t="b">
        <v>0</v>
      </c>
      <c r="K831" s="2" t="b">
        <v>0</v>
      </c>
      <c r="L831" s="2" t="b">
        <v>0</v>
      </c>
      <c r="M831" s="2" t="b">
        <v>0</v>
      </c>
      <c r="N831" s="2" t="b">
        <v>0</v>
      </c>
      <c r="O831" s="2" t="b">
        <v>0</v>
      </c>
      <c r="P831" s="68"/>
      <c r="R831" s="69"/>
      <c r="S831" s="68"/>
      <c r="U831" s="69"/>
      <c r="V831" s="68"/>
      <c r="X831" s="69"/>
      <c r="Y831" s="68"/>
      <c r="AA831" s="69"/>
      <c r="AB831" s="33">
        <f t="shared" si="25"/>
        <v>0</v>
      </c>
      <c r="AC831" s="45">
        <f>_xlfn.LET(_xlpm.ps_1,P831:R831, _xlpm.ps_2,S831:U831, _xlpm.ps_3,V831:X831, _xlpm.ps_4,Y831:AA831,
_xlpm.phase, MID(C831,SEARCH("-",C831)+1,256),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(_xlfn.XLOOKUP($C$7,site_assumptions[Details],site_assumptions[Volts])*SUMIFS(P831:AA831,_xlfn.ANCHORARRAY(D831),TRUE)/10*0.95)/1000,
IFERROR(IF(_xlpm.phase="3Phase", _xlpm.p3_calc, _xlpm.sp_calc),0))</f>
        <v>0</v>
      </c>
      <c r="AD831" s="29"/>
      <c r="AE831" s="30"/>
      <c r="AF831" s="30"/>
      <c r="AG831" s="30"/>
      <c r="AH831" s="31"/>
      <c r="AI831" s="49">
        <f t="shared" si="26"/>
        <v>0</v>
      </c>
      <c r="AJ831" s="71"/>
    </row>
    <row r="832" spans="2:36" x14ac:dyDescent="0.25">
      <c r="B832" s="29"/>
      <c r="C832" s="10" t="s">
        <v>2070</v>
      </c>
      <c r="D832" s="2" t="b" cm="1">
        <f t="array" ref="D832:O832">_xlfn._xlws.FILTER(IF(ancillary!$E$4:$P$8="",FALSE,ancillary!$E$4:$P$8),ancillary!$B$4:$B$8=$C832)</f>
        <v>1</v>
      </c>
      <c r="E832" s="2" t="b">
        <v>1</v>
      </c>
      <c r="F832" s="2" t="b">
        <v>1</v>
      </c>
      <c r="G832" s="2" t="b">
        <v>1</v>
      </c>
      <c r="H832" s="2" t="b">
        <v>1</v>
      </c>
      <c r="I832" s="2" t="b">
        <v>1</v>
      </c>
      <c r="J832" s="2" t="b">
        <v>0</v>
      </c>
      <c r="K832" s="2" t="b">
        <v>0</v>
      </c>
      <c r="L832" s="2" t="b">
        <v>0</v>
      </c>
      <c r="M832" s="2" t="b">
        <v>0</v>
      </c>
      <c r="N832" s="2" t="b">
        <v>0</v>
      </c>
      <c r="O832" s="2" t="b">
        <v>0</v>
      </c>
      <c r="P832" s="68"/>
      <c r="R832" s="69"/>
      <c r="S832" s="68"/>
      <c r="U832" s="69"/>
      <c r="V832" s="68"/>
      <c r="X832" s="69"/>
      <c r="Y832" s="68"/>
      <c r="AA832" s="69"/>
      <c r="AB832" s="33">
        <f t="shared" si="25"/>
        <v>0</v>
      </c>
      <c r="AC832" s="45">
        <f>_xlfn.LET(_xlpm.ps_1,P832:R832, _xlpm.ps_2,S832:U832, _xlpm.ps_3,V832:X832, _xlpm.ps_4,Y832:AA832,
_xlpm.phase, MID(C832,SEARCH("-",C832)+1,256),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(_xlfn.XLOOKUP($C$7,site_assumptions[Details],site_assumptions[Volts])*SUMIFS(P832:AA832,_xlfn.ANCHORARRAY(D832),TRUE)/10*0.95)/1000,
IFERROR(IF(_xlpm.phase="3Phase", _xlpm.p3_calc, _xlpm.sp_calc),0))</f>
        <v>0</v>
      </c>
      <c r="AD832" s="29"/>
      <c r="AE832" s="30"/>
      <c r="AF832" s="30"/>
      <c r="AG832" s="30"/>
      <c r="AH832" s="31"/>
      <c r="AI832" s="49">
        <f t="shared" si="26"/>
        <v>0</v>
      </c>
      <c r="AJ832" s="71"/>
    </row>
    <row r="833" spans="2:36" x14ac:dyDescent="0.25">
      <c r="B833" s="29"/>
      <c r="C833" s="10" t="s">
        <v>2070</v>
      </c>
      <c r="D833" s="2" t="b" cm="1">
        <f t="array" ref="D833:O833">_xlfn._xlws.FILTER(IF(ancillary!$E$4:$P$8="",FALSE,ancillary!$E$4:$P$8),ancillary!$B$4:$B$8=$C833)</f>
        <v>1</v>
      </c>
      <c r="E833" s="2" t="b">
        <v>1</v>
      </c>
      <c r="F833" s="2" t="b">
        <v>1</v>
      </c>
      <c r="G833" s="2" t="b">
        <v>1</v>
      </c>
      <c r="H833" s="2" t="b">
        <v>1</v>
      </c>
      <c r="I833" s="2" t="b">
        <v>1</v>
      </c>
      <c r="J833" s="2" t="b">
        <v>0</v>
      </c>
      <c r="K833" s="2" t="b">
        <v>0</v>
      </c>
      <c r="L833" s="2" t="b">
        <v>0</v>
      </c>
      <c r="M833" s="2" t="b">
        <v>0</v>
      </c>
      <c r="N833" s="2" t="b">
        <v>0</v>
      </c>
      <c r="O833" s="2" t="b">
        <v>0</v>
      </c>
      <c r="P833" s="68"/>
      <c r="R833" s="69"/>
      <c r="S833" s="68"/>
      <c r="U833" s="69"/>
      <c r="V833" s="68"/>
      <c r="X833" s="69"/>
      <c r="Y833" s="68"/>
      <c r="AA833" s="69"/>
      <c r="AB833" s="33">
        <f t="shared" si="25"/>
        <v>0</v>
      </c>
      <c r="AC833" s="45">
        <f>_xlfn.LET(_xlpm.ps_1,P833:R833, _xlpm.ps_2,S833:U833, _xlpm.ps_3,V833:X833, _xlpm.ps_4,Y833:AA833,
_xlpm.phase, MID(C833,SEARCH("-",C833)+1,256),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(_xlfn.XLOOKUP($C$7,site_assumptions[Details],site_assumptions[Volts])*SUMIFS(P833:AA833,_xlfn.ANCHORARRAY(D833),TRUE)/10*0.95)/1000,
IFERROR(IF(_xlpm.phase="3Phase", _xlpm.p3_calc, _xlpm.sp_calc),0))</f>
        <v>0</v>
      </c>
      <c r="AD833" s="29"/>
      <c r="AE833" s="30"/>
      <c r="AF833" s="30"/>
      <c r="AG833" s="30"/>
      <c r="AH833" s="31"/>
      <c r="AI833" s="49">
        <f t="shared" si="26"/>
        <v>0</v>
      </c>
      <c r="AJ833" s="71"/>
    </row>
    <row r="834" spans="2:36" x14ac:dyDescent="0.25">
      <c r="B834" s="29"/>
      <c r="C834" s="10" t="s">
        <v>2070</v>
      </c>
      <c r="D834" s="2" t="b" cm="1">
        <f t="array" ref="D834:O834">_xlfn._xlws.FILTER(IF(ancillary!$E$4:$P$8="",FALSE,ancillary!$E$4:$P$8),ancillary!$B$4:$B$8=$C834)</f>
        <v>1</v>
      </c>
      <c r="E834" s="2" t="b">
        <v>1</v>
      </c>
      <c r="F834" s="2" t="b">
        <v>1</v>
      </c>
      <c r="G834" s="2" t="b">
        <v>1</v>
      </c>
      <c r="H834" s="2" t="b">
        <v>1</v>
      </c>
      <c r="I834" s="2" t="b">
        <v>1</v>
      </c>
      <c r="J834" s="2" t="b">
        <v>0</v>
      </c>
      <c r="K834" s="2" t="b">
        <v>0</v>
      </c>
      <c r="L834" s="2" t="b">
        <v>0</v>
      </c>
      <c r="M834" s="2" t="b">
        <v>0</v>
      </c>
      <c r="N834" s="2" t="b">
        <v>0</v>
      </c>
      <c r="O834" s="2" t="b">
        <v>0</v>
      </c>
      <c r="P834" s="68"/>
      <c r="R834" s="69"/>
      <c r="S834" s="68"/>
      <c r="U834" s="69"/>
      <c r="V834" s="68"/>
      <c r="X834" s="69"/>
      <c r="Y834" s="68"/>
      <c r="AA834" s="69"/>
      <c r="AB834" s="33">
        <f t="shared" si="25"/>
        <v>0</v>
      </c>
      <c r="AC834" s="45">
        <f>_xlfn.LET(_xlpm.ps_1,P834:R834, _xlpm.ps_2,S834:U834, _xlpm.ps_3,V834:X834, _xlpm.ps_4,Y834:AA834,
_xlpm.phase, MID(C834,SEARCH("-",C834)+1,256),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(_xlfn.XLOOKUP($C$7,site_assumptions[Details],site_assumptions[Volts])*SUMIFS(P834:AA834,_xlfn.ANCHORARRAY(D834),TRUE)/10*0.95)/1000,
IFERROR(IF(_xlpm.phase="3Phase", _xlpm.p3_calc, _xlpm.sp_calc),0))</f>
        <v>0</v>
      </c>
      <c r="AD834" s="29"/>
      <c r="AE834" s="30"/>
      <c r="AF834" s="30"/>
      <c r="AG834" s="30"/>
      <c r="AH834" s="31"/>
      <c r="AI834" s="49">
        <f t="shared" si="26"/>
        <v>0</v>
      </c>
      <c r="AJ834" s="71"/>
    </row>
    <row r="835" spans="2:36" x14ac:dyDescent="0.25">
      <c r="B835" s="29"/>
      <c r="C835" s="10" t="s">
        <v>2070</v>
      </c>
      <c r="D835" s="2" t="b" cm="1">
        <f t="array" ref="D835:O835">_xlfn._xlws.FILTER(IF(ancillary!$E$4:$P$8="",FALSE,ancillary!$E$4:$P$8),ancillary!$B$4:$B$8=$C835)</f>
        <v>1</v>
      </c>
      <c r="E835" s="2" t="b">
        <v>1</v>
      </c>
      <c r="F835" s="2" t="b">
        <v>1</v>
      </c>
      <c r="G835" s="2" t="b">
        <v>1</v>
      </c>
      <c r="H835" s="2" t="b">
        <v>1</v>
      </c>
      <c r="I835" s="2" t="b">
        <v>1</v>
      </c>
      <c r="J835" s="2" t="b">
        <v>0</v>
      </c>
      <c r="K835" s="2" t="b">
        <v>0</v>
      </c>
      <c r="L835" s="2" t="b">
        <v>0</v>
      </c>
      <c r="M835" s="2" t="b">
        <v>0</v>
      </c>
      <c r="N835" s="2" t="b">
        <v>0</v>
      </c>
      <c r="O835" s="2" t="b">
        <v>0</v>
      </c>
      <c r="P835" s="68"/>
      <c r="R835" s="69"/>
      <c r="S835" s="68"/>
      <c r="U835" s="69"/>
      <c r="V835" s="68"/>
      <c r="X835" s="69"/>
      <c r="Y835" s="68"/>
      <c r="AA835" s="69"/>
      <c r="AB835" s="33">
        <f t="shared" si="25"/>
        <v>0</v>
      </c>
      <c r="AC835" s="45">
        <f>_xlfn.LET(_xlpm.ps_1,P835:R835, _xlpm.ps_2,S835:U835, _xlpm.ps_3,V835:X835, _xlpm.ps_4,Y835:AA835,
_xlpm.phase, MID(C835,SEARCH("-",C835)+1,256),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(_xlfn.XLOOKUP($C$7,site_assumptions[Details],site_assumptions[Volts])*SUMIFS(P835:AA835,_xlfn.ANCHORARRAY(D835),TRUE)/10*0.95)/1000,
IFERROR(IF(_xlpm.phase="3Phase", _xlpm.p3_calc, _xlpm.sp_calc),0))</f>
        <v>0</v>
      </c>
      <c r="AD835" s="29"/>
      <c r="AE835" s="30"/>
      <c r="AF835" s="30"/>
      <c r="AG835" s="30"/>
      <c r="AH835" s="31"/>
      <c r="AI835" s="49">
        <f t="shared" si="26"/>
        <v>0</v>
      </c>
      <c r="AJ835" s="71"/>
    </row>
    <row r="836" spans="2:36" x14ac:dyDescent="0.25">
      <c r="B836" s="29"/>
      <c r="C836" s="10" t="s">
        <v>2070</v>
      </c>
      <c r="D836" s="2" t="b" cm="1">
        <f t="array" ref="D836:O836">_xlfn._xlws.FILTER(IF(ancillary!$E$4:$P$8="",FALSE,ancillary!$E$4:$P$8),ancillary!$B$4:$B$8=$C836)</f>
        <v>1</v>
      </c>
      <c r="E836" s="2" t="b">
        <v>1</v>
      </c>
      <c r="F836" s="2" t="b">
        <v>1</v>
      </c>
      <c r="G836" s="2" t="b">
        <v>1</v>
      </c>
      <c r="H836" s="2" t="b">
        <v>1</v>
      </c>
      <c r="I836" s="2" t="b">
        <v>1</v>
      </c>
      <c r="J836" s="2" t="b">
        <v>0</v>
      </c>
      <c r="K836" s="2" t="b">
        <v>0</v>
      </c>
      <c r="L836" s="2" t="b">
        <v>0</v>
      </c>
      <c r="M836" s="2" t="b">
        <v>0</v>
      </c>
      <c r="N836" s="2" t="b">
        <v>0</v>
      </c>
      <c r="O836" s="2" t="b">
        <v>0</v>
      </c>
      <c r="P836" s="68"/>
      <c r="R836" s="69"/>
      <c r="S836" s="68"/>
      <c r="U836" s="69"/>
      <c r="V836" s="68"/>
      <c r="X836" s="69"/>
      <c r="Y836" s="68"/>
      <c r="AA836" s="69"/>
      <c r="AB836" s="33">
        <f t="shared" si="25"/>
        <v>0</v>
      </c>
      <c r="AC836" s="45">
        <f>_xlfn.LET(_xlpm.ps_1,P836:R836, _xlpm.ps_2,S836:U836, _xlpm.ps_3,V836:X836, _xlpm.ps_4,Y836:AA836,
_xlpm.phase, MID(C836,SEARCH("-",C836)+1,256),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(_xlfn.XLOOKUP($C$7,site_assumptions[Details],site_assumptions[Volts])*SUMIFS(P836:AA836,_xlfn.ANCHORARRAY(D836),TRUE)/10*0.95)/1000,
IFERROR(IF(_xlpm.phase="3Phase", _xlpm.p3_calc, _xlpm.sp_calc),0))</f>
        <v>0</v>
      </c>
      <c r="AD836" s="29"/>
      <c r="AE836" s="30"/>
      <c r="AF836" s="30"/>
      <c r="AG836" s="30"/>
      <c r="AH836" s="31"/>
      <c r="AI836" s="49">
        <f t="shared" si="26"/>
        <v>0</v>
      </c>
      <c r="AJ836" s="71"/>
    </row>
    <row r="837" spans="2:36" x14ac:dyDescent="0.25">
      <c r="B837" s="29"/>
      <c r="C837" s="10" t="s">
        <v>2070</v>
      </c>
      <c r="D837" s="2" t="b" cm="1">
        <f t="array" ref="D837:O837">_xlfn._xlws.FILTER(IF(ancillary!$E$4:$P$8="",FALSE,ancillary!$E$4:$P$8),ancillary!$B$4:$B$8=$C837)</f>
        <v>1</v>
      </c>
      <c r="E837" s="2" t="b">
        <v>1</v>
      </c>
      <c r="F837" s="2" t="b">
        <v>1</v>
      </c>
      <c r="G837" s="2" t="b">
        <v>1</v>
      </c>
      <c r="H837" s="2" t="b">
        <v>1</v>
      </c>
      <c r="I837" s="2" t="b">
        <v>1</v>
      </c>
      <c r="J837" s="2" t="b">
        <v>0</v>
      </c>
      <c r="K837" s="2" t="b">
        <v>0</v>
      </c>
      <c r="L837" s="2" t="b">
        <v>0</v>
      </c>
      <c r="M837" s="2" t="b">
        <v>0</v>
      </c>
      <c r="N837" s="2" t="b">
        <v>0</v>
      </c>
      <c r="O837" s="2" t="b">
        <v>0</v>
      </c>
      <c r="P837" s="68"/>
      <c r="R837" s="69"/>
      <c r="S837" s="68"/>
      <c r="U837" s="69"/>
      <c r="V837" s="68"/>
      <c r="X837" s="69"/>
      <c r="Y837" s="68"/>
      <c r="AA837" s="69"/>
      <c r="AB837" s="33">
        <f t="shared" si="25"/>
        <v>0</v>
      </c>
      <c r="AC837" s="45">
        <f>_xlfn.LET(_xlpm.ps_1,P837:R837, _xlpm.ps_2,S837:U837, _xlpm.ps_3,V837:X837, _xlpm.ps_4,Y837:AA837,
_xlpm.phase, MID(C837,SEARCH("-",C837)+1,256),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(_xlfn.XLOOKUP($C$7,site_assumptions[Details],site_assumptions[Volts])*SUMIFS(P837:AA837,_xlfn.ANCHORARRAY(D837),TRUE)/10*0.95)/1000,
IFERROR(IF(_xlpm.phase="3Phase", _xlpm.p3_calc, _xlpm.sp_calc),0))</f>
        <v>0</v>
      </c>
      <c r="AD837" s="29"/>
      <c r="AE837" s="30"/>
      <c r="AF837" s="30"/>
      <c r="AG837" s="30"/>
      <c r="AH837" s="31"/>
      <c r="AI837" s="49">
        <f t="shared" si="26"/>
        <v>0</v>
      </c>
      <c r="AJ837" s="71"/>
    </row>
    <row r="838" spans="2:36" x14ac:dyDescent="0.25">
      <c r="B838" s="29"/>
      <c r="C838" s="10" t="s">
        <v>2070</v>
      </c>
      <c r="D838" s="2" t="b" cm="1">
        <f t="array" ref="D838:O838">_xlfn._xlws.FILTER(IF(ancillary!$E$4:$P$8="",FALSE,ancillary!$E$4:$P$8),ancillary!$B$4:$B$8=$C838)</f>
        <v>1</v>
      </c>
      <c r="E838" s="2" t="b">
        <v>1</v>
      </c>
      <c r="F838" s="2" t="b">
        <v>1</v>
      </c>
      <c r="G838" s="2" t="b">
        <v>1</v>
      </c>
      <c r="H838" s="2" t="b">
        <v>1</v>
      </c>
      <c r="I838" s="2" t="b">
        <v>1</v>
      </c>
      <c r="J838" s="2" t="b">
        <v>0</v>
      </c>
      <c r="K838" s="2" t="b">
        <v>0</v>
      </c>
      <c r="L838" s="2" t="b">
        <v>0</v>
      </c>
      <c r="M838" s="2" t="b">
        <v>0</v>
      </c>
      <c r="N838" s="2" t="b">
        <v>0</v>
      </c>
      <c r="O838" s="2" t="b">
        <v>0</v>
      </c>
      <c r="P838" s="68"/>
      <c r="R838" s="69"/>
      <c r="S838" s="68"/>
      <c r="U838" s="69"/>
      <c r="V838" s="68"/>
      <c r="X838" s="69"/>
      <c r="Y838" s="68"/>
      <c r="AA838" s="69"/>
      <c r="AB838" s="33">
        <f t="shared" si="25"/>
        <v>0</v>
      </c>
      <c r="AC838" s="45">
        <f>_xlfn.LET(_xlpm.ps_1,P838:R838, _xlpm.ps_2,S838:U838, _xlpm.ps_3,V838:X838, _xlpm.ps_4,Y838:AA838,
_xlpm.phase, MID(C838,SEARCH("-",C838)+1,256),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(_xlfn.XLOOKUP($C$7,site_assumptions[Details],site_assumptions[Volts])*SUMIFS(P838:AA838,_xlfn.ANCHORARRAY(D838),TRUE)/10*0.95)/1000,
IFERROR(IF(_xlpm.phase="3Phase", _xlpm.p3_calc, _xlpm.sp_calc),0))</f>
        <v>0</v>
      </c>
      <c r="AD838" s="29"/>
      <c r="AE838" s="30"/>
      <c r="AF838" s="30"/>
      <c r="AG838" s="30"/>
      <c r="AH838" s="31"/>
      <c r="AI838" s="49">
        <f t="shared" si="26"/>
        <v>0</v>
      </c>
      <c r="AJ838" s="71"/>
    </row>
    <row r="839" spans="2:36" x14ac:dyDescent="0.25">
      <c r="B839" s="29"/>
      <c r="C839" s="10" t="s">
        <v>2070</v>
      </c>
      <c r="D839" s="2" t="b" cm="1">
        <f t="array" ref="D839:O839">_xlfn._xlws.FILTER(IF(ancillary!$E$4:$P$8="",FALSE,ancillary!$E$4:$P$8),ancillary!$B$4:$B$8=$C839)</f>
        <v>1</v>
      </c>
      <c r="E839" s="2" t="b">
        <v>1</v>
      </c>
      <c r="F839" s="2" t="b">
        <v>1</v>
      </c>
      <c r="G839" s="2" t="b">
        <v>1</v>
      </c>
      <c r="H839" s="2" t="b">
        <v>1</v>
      </c>
      <c r="I839" s="2" t="b">
        <v>1</v>
      </c>
      <c r="J839" s="2" t="b">
        <v>0</v>
      </c>
      <c r="K839" s="2" t="b">
        <v>0</v>
      </c>
      <c r="L839" s="2" t="b">
        <v>0</v>
      </c>
      <c r="M839" s="2" t="b">
        <v>0</v>
      </c>
      <c r="N839" s="2" t="b">
        <v>0</v>
      </c>
      <c r="O839" s="2" t="b">
        <v>0</v>
      </c>
      <c r="P839" s="68"/>
      <c r="R839" s="69"/>
      <c r="S839" s="68"/>
      <c r="U839" s="69"/>
      <c r="V839" s="68"/>
      <c r="X839" s="69"/>
      <c r="Y839" s="68"/>
      <c r="AA839" s="69"/>
      <c r="AB839" s="33">
        <f t="shared" si="25"/>
        <v>0</v>
      </c>
      <c r="AC839" s="45">
        <f>_xlfn.LET(_xlpm.ps_1,P839:R839, _xlpm.ps_2,S839:U839, _xlpm.ps_3,V839:X839, _xlpm.ps_4,Y839:AA839,
_xlpm.phase, MID(C839,SEARCH("-",C839)+1,256),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(_xlfn.XLOOKUP($C$7,site_assumptions[Details],site_assumptions[Volts])*SUMIFS(P839:AA839,_xlfn.ANCHORARRAY(D839),TRUE)/10*0.95)/1000,
IFERROR(IF(_xlpm.phase="3Phase", _xlpm.p3_calc, _xlpm.sp_calc),0))</f>
        <v>0</v>
      </c>
      <c r="AD839" s="29"/>
      <c r="AE839" s="30"/>
      <c r="AF839" s="30"/>
      <c r="AG839" s="30"/>
      <c r="AH839" s="31"/>
      <c r="AI839" s="49">
        <f t="shared" si="26"/>
        <v>0</v>
      </c>
      <c r="AJ839" s="71"/>
    </row>
    <row r="840" spans="2:36" x14ac:dyDescent="0.25">
      <c r="B840" s="29"/>
      <c r="C840" s="10" t="s">
        <v>2070</v>
      </c>
      <c r="D840" s="2" t="b" cm="1">
        <f t="array" ref="D840:O840">_xlfn._xlws.FILTER(IF(ancillary!$E$4:$P$8="",FALSE,ancillary!$E$4:$P$8),ancillary!$B$4:$B$8=$C840)</f>
        <v>1</v>
      </c>
      <c r="E840" s="2" t="b">
        <v>1</v>
      </c>
      <c r="F840" s="2" t="b">
        <v>1</v>
      </c>
      <c r="G840" s="2" t="b">
        <v>1</v>
      </c>
      <c r="H840" s="2" t="b">
        <v>1</v>
      </c>
      <c r="I840" s="2" t="b">
        <v>1</v>
      </c>
      <c r="J840" s="2" t="b">
        <v>0</v>
      </c>
      <c r="K840" s="2" t="b">
        <v>0</v>
      </c>
      <c r="L840" s="2" t="b">
        <v>0</v>
      </c>
      <c r="M840" s="2" t="b">
        <v>0</v>
      </c>
      <c r="N840" s="2" t="b">
        <v>0</v>
      </c>
      <c r="O840" s="2" t="b">
        <v>0</v>
      </c>
      <c r="P840" s="68"/>
      <c r="R840" s="69"/>
      <c r="S840" s="68"/>
      <c r="U840" s="69"/>
      <c r="V840" s="68"/>
      <c r="X840" s="69"/>
      <c r="Y840" s="68"/>
      <c r="AA840" s="69"/>
      <c r="AB840" s="33">
        <f t="shared" si="25"/>
        <v>0</v>
      </c>
      <c r="AC840" s="45">
        <f>_xlfn.LET(_xlpm.ps_1,P840:R840, _xlpm.ps_2,S840:U840, _xlpm.ps_3,V840:X840, _xlpm.ps_4,Y840:AA840,
_xlpm.phase, MID(C840,SEARCH("-",C840)+1,256),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(_xlfn.XLOOKUP($C$7,site_assumptions[Details],site_assumptions[Volts])*SUMIFS(P840:AA840,_xlfn.ANCHORARRAY(D840),TRUE)/10*0.95)/1000,
IFERROR(IF(_xlpm.phase="3Phase", _xlpm.p3_calc, _xlpm.sp_calc),0))</f>
        <v>0</v>
      </c>
      <c r="AD840" s="29"/>
      <c r="AE840" s="30"/>
      <c r="AF840" s="30"/>
      <c r="AG840" s="30"/>
      <c r="AH840" s="31"/>
      <c r="AI840" s="49">
        <f t="shared" si="26"/>
        <v>0</v>
      </c>
      <c r="AJ840" s="71"/>
    </row>
    <row r="841" spans="2:36" x14ac:dyDescent="0.25">
      <c r="B841" s="29"/>
      <c r="C841" s="10" t="s">
        <v>2070</v>
      </c>
      <c r="D841" s="2" t="b" cm="1">
        <f t="array" ref="D841:O841">_xlfn._xlws.FILTER(IF(ancillary!$E$4:$P$8="",FALSE,ancillary!$E$4:$P$8),ancillary!$B$4:$B$8=$C841)</f>
        <v>1</v>
      </c>
      <c r="E841" s="2" t="b">
        <v>1</v>
      </c>
      <c r="F841" s="2" t="b">
        <v>1</v>
      </c>
      <c r="G841" s="2" t="b">
        <v>1</v>
      </c>
      <c r="H841" s="2" t="b">
        <v>1</v>
      </c>
      <c r="I841" s="2" t="b">
        <v>1</v>
      </c>
      <c r="J841" s="2" t="b">
        <v>0</v>
      </c>
      <c r="K841" s="2" t="b">
        <v>0</v>
      </c>
      <c r="L841" s="2" t="b">
        <v>0</v>
      </c>
      <c r="M841" s="2" t="b">
        <v>0</v>
      </c>
      <c r="N841" s="2" t="b">
        <v>0</v>
      </c>
      <c r="O841" s="2" t="b">
        <v>0</v>
      </c>
      <c r="P841" s="68"/>
      <c r="R841" s="69"/>
      <c r="S841" s="68"/>
      <c r="U841" s="69"/>
      <c r="V841" s="68"/>
      <c r="X841" s="69"/>
      <c r="Y841" s="68"/>
      <c r="AA841" s="69"/>
      <c r="AB841" s="33">
        <f t="shared" si="25"/>
        <v>0</v>
      </c>
      <c r="AC841" s="45">
        <f>_xlfn.LET(_xlpm.ps_1,P841:R841, _xlpm.ps_2,S841:U841, _xlpm.ps_3,V841:X841, _xlpm.ps_4,Y841:AA841,
_xlpm.phase, MID(C841,SEARCH("-",C841)+1,256),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(_xlfn.XLOOKUP($C$7,site_assumptions[Details],site_assumptions[Volts])*SUMIFS(P841:AA841,_xlfn.ANCHORARRAY(D841),TRUE)/10*0.95)/1000,
IFERROR(IF(_xlpm.phase="3Phase", _xlpm.p3_calc, _xlpm.sp_calc),0))</f>
        <v>0</v>
      </c>
      <c r="AD841" s="29"/>
      <c r="AE841" s="30"/>
      <c r="AF841" s="30"/>
      <c r="AG841" s="30"/>
      <c r="AH841" s="31"/>
      <c r="AI841" s="49">
        <f t="shared" si="26"/>
        <v>0</v>
      </c>
      <c r="AJ841" s="71"/>
    </row>
    <row r="842" spans="2:36" x14ac:dyDescent="0.25">
      <c r="B842" s="29"/>
      <c r="C842" s="10" t="s">
        <v>2070</v>
      </c>
      <c r="D842" s="2" t="b" cm="1">
        <f t="array" ref="D842:O842">_xlfn._xlws.FILTER(IF(ancillary!$E$4:$P$8="",FALSE,ancillary!$E$4:$P$8),ancillary!$B$4:$B$8=$C842)</f>
        <v>1</v>
      </c>
      <c r="E842" s="2" t="b">
        <v>1</v>
      </c>
      <c r="F842" s="2" t="b">
        <v>1</v>
      </c>
      <c r="G842" s="2" t="b">
        <v>1</v>
      </c>
      <c r="H842" s="2" t="b">
        <v>1</v>
      </c>
      <c r="I842" s="2" t="b">
        <v>1</v>
      </c>
      <c r="J842" s="2" t="b">
        <v>0</v>
      </c>
      <c r="K842" s="2" t="b">
        <v>0</v>
      </c>
      <c r="L842" s="2" t="b">
        <v>0</v>
      </c>
      <c r="M842" s="2" t="b">
        <v>0</v>
      </c>
      <c r="N842" s="2" t="b">
        <v>0</v>
      </c>
      <c r="O842" s="2" t="b">
        <v>0</v>
      </c>
      <c r="P842" s="68"/>
      <c r="R842" s="69"/>
      <c r="S842" s="68"/>
      <c r="U842" s="69"/>
      <c r="V842" s="68"/>
      <c r="X842" s="69"/>
      <c r="Y842" s="68"/>
      <c r="AA842" s="69"/>
      <c r="AB842" s="33">
        <f t="shared" si="25"/>
        <v>0</v>
      </c>
      <c r="AC842" s="45">
        <f>_xlfn.LET(_xlpm.ps_1,P842:R842, _xlpm.ps_2,S842:U842, _xlpm.ps_3,V842:X842, _xlpm.ps_4,Y842:AA842,
_xlpm.phase, MID(C842,SEARCH("-",C842)+1,256),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(_xlfn.XLOOKUP($C$7,site_assumptions[Details],site_assumptions[Volts])*SUMIFS(P842:AA842,_xlfn.ANCHORARRAY(D842),TRUE)/10*0.95)/1000,
IFERROR(IF(_xlpm.phase="3Phase", _xlpm.p3_calc, _xlpm.sp_calc),0))</f>
        <v>0</v>
      </c>
      <c r="AD842" s="29"/>
      <c r="AE842" s="30"/>
      <c r="AF842" s="30"/>
      <c r="AG842" s="30"/>
      <c r="AH842" s="31"/>
      <c r="AI842" s="49">
        <f t="shared" si="26"/>
        <v>0</v>
      </c>
      <c r="AJ842" s="71"/>
    </row>
    <row r="843" spans="2:36" x14ac:dyDescent="0.25">
      <c r="B843" s="29"/>
      <c r="C843" s="10" t="s">
        <v>2070</v>
      </c>
      <c r="D843" s="2" t="b" cm="1">
        <f t="array" ref="D843:O843">_xlfn._xlws.FILTER(IF(ancillary!$E$4:$P$8="",FALSE,ancillary!$E$4:$P$8),ancillary!$B$4:$B$8=$C843)</f>
        <v>1</v>
      </c>
      <c r="E843" s="2" t="b">
        <v>1</v>
      </c>
      <c r="F843" s="2" t="b">
        <v>1</v>
      </c>
      <c r="G843" s="2" t="b">
        <v>1</v>
      </c>
      <c r="H843" s="2" t="b">
        <v>1</v>
      </c>
      <c r="I843" s="2" t="b">
        <v>1</v>
      </c>
      <c r="J843" s="2" t="b">
        <v>0</v>
      </c>
      <c r="K843" s="2" t="b">
        <v>0</v>
      </c>
      <c r="L843" s="2" t="b">
        <v>0</v>
      </c>
      <c r="M843" s="2" t="b">
        <v>0</v>
      </c>
      <c r="N843" s="2" t="b">
        <v>0</v>
      </c>
      <c r="O843" s="2" t="b">
        <v>0</v>
      </c>
      <c r="P843" s="68"/>
      <c r="R843" s="69"/>
      <c r="S843" s="68"/>
      <c r="U843" s="69"/>
      <c r="V843" s="68"/>
      <c r="X843" s="69"/>
      <c r="Y843" s="68"/>
      <c r="AA843" s="69"/>
      <c r="AB843" s="33">
        <f t="shared" si="25"/>
        <v>0</v>
      </c>
      <c r="AC843" s="45">
        <f>_xlfn.LET(_xlpm.ps_1,P843:R843, _xlpm.ps_2,S843:U843, _xlpm.ps_3,V843:X843, _xlpm.ps_4,Y843:AA843,
_xlpm.phase, MID(C843,SEARCH("-",C843)+1,256),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(_xlfn.XLOOKUP($C$7,site_assumptions[Details],site_assumptions[Volts])*SUMIFS(P843:AA843,_xlfn.ANCHORARRAY(D843),TRUE)/10*0.95)/1000,
IFERROR(IF(_xlpm.phase="3Phase", _xlpm.p3_calc, _xlpm.sp_calc),0))</f>
        <v>0</v>
      </c>
      <c r="AD843" s="29"/>
      <c r="AE843" s="30"/>
      <c r="AF843" s="30"/>
      <c r="AG843" s="30"/>
      <c r="AH843" s="31"/>
      <c r="AI843" s="49">
        <f t="shared" si="26"/>
        <v>0</v>
      </c>
      <c r="AJ843" s="71"/>
    </row>
    <row r="844" spans="2:36" x14ac:dyDescent="0.25">
      <c r="B844" s="29"/>
      <c r="C844" s="10" t="s">
        <v>2070</v>
      </c>
      <c r="D844" s="2" t="b" cm="1">
        <f t="array" ref="D844:O844">_xlfn._xlws.FILTER(IF(ancillary!$E$4:$P$8="",FALSE,ancillary!$E$4:$P$8),ancillary!$B$4:$B$8=$C844)</f>
        <v>1</v>
      </c>
      <c r="E844" s="2" t="b">
        <v>1</v>
      </c>
      <c r="F844" s="2" t="b">
        <v>1</v>
      </c>
      <c r="G844" s="2" t="b">
        <v>1</v>
      </c>
      <c r="H844" s="2" t="b">
        <v>1</v>
      </c>
      <c r="I844" s="2" t="b">
        <v>1</v>
      </c>
      <c r="J844" s="2" t="b">
        <v>0</v>
      </c>
      <c r="K844" s="2" t="b">
        <v>0</v>
      </c>
      <c r="L844" s="2" t="b">
        <v>0</v>
      </c>
      <c r="M844" s="2" t="b">
        <v>0</v>
      </c>
      <c r="N844" s="2" t="b">
        <v>0</v>
      </c>
      <c r="O844" s="2" t="b">
        <v>0</v>
      </c>
      <c r="P844" s="68"/>
      <c r="R844" s="69"/>
      <c r="S844" s="68"/>
      <c r="U844" s="69"/>
      <c r="V844" s="68"/>
      <c r="X844" s="69"/>
      <c r="Y844" s="68"/>
      <c r="AA844" s="69"/>
      <c r="AB844" s="33">
        <f t="shared" si="25"/>
        <v>0</v>
      </c>
      <c r="AC844" s="45">
        <f>_xlfn.LET(_xlpm.ps_1,P844:R844, _xlpm.ps_2,S844:U844, _xlpm.ps_3,V844:X844, _xlpm.ps_4,Y844:AA844,
_xlpm.phase, MID(C844,SEARCH("-",C844)+1,256),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(_xlfn.XLOOKUP($C$7,site_assumptions[Details],site_assumptions[Volts])*SUMIFS(P844:AA844,_xlfn.ANCHORARRAY(D844),TRUE)/10*0.95)/1000,
IFERROR(IF(_xlpm.phase="3Phase", _xlpm.p3_calc, _xlpm.sp_calc),0))</f>
        <v>0</v>
      </c>
      <c r="AD844" s="29"/>
      <c r="AE844" s="30"/>
      <c r="AF844" s="30"/>
      <c r="AG844" s="30"/>
      <c r="AH844" s="31"/>
      <c r="AI844" s="49">
        <f t="shared" si="26"/>
        <v>0</v>
      </c>
      <c r="AJ844" s="71"/>
    </row>
    <row r="845" spans="2:36" x14ac:dyDescent="0.25">
      <c r="B845" s="29"/>
      <c r="C845" s="10" t="s">
        <v>2070</v>
      </c>
      <c r="D845" s="2" t="b" cm="1">
        <f t="array" ref="D845:O845">_xlfn._xlws.FILTER(IF(ancillary!$E$4:$P$8="",FALSE,ancillary!$E$4:$P$8),ancillary!$B$4:$B$8=$C845)</f>
        <v>1</v>
      </c>
      <c r="E845" s="2" t="b">
        <v>1</v>
      </c>
      <c r="F845" s="2" t="b">
        <v>1</v>
      </c>
      <c r="G845" s="2" t="b">
        <v>1</v>
      </c>
      <c r="H845" s="2" t="b">
        <v>1</v>
      </c>
      <c r="I845" s="2" t="b">
        <v>1</v>
      </c>
      <c r="J845" s="2" t="b">
        <v>0</v>
      </c>
      <c r="K845" s="2" t="b">
        <v>0</v>
      </c>
      <c r="L845" s="2" t="b">
        <v>0</v>
      </c>
      <c r="M845" s="2" t="b">
        <v>0</v>
      </c>
      <c r="N845" s="2" t="b">
        <v>0</v>
      </c>
      <c r="O845" s="2" t="b">
        <v>0</v>
      </c>
      <c r="P845" s="68"/>
      <c r="R845" s="69"/>
      <c r="S845" s="68"/>
      <c r="U845" s="69"/>
      <c r="V845" s="68"/>
      <c r="X845" s="69"/>
      <c r="Y845" s="68"/>
      <c r="AA845" s="69"/>
      <c r="AB845" s="33">
        <f t="shared" si="25"/>
        <v>0</v>
      </c>
      <c r="AC845" s="45">
        <f>_xlfn.LET(_xlpm.ps_1,P845:R845, _xlpm.ps_2,S845:U845, _xlpm.ps_3,V845:X845, _xlpm.ps_4,Y845:AA845,
_xlpm.phase, MID(C845,SEARCH("-",C845)+1,256),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(_xlfn.XLOOKUP($C$7,site_assumptions[Details],site_assumptions[Volts])*SUMIFS(P845:AA845,_xlfn.ANCHORARRAY(D845),TRUE)/10*0.95)/1000,
IFERROR(IF(_xlpm.phase="3Phase", _xlpm.p3_calc, _xlpm.sp_calc),0))</f>
        <v>0</v>
      </c>
      <c r="AD845" s="29"/>
      <c r="AE845" s="30"/>
      <c r="AF845" s="30"/>
      <c r="AG845" s="30"/>
      <c r="AH845" s="31"/>
      <c r="AI845" s="49">
        <f t="shared" si="26"/>
        <v>0</v>
      </c>
      <c r="AJ845" s="71"/>
    </row>
    <row r="846" spans="2:36" x14ac:dyDescent="0.25">
      <c r="B846" s="29"/>
      <c r="C846" s="10" t="s">
        <v>2070</v>
      </c>
      <c r="D846" s="2" t="b" cm="1">
        <f t="array" ref="D846:O846">_xlfn._xlws.FILTER(IF(ancillary!$E$4:$P$8="",FALSE,ancillary!$E$4:$P$8),ancillary!$B$4:$B$8=$C846)</f>
        <v>1</v>
      </c>
      <c r="E846" s="2" t="b">
        <v>1</v>
      </c>
      <c r="F846" s="2" t="b">
        <v>1</v>
      </c>
      <c r="G846" s="2" t="b">
        <v>1</v>
      </c>
      <c r="H846" s="2" t="b">
        <v>1</v>
      </c>
      <c r="I846" s="2" t="b">
        <v>1</v>
      </c>
      <c r="J846" s="2" t="b">
        <v>0</v>
      </c>
      <c r="K846" s="2" t="b">
        <v>0</v>
      </c>
      <c r="L846" s="2" t="b">
        <v>0</v>
      </c>
      <c r="M846" s="2" t="b">
        <v>0</v>
      </c>
      <c r="N846" s="2" t="b">
        <v>0</v>
      </c>
      <c r="O846" s="2" t="b">
        <v>0</v>
      </c>
      <c r="P846" s="68"/>
      <c r="R846" s="69"/>
      <c r="S846" s="68"/>
      <c r="U846" s="69"/>
      <c r="V846" s="68"/>
      <c r="X846" s="69"/>
      <c r="Y846" s="68"/>
      <c r="AA846" s="69"/>
      <c r="AB846" s="33">
        <f t="shared" ref="AB846:AB909" si="27">IFERROR(AVERAGEIFS(P846:AA846,_xlfn.ANCHORARRAY(D846),TRUE),0)/10</f>
        <v>0</v>
      </c>
      <c r="AC846" s="45">
        <f>_xlfn.LET(_xlpm.ps_1,P846:R846, _xlpm.ps_2,S846:U846, _xlpm.ps_3,V846:X846, _xlpm.ps_4,Y846:AA846,
_xlpm.phase, MID(C846,SEARCH("-",C846)+1,256),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(_xlfn.XLOOKUP($C$7,site_assumptions[Details],site_assumptions[Volts])*SUMIFS(P846:AA846,_xlfn.ANCHORARRAY(D846),TRUE)/10*0.95)/1000,
IFERROR(IF(_xlpm.phase="3Phase", _xlpm.p3_calc, _xlpm.sp_calc),0))</f>
        <v>0</v>
      </c>
      <c r="AD846" s="29"/>
      <c r="AE846" s="30"/>
      <c r="AF846" s="30"/>
      <c r="AG846" s="30"/>
      <c r="AH846" s="31"/>
      <c r="AI846" s="49">
        <f t="shared" si="26"/>
        <v>0</v>
      </c>
      <c r="AJ846" s="71"/>
    </row>
    <row r="847" spans="2:36" x14ac:dyDescent="0.25">
      <c r="B847" s="29"/>
      <c r="C847" s="10" t="s">
        <v>2070</v>
      </c>
      <c r="D847" s="2" t="b" cm="1">
        <f t="array" ref="D847:O847">_xlfn._xlws.FILTER(IF(ancillary!$E$4:$P$8="",FALSE,ancillary!$E$4:$P$8),ancillary!$B$4:$B$8=$C847)</f>
        <v>1</v>
      </c>
      <c r="E847" s="2" t="b">
        <v>1</v>
      </c>
      <c r="F847" s="2" t="b">
        <v>1</v>
      </c>
      <c r="G847" s="2" t="b">
        <v>1</v>
      </c>
      <c r="H847" s="2" t="b">
        <v>1</v>
      </c>
      <c r="I847" s="2" t="b">
        <v>1</v>
      </c>
      <c r="J847" s="2" t="b">
        <v>0</v>
      </c>
      <c r="K847" s="2" t="b">
        <v>0</v>
      </c>
      <c r="L847" s="2" t="b">
        <v>0</v>
      </c>
      <c r="M847" s="2" t="b">
        <v>0</v>
      </c>
      <c r="N847" s="2" t="b">
        <v>0</v>
      </c>
      <c r="O847" s="2" t="b">
        <v>0</v>
      </c>
      <c r="P847" s="68"/>
      <c r="R847" s="69"/>
      <c r="S847" s="68"/>
      <c r="U847" s="69"/>
      <c r="V847" s="68"/>
      <c r="X847" s="69"/>
      <c r="Y847" s="68"/>
      <c r="AA847" s="69"/>
      <c r="AB847" s="33">
        <f t="shared" si="27"/>
        <v>0</v>
      </c>
      <c r="AC847" s="45">
        <f>_xlfn.LET(_xlpm.ps_1,P847:R847, _xlpm.ps_2,S847:U847, _xlpm.ps_3,V847:X847, _xlpm.ps_4,Y847:AA847,
_xlpm.phase, MID(C847,SEARCH("-",C847)+1,256),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(_xlfn.XLOOKUP($C$7,site_assumptions[Details],site_assumptions[Volts])*SUMIFS(P847:AA847,_xlfn.ANCHORARRAY(D847),TRUE)/10*0.95)/1000,
IFERROR(IF(_xlpm.phase="3Phase", _xlpm.p3_calc, _xlpm.sp_calc),0))</f>
        <v>0</v>
      </c>
      <c r="AD847" s="29"/>
      <c r="AE847" s="30"/>
      <c r="AF847" s="30"/>
      <c r="AG847" s="30"/>
      <c r="AH847" s="31"/>
      <c r="AI847" s="49">
        <f t="shared" si="26"/>
        <v>0</v>
      </c>
      <c r="AJ847" s="71"/>
    </row>
    <row r="848" spans="2:36" x14ac:dyDescent="0.25">
      <c r="B848" s="29"/>
      <c r="C848" s="10" t="s">
        <v>2070</v>
      </c>
      <c r="D848" s="2" t="b" cm="1">
        <f t="array" ref="D848:O848">_xlfn._xlws.FILTER(IF(ancillary!$E$4:$P$8="",FALSE,ancillary!$E$4:$P$8),ancillary!$B$4:$B$8=$C848)</f>
        <v>1</v>
      </c>
      <c r="E848" s="2" t="b">
        <v>1</v>
      </c>
      <c r="F848" s="2" t="b">
        <v>1</v>
      </c>
      <c r="G848" s="2" t="b">
        <v>1</v>
      </c>
      <c r="H848" s="2" t="b">
        <v>1</v>
      </c>
      <c r="I848" s="2" t="b">
        <v>1</v>
      </c>
      <c r="J848" s="2" t="b">
        <v>0</v>
      </c>
      <c r="K848" s="2" t="b">
        <v>0</v>
      </c>
      <c r="L848" s="2" t="b">
        <v>0</v>
      </c>
      <c r="M848" s="2" t="b">
        <v>0</v>
      </c>
      <c r="N848" s="2" t="b">
        <v>0</v>
      </c>
      <c r="O848" s="2" t="b">
        <v>0</v>
      </c>
      <c r="P848" s="68"/>
      <c r="R848" s="69"/>
      <c r="S848" s="68"/>
      <c r="U848" s="69"/>
      <c r="V848" s="68"/>
      <c r="X848" s="69"/>
      <c r="Y848" s="68"/>
      <c r="AA848" s="69"/>
      <c r="AB848" s="33">
        <f t="shared" si="27"/>
        <v>0</v>
      </c>
      <c r="AC848" s="45">
        <f>_xlfn.LET(_xlpm.ps_1,P848:R848, _xlpm.ps_2,S848:U848, _xlpm.ps_3,V848:X848, _xlpm.ps_4,Y848:AA848,
_xlpm.phase, MID(C848,SEARCH("-",C848)+1,256),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(_xlfn.XLOOKUP($C$7,site_assumptions[Details],site_assumptions[Volts])*SUMIFS(P848:AA848,_xlfn.ANCHORARRAY(D848),TRUE)/10*0.95)/1000,
IFERROR(IF(_xlpm.phase="3Phase", _xlpm.p3_calc, _xlpm.sp_calc),0))</f>
        <v>0</v>
      </c>
      <c r="AD848" s="29"/>
      <c r="AE848" s="30"/>
      <c r="AF848" s="30"/>
      <c r="AG848" s="30"/>
      <c r="AH848" s="31"/>
      <c r="AI848" s="49">
        <f t="shared" si="26"/>
        <v>0</v>
      </c>
      <c r="AJ848" s="71"/>
    </row>
    <row r="849" spans="2:36" x14ac:dyDescent="0.25">
      <c r="B849" s="29"/>
      <c r="C849" s="10" t="s">
        <v>2070</v>
      </c>
      <c r="D849" s="2" t="b" cm="1">
        <f t="array" ref="D849:O849">_xlfn._xlws.FILTER(IF(ancillary!$E$4:$P$8="",FALSE,ancillary!$E$4:$P$8),ancillary!$B$4:$B$8=$C849)</f>
        <v>1</v>
      </c>
      <c r="E849" s="2" t="b">
        <v>1</v>
      </c>
      <c r="F849" s="2" t="b">
        <v>1</v>
      </c>
      <c r="G849" s="2" t="b">
        <v>1</v>
      </c>
      <c r="H849" s="2" t="b">
        <v>1</v>
      </c>
      <c r="I849" s="2" t="b">
        <v>1</v>
      </c>
      <c r="J849" s="2" t="b">
        <v>0</v>
      </c>
      <c r="K849" s="2" t="b">
        <v>0</v>
      </c>
      <c r="L849" s="2" t="b">
        <v>0</v>
      </c>
      <c r="M849" s="2" t="b">
        <v>0</v>
      </c>
      <c r="N849" s="2" t="b">
        <v>0</v>
      </c>
      <c r="O849" s="2" t="b">
        <v>0</v>
      </c>
      <c r="P849" s="68"/>
      <c r="R849" s="69"/>
      <c r="S849" s="68"/>
      <c r="U849" s="69"/>
      <c r="V849" s="68"/>
      <c r="X849" s="69"/>
      <c r="Y849" s="68"/>
      <c r="AA849" s="69"/>
      <c r="AB849" s="33">
        <f t="shared" si="27"/>
        <v>0</v>
      </c>
      <c r="AC849" s="45">
        <f>_xlfn.LET(_xlpm.ps_1,P849:R849, _xlpm.ps_2,S849:U849, _xlpm.ps_3,V849:X849, _xlpm.ps_4,Y849:AA849,
_xlpm.phase, MID(C849,SEARCH("-",C849)+1,256),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(_xlfn.XLOOKUP($C$7,site_assumptions[Details],site_assumptions[Volts])*SUMIFS(P849:AA849,_xlfn.ANCHORARRAY(D849),TRUE)/10*0.95)/1000,
IFERROR(IF(_xlpm.phase="3Phase", _xlpm.p3_calc, _xlpm.sp_calc),0))</f>
        <v>0</v>
      </c>
      <c r="AD849" s="29"/>
      <c r="AE849" s="30"/>
      <c r="AF849" s="30"/>
      <c r="AG849" s="30"/>
      <c r="AH849" s="31"/>
      <c r="AI849" s="49">
        <f t="shared" si="26"/>
        <v>0</v>
      </c>
      <c r="AJ849" s="71"/>
    </row>
    <row r="850" spans="2:36" x14ac:dyDescent="0.25">
      <c r="B850" s="29"/>
      <c r="C850" s="10" t="s">
        <v>2070</v>
      </c>
      <c r="D850" s="2" t="b" cm="1">
        <f t="array" ref="D850:O850">_xlfn._xlws.FILTER(IF(ancillary!$E$4:$P$8="",FALSE,ancillary!$E$4:$P$8),ancillary!$B$4:$B$8=$C850)</f>
        <v>1</v>
      </c>
      <c r="E850" s="2" t="b">
        <v>1</v>
      </c>
      <c r="F850" s="2" t="b">
        <v>1</v>
      </c>
      <c r="G850" s="2" t="b">
        <v>1</v>
      </c>
      <c r="H850" s="2" t="b">
        <v>1</v>
      </c>
      <c r="I850" s="2" t="b">
        <v>1</v>
      </c>
      <c r="J850" s="2" t="b">
        <v>0</v>
      </c>
      <c r="K850" s="2" t="b">
        <v>0</v>
      </c>
      <c r="L850" s="2" t="b">
        <v>0</v>
      </c>
      <c r="M850" s="2" t="b">
        <v>0</v>
      </c>
      <c r="N850" s="2" t="b">
        <v>0</v>
      </c>
      <c r="O850" s="2" t="b">
        <v>0</v>
      </c>
      <c r="P850" s="68"/>
      <c r="R850" s="69"/>
      <c r="S850" s="68"/>
      <c r="U850" s="69"/>
      <c r="V850" s="68"/>
      <c r="X850" s="69"/>
      <c r="Y850" s="68"/>
      <c r="AA850" s="69"/>
      <c r="AB850" s="33">
        <f t="shared" si="27"/>
        <v>0</v>
      </c>
      <c r="AC850" s="45">
        <f>_xlfn.LET(_xlpm.ps_1,P850:R850, _xlpm.ps_2,S850:U850, _xlpm.ps_3,V850:X850, _xlpm.ps_4,Y850:AA850,
_xlpm.phase, MID(C850,SEARCH("-",C850)+1,256),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(_xlfn.XLOOKUP($C$7,site_assumptions[Details],site_assumptions[Volts])*SUMIFS(P850:AA850,_xlfn.ANCHORARRAY(D850),TRUE)/10*0.95)/1000,
IFERROR(IF(_xlpm.phase="3Phase", _xlpm.p3_calc, _xlpm.sp_calc),0))</f>
        <v>0</v>
      </c>
      <c r="AD850" s="29"/>
      <c r="AE850" s="30"/>
      <c r="AF850" s="30"/>
      <c r="AG850" s="30"/>
      <c r="AH850" s="31"/>
      <c r="AI850" s="49">
        <f t="shared" si="26"/>
        <v>0</v>
      </c>
      <c r="AJ850" s="71"/>
    </row>
    <row r="851" spans="2:36" x14ac:dyDescent="0.25">
      <c r="B851" s="29"/>
      <c r="C851" s="10" t="s">
        <v>2070</v>
      </c>
      <c r="D851" s="2" t="b" cm="1">
        <f t="array" ref="D851:O851">_xlfn._xlws.FILTER(IF(ancillary!$E$4:$P$8="",FALSE,ancillary!$E$4:$P$8),ancillary!$B$4:$B$8=$C851)</f>
        <v>1</v>
      </c>
      <c r="E851" s="2" t="b">
        <v>1</v>
      </c>
      <c r="F851" s="2" t="b">
        <v>1</v>
      </c>
      <c r="G851" s="2" t="b">
        <v>1</v>
      </c>
      <c r="H851" s="2" t="b">
        <v>1</v>
      </c>
      <c r="I851" s="2" t="b">
        <v>1</v>
      </c>
      <c r="J851" s="2" t="b">
        <v>0</v>
      </c>
      <c r="K851" s="2" t="b">
        <v>0</v>
      </c>
      <c r="L851" s="2" t="b">
        <v>0</v>
      </c>
      <c r="M851" s="2" t="b">
        <v>0</v>
      </c>
      <c r="N851" s="2" t="b">
        <v>0</v>
      </c>
      <c r="O851" s="2" t="b">
        <v>0</v>
      </c>
      <c r="P851" s="68"/>
      <c r="R851" s="69"/>
      <c r="S851" s="68"/>
      <c r="U851" s="69"/>
      <c r="V851" s="68"/>
      <c r="X851" s="69"/>
      <c r="Y851" s="68"/>
      <c r="AA851" s="69"/>
      <c r="AB851" s="33">
        <f t="shared" si="27"/>
        <v>0</v>
      </c>
      <c r="AC851" s="45">
        <f>_xlfn.LET(_xlpm.ps_1,P851:R851, _xlpm.ps_2,S851:U851, _xlpm.ps_3,V851:X851, _xlpm.ps_4,Y851:AA851,
_xlpm.phase, MID(C851,SEARCH("-",C851)+1,256),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(_xlfn.XLOOKUP($C$7,site_assumptions[Details],site_assumptions[Volts])*SUMIFS(P851:AA851,_xlfn.ANCHORARRAY(D851),TRUE)/10*0.95)/1000,
IFERROR(IF(_xlpm.phase="3Phase", _xlpm.p3_calc, _xlpm.sp_calc),0))</f>
        <v>0</v>
      </c>
      <c r="AD851" s="29"/>
      <c r="AE851" s="30"/>
      <c r="AF851" s="30"/>
      <c r="AG851" s="30"/>
      <c r="AH851" s="31"/>
      <c r="AI851" s="49">
        <f t="shared" si="26"/>
        <v>0</v>
      </c>
      <c r="AJ851" s="71"/>
    </row>
    <row r="852" spans="2:36" x14ac:dyDescent="0.25">
      <c r="B852" s="29"/>
      <c r="C852" s="10" t="s">
        <v>2070</v>
      </c>
      <c r="D852" s="2" t="b" cm="1">
        <f t="array" ref="D852:O852">_xlfn._xlws.FILTER(IF(ancillary!$E$4:$P$8="",FALSE,ancillary!$E$4:$P$8),ancillary!$B$4:$B$8=$C852)</f>
        <v>1</v>
      </c>
      <c r="E852" s="2" t="b">
        <v>1</v>
      </c>
      <c r="F852" s="2" t="b">
        <v>1</v>
      </c>
      <c r="G852" s="2" t="b">
        <v>1</v>
      </c>
      <c r="H852" s="2" t="b">
        <v>1</v>
      </c>
      <c r="I852" s="2" t="b">
        <v>1</v>
      </c>
      <c r="J852" s="2" t="b">
        <v>0</v>
      </c>
      <c r="K852" s="2" t="b">
        <v>0</v>
      </c>
      <c r="L852" s="2" t="b">
        <v>0</v>
      </c>
      <c r="M852" s="2" t="b">
        <v>0</v>
      </c>
      <c r="N852" s="2" t="b">
        <v>0</v>
      </c>
      <c r="O852" s="2" t="b">
        <v>0</v>
      </c>
      <c r="P852" s="68"/>
      <c r="R852" s="69"/>
      <c r="S852" s="68"/>
      <c r="U852" s="69"/>
      <c r="V852" s="68"/>
      <c r="X852" s="69"/>
      <c r="Y852" s="68"/>
      <c r="AA852" s="69"/>
      <c r="AB852" s="33">
        <f t="shared" si="27"/>
        <v>0</v>
      </c>
      <c r="AC852" s="45">
        <f>_xlfn.LET(_xlpm.ps_1,P852:R852, _xlpm.ps_2,S852:U852, _xlpm.ps_3,V852:X852, _xlpm.ps_4,Y852:AA852,
_xlpm.phase, MID(C852,SEARCH("-",C852)+1,256),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(_xlfn.XLOOKUP($C$7,site_assumptions[Details],site_assumptions[Volts])*SUMIFS(P852:AA852,_xlfn.ANCHORARRAY(D852),TRUE)/10*0.95)/1000,
IFERROR(IF(_xlpm.phase="3Phase", _xlpm.p3_calc, _xlpm.sp_calc),0))</f>
        <v>0</v>
      </c>
      <c r="AD852" s="29"/>
      <c r="AE852" s="30"/>
      <c r="AF852" s="30"/>
      <c r="AG852" s="30"/>
      <c r="AH852" s="31"/>
      <c r="AI852" s="49">
        <f t="shared" si="26"/>
        <v>0</v>
      </c>
      <c r="AJ852" s="71"/>
    </row>
    <row r="853" spans="2:36" x14ac:dyDescent="0.25">
      <c r="B853" s="29"/>
      <c r="C853" s="10" t="s">
        <v>2070</v>
      </c>
      <c r="D853" s="2" t="b" cm="1">
        <f t="array" ref="D853:O853">_xlfn._xlws.FILTER(IF(ancillary!$E$4:$P$8="",FALSE,ancillary!$E$4:$P$8),ancillary!$B$4:$B$8=$C853)</f>
        <v>1</v>
      </c>
      <c r="E853" s="2" t="b">
        <v>1</v>
      </c>
      <c r="F853" s="2" t="b">
        <v>1</v>
      </c>
      <c r="G853" s="2" t="b">
        <v>1</v>
      </c>
      <c r="H853" s="2" t="b">
        <v>1</v>
      </c>
      <c r="I853" s="2" t="b">
        <v>1</v>
      </c>
      <c r="J853" s="2" t="b">
        <v>0</v>
      </c>
      <c r="K853" s="2" t="b">
        <v>0</v>
      </c>
      <c r="L853" s="2" t="b">
        <v>0</v>
      </c>
      <c r="M853" s="2" t="b">
        <v>0</v>
      </c>
      <c r="N853" s="2" t="b">
        <v>0</v>
      </c>
      <c r="O853" s="2" t="b">
        <v>0</v>
      </c>
      <c r="P853" s="68"/>
      <c r="R853" s="69"/>
      <c r="S853" s="68"/>
      <c r="U853" s="69"/>
      <c r="V853" s="68"/>
      <c r="X853" s="69"/>
      <c r="Y853" s="68"/>
      <c r="AA853" s="69"/>
      <c r="AB853" s="33">
        <f t="shared" si="27"/>
        <v>0</v>
      </c>
      <c r="AC853" s="45">
        <f>_xlfn.LET(_xlpm.ps_1,P853:R853, _xlpm.ps_2,S853:U853, _xlpm.ps_3,V853:X853, _xlpm.ps_4,Y853:AA853,
_xlpm.phase, MID(C853,SEARCH("-",C853)+1,256),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(_xlfn.XLOOKUP($C$7,site_assumptions[Details],site_assumptions[Volts])*SUMIFS(P853:AA853,_xlfn.ANCHORARRAY(D853),TRUE)/10*0.95)/1000,
IFERROR(IF(_xlpm.phase="3Phase", _xlpm.p3_calc, _xlpm.sp_calc),0))</f>
        <v>0</v>
      </c>
      <c r="AD853" s="29"/>
      <c r="AE853" s="30"/>
      <c r="AF853" s="30"/>
      <c r="AG853" s="30"/>
      <c r="AH853" s="31"/>
      <c r="AI853" s="49">
        <f t="shared" si="26"/>
        <v>0</v>
      </c>
      <c r="AJ853" s="71"/>
    </row>
    <row r="854" spans="2:36" x14ac:dyDescent="0.25">
      <c r="B854" s="29"/>
      <c r="C854" s="10" t="s">
        <v>2070</v>
      </c>
      <c r="D854" s="2" t="b" cm="1">
        <f t="array" ref="D854:O854">_xlfn._xlws.FILTER(IF(ancillary!$E$4:$P$8="",FALSE,ancillary!$E$4:$P$8),ancillary!$B$4:$B$8=$C854)</f>
        <v>1</v>
      </c>
      <c r="E854" s="2" t="b">
        <v>1</v>
      </c>
      <c r="F854" s="2" t="b">
        <v>1</v>
      </c>
      <c r="G854" s="2" t="b">
        <v>1</v>
      </c>
      <c r="H854" s="2" t="b">
        <v>1</v>
      </c>
      <c r="I854" s="2" t="b">
        <v>1</v>
      </c>
      <c r="J854" s="2" t="b">
        <v>0</v>
      </c>
      <c r="K854" s="2" t="b">
        <v>0</v>
      </c>
      <c r="L854" s="2" t="b">
        <v>0</v>
      </c>
      <c r="M854" s="2" t="b">
        <v>0</v>
      </c>
      <c r="N854" s="2" t="b">
        <v>0</v>
      </c>
      <c r="O854" s="2" t="b">
        <v>0</v>
      </c>
      <c r="P854" s="68"/>
      <c r="R854" s="69"/>
      <c r="S854" s="68"/>
      <c r="U854" s="69"/>
      <c r="V854" s="68"/>
      <c r="X854" s="69"/>
      <c r="Y854" s="68"/>
      <c r="AA854" s="69"/>
      <c r="AB854" s="33">
        <f t="shared" si="27"/>
        <v>0</v>
      </c>
      <c r="AC854" s="45">
        <f>_xlfn.LET(_xlpm.ps_1,P854:R854, _xlpm.ps_2,S854:U854, _xlpm.ps_3,V854:X854, _xlpm.ps_4,Y854:AA854,
_xlpm.phase, MID(C854,SEARCH("-",C854)+1,256),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(_xlfn.XLOOKUP($C$7,site_assumptions[Details],site_assumptions[Volts])*SUMIFS(P854:AA854,_xlfn.ANCHORARRAY(D854),TRUE)/10*0.95)/1000,
IFERROR(IF(_xlpm.phase="3Phase", _xlpm.p3_calc, _xlpm.sp_calc),0))</f>
        <v>0</v>
      </c>
      <c r="AD854" s="29"/>
      <c r="AE854" s="30"/>
      <c r="AF854" s="30"/>
      <c r="AG854" s="30"/>
      <c r="AH854" s="31"/>
      <c r="AI854" s="49">
        <f t="shared" si="26"/>
        <v>0</v>
      </c>
      <c r="AJ854" s="71"/>
    </row>
    <row r="855" spans="2:36" x14ac:dyDescent="0.25">
      <c r="B855" s="29"/>
      <c r="C855" s="10" t="s">
        <v>2070</v>
      </c>
      <c r="D855" s="2" t="b" cm="1">
        <f t="array" ref="D855:O855">_xlfn._xlws.FILTER(IF(ancillary!$E$4:$P$8="",FALSE,ancillary!$E$4:$P$8),ancillary!$B$4:$B$8=$C855)</f>
        <v>1</v>
      </c>
      <c r="E855" s="2" t="b">
        <v>1</v>
      </c>
      <c r="F855" s="2" t="b">
        <v>1</v>
      </c>
      <c r="G855" s="2" t="b">
        <v>1</v>
      </c>
      <c r="H855" s="2" t="b">
        <v>1</v>
      </c>
      <c r="I855" s="2" t="b">
        <v>1</v>
      </c>
      <c r="J855" s="2" t="b">
        <v>0</v>
      </c>
      <c r="K855" s="2" t="b">
        <v>0</v>
      </c>
      <c r="L855" s="2" t="b">
        <v>0</v>
      </c>
      <c r="M855" s="2" t="b">
        <v>0</v>
      </c>
      <c r="N855" s="2" t="b">
        <v>0</v>
      </c>
      <c r="O855" s="2" t="b">
        <v>0</v>
      </c>
      <c r="P855" s="68"/>
      <c r="R855" s="69"/>
      <c r="S855" s="68"/>
      <c r="U855" s="69"/>
      <c r="V855" s="68"/>
      <c r="X855" s="69"/>
      <c r="Y855" s="68"/>
      <c r="AA855" s="69"/>
      <c r="AB855" s="33">
        <f t="shared" si="27"/>
        <v>0</v>
      </c>
      <c r="AC855" s="45">
        <f>_xlfn.LET(_xlpm.ps_1,P855:R855, _xlpm.ps_2,S855:U855, _xlpm.ps_3,V855:X855, _xlpm.ps_4,Y855:AA855,
_xlpm.phase, MID(C855,SEARCH("-",C855)+1,256),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(_xlfn.XLOOKUP($C$7,site_assumptions[Details],site_assumptions[Volts])*SUMIFS(P855:AA855,_xlfn.ANCHORARRAY(D855),TRUE)/10*0.95)/1000,
IFERROR(IF(_xlpm.phase="3Phase", _xlpm.p3_calc, _xlpm.sp_calc),0))</f>
        <v>0</v>
      </c>
      <c r="AD855" s="29"/>
      <c r="AE855" s="30"/>
      <c r="AF855" s="30"/>
      <c r="AG855" s="30"/>
      <c r="AH855" s="31"/>
      <c r="AI855" s="49">
        <f t="shared" si="26"/>
        <v>0</v>
      </c>
      <c r="AJ855" s="71"/>
    </row>
    <row r="856" spans="2:36" x14ac:dyDescent="0.25">
      <c r="B856" s="29"/>
      <c r="C856" s="10" t="s">
        <v>2070</v>
      </c>
      <c r="D856" s="2" t="b" cm="1">
        <f t="array" ref="D856:O856">_xlfn._xlws.FILTER(IF(ancillary!$E$4:$P$8="",FALSE,ancillary!$E$4:$P$8),ancillary!$B$4:$B$8=$C856)</f>
        <v>1</v>
      </c>
      <c r="E856" s="2" t="b">
        <v>1</v>
      </c>
      <c r="F856" s="2" t="b">
        <v>1</v>
      </c>
      <c r="G856" s="2" t="b">
        <v>1</v>
      </c>
      <c r="H856" s="2" t="b">
        <v>1</v>
      </c>
      <c r="I856" s="2" t="b">
        <v>1</v>
      </c>
      <c r="J856" s="2" t="b">
        <v>0</v>
      </c>
      <c r="K856" s="2" t="b">
        <v>0</v>
      </c>
      <c r="L856" s="2" t="b">
        <v>0</v>
      </c>
      <c r="M856" s="2" t="b">
        <v>0</v>
      </c>
      <c r="N856" s="2" t="b">
        <v>0</v>
      </c>
      <c r="O856" s="2" t="b">
        <v>0</v>
      </c>
      <c r="P856" s="68"/>
      <c r="R856" s="69"/>
      <c r="S856" s="68"/>
      <c r="U856" s="69"/>
      <c r="V856" s="68"/>
      <c r="X856" s="69"/>
      <c r="Y856" s="68"/>
      <c r="AA856" s="69"/>
      <c r="AB856" s="33">
        <f t="shared" si="27"/>
        <v>0</v>
      </c>
      <c r="AC856" s="45">
        <f>_xlfn.LET(_xlpm.ps_1,P856:R856, _xlpm.ps_2,S856:U856, _xlpm.ps_3,V856:X856, _xlpm.ps_4,Y856:AA856,
_xlpm.phase, MID(C856,SEARCH("-",C856)+1,256),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(_xlfn.XLOOKUP($C$7,site_assumptions[Details],site_assumptions[Volts])*SUMIFS(P856:AA856,_xlfn.ANCHORARRAY(D856),TRUE)/10*0.95)/1000,
IFERROR(IF(_xlpm.phase="3Phase", _xlpm.p3_calc, _xlpm.sp_calc),0))</f>
        <v>0</v>
      </c>
      <c r="AD856" s="29"/>
      <c r="AE856" s="30"/>
      <c r="AF856" s="30"/>
      <c r="AG856" s="30"/>
      <c r="AH856" s="31"/>
      <c r="AI856" s="49">
        <f t="shared" si="26"/>
        <v>0</v>
      </c>
      <c r="AJ856" s="71"/>
    </row>
    <row r="857" spans="2:36" x14ac:dyDescent="0.25">
      <c r="B857" s="29"/>
      <c r="C857" s="10" t="s">
        <v>2070</v>
      </c>
      <c r="D857" s="2" t="b" cm="1">
        <f t="array" ref="D857:O857">_xlfn._xlws.FILTER(IF(ancillary!$E$4:$P$8="",FALSE,ancillary!$E$4:$P$8),ancillary!$B$4:$B$8=$C857)</f>
        <v>1</v>
      </c>
      <c r="E857" s="2" t="b">
        <v>1</v>
      </c>
      <c r="F857" s="2" t="b">
        <v>1</v>
      </c>
      <c r="G857" s="2" t="b">
        <v>1</v>
      </c>
      <c r="H857" s="2" t="b">
        <v>1</v>
      </c>
      <c r="I857" s="2" t="b">
        <v>1</v>
      </c>
      <c r="J857" s="2" t="b">
        <v>0</v>
      </c>
      <c r="K857" s="2" t="b">
        <v>0</v>
      </c>
      <c r="L857" s="2" t="b">
        <v>0</v>
      </c>
      <c r="M857" s="2" t="b">
        <v>0</v>
      </c>
      <c r="N857" s="2" t="b">
        <v>0</v>
      </c>
      <c r="O857" s="2" t="b">
        <v>0</v>
      </c>
      <c r="P857" s="68"/>
      <c r="R857" s="69"/>
      <c r="S857" s="68"/>
      <c r="U857" s="69"/>
      <c r="V857" s="68"/>
      <c r="X857" s="69"/>
      <c r="Y857" s="68"/>
      <c r="AA857" s="69"/>
      <c r="AB857" s="33">
        <f t="shared" si="27"/>
        <v>0</v>
      </c>
      <c r="AC857" s="45">
        <f>_xlfn.LET(_xlpm.ps_1,P857:R857, _xlpm.ps_2,S857:U857, _xlpm.ps_3,V857:X857, _xlpm.ps_4,Y857:AA857,
_xlpm.phase, MID(C857,SEARCH("-",C857)+1,256),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(_xlfn.XLOOKUP($C$7,site_assumptions[Details],site_assumptions[Volts])*SUMIFS(P857:AA857,_xlfn.ANCHORARRAY(D857),TRUE)/10*0.95)/1000,
IFERROR(IF(_xlpm.phase="3Phase", _xlpm.p3_calc, _xlpm.sp_calc),0))</f>
        <v>0</v>
      </c>
      <c r="AD857" s="29"/>
      <c r="AE857" s="30"/>
      <c r="AF857" s="30"/>
      <c r="AG857" s="30"/>
      <c r="AH857" s="31"/>
      <c r="AI857" s="49">
        <f t="shared" si="26"/>
        <v>0</v>
      </c>
      <c r="AJ857" s="71"/>
    </row>
    <row r="858" spans="2:36" x14ac:dyDescent="0.25">
      <c r="B858" s="29"/>
      <c r="C858" s="10" t="s">
        <v>2070</v>
      </c>
      <c r="D858" s="2" t="b" cm="1">
        <f t="array" ref="D858:O858">_xlfn._xlws.FILTER(IF(ancillary!$E$4:$P$8="",FALSE,ancillary!$E$4:$P$8),ancillary!$B$4:$B$8=$C858)</f>
        <v>1</v>
      </c>
      <c r="E858" s="2" t="b">
        <v>1</v>
      </c>
      <c r="F858" s="2" t="b">
        <v>1</v>
      </c>
      <c r="G858" s="2" t="b">
        <v>1</v>
      </c>
      <c r="H858" s="2" t="b">
        <v>1</v>
      </c>
      <c r="I858" s="2" t="b">
        <v>1</v>
      </c>
      <c r="J858" s="2" t="b">
        <v>0</v>
      </c>
      <c r="K858" s="2" t="b">
        <v>0</v>
      </c>
      <c r="L858" s="2" t="b">
        <v>0</v>
      </c>
      <c r="M858" s="2" t="b">
        <v>0</v>
      </c>
      <c r="N858" s="2" t="b">
        <v>0</v>
      </c>
      <c r="O858" s="2" t="b">
        <v>0</v>
      </c>
      <c r="P858" s="68"/>
      <c r="R858" s="69"/>
      <c r="S858" s="68"/>
      <c r="U858" s="69"/>
      <c r="V858" s="68"/>
      <c r="X858" s="69"/>
      <c r="Y858" s="68"/>
      <c r="AA858" s="69"/>
      <c r="AB858" s="33">
        <f t="shared" si="27"/>
        <v>0</v>
      </c>
      <c r="AC858" s="45">
        <f>_xlfn.LET(_xlpm.ps_1,P858:R858, _xlpm.ps_2,S858:U858, _xlpm.ps_3,V858:X858, _xlpm.ps_4,Y858:AA858,
_xlpm.phase, MID(C858,SEARCH("-",C858)+1,256),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(_xlfn.XLOOKUP($C$7,site_assumptions[Details],site_assumptions[Volts])*SUMIFS(P858:AA858,_xlfn.ANCHORARRAY(D858),TRUE)/10*0.95)/1000,
IFERROR(IF(_xlpm.phase="3Phase", _xlpm.p3_calc, _xlpm.sp_calc),0))</f>
        <v>0</v>
      </c>
      <c r="AD858" s="29"/>
      <c r="AE858" s="30"/>
      <c r="AF858" s="30"/>
      <c r="AG858" s="30"/>
      <c r="AH858" s="31"/>
      <c r="AI858" s="49">
        <f t="shared" si="26"/>
        <v>0</v>
      </c>
      <c r="AJ858" s="71"/>
    </row>
    <row r="859" spans="2:36" x14ac:dyDescent="0.25">
      <c r="B859" s="29"/>
      <c r="C859" s="10" t="s">
        <v>2070</v>
      </c>
      <c r="D859" s="2" t="b" cm="1">
        <f t="array" ref="D859:O859">_xlfn._xlws.FILTER(IF(ancillary!$E$4:$P$8="",FALSE,ancillary!$E$4:$P$8),ancillary!$B$4:$B$8=$C859)</f>
        <v>1</v>
      </c>
      <c r="E859" s="2" t="b">
        <v>1</v>
      </c>
      <c r="F859" s="2" t="b">
        <v>1</v>
      </c>
      <c r="G859" s="2" t="b">
        <v>1</v>
      </c>
      <c r="H859" s="2" t="b">
        <v>1</v>
      </c>
      <c r="I859" s="2" t="b">
        <v>1</v>
      </c>
      <c r="J859" s="2" t="b">
        <v>0</v>
      </c>
      <c r="K859" s="2" t="b">
        <v>0</v>
      </c>
      <c r="L859" s="2" t="b">
        <v>0</v>
      </c>
      <c r="M859" s="2" t="b">
        <v>0</v>
      </c>
      <c r="N859" s="2" t="b">
        <v>0</v>
      </c>
      <c r="O859" s="2" t="b">
        <v>0</v>
      </c>
      <c r="P859" s="68"/>
      <c r="R859" s="69"/>
      <c r="S859" s="68"/>
      <c r="U859" s="69"/>
      <c r="V859" s="68"/>
      <c r="X859" s="69"/>
      <c r="Y859" s="68"/>
      <c r="AA859" s="69"/>
      <c r="AB859" s="33">
        <f t="shared" si="27"/>
        <v>0</v>
      </c>
      <c r="AC859" s="45">
        <f>_xlfn.LET(_xlpm.ps_1,P859:R859, _xlpm.ps_2,S859:U859, _xlpm.ps_3,V859:X859, _xlpm.ps_4,Y859:AA859,
_xlpm.phase, MID(C859,SEARCH("-",C859)+1,256),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(_xlfn.XLOOKUP($C$7,site_assumptions[Details],site_assumptions[Volts])*SUMIFS(P859:AA859,_xlfn.ANCHORARRAY(D859),TRUE)/10*0.95)/1000,
IFERROR(IF(_xlpm.phase="3Phase", _xlpm.p3_calc, _xlpm.sp_calc),0))</f>
        <v>0</v>
      </c>
      <c r="AD859" s="29"/>
      <c r="AE859" s="30"/>
      <c r="AF859" s="30"/>
      <c r="AG859" s="30"/>
      <c r="AH859" s="31"/>
      <c r="AI859" s="49">
        <f t="shared" si="26"/>
        <v>0</v>
      </c>
      <c r="AJ859" s="71"/>
    </row>
    <row r="860" spans="2:36" x14ac:dyDescent="0.25">
      <c r="B860" s="29"/>
      <c r="C860" s="10" t="s">
        <v>2070</v>
      </c>
      <c r="D860" s="2" t="b" cm="1">
        <f t="array" ref="D860:O860">_xlfn._xlws.FILTER(IF(ancillary!$E$4:$P$8="",FALSE,ancillary!$E$4:$P$8),ancillary!$B$4:$B$8=$C860)</f>
        <v>1</v>
      </c>
      <c r="E860" s="2" t="b">
        <v>1</v>
      </c>
      <c r="F860" s="2" t="b">
        <v>1</v>
      </c>
      <c r="G860" s="2" t="b">
        <v>1</v>
      </c>
      <c r="H860" s="2" t="b">
        <v>1</v>
      </c>
      <c r="I860" s="2" t="b">
        <v>1</v>
      </c>
      <c r="J860" s="2" t="b">
        <v>0</v>
      </c>
      <c r="K860" s="2" t="b">
        <v>0</v>
      </c>
      <c r="L860" s="2" t="b">
        <v>0</v>
      </c>
      <c r="M860" s="2" t="b">
        <v>0</v>
      </c>
      <c r="N860" s="2" t="b">
        <v>0</v>
      </c>
      <c r="O860" s="2" t="b">
        <v>0</v>
      </c>
      <c r="P860" s="68"/>
      <c r="R860" s="69"/>
      <c r="S860" s="68"/>
      <c r="U860" s="69"/>
      <c r="V860" s="68"/>
      <c r="X860" s="69"/>
      <c r="Y860" s="68"/>
      <c r="AA860" s="69"/>
      <c r="AB860" s="33">
        <f t="shared" si="27"/>
        <v>0</v>
      </c>
      <c r="AC860" s="45">
        <f>_xlfn.LET(_xlpm.ps_1,P860:R860, _xlpm.ps_2,S860:U860, _xlpm.ps_3,V860:X860, _xlpm.ps_4,Y860:AA860,
_xlpm.phase, MID(C860,SEARCH("-",C860)+1,256),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(_xlfn.XLOOKUP($C$7,site_assumptions[Details],site_assumptions[Volts])*SUMIFS(P860:AA860,_xlfn.ANCHORARRAY(D860),TRUE)/10*0.95)/1000,
IFERROR(IF(_xlpm.phase="3Phase", _xlpm.p3_calc, _xlpm.sp_calc),0))</f>
        <v>0</v>
      </c>
      <c r="AD860" s="29"/>
      <c r="AE860" s="30"/>
      <c r="AF860" s="30"/>
      <c r="AG860" s="30"/>
      <c r="AH860" s="31"/>
      <c r="AI860" s="49">
        <f t="shared" si="26"/>
        <v>0</v>
      </c>
      <c r="AJ860" s="71"/>
    </row>
    <row r="861" spans="2:36" x14ac:dyDescent="0.25">
      <c r="B861" s="29"/>
      <c r="C861" s="10" t="s">
        <v>2070</v>
      </c>
      <c r="D861" s="2" t="b" cm="1">
        <f t="array" ref="D861:O861">_xlfn._xlws.FILTER(IF(ancillary!$E$4:$P$8="",FALSE,ancillary!$E$4:$P$8),ancillary!$B$4:$B$8=$C861)</f>
        <v>1</v>
      </c>
      <c r="E861" s="2" t="b">
        <v>1</v>
      </c>
      <c r="F861" s="2" t="b">
        <v>1</v>
      </c>
      <c r="G861" s="2" t="b">
        <v>1</v>
      </c>
      <c r="H861" s="2" t="b">
        <v>1</v>
      </c>
      <c r="I861" s="2" t="b">
        <v>1</v>
      </c>
      <c r="J861" s="2" t="b">
        <v>0</v>
      </c>
      <c r="K861" s="2" t="b">
        <v>0</v>
      </c>
      <c r="L861" s="2" t="b">
        <v>0</v>
      </c>
      <c r="M861" s="2" t="b">
        <v>0</v>
      </c>
      <c r="N861" s="2" t="b">
        <v>0</v>
      </c>
      <c r="O861" s="2" t="b">
        <v>0</v>
      </c>
      <c r="P861" s="68"/>
      <c r="R861" s="69"/>
      <c r="S861" s="68"/>
      <c r="U861" s="69"/>
      <c r="V861" s="68"/>
      <c r="X861" s="69"/>
      <c r="Y861" s="68"/>
      <c r="AA861" s="69"/>
      <c r="AB861" s="33">
        <f t="shared" si="27"/>
        <v>0</v>
      </c>
      <c r="AC861" s="45">
        <f>_xlfn.LET(_xlpm.ps_1,P861:R861, _xlpm.ps_2,S861:U861, _xlpm.ps_3,V861:X861, _xlpm.ps_4,Y861:AA861,
_xlpm.phase, MID(C861,SEARCH("-",C861)+1,256),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(_xlfn.XLOOKUP($C$7,site_assumptions[Details],site_assumptions[Volts])*SUMIFS(P861:AA861,_xlfn.ANCHORARRAY(D861),TRUE)/10*0.95)/1000,
IFERROR(IF(_xlpm.phase="3Phase", _xlpm.p3_calc, _xlpm.sp_calc),0))</f>
        <v>0</v>
      </c>
      <c r="AD861" s="29"/>
      <c r="AE861" s="30"/>
      <c r="AF861" s="30"/>
      <c r="AG861" s="30"/>
      <c r="AH861" s="31"/>
      <c r="AI861" s="49">
        <f t="shared" si="26"/>
        <v>0</v>
      </c>
      <c r="AJ861" s="71"/>
    </row>
    <row r="862" spans="2:36" x14ac:dyDescent="0.25">
      <c r="B862" s="29"/>
      <c r="C862" s="10" t="s">
        <v>2070</v>
      </c>
      <c r="D862" s="2" t="b" cm="1">
        <f t="array" ref="D862:O862">_xlfn._xlws.FILTER(IF(ancillary!$E$4:$P$8="",FALSE,ancillary!$E$4:$P$8),ancillary!$B$4:$B$8=$C862)</f>
        <v>1</v>
      </c>
      <c r="E862" s="2" t="b">
        <v>1</v>
      </c>
      <c r="F862" s="2" t="b">
        <v>1</v>
      </c>
      <c r="G862" s="2" t="b">
        <v>1</v>
      </c>
      <c r="H862" s="2" t="b">
        <v>1</v>
      </c>
      <c r="I862" s="2" t="b">
        <v>1</v>
      </c>
      <c r="J862" s="2" t="b">
        <v>0</v>
      </c>
      <c r="K862" s="2" t="b">
        <v>0</v>
      </c>
      <c r="L862" s="2" t="b">
        <v>0</v>
      </c>
      <c r="M862" s="2" t="b">
        <v>0</v>
      </c>
      <c r="N862" s="2" t="b">
        <v>0</v>
      </c>
      <c r="O862" s="2" t="b">
        <v>0</v>
      </c>
      <c r="P862" s="68"/>
      <c r="R862" s="69"/>
      <c r="S862" s="68"/>
      <c r="U862" s="69"/>
      <c r="V862" s="68"/>
      <c r="X862" s="69"/>
      <c r="Y862" s="68"/>
      <c r="AA862" s="69"/>
      <c r="AB862" s="33">
        <f t="shared" si="27"/>
        <v>0</v>
      </c>
      <c r="AC862" s="45">
        <f>_xlfn.LET(_xlpm.ps_1,P862:R862, _xlpm.ps_2,S862:U862, _xlpm.ps_3,V862:X862, _xlpm.ps_4,Y862:AA862,
_xlpm.phase, MID(C862,SEARCH("-",C862)+1,256),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(_xlfn.XLOOKUP($C$7,site_assumptions[Details],site_assumptions[Volts])*SUMIFS(P862:AA862,_xlfn.ANCHORARRAY(D862),TRUE)/10*0.95)/1000,
IFERROR(IF(_xlpm.phase="3Phase", _xlpm.p3_calc, _xlpm.sp_calc),0))</f>
        <v>0</v>
      </c>
      <c r="AD862" s="29"/>
      <c r="AE862" s="30"/>
      <c r="AF862" s="30"/>
      <c r="AG862" s="30"/>
      <c r="AH862" s="31"/>
      <c r="AI862" s="49">
        <f t="shared" si="26"/>
        <v>0</v>
      </c>
      <c r="AJ862" s="71"/>
    </row>
    <row r="863" spans="2:36" x14ac:dyDescent="0.25">
      <c r="B863" s="29"/>
      <c r="C863" s="10" t="s">
        <v>2070</v>
      </c>
      <c r="D863" s="2" t="b" cm="1">
        <f t="array" ref="D863:O863">_xlfn._xlws.FILTER(IF(ancillary!$E$4:$P$8="",FALSE,ancillary!$E$4:$P$8),ancillary!$B$4:$B$8=$C863)</f>
        <v>1</v>
      </c>
      <c r="E863" s="2" t="b">
        <v>1</v>
      </c>
      <c r="F863" s="2" t="b">
        <v>1</v>
      </c>
      <c r="G863" s="2" t="b">
        <v>1</v>
      </c>
      <c r="H863" s="2" t="b">
        <v>1</v>
      </c>
      <c r="I863" s="2" t="b">
        <v>1</v>
      </c>
      <c r="J863" s="2" t="b">
        <v>0</v>
      </c>
      <c r="K863" s="2" t="b">
        <v>0</v>
      </c>
      <c r="L863" s="2" t="b">
        <v>0</v>
      </c>
      <c r="M863" s="2" t="b">
        <v>0</v>
      </c>
      <c r="N863" s="2" t="b">
        <v>0</v>
      </c>
      <c r="O863" s="2" t="b">
        <v>0</v>
      </c>
      <c r="P863" s="68"/>
      <c r="R863" s="69"/>
      <c r="S863" s="68"/>
      <c r="U863" s="69"/>
      <c r="V863" s="68"/>
      <c r="X863" s="69"/>
      <c r="Y863" s="68"/>
      <c r="AA863" s="69"/>
      <c r="AB863" s="33">
        <f t="shared" si="27"/>
        <v>0</v>
      </c>
      <c r="AC863" s="45">
        <f>_xlfn.LET(_xlpm.ps_1,P863:R863, _xlpm.ps_2,S863:U863, _xlpm.ps_3,V863:X863, _xlpm.ps_4,Y863:AA863,
_xlpm.phase, MID(C863,SEARCH("-",C863)+1,256),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(_xlfn.XLOOKUP($C$7,site_assumptions[Details],site_assumptions[Volts])*SUMIFS(P863:AA863,_xlfn.ANCHORARRAY(D863),TRUE)/10*0.95)/1000,
IFERROR(IF(_xlpm.phase="3Phase", _xlpm.p3_calc, _xlpm.sp_calc),0))</f>
        <v>0</v>
      </c>
      <c r="AD863" s="29"/>
      <c r="AE863" s="30"/>
      <c r="AF863" s="30"/>
      <c r="AG863" s="30"/>
      <c r="AH863" s="31"/>
      <c r="AI863" s="49">
        <f t="shared" si="26"/>
        <v>0</v>
      </c>
      <c r="AJ863" s="71"/>
    </row>
    <row r="864" spans="2:36" x14ac:dyDescent="0.25">
      <c r="B864" s="29"/>
      <c r="C864" s="10" t="s">
        <v>2070</v>
      </c>
      <c r="D864" s="2" t="b" cm="1">
        <f t="array" ref="D864:O864">_xlfn._xlws.FILTER(IF(ancillary!$E$4:$P$8="",FALSE,ancillary!$E$4:$P$8),ancillary!$B$4:$B$8=$C864)</f>
        <v>1</v>
      </c>
      <c r="E864" s="2" t="b">
        <v>1</v>
      </c>
      <c r="F864" s="2" t="b">
        <v>1</v>
      </c>
      <c r="G864" s="2" t="b">
        <v>1</v>
      </c>
      <c r="H864" s="2" t="b">
        <v>1</v>
      </c>
      <c r="I864" s="2" t="b">
        <v>1</v>
      </c>
      <c r="J864" s="2" t="b">
        <v>0</v>
      </c>
      <c r="K864" s="2" t="b">
        <v>0</v>
      </c>
      <c r="L864" s="2" t="b">
        <v>0</v>
      </c>
      <c r="M864" s="2" t="b">
        <v>0</v>
      </c>
      <c r="N864" s="2" t="b">
        <v>0</v>
      </c>
      <c r="O864" s="2" t="b">
        <v>0</v>
      </c>
      <c r="P864" s="68"/>
      <c r="R864" s="69"/>
      <c r="S864" s="68"/>
      <c r="U864" s="69"/>
      <c r="V864" s="68"/>
      <c r="X864" s="69"/>
      <c r="Y864" s="68"/>
      <c r="AA864" s="69"/>
      <c r="AB864" s="33">
        <f t="shared" si="27"/>
        <v>0</v>
      </c>
      <c r="AC864" s="45">
        <f>_xlfn.LET(_xlpm.ps_1,P864:R864, _xlpm.ps_2,S864:U864, _xlpm.ps_3,V864:X864, _xlpm.ps_4,Y864:AA864,
_xlpm.phase, MID(C864,SEARCH("-",C864)+1,256),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(_xlfn.XLOOKUP($C$7,site_assumptions[Details],site_assumptions[Volts])*SUMIFS(P864:AA864,_xlfn.ANCHORARRAY(D864),TRUE)/10*0.95)/1000,
IFERROR(IF(_xlpm.phase="3Phase", _xlpm.p3_calc, _xlpm.sp_calc),0))</f>
        <v>0</v>
      </c>
      <c r="AD864" s="29"/>
      <c r="AE864" s="30"/>
      <c r="AF864" s="30"/>
      <c r="AG864" s="30"/>
      <c r="AH864" s="31"/>
      <c r="AI864" s="49">
        <f t="shared" si="26"/>
        <v>0</v>
      </c>
      <c r="AJ864" s="71"/>
    </row>
    <row r="865" spans="2:36" x14ac:dyDescent="0.25">
      <c r="B865" s="29"/>
      <c r="C865" s="10" t="s">
        <v>2070</v>
      </c>
      <c r="D865" s="2" t="b" cm="1">
        <f t="array" ref="D865:O865">_xlfn._xlws.FILTER(IF(ancillary!$E$4:$P$8="",FALSE,ancillary!$E$4:$P$8),ancillary!$B$4:$B$8=$C865)</f>
        <v>1</v>
      </c>
      <c r="E865" s="2" t="b">
        <v>1</v>
      </c>
      <c r="F865" s="2" t="b">
        <v>1</v>
      </c>
      <c r="G865" s="2" t="b">
        <v>1</v>
      </c>
      <c r="H865" s="2" t="b">
        <v>1</v>
      </c>
      <c r="I865" s="2" t="b">
        <v>1</v>
      </c>
      <c r="J865" s="2" t="b">
        <v>0</v>
      </c>
      <c r="K865" s="2" t="b">
        <v>0</v>
      </c>
      <c r="L865" s="2" t="b">
        <v>0</v>
      </c>
      <c r="M865" s="2" t="b">
        <v>0</v>
      </c>
      <c r="N865" s="2" t="b">
        <v>0</v>
      </c>
      <c r="O865" s="2" t="b">
        <v>0</v>
      </c>
      <c r="P865" s="68"/>
      <c r="R865" s="69"/>
      <c r="S865" s="68"/>
      <c r="U865" s="69"/>
      <c r="V865" s="68"/>
      <c r="X865" s="69"/>
      <c r="Y865" s="68"/>
      <c r="AA865" s="69"/>
      <c r="AB865" s="33">
        <f t="shared" si="27"/>
        <v>0</v>
      </c>
      <c r="AC865" s="45">
        <f>_xlfn.LET(_xlpm.ps_1,P865:R865, _xlpm.ps_2,S865:U865, _xlpm.ps_3,V865:X865, _xlpm.ps_4,Y865:AA865,
_xlpm.phase, MID(C865,SEARCH("-",C865)+1,256),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(_xlfn.XLOOKUP($C$7,site_assumptions[Details],site_assumptions[Volts])*SUMIFS(P865:AA865,_xlfn.ANCHORARRAY(D865),TRUE)/10*0.95)/1000,
IFERROR(IF(_xlpm.phase="3Phase", _xlpm.p3_calc, _xlpm.sp_calc),0))</f>
        <v>0</v>
      </c>
      <c r="AD865" s="29"/>
      <c r="AE865" s="30"/>
      <c r="AF865" s="30"/>
      <c r="AG865" s="30"/>
      <c r="AH865" s="31"/>
      <c r="AI865" s="49">
        <f t="shared" si="26"/>
        <v>0</v>
      </c>
      <c r="AJ865" s="71"/>
    </row>
    <row r="866" spans="2:36" x14ac:dyDescent="0.25">
      <c r="B866" s="29"/>
      <c r="C866" s="10" t="s">
        <v>2070</v>
      </c>
      <c r="D866" s="2" t="b" cm="1">
        <f t="array" ref="D866:O866">_xlfn._xlws.FILTER(IF(ancillary!$E$4:$P$8="",FALSE,ancillary!$E$4:$P$8),ancillary!$B$4:$B$8=$C866)</f>
        <v>1</v>
      </c>
      <c r="E866" s="2" t="b">
        <v>1</v>
      </c>
      <c r="F866" s="2" t="b">
        <v>1</v>
      </c>
      <c r="G866" s="2" t="b">
        <v>1</v>
      </c>
      <c r="H866" s="2" t="b">
        <v>1</v>
      </c>
      <c r="I866" s="2" t="b">
        <v>1</v>
      </c>
      <c r="J866" s="2" t="b">
        <v>0</v>
      </c>
      <c r="K866" s="2" t="b">
        <v>0</v>
      </c>
      <c r="L866" s="2" t="b">
        <v>0</v>
      </c>
      <c r="M866" s="2" t="b">
        <v>0</v>
      </c>
      <c r="N866" s="2" t="b">
        <v>0</v>
      </c>
      <c r="O866" s="2" t="b">
        <v>0</v>
      </c>
      <c r="P866" s="68"/>
      <c r="R866" s="69"/>
      <c r="S866" s="68"/>
      <c r="U866" s="69"/>
      <c r="V866" s="68"/>
      <c r="X866" s="69"/>
      <c r="Y866" s="68"/>
      <c r="AA866" s="69"/>
      <c r="AB866" s="33">
        <f t="shared" si="27"/>
        <v>0</v>
      </c>
      <c r="AC866" s="45">
        <f>_xlfn.LET(_xlpm.ps_1,P866:R866, _xlpm.ps_2,S866:U866, _xlpm.ps_3,V866:X866, _xlpm.ps_4,Y866:AA866,
_xlpm.phase, MID(C866,SEARCH("-",C866)+1,256),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(_xlfn.XLOOKUP($C$7,site_assumptions[Details],site_assumptions[Volts])*SUMIFS(P866:AA866,_xlfn.ANCHORARRAY(D866),TRUE)/10*0.95)/1000,
IFERROR(IF(_xlpm.phase="3Phase", _xlpm.p3_calc, _xlpm.sp_calc),0))</f>
        <v>0</v>
      </c>
      <c r="AD866" s="29"/>
      <c r="AE866" s="30"/>
      <c r="AF866" s="30"/>
      <c r="AG866" s="30"/>
      <c r="AH866" s="31"/>
      <c r="AI866" s="49">
        <f t="shared" si="26"/>
        <v>0</v>
      </c>
      <c r="AJ866" s="71"/>
    </row>
    <row r="867" spans="2:36" x14ac:dyDescent="0.25">
      <c r="B867" s="29"/>
      <c r="C867" s="10" t="s">
        <v>2070</v>
      </c>
      <c r="D867" s="2" t="b" cm="1">
        <f t="array" ref="D867:O867">_xlfn._xlws.FILTER(IF(ancillary!$E$4:$P$8="",FALSE,ancillary!$E$4:$P$8),ancillary!$B$4:$B$8=$C867)</f>
        <v>1</v>
      </c>
      <c r="E867" s="2" t="b">
        <v>1</v>
      </c>
      <c r="F867" s="2" t="b">
        <v>1</v>
      </c>
      <c r="G867" s="2" t="b">
        <v>1</v>
      </c>
      <c r="H867" s="2" t="b">
        <v>1</v>
      </c>
      <c r="I867" s="2" t="b">
        <v>1</v>
      </c>
      <c r="J867" s="2" t="b">
        <v>0</v>
      </c>
      <c r="K867" s="2" t="b">
        <v>0</v>
      </c>
      <c r="L867" s="2" t="b">
        <v>0</v>
      </c>
      <c r="M867" s="2" t="b">
        <v>0</v>
      </c>
      <c r="N867" s="2" t="b">
        <v>0</v>
      </c>
      <c r="O867" s="2" t="b">
        <v>0</v>
      </c>
      <c r="P867" s="68"/>
      <c r="R867" s="69"/>
      <c r="S867" s="68"/>
      <c r="U867" s="69"/>
      <c r="V867" s="68"/>
      <c r="X867" s="69"/>
      <c r="Y867" s="68"/>
      <c r="AA867" s="69"/>
      <c r="AB867" s="33">
        <f t="shared" si="27"/>
        <v>0</v>
      </c>
      <c r="AC867" s="45">
        <f>_xlfn.LET(_xlpm.ps_1,P867:R867, _xlpm.ps_2,S867:U867, _xlpm.ps_3,V867:X867, _xlpm.ps_4,Y867:AA867,
_xlpm.phase, MID(C867,SEARCH("-",C867)+1,256),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(_xlfn.XLOOKUP($C$7,site_assumptions[Details],site_assumptions[Volts])*SUMIFS(P867:AA867,_xlfn.ANCHORARRAY(D867),TRUE)/10*0.95)/1000,
IFERROR(IF(_xlpm.phase="3Phase", _xlpm.p3_calc, _xlpm.sp_calc),0))</f>
        <v>0</v>
      </c>
      <c r="AD867" s="29"/>
      <c r="AE867" s="30"/>
      <c r="AF867" s="30"/>
      <c r="AG867" s="30"/>
      <c r="AH867" s="31"/>
      <c r="AI867" s="49">
        <f t="shared" si="26"/>
        <v>0</v>
      </c>
      <c r="AJ867" s="71"/>
    </row>
    <row r="868" spans="2:36" x14ac:dyDescent="0.25">
      <c r="B868" s="29"/>
      <c r="C868" s="10" t="s">
        <v>2070</v>
      </c>
      <c r="D868" s="2" t="b" cm="1">
        <f t="array" ref="D868:O868">_xlfn._xlws.FILTER(IF(ancillary!$E$4:$P$8="",FALSE,ancillary!$E$4:$P$8),ancillary!$B$4:$B$8=$C868)</f>
        <v>1</v>
      </c>
      <c r="E868" s="2" t="b">
        <v>1</v>
      </c>
      <c r="F868" s="2" t="b">
        <v>1</v>
      </c>
      <c r="G868" s="2" t="b">
        <v>1</v>
      </c>
      <c r="H868" s="2" t="b">
        <v>1</v>
      </c>
      <c r="I868" s="2" t="b">
        <v>1</v>
      </c>
      <c r="J868" s="2" t="b">
        <v>0</v>
      </c>
      <c r="K868" s="2" t="b">
        <v>0</v>
      </c>
      <c r="L868" s="2" t="b">
        <v>0</v>
      </c>
      <c r="M868" s="2" t="b">
        <v>0</v>
      </c>
      <c r="N868" s="2" t="b">
        <v>0</v>
      </c>
      <c r="O868" s="2" t="b">
        <v>0</v>
      </c>
      <c r="P868" s="68"/>
      <c r="R868" s="69"/>
      <c r="S868" s="68"/>
      <c r="U868" s="69"/>
      <c r="V868" s="68"/>
      <c r="X868" s="69"/>
      <c r="Y868" s="68"/>
      <c r="AA868" s="69"/>
      <c r="AB868" s="33">
        <f t="shared" si="27"/>
        <v>0</v>
      </c>
      <c r="AC868" s="45">
        <f>_xlfn.LET(_xlpm.ps_1,P868:R868, _xlpm.ps_2,S868:U868, _xlpm.ps_3,V868:X868, _xlpm.ps_4,Y868:AA868,
_xlpm.phase, MID(C868,SEARCH("-",C868)+1,256),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(_xlfn.XLOOKUP($C$7,site_assumptions[Details],site_assumptions[Volts])*SUMIFS(P868:AA868,_xlfn.ANCHORARRAY(D868),TRUE)/10*0.95)/1000,
IFERROR(IF(_xlpm.phase="3Phase", _xlpm.p3_calc, _xlpm.sp_calc),0))</f>
        <v>0</v>
      </c>
      <c r="AD868" s="29"/>
      <c r="AE868" s="30"/>
      <c r="AF868" s="30"/>
      <c r="AG868" s="30"/>
      <c r="AH868" s="31"/>
      <c r="AI868" s="49">
        <f t="shared" si="26"/>
        <v>0</v>
      </c>
      <c r="AJ868" s="71"/>
    </row>
    <row r="869" spans="2:36" x14ac:dyDescent="0.25">
      <c r="B869" s="29"/>
      <c r="C869" s="10" t="s">
        <v>2070</v>
      </c>
      <c r="D869" s="2" t="b" cm="1">
        <f t="array" ref="D869:O869">_xlfn._xlws.FILTER(IF(ancillary!$E$4:$P$8="",FALSE,ancillary!$E$4:$P$8),ancillary!$B$4:$B$8=$C869)</f>
        <v>1</v>
      </c>
      <c r="E869" s="2" t="b">
        <v>1</v>
      </c>
      <c r="F869" s="2" t="b">
        <v>1</v>
      </c>
      <c r="G869" s="2" t="b">
        <v>1</v>
      </c>
      <c r="H869" s="2" t="b">
        <v>1</v>
      </c>
      <c r="I869" s="2" t="b">
        <v>1</v>
      </c>
      <c r="J869" s="2" t="b">
        <v>0</v>
      </c>
      <c r="K869" s="2" t="b">
        <v>0</v>
      </c>
      <c r="L869" s="2" t="b">
        <v>0</v>
      </c>
      <c r="M869" s="2" t="b">
        <v>0</v>
      </c>
      <c r="N869" s="2" t="b">
        <v>0</v>
      </c>
      <c r="O869" s="2" t="b">
        <v>0</v>
      </c>
      <c r="P869" s="68"/>
      <c r="R869" s="69"/>
      <c r="S869" s="68"/>
      <c r="U869" s="69"/>
      <c r="V869" s="68"/>
      <c r="X869" s="69"/>
      <c r="Y869" s="68"/>
      <c r="AA869" s="69"/>
      <c r="AB869" s="33">
        <f t="shared" si="27"/>
        <v>0</v>
      </c>
      <c r="AC869" s="45">
        <f>_xlfn.LET(_xlpm.ps_1,P869:R869, _xlpm.ps_2,S869:U869, _xlpm.ps_3,V869:X869, _xlpm.ps_4,Y869:AA869,
_xlpm.phase, MID(C869,SEARCH("-",C869)+1,256),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(_xlfn.XLOOKUP($C$7,site_assumptions[Details],site_assumptions[Volts])*SUMIFS(P869:AA869,_xlfn.ANCHORARRAY(D869),TRUE)/10*0.95)/1000,
IFERROR(IF(_xlpm.phase="3Phase", _xlpm.p3_calc, _xlpm.sp_calc),0))</f>
        <v>0</v>
      </c>
      <c r="AD869" s="29"/>
      <c r="AE869" s="30"/>
      <c r="AF869" s="30"/>
      <c r="AG869" s="30"/>
      <c r="AH869" s="31"/>
      <c r="AI869" s="49">
        <f t="shared" si="26"/>
        <v>0</v>
      </c>
      <c r="AJ869" s="71"/>
    </row>
    <row r="870" spans="2:36" x14ac:dyDescent="0.25">
      <c r="B870" s="29"/>
      <c r="C870" s="10" t="s">
        <v>2070</v>
      </c>
      <c r="D870" s="2" t="b" cm="1">
        <f t="array" ref="D870:O870">_xlfn._xlws.FILTER(IF(ancillary!$E$4:$P$8="",FALSE,ancillary!$E$4:$P$8),ancillary!$B$4:$B$8=$C870)</f>
        <v>1</v>
      </c>
      <c r="E870" s="2" t="b">
        <v>1</v>
      </c>
      <c r="F870" s="2" t="b">
        <v>1</v>
      </c>
      <c r="G870" s="2" t="b">
        <v>1</v>
      </c>
      <c r="H870" s="2" t="b">
        <v>1</v>
      </c>
      <c r="I870" s="2" t="b">
        <v>1</v>
      </c>
      <c r="J870" s="2" t="b">
        <v>0</v>
      </c>
      <c r="K870" s="2" t="b">
        <v>0</v>
      </c>
      <c r="L870" s="2" t="b">
        <v>0</v>
      </c>
      <c r="M870" s="2" t="b">
        <v>0</v>
      </c>
      <c r="N870" s="2" t="b">
        <v>0</v>
      </c>
      <c r="O870" s="2" t="b">
        <v>0</v>
      </c>
      <c r="P870" s="68"/>
      <c r="R870" s="69"/>
      <c r="S870" s="68"/>
      <c r="U870" s="69"/>
      <c r="V870" s="68"/>
      <c r="X870" s="69"/>
      <c r="Y870" s="68"/>
      <c r="AA870" s="69"/>
      <c r="AB870" s="33">
        <f t="shared" si="27"/>
        <v>0</v>
      </c>
      <c r="AC870" s="45">
        <f>_xlfn.LET(_xlpm.ps_1,P870:R870, _xlpm.ps_2,S870:U870, _xlpm.ps_3,V870:X870, _xlpm.ps_4,Y870:AA870,
_xlpm.phase, MID(C870,SEARCH("-",C870)+1,256),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(_xlfn.XLOOKUP($C$7,site_assumptions[Details],site_assumptions[Volts])*SUMIFS(P870:AA870,_xlfn.ANCHORARRAY(D870),TRUE)/10*0.95)/1000,
IFERROR(IF(_xlpm.phase="3Phase", _xlpm.p3_calc, _xlpm.sp_calc),0))</f>
        <v>0</v>
      </c>
      <c r="AD870" s="29"/>
      <c r="AE870" s="30"/>
      <c r="AF870" s="30"/>
      <c r="AG870" s="30"/>
      <c r="AH870" s="31"/>
      <c r="AI870" s="49">
        <f t="shared" si="26"/>
        <v>0</v>
      </c>
      <c r="AJ870" s="71"/>
    </row>
    <row r="871" spans="2:36" x14ac:dyDescent="0.25">
      <c r="B871" s="29"/>
      <c r="C871" s="10" t="s">
        <v>2070</v>
      </c>
      <c r="D871" s="2" t="b" cm="1">
        <f t="array" ref="D871:O871">_xlfn._xlws.FILTER(IF(ancillary!$E$4:$P$8="",FALSE,ancillary!$E$4:$P$8),ancillary!$B$4:$B$8=$C871)</f>
        <v>1</v>
      </c>
      <c r="E871" s="2" t="b">
        <v>1</v>
      </c>
      <c r="F871" s="2" t="b">
        <v>1</v>
      </c>
      <c r="G871" s="2" t="b">
        <v>1</v>
      </c>
      <c r="H871" s="2" t="b">
        <v>1</v>
      </c>
      <c r="I871" s="2" t="b">
        <v>1</v>
      </c>
      <c r="J871" s="2" t="b">
        <v>0</v>
      </c>
      <c r="K871" s="2" t="b">
        <v>0</v>
      </c>
      <c r="L871" s="2" t="b">
        <v>0</v>
      </c>
      <c r="M871" s="2" t="b">
        <v>0</v>
      </c>
      <c r="N871" s="2" t="b">
        <v>0</v>
      </c>
      <c r="O871" s="2" t="b">
        <v>0</v>
      </c>
      <c r="P871" s="68"/>
      <c r="R871" s="69"/>
      <c r="S871" s="68"/>
      <c r="U871" s="69"/>
      <c r="V871" s="68"/>
      <c r="X871" s="69"/>
      <c r="Y871" s="68"/>
      <c r="AA871" s="69"/>
      <c r="AB871" s="33">
        <f t="shared" si="27"/>
        <v>0</v>
      </c>
      <c r="AC871" s="45">
        <f>_xlfn.LET(_xlpm.ps_1,P871:R871, _xlpm.ps_2,S871:U871, _xlpm.ps_3,V871:X871, _xlpm.ps_4,Y871:AA871,
_xlpm.phase, MID(C871,SEARCH("-",C871)+1,256),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(_xlfn.XLOOKUP($C$7,site_assumptions[Details],site_assumptions[Volts])*SUMIFS(P871:AA871,_xlfn.ANCHORARRAY(D871),TRUE)/10*0.95)/1000,
IFERROR(IF(_xlpm.phase="3Phase", _xlpm.p3_calc, _xlpm.sp_calc),0))</f>
        <v>0</v>
      </c>
      <c r="AD871" s="29"/>
      <c r="AE871" s="30"/>
      <c r="AF871" s="30"/>
      <c r="AG871" s="30"/>
      <c r="AH871" s="31"/>
      <c r="AI871" s="49">
        <f t="shared" si="26"/>
        <v>0</v>
      </c>
      <c r="AJ871" s="71"/>
    </row>
    <row r="872" spans="2:36" x14ac:dyDescent="0.25">
      <c r="B872" s="29"/>
      <c r="C872" s="10" t="s">
        <v>2070</v>
      </c>
      <c r="D872" s="2" t="b" cm="1">
        <f t="array" ref="D872:O872">_xlfn._xlws.FILTER(IF(ancillary!$E$4:$P$8="",FALSE,ancillary!$E$4:$P$8),ancillary!$B$4:$B$8=$C872)</f>
        <v>1</v>
      </c>
      <c r="E872" s="2" t="b">
        <v>1</v>
      </c>
      <c r="F872" s="2" t="b">
        <v>1</v>
      </c>
      <c r="G872" s="2" t="b">
        <v>1</v>
      </c>
      <c r="H872" s="2" t="b">
        <v>1</v>
      </c>
      <c r="I872" s="2" t="b">
        <v>1</v>
      </c>
      <c r="J872" s="2" t="b">
        <v>0</v>
      </c>
      <c r="K872" s="2" t="b">
        <v>0</v>
      </c>
      <c r="L872" s="2" t="b">
        <v>0</v>
      </c>
      <c r="M872" s="2" t="b">
        <v>0</v>
      </c>
      <c r="N872" s="2" t="b">
        <v>0</v>
      </c>
      <c r="O872" s="2" t="b">
        <v>0</v>
      </c>
      <c r="P872" s="68"/>
      <c r="R872" s="69"/>
      <c r="S872" s="68"/>
      <c r="U872" s="69"/>
      <c r="V872" s="68"/>
      <c r="X872" s="69"/>
      <c r="Y872" s="68"/>
      <c r="AA872" s="69"/>
      <c r="AB872" s="33">
        <f t="shared" si="27"/>
        <v>0</v>
      </c>
      <c r="AC872" s="45">
        <f>_xlfn.LET(_xlpm.ps_1,P872:R872, _xlpm.ps_2,S872:U872, _xlpm.ps_3,V872:X872, _xlpm.ps_4,Y872:AA872,
_xlpm.phase, MID(C872,SEARCH("-",C872)+1,256),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(_xlfn.XLOOKUP($C$7,site_assumptions[Details],site_assumptions[Volts])*SUMIFS(P872:AA872,_xlfn.ANCHORARRAY(D872),TRUE)/10*0.95)/1000,
IFERROR(IF(_xlpm.phase="3Phase", _xlpm.p3_calc, _xlpm.sp_calc),0))</f>
        <v>0</v>
      </c>
      <c r="AD872" s="29"/>
      <c r="AE872" s="30"/>
      <c r="AF872" s="30"/>
      <c r="AG872" s="30"/>
      <c r="AH872" s="31"/>
      <c r="AI872" s="49">
        <f t="shared" si="26"/>
        <v>0</v>
      </c>
      <c r="AJ872" s="71"/>
    </row>
    <row r="873" spans="2:36" x14ac:dyDescent="0.25">
      <c r="B873" s="29"/>
      <c r="C873" s="10" t="s">
        <v>2070</v>
      </c>
      <c r="D873" s="2" t="b" cm="1">
        <f t="array" ref="D873:O873">_xlfn._xlws.FILTER(IF(ancillary!$E$4:$P$8="",FALSE,ancillary!$E$4:$P$8),ancillary!$B$4:$B$8=$C873)</f>
        <v>1</v>
      </c>
      <c r="E873" s="2" t="b">
        <v>1</v>
      </c>
      <c r="F873" s="2" t="b">
        <v>1</v>
      </c>
      <c r="G873" s="2" t="b">
        <v>1</v>
      </c>
      <c r="H873" s="2" t="b">
        <v>1</v>
      </c>
      <c r="I873" s="2" t="b">
        <v>1</v>
      </c>
      <c r="J873" s="2" t="b">
        <v>0</v>
      </c>
      <c r="K873" s="2" t="b">
        <v>0</v>
      </c>
      <c r="L873" s="2" t="b">
        <v>0</v>
      </c>
      <c r="M873" s="2" t="b">
        <v>0</v>
      </c>
      <c r="N873" s="2" t="b">
        <v>0</v>
      </c>
      <c r="O873" s="2" t="b">
        <v>0</v>
      </c>
      <c r="P873" s="68"/>
      <c r="R873" s="69"/>
      <c r="S873" s="68"/>
      <c r="U873" s="69"/>
      <c r="V873" s="68"/>
      <c r="X873" s="69"/>
      <c r="Y873" s="68"/>
      <c r="AA873" s="69"/>
      <c r="AB873" s="33">
        <f t="shared" si="27"/>
        <v>0</v>
      </c>
      <c r="AC873" s="45">
        <f>_xlfn.LET(_xlpm.ps_1,P873:R873, _xlpm.ps_2,S873:U873, _xlpm.ps_3,V873:X873, _xlpm.ps_4,Y873:AA873,
_xlpm.phase, MID(C873,SEARCH("-",C873)+1,256),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(_xlfn.XLOOKUP($C$7,site_assumptions[Details],site_assumptions[Volts])*SUMIFS(P873:AA873,_xlfn.ANCHORARRAY(D873),TRUE)/10*0.95)/1000,
IFERROR(IF(_xlpm.phase="3Phase", _xlpm.p3_calc, _xlpm.sp_calc),0))</f>
        <v>0</v>
      </c>
      <c r="AD873" s="29"/>
      <c r="AE873" s="30"/>
      <c r="AF873" s="30"/>
      <c r="AG873" s="30"/>
      <c r="AH873" s="31"/>
      <c r="AI873" s="49">
        <f t="shared" si="26"/>
        <v>0</v>
      </c>
      <c r="AJ873" s="71"/>
    </row>
    <row r="874" spans="2:36" x14ac:dyDescent="0.25">
      <c r="B874" s="29"/>
      <c r="C874" s="10" t="s">
        <v>2070</v>
      </c>
      <c r="D874" s="2" t="b" cm="1">
        <f t="array" ref="D874:O874">_xlfn._xlws.FILTER(IF(ancillary!$E$4:$P$8="",FALSE,ancillary!$E$4:$P$8),ancillary!$B$4:$B$8=$C874)</f>
        <v>1</v>
      </c>
      <c r="E874" s="2" t="b">
        <v>1</v>
      </c>
      <c r="F874" s="2" t="b">
        <v>1</v>
      </c>
      <c r="G874" s="2" t="b">
        <v>1</v>
      </c>
      <c r="H874" s="2" t="b">
        <v>1</v>
      </c>
      <c r="I874" s="2" t="b">
        <v>1</v>
      </c>
      <c r="J874" s="2" t="b">
        <v>0</v>
      </c>
      <c r="K874" s="2" t="b">
        <v>0</v>
      </c>
      <c r="L874" s="2" t="b">
        <v>0</v>
      </c>
      <c r="M874" s="2" t="b">
        <v>0</v>
      </c>
      <c r="N874" s="2" t="b">
        <v>0</v>
      </c>
      <c r="O874" s="2" t="b">
        <v>0</v>
      </c>
      <c r="P874" s="68"/>
      <c r="R874" s="69"/>
      <c r="S874" s="68"/>
      <c r="U874" s="69"/>
      <c r="V874" s="68"/>
      <c r="X874" s="69"/>
      <c r="Y874" s="68"/>
      <c r="AA874" s="69"/>
      <c r="AB874" s="33">
        <f t="shared" si="27"/>
        <v>0</v>
      </c>
      <c r="AC874" s="45">
        <f>_xlfn.LET(_xlpm.ps_1,P874:R874, _xlpm.ps_2,S874:U874, _xlpm.ps_3,V874:X874, _xlpm.ps_4,Y874:AA874,
_xlpm.phase, MID(C874,SEARCH("-",C874)+1,256),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(_xlfn.XLOOKUP($C$7,site_assumptions[Details],site_assumptions[Volts])*SUMIFS(P874:AA874,_xlfn.ANCHORARRAY(D874),TRUE)/10*0.95)/1000,
IFERROR(IF(_xlpm.phase="3Phase", _xlpm.p3_calc, _xlpm.sp_calc),0))</f>
        <v>0</v>
      </c>
      <c r="AD874" s="29"/>
      <c r="AE874" s="30"/>
      <c r="AF874" s="30"/>
      <c r="AG874" s="30"/>
      <c r="AH874" s="31"/>
      <c r="AI874" s="49">
        <f t="shared" si="26"/>
        <v>0</v>
      </c>
      <c r="AJ874" s="71"/>
    </row>
    <row r="875" spans="2:36" x14ac:dyDescent="0.25">
      <c r="B875" s="29"/>
      <c r="C875" s="10" t="s">
        <v>2070</v>
      </c>
      <c r="D875" s="2" t="b" cm="1">
        <f t="array" ref="D875:O875">_xlfn._xlws.FILTER(IF(ancillary!$E$4:$P$8="",FALSE,ancillary!$E$4:$P$8),ancillary!$B$4:$B$8=$C875)</f>
        <v>1</v>
      </c>
      <c r="E875" s="2" t="b">
        <v>1</v>
      </c>
      <c r="F875" s="2" t="b">
        <v>1</v>
      </c>
      <c r="G875" s="2" t="b">
        <v>1</v>
      </c>
      <c r="H875" s="2" t="b">
        <v>1</v>
      </c>
      <c r="I875" s="2" t="b">
        <v>1</v>
      </c>
      <c r="J875" s="2" t="b">
        <v>0</v>
      </c>
      <c r="K875" s="2" t="b">
        <v>0</v>
      </c>
      <c r="L875" s="2" t="b">
        <v>0</v>
      </c>
      <c r="M875" s="2" t="b">
        <v>0</v>
      </c>
      <c r="N875" s="2" t="b">
        <v>0</v>
      </c>
      <c r="O875" s="2" t="b">
        <v>0</v>
      </c>
      <c r="P875" s="68"/>
      <c r="R875" s="69"/>
      <c r="S875" s="68"/>
      <c r="U875" s="69"/>
      <c r="V875" s="68"/>
      <c r="X875" s="69"/>
      <c r="Y875" s="68"/>
      <c r="AA875" s="69"/>
      <c r="AB875" s="33">
        <f t="shared" si="27"/>
        <v>0</v>
      </c>
      <c r="AC875" s="45">
        <f>_xlfn.LET(_xlpm.ps_1,P875:R875, _xlpm.ps_2,S875:U875, _xlpm.ps_3,V875:X875, _xlpm.ps_4,Y875:AA875,
_xlpm.phase, MID(C875,SEARCH("-",C875)+1,256),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(_xlfn.XLOOKUP($C$7,site_assumptions[Details],site_assumptions[Volts])*SUMIFS(P875:AA875,_xlfn.ANCHORARRAY(D875),TRUE)/10*0.95)/1000,
IFERROR(IF(_xlpm.phase="3Phase", _xlpm.p3_calc, _xlpm.sp_calc),0))</f>
        <v>0</v>
      </c>
      <c r="AD875" s="29"/>
      <c r="AE875" s="30"/>
      <c r="AF875" s="30"/>
      <c r="AG875" s="30"/>
      <c r="AH875" s="31"/>
      <c r="AI875" s="49">
        <f t="shared" si="26"/>
        <v>0</v>
      </c>
      <c r="AJ875" s="71"/>
    </row>
    <row r="876" spans="2:36" x14ac:dyDescent="0.25">
      <c r="B876" s="29"/>
      <c r="C876" s="10" t="s">
        <v>2070</v>
      </c>
      <c r="D876" s="2" t="b" cm="1">
        <f t="array" ref="D876:O876">_xlfn._xlws.FILTER(IF(ancillary!$E$4:$P$8="",FALSE,ancillary!$E$4:$P$8),ancillary!$B$4:$B$8=$C876)</f>
        <v>1</v>
      </c>
      <c r="E876" s="2" t="b">
        <v>1</v>
      </c>
      <c r="F876" s="2" t="b">
        <v>1</v>
      </c>
      <c r="G876" s="2" t="b">
        <v>1</v>
      </c>
      <c r="H876" s="2" t="b">
        <v>1</v>
      </c>
      <c r="I876" s="2" t="b">
        <v>1</v>
      </c>
      <c r="J876" s="2" t="b">
        <v>0</v>
      </c>
      <c r="K876" s="2" t="b">
        <v>0</v>
      </c>
      <c r="L876" s="2" t="b">
        <v>0</v>
      </c>
      <c r="M876" s="2" t="b">
        <v>0</v>
      </c>
      <c r="N876" s="2" t="b">
        <v>0</v>
      </c>
      <c r="O876" s="2" t="b">
        <v>0</v>
      </c>
      <c r="P876" s="68"/>
      <c r="R876" s="69"/>
      <c r="S876" s="68"/>
      <c r="U876" s="69"/>
      <c r="V876" s="68"/>
      <c r="X876" s="69"/>
      <c r="Y876" s="68"/>
      <c r="AA876" s="69"/>
      <c r="AB876" s="33">
        <f t="shared" si="27"/>
        <v>0</v>
      </c>
      <c r="AC876" s="45">
        <f>_xlfn.LET(_xlpm.ps_1,P876:R876, _xlpm.ps_2,S876:U876, _xlpm.ps_3,V876:X876, _xlpm.ps_4,Y876:AA876,
_xlpm.phase, MID(C876,SEARCH("-",C876)+1,256),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(_xlfn.XLOOKUP($C$7,site_assumptions[Details],site_assumptions[Volts])*SUMIFS(P876:AA876,_xlfn.ANCHORARRAY(D876),TRUE)/10*0.95)/1000,
IFERROR(IF(_xlpm.phase="3Phase", _xlpm.p3_calc, _xlpm.sp_calc),0))</f>
        <v>0</v>
      </c>
      <c r="AD876" s="29"/>
      <c r="AE876" s="30"/>
      <c r="AF876" s="30"/>
      <c r="AG876" s="30"/>
      <c r="AH876" s="31"/>
      <c r="AI876" s="49">
        <f t="shared" si="26"/>
        <v>0</v>
      </c>
      <c r="AJ876" s="71"/>
    </row>
    <row r="877" spans="2:36" x14ac:dyDescent="0.25">
      <c r="B877" s="29"/>
      <c r="C877" s="10" t="s">
        <v>2070</v>
      </c>
      <c r="D877" s="2" t="b" cm="1">
        <f t="array" ref="D877:O877">_xlfn._xlws.FILTER(IF(ancillary!$E$4:$P$8="",FALSE,ancillary!$E$4:$P$8),ancillary!$B$4:$B$8=$C877)</f>
        <v>1</v>
      </c>
      <c r="E877" s="2" t="b">
        <v>1</v>
      </c>
      <c r="F877" s="2" t="b">
        <v>1</v>
      </c>
      <c r="G877" s="2" t="b">
        <v>1</v>
      </c>
      <c r="H877" s="2" t="b">
        <v>1</v>
      </c>
      <c r="I877" s="2" t="b">
        <v>1</v>
      </c>
      <c r="J877" s="2" t="b">
        <v>0</v>
      </c>
      <c r="K877" s="2" t="b">
        <v>0</v>
      </c>
      <c r="L877" s="2" t="b">
        <v>0</v>
      </c>
      <c r="M877" s="2" t="b">
        <v>0</v>
      </c>
      <c r="N877" s="2" t="b">
        <v>0</v>
      </c>
      <c r="O877" s="2" t="b">
        <v>0</v>
      </c>
      <c r="P877" s="68"/>
      <c r="R877" s="69"/>
      <c r="S877" s="68"/>
      <c r="U877" s="69"/>
      <c r="V877" s="68"/>
      <c r="X877" s="69"/>
      <c r="Y877" s="68"/>
      <c r="AA877" s="69"/>
      <c r="AB877" s="33">
        <f t="shared" si="27"/>
        <v>0</v>
      </c>
      <c r="AC877" s="45">
        <f>_xlfn.LET(_xlpm.ps_1,P877:R877, _xlpm.ps_2,S877:U877, _xlpm.ps_3,V877:X877, _xlpm.ps_4,Y877:AA877,
_xlpm.phase, MID(C877,SEARCH("-",C877)+1,256),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(_xlfn.XLOOKUP($C$7,site_assumptions[Details],site_assumptions[Volts])*SUMIFS(P877:AA877,_xlfn.ANCHORARRAY(D877),TRUE)/10*0.95)/1000,
IFERROR(IF(_xlpm.phase="3Phase", _xlpm.p3_calc, _xlpm.sp_calc),0))</f>
        <v>0</v>
      </c>
      <c r="AD877" s="29"/>
      <c r="AE877" s="30"/>
      <c r="AF877" s="30"/>
      <c r="AG877" s="30"/>
      <c r="AH877" s="31"/>
      <c r="AI877" s="49">
        <f t="shared" si="26"/>
        <v>0</v>
      </c>
      <c r="AJ877" s="71"/>
    </row>
    <row r="878" spans="2:36" x14ac:dyDescent="0.25">
      <c r="B878" s="29"/>
      <c r="C878" s="10" t="s">
        <v>2070</v>
      </c>
      <c r="D878" s="2" t="b" cm="1">
        <f t="array" ref="D878:O878">_xlfn._xlws.FILTER(IF(ancillary!$E$4:$P$8="",FALSE,ancillary!$E$4:$P$8),ancillary!$B$4:$B$8=$C878)</f>
        <v>1</v>
      </c>
      <c r="E878" s="2" t="b">
        <v>1</v>
      </c>
      <c r="F878" s="2" t="b">
        <v>1</v>
      </c>
      <c r="G878" s="2" t="b">
        <v>1</v>
      </c>
      <c r="H878" s="2" t="b">
        <v>1</v>
      </c>
      <c r="I878" s="2" t="b">
        <v>1</v>
      </c>
      <c r="J878" s="2" t="b">
        <v>0</v>
      </c>
      <c r="K878" s="2" t="b">
        <v>0</v>
      </c>
      <c r="L878" s="2" t="b">
        <v>0</v>
      </c>
      <c r="M878" s="2" t="b">
        <v>0</v>
      </c>
      <c r="N878" s="2" t="b">
        <v>0</v>
      </c>
      <c r="O878" s="2" t="b">
        <v>0</v>
      </c>
      <c r="P878" s="68"/>
      <c r="R878" s="69"/>
      <c r="S878" s="68"/>
      <c r="U878" s="69"/>
      <c r="V878" s="68"/>
      <c r="X878" s="69"/>
      <c r="Y878" s="68"/>
      <c r="AA878" s="69"/>
      <c r="AB878" s="33">
        <f t="shared" si="27"/>
        <v>0</v>
      </c>
      <c r="AC878" s="45">
        <f>_xlfn.LET(_xlpm.ps_1,P878:R878, _xlpm.ps_2,S878:U878, _xlpm.ps_3,V878:X878, _xlpm.ps_4,Y878:AA878,
_xlpm.phase, MID(C878,SEARCH("-",C878)+1,256),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(_xlfn.XLOOKUP($C$7,site_assumptions[Details],site_assumptions[Volts])*SUMIFS(P878:AA878,_xlfn.ANCHORARRAY(D878),TRUE)/10*0.95)/1000,
IFERROR(IF(_xlpm.phase="3Phase", _xlpm.p3_calc, _xlpm.sp_calc),0))</f>
        <v>0</v>
      </c>
      <c r="AD878" s="29"/>
      <c r="AE878" s="30"/>
      <c r="AF878" s="30"/>
      <c r="AG878" s="30"/>
      <c r="AH878" s="31"/>
      <c r="AI878" s="49">
        <f t="shared" si="26"/>
        <v>0</v>
      </c>
      <c r="AJ878" s="71"/>
    </row>
    <row r="879" spans="2:36" x14ac:dyDescent="0.25">
      <c r="B879" s="29"/>
      <c r="C879" s="10" t="s">
        <v>2070</v>
      </c>
      <c r="D879" s="2" t="b" cm="1">
        <f t="array" ref="D879:O879">_xlfn._xlws.FILTER(IF(ancillary!$E$4:$P$8="",FALSE,ancillary!$E$4:$P$8),ancillary!$B$4:$B$8=$C879)</f>
        <v>1</v>
      </c>
      <c r="E879" s="2" t="b">
        <v>1</v>
      </c>
      <c r="F879" s="2" t="b">
        <v>1</v>
      </c>
      <c r="G879" s="2" t="b">
        <v>1</v>
      </c>
      <c r="H879" s="2" t="b">
        <v>1</v>
      </c>
      <c r="I879" s="2" t="b">
        <v>1</v>
      </c>
      <c r="J879" s="2" t="b">
        <v>0</v>
      </c>
      <c r="K879" s="2" t="b">
        <v>0</v>
      </c>
      <c r="L879" s="2" t="b">
        <v>0</v>
      </c>
      <c r="M879" s="2" t="b">
        <v>0</v>
      </c>
      <c r="N879" s="2" t="b">
        <v>0</v>
      </c>
      <c r="O879" s="2" t="b">
        <v>0</v>
      </c>
      <c r="P879" s="68"/>
      <c r="R879" s="69"/>
      <c r="S879" s="68"/>
      <c r="U879" s="69"/>
      <c r="V879" s="68"/>
      <c r="X879" s="69"/>
      <c r="Y879" s="68"/>
      <c r="AA879" s="69"/>
      <c r="AB879" s="33">
        <f t="shared" si="27"/>
        <v>0</v>
      </c>
      <c r="AC879" s="45">
        <f>_xlfn.LET(_xlpm.ps_1,P879:R879, _xlpm.ps_2,S879:U879, _xlpm.ps_3,V879:X879, _xlpm.ps_4,Y879:AA879,
_xlpm.phase, MID(C879,SEARCH("-",C879)+1,256),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(_xlfn.XLOOKUP($C$7,site_assumptions[Details],site_assumptions[Volts])*SUMIFS(P879:AA879,_xlfn.ANCHORARRAY(D879),TRUE)/10*0.95)/1000,
IFERROR(IF(_xlpm.phase="3Phase", _xlpm.p3_calc, _xlpm.sp_calc),0))</f>
        <v>0</v>
      </c>
      <c r="AD879" s="29"/>
      <c r="AE879" s="30"/>
      <c r="AF879" s="30"/>
      <c r="AG879" s="30"/>
      <c r="AH879" s="31"/>
      <c r="AI879" s="49">
        <f t="shared" si="26"/>
        <v>0</v>
      </c>
      <c r="AJ879" s="71"/>
    </row>
    <row r="880" spans="2:36" x14ac:dyDescent="0.25">
      <c r="B880" s="29"/>
      <c r="C880" s="10" t="s">
        <v>2070</v>
      </c>
      <c r="D880" s="2" t="b" cm="1">
        <f t="array" ref="D880:O880">_xlfn._xlws.FILTER(IF(ancillary!$E$4:$P$8="",FALSE,ancillary!$E$4:$P$8),ancillary!$B$4:$B$8=$C880)</f>
        <v>1</v>
      </c>
      <c r="E880" s="2" t="b">
        <v>1</v>
      </c>
      <c r="F880" s="2" t="b">
        <v>1</v>
      </c>
      <c r="G880" s="2" t="b">
        <v>1</v>
      </c>
      <c r="H880" s="2" t="b">
        <v>1</v>
      </c>
      <c r="I880" s="2" t="b">
        <v>1</v>
      </c>
      <c r="J880" s="2" t="b">
        <v>0</v>
      </c>
      <c r="K880" s="2" t="b">
        <v>0</v>
      </c>
      <c r="L880" s="2" t="b">
        <v>0</v>
      </c>
      <c r="M880" s="2" t="b">
        <v>0</v>
      </c>
      <c r="N880" s="2" t="b">
        <v>0</v>
      </c>
      <c r="O880" s="2" t="b">
        <v>0</v>
      </c>
      <c r="P880" s="68"/>
      <c r="R880" s="69"/>
      <c r="S880" s="68"/>
      <c r="U880" s="69"/>
      <c r="V880" s="68"/>
      <c r="X880" s="69"/>
      <c r="Y880" s="68"/>
      <c r="AA880" s="69"/>
      <c r="AB880" s="33">
        <f t="shared" si="27"/>
        <v>0</v>
      </c>
      <c r="AC880" s="45">
        <f>_xlfn.LET(_xlpm.ps_1,P880:R880, _xlpm.ps_2,S880:U880, _xlpm.ps_3,V880:X880, _xlpm.ps_4,Y880:AA880,
_xlpm.phase, MID(C880,SEARCH("-",C880)+1,256),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(_xlfn.XLOOKUP($C$7,site_assumptions[Details],site_assumptions[Volts])*SUMIFS(P880:AA880,_xlfn.ANCHORARRAY(D880),TRUE)/10*0.95)/1000,
IFERROR(IF(_xlpm.phase="3Phase", _xlpm.p3_calc, _xlpm.sp_calc),0))</f>
        <v>0</v>
      </c>
      <c r="AD880" s="29"/>
      <c r="AE880" s="30"/>
      <c r="AF880" s="30"/>
      <c r="AG880" s="30"/>
      <c r="AH880" s="31"/>
      <c r="AI880" s="49">
        <f t="shared" si="26"/>
        <v>0</v>
      </c>
      <c r="AJ880" s="71"/>
    </row>
    <row r="881" spans="2:36" x14ac:dyDescent="0.25">
      <c r="B881" s="29"/>
      <c r="C881" s="10" t="s">
        <v>2070</v>
      </c>
      <c r="D881" s="2" t="b" cm="1">
        <f t="array" ref="D881:O881">_xlfn._xlws.FILTER(IF(ancillary!$E$4:$P$8="",FALSE,ancillary!$E$4:$P$8),ancillary!$B$4:$B$8=$C881)</f>
        <v>1</v>
      </c>
      <c r="E881" s="2" t="b">
        <v>1</v>
      </c>
      <c r="F881" s="2" t="b">
        <v>1</v>
      </c>
      <c r="G881" s="2" t="b">
        <v>1</v>
      </c>
      <c r="H881" s="2" t="b">
        <v>1</v>
      </c>
      <c r="I881" s="2" t="b">
        <v>1</v>
      </c>
      <c r="J881" s="2" t="b">
        <v>0</v>
      </c>
      <c r="K881" s="2" t="b">
        <v>0</v>
      </c>
      <c r="L881" s="2" t="b">
        <v>0</v>
      </c>
      <c r="M881" s="2" t="b">
        <v>0</v>
      </c>
      <c r="N881" s="2" t="b">
        <v>0</v>
      </c>
      <c r="O881" s="2" t="b">
        <v>0</v>
      </c>
      <c r="P881" s="68"/>
      <c r="R881" s="69"/>
      <c r="S881" s="68"/>
      <c r="U881" s="69"/>
      <c r="V881" s="68"/>
      <c r="X881" s="69"/>
      <c r="Y881" s="68"/>
      <c r="AA881" s="69"/>
      <c r="AB881" s="33">
        <f t="shared" si="27"/>
        <v>0</v>
      </c>
      <c r="AC881" s="45">
        <f>_xlfn.LET(_xlpm.ps_1,P881:R881, _xlpm.ps_2,S881:U881, _xlpm.ps_3,V881:X881, _xlpm.ps_4,Y881:AA881,
_xlpm.phase, MID(C881,SEARCH("-",C881)+1,256),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(_xlfn.XLOOKUP($C$7,site_assumptions[Details],site_assumptions[Volts])*SUMIFS(P881:AA881,_xlfn.ANCHORARRAY(D881),TRUE)/10*0.95)/1000,
IFERROR(IF(_xlpm.phase="3Phase", _xlpm.p3_calc, _xlpm.sp_calc),0))</f>
        <v>0</v>
      </c>
      <c r="AD881" s="29"/>
      <c r="AE881" s="30"/>
      <c r="AF881" s="30"/>
      <c r="AG881" s="30"/>
      <c r="AH881" s="31"/>
      <c r="AI881" s="49">
        <f t="shared" si="26"/>
        <v>0</v>
      </c>
      <c r="AJ881" s="71"/>
    </row>
    <row r="882" spans="2:36" x14ac:dyDescent="0.25">
      <c r="B882" s="29"/>
      <c r="C882" s="10" t="s">
        <v>2070</v>
      </c>
      <c r="D882" s="2" t="b" cm="1">
        <f t="array" ref="D882:O882">_xlfn._xlws.FILTER(IF(ancillary!$E$4:$P$8="",FALSE,ancillary!$E$4:$P$8),ancillary!$B$4:$B$8=$C882)</f>
        <v>1</v>
      </c>
      <c r="E882" s="2" t="b">
        <v>1</v>
      </c>
      <c r="F882" s="2" t="b">
        <v>1</v>
      </c>
      <c r="G882" s="2" t="b">
        <v>1</v>
      </c>
      <c r="H882" s="2" t="b">
        <v>1</v>
      </c>
      <c r="I882" s="2" t="b">
        <v>1</v>
      </c>
      <c r="J882" s="2" t="b">
        <v>0</v>
      </c>
      <c r="K882" s="2" t="b">
        <v>0</v>
      </c>
      <c r="L882" s="2" t="b">
        <v>0</v>
      </c>
      <c r="M882" s="2" t="b">
        <v>0</v>
      </c>
      <c r="N882" s="2" t="b">
        <v>0</v>
      </c>
      <c r="O882" s="2" t="b">
        <v>0</v>
      </c>
      <c r="P882" s="68"/>
      <c r="R882" s="69"/>
      <c r="S882" s="68"/>
      <c r="U882" s="69"/>
      <c r="V882" s="68"/>
      <c r="X882" s="69"/>
      <c r="Y882" s="68"/>
      <c r="AA882" s="69"/>
      <c r="AB882" s="33">
        <f t="shared" si="27"/>
        <v>0</v>
      </c>
      <c r="AC882" s="45">
        <f>_xlfn.LET(_xlpm.ps_1,P882:R882, _xlpm.ps_2,S882:U882, _xlpm.ps_3,V882:X882, _xlpm.ps_4,Y882:AA882,
_xlpm.phase, MID(C882,SEARCH("-",C882)+1,256),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(_xlfn.XLOOKUP($C$7,site_assumptions[Details],site_assumptions[Volts])*SUMIFS(P882:AA882,_xlfn.ANCHORARRAY(D882),TRUE)/10*0.95)/1000,
IFERROR(IF(_xlpm.phase="3Phase", _xlpm.p3_calc, _xlpm.sp_calc),0))</f>
        <v>0</v>
      </c>
      <c r="AD882" s="29"/>
      <c r="AE882" s="30"/>
      <c r="AF882" s="30"/>
      <c r="AG882" s="30"/>
      <c r="AH882" s="31"/>
      <c r="AI882" s="49">
        <f t="shared" si="26"/>
        <v>0</v>
      </c>
      <c r="AJ882" s="71"/>
    </row>
    <row r="883" spans="2:36" x14ac:dyDescent="0.25">
      <c r="B883" s="29"/>
      <c r="C883" s="10" t="s">
        <v>2070</v>
      </c>
      <c r="D883" s="2" t="b" cm="1">
        <f t="array" ref="D883:O883">_xlfn._xlws.FILTER(IF(ancillary!$E$4:$P$8="",FALSE,ancillary!$E$4:$P$8),ancillary!$B$4:$B$8=$C883)</f>
        <v>1</v>
      </c>
      <c r="E883" s="2" t="b">
        <v>1</v>
      </c>
      <c r="F883" s="2" t="b">
        <v>1</v>
      </c>
      <c r="G883" s="2" t="b">
        <v>1</v>
      </c>
      <c r="H883" s="2" t="b">
        <v>1</v>
      </c>
      <c r="I883" s="2" t="b">
        <v>1</v>
      </c>
      <c r="J883" s="2" t="b">
        <v>0</v>
      </c>
      <c r="K883" s="2" t="b">
        <v>0</v>
      </c>
      <c r="L883" s="2" t="b">
        <v>0</v>
      </c>
      <c r="M883" s="2" t="b">
        <v>0</v>
      </c>
      <c r="N883" s="2" t="b">
        <v>0</v>
      </c>
      <c r="O883" s="2" t="b">
        <v>0</v>
      </c>
      <c r="P883" s="68"/>
      <c r="R883" s="69"/>
      <c r="S883" s="68"/>
      <c r="U883" s="69"/>
      <c r="V883" s="68"/>
      <c r="X883" s="69"/>
      <c r="Y883" s="68"/>
      <c r="AA883" s="69"/>
      <c r="AB883" s="33">
        <f t="shared" si="27"/>
        <v>0</v>
      </c>
      <c r="AC883" s="45">
        <f>_xlfn.LET(_xlpm.ps_1,P883:R883, _xlpm.ps_2,S883:U883, _xlpm.ps_3,V883:X883, _xlpm.ps_4,Y883:AA883,
_xlpm.phase, MID(C883,SEARCH("-",C883)+1,256),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(_xlfn.XLOOKUP($C$7,site_assumptions[Details],site_assumptions[Volts])*SUMIFS(P883:AA883,_xlfn.ANCHORARRAY(D883),TRUE)/10*0.95)/1000,
IFERROR(IF(_xlpm.phase="3Phase", _xlpm.p3_calc, _xlpm.sp_calc),0))</f>
        <v>0</v>
      </c>
      <c r="AD883" s="29"/>
      <c r="AE883" s="30"/>
      <c r="AF883" s="30"/>
      <c r="AG883" s="30"/>
      <c r="AH883" s="31"/>
      <c r="AI883" s="49">
        <f t="shared" si="26"/>
        <v>0</v>
      </c>
      <c r="AJ883" s="71"/>
    </row>
    <row r="884" spans="2:36" x14ac:dyDescent="0.25">
      <c r="B884" s="29"/>
      <c r="C884" s="10" t="s">
        <v>2070</v>
      </c>
      <c r="D884" s="2" t="b" cm="1">
        <f t="array" ref="D884:O884">_xlfn._xlws.FILTER(IF(ancillary!$E$4:$P$8="",FALSE,ancillary!$E$4:$P$8),ancillary!$B$4:$B$8=$C884)</f>
        <v>1</v>
      </c>
      <c r="E884" s="2" t="b">
        <v>1</v>
      </c>
      <c r="F884" s="2" t="b">
        <v>1</v>
      </c>
      <c r="G884" s="2" t="b">
        <v>1</v>
      </c>
      <c r="H884" s="2" t="b">
        <v>1</v>
      </c>
      <c r="I884" s="2" t="b">
        <v>1</v>
      </c>
      <c r="J884" s="2" t="b">
        <v>0</v>
      </c>
      <c r="K884" s="2" t="b">
        <v>0</v>
      </c>
      <c r="L884" s="2" t="b">
        <v>0</v>
      </c>
      <c r="M884" s="2" t="b">
        <v>0</v>
      </c>
      <c r="N884" s="2" t="b">
        <v>0</v>
      </c>
      <c r="O884" s="2" t="b">
        <v>0</v>
      </c>
      <c r="P884" s="68"/>
      <c r="R884" s="69"/>
      <c r="S884" s="68"/>
      <c r="U884" s="69"/>
      <c r="V884" s="68"/>
      <c r="X884" s="69"/>
      <c r="Y884" s="68"/>
      <c r="AA884" s="69"/>
      <c r="AB884" s="33">
        <f t="shared" si="27"/>
        <v>0</v>
      </c>
      <c r="AC884" s="45">
        <f>_xlfn.LET(_xlpm.ps_1,P884:R884, _xlpm.ps_2,S884:U884, _xlpm.ps_3,V884:X884, _xlpm.ps_4,Y884:AA884,
_xlpm.phase, MID(C884,SEARCH("-",C884)+1,256),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(_xlfn.XLOOKUP($C$7,site_assumptions[Details],site_assumptions[Volts])*SUMIFS(P884:AA884,_xlfn.ANCHORARRAY(D884),TRUE)/10*0.95)/1000,
IFERROR(IF(_xlpm.phase="3Phase", _xlpm.p3_calc, _xlpm.sp_calc),0))</f>
        <v>0</v>
      </c>
      <c r="AD884" s="29"/>
      <c r="AE884" s="30"/>
      <c r="AF884" s="30"/>
      <c r="AG884" s="30"/>
      <c r="AH884" s="31"/>
      <c r="AI884" s="49">
        <f t="shared" ref="AI884:AI947" si="28">IFERROR(AC884/AG884,0)</f>
        <v>0</v>
      </c>
      <c r="AJ884" s="71"/>
    </row>
    <row r="885" spans="2:36" x14ac:dyDescent="0.25">
      <c r="B885" s="29"/>
      <c r="C885" s="10" t="s">
        <v>2070</v>
      </c>
      <c r="D885" s="2" t="b" cm="1">
        <f t="array" ref="D885:O885">_xlfn._xlws.FILTER(IF(ancillary!$E$4:$P$8="",FALSE,ancillary!$E$4:$P$8),ancillary!$B$4:$B$8=$C885)</f>
        <v>1</v>
      </c>
      <c r="E885" s="2" t="b">
        <v>1</v>
      </c>
      <c r="F885" s="2" t="b">
        <v>1</v>
      </c>
      <c r="G885" s="2" t="b">
        <v>1</v>
      </c>
      <c r="H885" s="2" t="b">
        <v>1</v>
      </c>
      <c r="I885" s="2" t="b">
        <v>1</v>
      </c>
      <c r="J885" s="2" t="b">
        <v>0</v>
      </c>
      <c r="K885" s="2" t="b">
        <v>0</v>
      </c>
      <c r="L885" s="2" t="b">
        <v>0</v>
      </c>
      <c r="M885" s="2" t="b">
        <v>0</v>
      </c>
      <c r="N885" s="2" t="b">
        <v>0</v>
      </c>
      <c r="O885" s="2" t="b">
        <v>0</v>
      </c>
      <c r="P885" s="68"/>
      <c r="R885" s="69"/>
      <c r="S885" s="68"/>
      <c r="U885" s="69"/>
      <c r="V885" s="68"/>
      <c r="X885" s="69"/>
      <c r="Y885" s="68"/>
      <c r="AA885" s="69"/>
      <c r="AB885" s="33">
        <f t="shared" si="27"/>
        <v>0</v>
      </c>
      <c r="AC885" s="45">
        <f>_xlfn.LET(_xlpm.ps_1,P885:R885, _xlpm.ps_2,S885:U885, _xlpm.ps_3,V885:X885, _xlpm.ps_4,Y885:AA885,
_xlpm.phase, MID(C885,SEARCH("-",C885)+1,256),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(_xlfn.XLOOKUP($C$7,site_assumptions[Details],site_assumptions[Volts])*SUMIFS(P885:AA885,_xlfn.ANCHORARRAY(D885),TRUE)/10*0.95)/1000,
IFERROR(IF(_xlpm.phase="3Phase", _xlpm.p3_calc, _xlpm.sp_calc),0))</f>
        <v>0</v>
      </c>
      <c r="AD885" s="29"/>
      <c r="AE885" s="30"/>
      <c r="AF885" s="30"/>
      <c r="AG885" s="30"/>
      <c r="AH885" s="31"/>
      <c r="AI885" s="49">
        <f t="shared" si="28"/>
        <v>0</v>
      </c>
      <c r="AJ885" s="71"/>
    </row>
    <row r="886" spans="2:36" x14ac:dyDescent="0.25">
      <c r="B886" s="29"/>
      <c r="C886" s="10" t="s">
        <v>2070</v>
      </c>
      <c r="D886" s="2" t="b" cm="1">
        <f t="array" ref="D886:O886">_xlfn._xlws.FILTER(IF(ancillary!$E$4:$P$8="",FALSE,ancillary!$E$4:$P$8),ancillary!$B$4:$B$8=$C886)</f>
        <v>1</v>
      </c>
      <c r="E886" s="2" t="b">
        <v>1</v>
      </c>
      <c r="F886" s="2" t="b">
        <v>1</v>
      </c>
      <c r="G886" s="2" t="b">
        <v>1</v>
      </c>
      <c r="H886" s="2" t="b">
        <v>1</v>
      </c>
      <c r="I886" s="2" t="b">
        <v>1</v>
      </c>
      <c r="J886" s="2" t="b">
        <v>0</v>
      </c>
      <c r="K886" s="2" t="b">
        <v>0</v>
      </c>
      <c r="L886" s="2" t="b">
        <v>0</v>
      </c>
      <c r="M886" s="2" t="b">
        <v>0</v>
      </c>
      <c r="N886" s="2" t="b">
        <v>0</v>
      </c>
      <c r="O886" s="2" t="b">
        <v>0</v>
      </c>
      <c r="P886" s="68"/>
      <c r="R886" s="69"/>
      <c r="S886" s="68"/>
      <c r="U886" s="69"/>
      <c r="V886" s="68"/>
      <c r="X886" s="69"/>
      <c r="Y886" s="68"/>
      <c r="AA886" s="69"/>
      <c r="AB886" s="33">
        <f t="shared" si="27"/>
        <v>0</v>
      </c>
      <c r="AC886" s="45">
        <f>_xlfn.LET(_xlpm.ps_1,P886:R886, _xlpm.ps_2,S886:U886, _xlpm.ps_3,V886:X886, _xlpm.ps_4,Y886:AA886,
_xlpm.phase, MID(C886,SEARCH("-",C886)+1,256),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(_xlfn.XLOOKUP($C$7,site_assumptions[Details],site_assumptions[Volts])*SUMIFS(P886:AA886,_xlfn.ANCHORARRAY(D886),TRUE)/10*0.95)/1000,
IFERROR(IF(_xlpm.phase="3Phase", _xlpm.p3_calc, _xlpm.sp_calc),0))</f>
        <v>0</v>
      </c>
      <c r="AD886" s="29"/>
      <c r="AE886" s="30"/>
      <c r="AF886" s="30"/>
      <c r="AG886" s="30"/>
      <c r="AH886" s="31"/>
      <c r="AI886" s="49">
        <f t="shared" si="28"/>
        <v>0</v>
      </c>
      <c r="AJ886" s="71"/>
    </row>
    <row r="887" spans="2:36" x14ac:dyDescent="0.25">
      <c r="B887" s="29"/>
      <c r="C887" s="10" t="s">
        <v>2070</v>
      </c>
      <c r="D887" s="2" t="b" cm="1">
        <f t="array" ref="D887:O887">_xlfn._xlws.FILTER(IF(ancillary!$E$4:$P$8="",FALSE,ancillary!$E$4:$P$8),ancillary!$B$4:$B$8=$C887)</f>
        <v>1</v>
      </c>
      <c r="E887" s="2" t="b">
        <v>1</v>
      </c>
      <c r="F887" s="2" t="b">
        <v>1</v>
      </c>
      <c r="G887" s="2" t="b">
        <v>1</v>
      </c>
      <c r="H887" s="2" t="b">
        <v>1</v>
      </c>
      <c r="I887" s="2" t="b">
        <v>1</v>
      </c>
      <c r="J887" s="2" t="b">
        <v>0</v>
      </c>
      <c r="K887" s="2" t="b">
        <v>0</v>
      </c>
      <c r="L887" s="2" t="b">
        <v>0</v>
      </c>
      <c r="M887" s="2" t="b">
        <v>0</v>
      </c>
      <c r="N887" s="2" t="b">
        <v>0</v>
      </c>
      <c r="O887" s="2" t="b">
        <v>0</v>
      </c>
      <c r="P887" s="68"/>
      <c r="R887" s="69"/>
      <c r="S887" s="68"/>
      <c r="U887" s="69"/>
      <c r="V887" s="68"/>
      <c r="X887" s="69"/>
      <c r="Y887" s="68"/>
      <c r="AA887" s="69"/>
      <c r="AB887" s="33">
        <f t="shared" si="27"/>
        <v>0</v>
      </c>
      <c r="AC887" s="45">
        <f>_xlfn.LET(_xlpm.ps_1,P887:R887, _xlpm.ps_2,S887:U887, _xlpm.ps_3,V887:X887, _xlpm.ps_4,Y887:AA887,
_xlpm.phase, MID(C887,SEARCH("-",C887)+1,256),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(_xlfn.XLOOKUP($C$7,site_assumptions[Details],site_assumptions[Volts])*SUMIFS(P887:AA887,_xlfn.ANCHORARRAY(D887),TRUE)/10*0.95)/1000,
IFERROR(IF(_xlpm.phase="3Phase", _xlpm.p3_calc, _xlpm.sp_calc),0))</f>
        <v>0</v>
      </c>
      <c r="AD887" s="29"/>
      <c r="AE887" s="30"/>
      <c r="AF887" s="30"/>
      <c r="AG887" s="30"/>
      <c r="AH887" s="31"/>
      <c r="AI887" s="49">
        <f t="shared" si="28"/>
        <v>0</v>
      </c>
      <c r="AJ887" s="71"/>
    </row>
    <row r="888" spans="2:36" x14ac:dyDescent="0.25">
      <c r="B888" s="29"/>
      <c r="C888" s="10" t="s">
        <v>2070</v>
      </c>
      <c r="D888" s="2" t="b" cm="1">
        <f t="array" ref="D888:O888">_xlfn._xlws.FILTER(IF(ancillary!$E$4:$P$8="",FALSE,ancillary!$E$4:$P$8),ancillary!$B$4:$B$8=$C888)</f>
        <v>1</v>
      </c>
      <c r="E888" s="2" t="b">
        <v>1</v>
      </c>
      <c r="F888" s="2" t="b">
        <v>1</v>
      </c>
      <c r="G888" s="2" t="b">
        <v>1</v>
      </c>
      <c r="H888" s="2" t="b">
        <v>1</v>
      </c>
      <c r="I888" s="2" t="b">
        <v>1</v>
      </c>
      <c r="J888" s="2" t="b">
        <v>0</v>
      </c>
      <c r="K888" s="2" t="b">
        <v>0</v>
      </c>
      <c r="L888" s="2" t="b">
        <v>0</v>
      </c>
      <c r="M888" s="2" t="b">
        <v>0</v>
      </c>
      <c r="N888" s="2" t="b">
        <v>0</v>
      </c>
      <c r="O888" s="2" t="b">
        <v>0</v>
      </c>
      <c r="P888" s="68"/>
      <c r="R888" s="69"/>
      <c r="S888" s="68"/>
      <c r="U888" s="69"/>
      <c r="V888" s="68"/>
      <c r="X888" s="69"/>
      <c r="Y888" s="68"/>
      <c r="AA888" s="69"/>
      <c r="AB888" s="33">
        <f t="shared" si="27"/>
        <v>0</v>
      </c>
      <c r="AC888" s="45">
        <f>_xlfn.LET(_xlpm.ps_1,P888:R888, _xlpm.ps_2,S888:U888, _xlpm.ps_3,V888:X888, _xlpm.ps_4,Y888:AA888,
_xlpm.phase, MID(C888,SEARCH("-",C888)+1,256),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(_xlfn.XLOOKUP($C$7,site_assumptions[Details],site_assumptions[Volts])*SUMIFS(P888:AA888,_xlfn.ANCHORARRAY(D888),TRUE)/10*0.95)/1000,
IFERROR(IF(_xlpm.phase="3Phase", _xlpm.p3_calc, _xlpm.sp_calc),0))</f>
        <v>0</v>
      </c>
      <c r="AD888" s="29"/>
      <c r="AE888" s="30"/>
      <c r="AF888" s="30"/>
      <c r="AG888" s="30"/>
      <c r="AH888" s="31"/>
      <c r="AI888" s="49">
        <f t="shared" si="28"/>
        <v>0</v>
      </c>
      <c r="AJ888" s="71"/>
    </row>
    <row r="889" spans="2:36" x14ac:dyDescent="0.25">
      <c r="B889" s="29"/>
      <c r="C889" s="10" t="s">
        <v>2070</v>
      </c>
      <c r="D889" s="2" t="b" cm="1">
        <f t="array" ref="D889:O889">_xlfn._xlws.FILTER(IF(ancillary!$E$4:$P$8="",FALSE,ancillary!$E$4:$P$8),ancillary!$B$4:$B$8=$C889)</f>
        <v>1</v>
      </c>
      <c r="E889" s="2" t="b">
        <v>1</v>
      </c>
      <c r="F889" s="2" t="b">
        <v>1</v>
      </c>
      <c r="G889" s="2" t="b">
        <v>1</v>
      </c>
      <c r="H889" s="2" t="b">
        <v>1</v>
      </c>
      <c r="I889" s="2" t="b">
        <v>1</v>
      </c>
      <c r="J889" s="2" t="b">
        <v>0</v>
      </c>
      <c r="K889" s="2" t="b">
        <v>0</v>
      </c>
      <c r="L889" s="2" t="b">
        <v>0</v>
      </c>
      <c r="M889" s="2" t="b">
        <v>0</v>
      </c>
      <c r="N889" s="2" t="b">
        <v>0</v>
      </c>
      <c r="O889" s="2" t="b">
        <v>0</v>
      </c>
      <c r="P889" s="68"/>
      <c r="R889" s="69"/>
      <c r="S889" s="68"/>
      <c r="U889" s="69"/>
      <c r="V889" s="68"/>
      <c r="X889" s="69"/>
      <c r="Y889" s="68"/>
      <c r="AA889" s="69"/>
      <c r="AB889" s="33">
        <f t="shared" si="27"/>
        <v>0</v>
      </c>
      <c r="AC889" s="45">
        <f>_xlfn.LET(_xlpm.ps_1,P889:R889, _xlpm.ps_2,S889:U889, _xlpm.ps_3,V889:X889, _xlpm.ps_4,Y889:AA889,
_xlpm.phase, MID(C889,SEARCH("-",C889)+1,256),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(_xlfn.XLOOKUP($C$7,site_assumptions[Details],site_assumptions[Volts])*SUMIFS(P889:AA889,_xlfn.ANCHORARRAY(D889),TRUE)/10*0.95)/1000,
IFERROR(IF(_xlpm.phase="3Phase", _xlpm.p3_calc, _xlpm.sp_calc),0))</f>
        <v>0</v>
      </c>
      <c r="AD889" s="29"/>
      <c r="AE889" s="30"/>
      <c r="AF889" s="30"/>
      <c r="AG889" s="30"/>
      <c r="AH889" s="31"/>
      <c r="AI889" s="49">
        <f t="shared" si="28"/>
        <v>0</v>
      </c>
      <c r="AJ889" s="71"/>
    </row>
    <row r="890" spans="2:36" x14ac:dyDescent="0.25">
      <c r="B890" s="29"/>
      <c r="C890" s="10" t="s">
        <v>2070</v>
      </c>
      <c r="D890" s="2" t="b" cm="1">
        <f t="array" ref="D890:O890">_xlfn._xlws.FILTER(IF(ancillary!$E$4:$P$8="",FALSE,ancillary!$E$4:$P$8),ancillary!$B$4:$B$8=$C890)</f>
        <v>1</v>
      </c>
      <c r="E890" s="2" t="b">
        <v>1</v>
      </c>
      <c r="F890" s="2" t="b">
        <v>1</v>
      </c>
      <c r="G890" s="2" t="b">
        <v>1</v>
      </c>
      <c r="H890" s="2" t="b">
        <v>1</v>
      </c>
      <c r="I890" s="2" t="b">
        <v>1</v>
      </c>
      <c r="J890" s="2" t="b">
        <v>0</v>
      </c>
      <c r="K890" s="2" t="b">
        <v>0</v>
      </c>
      <c r="L890" s="2" t="b">
        <v>0</v>
      </c>
      <c r="M890" s="2" t="b">
        <v>0</v>
      </c>
      <c r="N890" s="2" t="b">
        <v>0</v>
      </c>
      <c r="O890" s="2" t="b">
        <v>0</v>
      </c>
      <c r="P890" s="68"/>
      <c r="R890" s="69"/>
      <c r="S890" s="68"/>
      <c r="U890" s="69"/>
      <c r="V890" s="68"/>
      <c r="X890" s="69"/>
      <c r="Y890" s="68"/>
      <c r="AA890" s="69"/>
      <c r="AB890" s="33">
        <f t="shared" si="27"/>
        <v>0</v>
      </c>
      <c r="AC890" s="45">
        <f>_xlfn.LET(_xlpm.ps_1,P890:R890, _xlpm.ps_2,S890:U890, _xlpm.ps_3,V890:X890, _xlpm.ps_4,Y890:AA890,
_xlpm.phase, MID(C890,SEARCH("-",C890)+1,256),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(_xlfn.XLOOKUP($C$7,site_assumptions[Details],site_assumptions[Volts])*SUMIFS(P890:AA890,_xlfn.ANCHORARRAY(D890),TRUE)/10*0.95)/1000,
IFERROR(IF(_xlpm.phase="3Phase", _xlpm.p3_calc, _xlpm.sp_calc),0))</f>
        <v>0</v>
      </c>
      <c r="AD890" s="29"/>
      <c r="AE890" s="30"/>
      <c r="AF890" s="30"/>
      <c r="AG890" s="30"/>
      <c r="AH890" s="31"/>
      <c r="AI890" s="49">
        <f t="shared" si="28"/>
        <v>0</v>
      </c>
      <c r="AJ890" s="71"/>
    </row>
    <row r="891" spans="2:36" x14ac:dyDescent="0.25">
      <c r="B891" s="29"/>
      <c r="C891" s="10" t="s">
        <v>2070</v>
      </c>
      <c r="D891" s="2" t="b" cm="1">
        <f t="array" ref="D891:O891">_xlfn._xlws.FILTER(IF(ancillary!$E$4:$P$8="",FALSE,ancillary!$E$4:$P$8),ancillary!$B$4:$B$8=$C891)</f>
        <v>1</v>
      </c>
      <c r="E891" s="2" t="b">
        <v>1</v>
      </c>
      <c r="F891" s="2" t="b">
        <v>1</v>
      </c>
      <c r="G891" s="2" t="b">
        <v>1</v>
      </c>
      <c r="H891" s="2" t="b">
        <v>1</v>
      </c>
      <c r="I891" s="2" t="b">
        <v>1</v>
      </c>
      <c r="J891" s="2" t="b">
        <v>0</v>
      </c>
      <c r="K891" s="2" t="b">
        <v>0</v>
      </c>
      <c r="L891" s="2" t="b">
        <v>0</v>
      </c>
      <c r="M891" s="2" t="b">
        <v>0</v>
      </c>
      <c r="N891" s="2" t="b">
        <v>0</v>
      </c>
      <c r="O891" s="2" t="b">
        <v>0</v>
      </c>
      <c r="P891" s="68"/>
      <c r="R891" s="69"/>
      <c r="S891" s="68"/>
      <c r="U891" s="69"/>
      <c r="V891" s="68"/>
      <c r="X891" s="69"/>
      <c r="Y891" s="68"/>
      <c r="AA891" s="69"/>
      <c r="AB891" s="33">
        <f t="shared" si="27"/>
        <v>0</v>
      </c>
      <c r="AC891" s="45">
        <f>_xlfn.LET(_xlpm.ps_1,P891:R891, _xlpm.ps_2,S891:U891, _xlpm.ps_3,V891:X891, _xlpm.ps_4,Y891:AA891,
_xlpm.phase, MID(C891,SEARCH("-",C891)+1,256),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(_xlfn.XLOOKUP($C$7,site_assumptions[Details],site_assumptions[Volts])*SUMIFS(P891:AA891,_xlfn.ANCHORARRAY(D891),TRUE)/10*0.95)/1000,
IFERROR(IF(_xlpm.phase="3Phase", _xlpm.p3_calc, _xlpm.sp_calc),0))</f>
        <v>0</v>
      </c>
      <c r="AD891" s="29"/>
      <c r="AE891" s="30"/>
      <c r="AF891" s="30"/>
      <c r="AG891" s="30"/>
      <c r="AH891" s="31"/>
      <c r="AI891" s="49">
        <f t="shared" si="28"/>
        <v>0</v>
      </c>
      <c r="AJ891" s="71"/>
    </row>
    <row r="892" spans="2:36" x14ac:dyDescent="0.25">
      <c r="B892" s="29"/>
      <c r="C892" s="10" t="s">
        <v>2070</v>
      </c>
      <c r="D892" s="2" t="b" cm="1">
        <f t="array" ref="D892:O892">_xlfn._xlws.FILTER(IF(ancillary!$E$4:$P$8="",FALSE,ancillary!$E$4:$P$8),ancillary!$B$4:$B$8=$C892)</f>
        <v>1</v>
      </c>
      <c r="E892" s="2" t="b">
        <v>1</v>
      </c>
      <c r="F892" s="2" t="b">
        <v>1</v>
      </c>
      <c r="G892" s="2" t="b">
        <v>1</v>
      </c>
      <c r="H892" s="2" t="b">
        <v>1</v>
      </c>
      <c r="I892" s="2" t="b">
        <v>1</v>
      </c>
      <c r="J892" s="2" t="b">
        <v>0</v>
      </c>
      <c r="K892" s="2" t="b">
        <v>0</v>
      </c>
      <c r="L892" s="2" t="b">
        <v>0</v>
      </c>
      <c r="M892" s="2" t="b">
        <v>0</v>
      </c>
      <c r="N892" s="2" t="b">
        <v>0</v>
      </c>
      <c r="O892" s="2" t="b">
        <v>0</v>
      </c>
      <c r="P892" s="68"/>
      <c r="R892" s="69"/>
      <c r="S892" s="68"/>
      <c r="U892" s="69"/>
      <c r="V892" s="68"/>
      <c r="X892" s="69"/>
      <c r="Y892" s="68"/>
      <c r="AA892" s="69"/>
      <c r="AB892" s="33">
        <f t="shared" si="27"/>
        <v>0</v>
      </c>
      <c r="AC892" s="45">
        <f>_xlfn.LET(_xlpm.ps_1,P892:R892, _xlpm.ps_2,S892:U892, _xlpm.ps_3,V892:X892, _xlpm.ps_4,Y892:AA892,
_xlpm.phase, MID(C892,SEARCH("-",C892)+1,256),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(_xlfn.XLOOKUP($C$7,site_assumptions[Details],site_assumptions[Volts])*SUMIFS(P892:AA892,_xlfn.ANCHORARRAY(D892),TRUE)/10*0.95)/1000,
IFERROR(IF(_xlpm.phase="3Phase", _xlpm.p3_calc, _xlpm.sp_calc),0))</f>
        <v>0</v>
      </c>
      <c r="AD892" s="29"/>
      <c r="AE892" s="30"/>
      <c r="AF892" s="30"/>
      <c r="AG892" s="30"/>
      <c r="AH892" s="31"/>
      <c r="AI892" s="49">
        <f t="shared" si="28"/>
        <v>0</v>
      </c>
      <c r="AJ892" s="71"/>
    </row>
    <row r="893" spans="2:36" x14ac:dyDescent="0.25">
      <c r="B893" s="29"/>
      <c r="C893" s="10" t="s">
        <v>2070</v>
      </c>
      <c r="D893" s="2" t="b" cm="1">
        <f t="array" ref="D893:O893">_xlfn._xlws.FILTER(IF(ancillary!$E$4:$P$8="",FALSE,ancillary!$E$4:$P$8),ancillary!$B$4:$B$8=$C893)</f>
        <v>1</v>
      </c>
      <c r="E893" s="2" t="b">
        <v>1</v>
      </c>
      <c r="F893" s="2" t="b">
        <v>1</v>
      </c>
      <c r="G893" s="2" t="b">
        <v>1</v>
      </c>
      <c r="H893" s="2" t="b">
        <v>1</v>
      </c>
      <c r="I893" s="2" t="b">
        <v>1</v>
      </c>
      <c r="J893" s="2" t="b">
        <v>0</v>
      </c>
      <c r="K893" s="2" t="b">
        <v>0</v>
      </c>
      <c r="L893" s="2" t="b">
        <v>0</v>
      </c>
      <c r="M893" s="2" t="b">
        <v>0</v>
      </c>
      <c r="N893" s="2" t="b">
        <v>0</v>
      </c>
      <c r="O893" s="2" t="b">
        <v>0</v>
      </c>
      <c r="P893" s="68"/>
      <c r="R893" s="69"/>
      <c r="S893" s="68"/>
      <c r="U893" s="69"/>
      <c r="V893" s="68"/>
      <c r="X893" s="69"/>
      <c r="Y893" s="68"/>
      <c r="AA893" s="69"/>
      <c r="AB893" s="33">
        <f t="shared" si="27"/>
        <v>0</v>
      </c>
      <c r="AC893" s="45">
        <f>_xlfn.LET(_xlpm.ps_1,P893:R893, _xlpm.ps_2,S893:U893, _xlpm.ps_3,V893:X893, _xlpm.ps_4,Y893:AA893,
_xlpm.phase, MID(C893,SEARCH("-",C893)+1,256),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(_xlfn.XLOOKUP($C$7,site_assumptions[Details],site_assumptions[Volts])*SUMIFS(P893:AA893,_xlfn.ANCHORARRAY(D893),TRUE)/10*0.95)/1000,
IFERROR(IF(_xlpm.phase="3Phase", _xlpm.p3_calc, _xlpm.sp_calc),0))</f>
        <v>0</v>
      </c>
      <c r="AD893" s="29"/>
      <c r="AE893" s="30"/>
      <c r="AF893" s="30"/>
      <c r="AG893" s="30"/>
      <c r="AH893" s="31"/>
      <c r="AI893" s="49">
        <f t="shared" si="28"/>
        <v>0</v>
      </c>
      <c r="AJ893" s="71"/>
    </row>
    <row r="894" spans="2:36" x14ac:dyDescent="0.25">
      <c r="B894" s="29"/>
      <c r="C894" s="10" t="s">
        <v>2070</v>
      </c>
      <c r="D894" s="2" t="b" cm="1">
        <f t="array" ref="D894:O894">_xlfn._xlws.FILTER(IF(ancillary!$E$4:$P$8="",FALSE,ancillary!$E$4:$P$8),ancillary!$B$4:$B$8=$C894)</f>
        <v>1</v>
      </c>
      <c r="E894" s="2" t="b">
        <v>1</v>
      </c>
      <c r="F894" s="2" t="b">
        <v>1</v>
      </c>
      <c r="G894" s="2" t="b">
        <v>1</v>
      </c>
      <c r="H894" s="2" t="b">
        <v>1</v>
      </c>
      <c r="I894" s="2" t="b">
        <v>1</v>
      </c>
      <c r="J894" s="2" t="b">
        <v>0</v>
      </c>
      <c r="K894" s="2" t="b">
        <v>0</v>
      </c>
      <c r="L894" s="2" t="b">
        <v>0</v>
      </c>
      <c r="M894" s="2" t="b">
        <v>0</v>
      </c>
      <c r="N894" s="2" t="b">
        <v>0</v>
      </c>
      <c r="O894" s="2" t="b">
        <v>0</v>
      </c>
      <c r="P894" s="68"/>
      <c r="R894" s="69"/>
      <c r="S894" s="68"/>
      <c r="U894" s="69"/>
      <c r="V894" s="68"/>
      <c r="X894" s="69"/>
      <c r="Y894" s="68"/>
      <c r="AA894" s="69"/>
      <c r="AB894" s="33">
        <f t="shared" si="27"/>
        <v>0</v>
      </c>
      <c r="AC894" s="45">
        <f>_xlfn.LET(_xlpm.ps_1,P894:R894, _xlpm.ps_2,S894:U894, _xlpm.ps_3,V894:X894, _xlpm.ps_4,Y894:AA894,
_xlpm.phase, MID(C894,SEARCH("-",C894)+1,256),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(_xlfn.XLOOKUP($C$7,site_assumptions[Details],site_assumptions[Volts])*SUMIFS(P894:AA894,_xlfn.ANCHORARRAY(D894),TRUE)/10*0.95)/1000,
IFERROR(IF(_xlpm.phase="3Phase", _xlpm.p3_calc, _xlpm.sp_calc),0))</f>
        <v>0</v>
      </c>
      <c r="AD894" s="29"/>
      <c r="AE894" s="30"/>
      <c r="AF894" s="30"/>
      <c r="AG894" s="30"/>
      <c r="AH894" s="31"/>
      <c r="AI894" s="49">
        <f t="shared" si="28"/>
        <v>0</v>
      </c>
      <c r="AJ894" s="71"/>
    </row>
    <row r="895" spans="2:36" x14ac:dyDescent="0.25">
      <c r="B895" s="29"/>
      <c r="C895" s="10" t="s">
        <v>2070</v>
      </c>
      <c r="D895" s="2" t="b" cm="1">
        <f t="array" ref="D895:O895">_xlfn._xlws.FILTER(IF(ancillary!$E$4:$P$8="",FALSE,ancillary!$E$4:$P$8),ancillary!$B$4:$B$8=$C895)</f>
        <v>1</v>
      </c>
      <c r="E895" s="2" t="b">
        <v>1</v>
      </c>
      <c r="F895" s="2" t="b">
        <v>1</v>
      </c>
      <c r="G895" s="2" t="b">
        <v>1</v>
      </c>
      <c r="H895" s="2" t="b">
        <v>1</v>
      </c>
      <c r="I895" s="2" t="b">
        <v>1</v>
      </c>
      <c r="J895" s="2" t="b">
        <v>0</v>
      </c>
      <c r="K895" s="2" t="b">
        <v>0</v>
      </c>
      <c r="L895" s="2" t="b">
        <v>0</v>
      </c>
      <c r="M895" s="2" t="b">
        <v>0</v>
      </c>
      <c r="N895" s="2" t="b">
        <v>0</v>
      </c>
      <c r="O895" s="2" t="b">
        <v>0</v>
      </c>
      <c r="P895" s="68"/>
      <c r="R895" s="69"/>
      <c r="S895" s="68"/>
      <c r="U895" s="69"/>
      <c r="V895" s="68"/>
      <c r="X895" s="69"/>
      <c r="Y895" s="68"/>
      <c r="AA895" s="69"/>
      <c r="AB895" s="33">
        <f t="shared" si="27"/>
        <v>0</v>
      </c>
      <c r="AC895" s="45">
        <f>_xlfn.LET(_xlpm.ps_1,P895:R895, _xlpm.ps_2,S895:U895, _xlpm.ps_3,V895:X895, _xlpm.ps_4,Y895:AA895,
_xlpm.phase, MID(C895,SEARCH("-",C895)+1,256),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(_xlfn.XLOOKUP($C$7,site_assumptions[Details],site_assumptions[Volts])*SUMIFS(P895:AA895,_xlfn.ANCHORARRAY(D895),TRUE)/10*0.95)/1000,
IFERROR(IF(_xlpm.phase="3Phase", _xlpm.p3_calc, _xlpm.sp_calc),0))</f>
        <v>0</v>
      </c>
      <c r="AD895" s="29"/>
      <c r="AE895" s="30"/>
      <c r="AF895" s="30"/>
      <c r="AG895" s="30"/>
      <c r="AH895" s="31"/>
      <c r="AI895" s="49">
        <f t="shared" si="28"/>
        <v>0</v>
      </c>
      <c r="AJ895" s="71"/>
    </row>
    <row r="896" spans="2:36" x14ac:dyDescent="0.25">
      <c r="B896" s="29"/>
      <c r="C896" s="10" t="s">
        <v>2070</v>
      </c>
      <c r="D896" s="2" t="b" cm="1">
        <f t="array" ref="D896:O896">_xlfn._xlws.FILTER(IF(ancillary!$E$4:$P$8="",FALSE,ancillary!$E$4:$P$8),ancillary!$B$4:$B$8=$C896)</f>
        <v>1</v>
      </c>
      <c r="E896" s="2" t="b">
        <v>1</v>
      </c>
      <c r="F896" s="2" t="b">
        <v>1</v>
      </c>
      <c r="G896" s="2" t="b">
        <v>1</v>
      </c>
      <c r="H896" s="2" t="b">
        <v>1</v>
      </c>
      <c r="I896" s="2" t="b">
        <v>1</v>
      </c>
      <c r="J896" s="2" t="b">
        <v>0</v>
      </c>
      <c r="K896" s="2" t="b">
        <v>0</v>
      </c>
      <c r="L896" s="2" t="b">
        <v>0</v>
      </c>
      <c r="M896" s="2" t="b">
        <v>0</v>
      </c>
      <c r="N896" s="2" t="b">
        <v>0</v>
      </c>
      <c r="O896" s="2" t="b">
        <v>0</v>
      </c>
      <c r="P896" s="68"/>
      <c r="R896" s="69"/>
      <c r="S896" s="68"/>
      <c r="U896" s="69"/>
      <c r="V896" s="68"/>
      <c r="X896" s="69"/>
      <c r="Y896" s="68"/>
      <c r="AA896" s="69"/>
      <c r="AB896" s="33">
        <f t="shared" si="27"/>
        <v>0</v>
      </c>
      <c r="AC896" s="45">
        <f>_xlfn.LET(_xlpm.ps_1,P896:R896, _xlpm.ps_2,S896:U896, _xlpm.ps_3,V896:X896, _xlpm.ps_4,Y896:AA896,
_xlpm.phase, MID(C896,SEARCH("-",C896)+1,256),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(_xlfn.XLOOKUP($C$7,site_assumptions[Details],site_assumptions[Volts])*SUMIFS(P896:AA896,_xlfn.ANCHORARRAY(D896),TRUE)/10*0.95)/1000,
IFERROR(IF(_xlpm.phase="3Phase", _xlpm.p3_calc, _xlpm.sp_calc),0))</f>
        <v>0</v>
      </c>
      <c r="AD896" s="29"/>
      <c r="AE896" s="30"/>
      <c r="AF896" s="30"/>
      <c r="AG896" s="30"/>
      <c r="AH896" s="31"/>
      <c r="AI896" s="49">
        <f t="shared" si="28"/>
        <v>0</v>
      </c>
      <c r="AJ896" s="71"/>
    </row>
    <row r="897" spans="2:36" x14ac:dyDescent="0.25">
      <c r="B897" s="29"/>
      <c r="C897" s="10" t="s">
        <v>2070</v>
      </c>
      <c r="D897" s="2" t="b" cm="1">
        <f t="array" ref="D897:O897">_xlfn._xlws.FILTER(IF(ancillary!$E$4:$P$8="",FALSE,ancillary!$E$4:$P$8),ancillary!$B$4:$B$8=$C897)</f>
        <v>1</v>
      </c>
      <c r="E897" s="2" t="b">
        <v>1</v>
      </c>
      <c r="F897" s="2" t="b">
        <v>1</v>
      </c>
      <c r="G897" s="2" t="b">
        <v>1</v>
      </c>
      <c r="H897" s="2" t="b">
        <v>1</v>
      </c>
      <c r="I897" s="2" t="b">
        <v>1</v>
      </c>
      <c r="J897" s="2" t="b">
        <v>0</v>
      </c>
      <c r="K897" s="2" t="b">
        <v>0</v>
      </c>
      <c r="L897" s="2" t="b">
        <v>0</v>
      </c>
      <c r="M897" s="2" t="b">
        <v>0</v>
      </c>
      <c r="N897" s="2" t="b">
        <v>0</v>
      </c>
      <c r="O897" s="2" t="b">
        <v>0</v>
      </c>
      <c r="P897" s="68"/>
      <c r="R897" s="69"/>
      <c r="S897" s="68"/>
      <c r="U897" s="69"/>
      <c r="V897" s="68"/>
      <c r="X897" s="69"/>
      <c r="Y897" s="68"/>
      <c r="AA897" s="69"/>
      <c r="AB897" s="33">
        <f t="shared" si="27"/>
        <v>0</v>
      </c>
      <c r="AC897" s="45">
        <f>_xlfn.LET(_xlpm.ps_1,P897:R897, _xlpm.ps_2,S897:U897, _xlpm.ps_3,V897:X897, _xlpm.ps_4,Y897:AA897,
_xlpm.phase, MID(C897,SEARCH("-",C897)+1,256),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(_xlfn.XLOOKUP($C$7,site_assumptions[Details],site_assumptions[Volts])*SUMIFS(P897:AA897,_xlfn.ANCHORARRAY(D897),TRUE)/10*0.95)/1000,
IFERROR(IF(_xlpm.phase="3Phase", _xlpm.p3_calc, _xlpm.sp_calc),0))</f>
        <v>0</v>
      </c>
      <c r="AD897" s="29"/>
      <c r="AE897" s="30"/>
      <c r="AF897" s="30"/>
      <c r="AG897" s="30"/>
      <c r="AH897" s="31"/>
      <c r="AI897" s="49">
        <f t="shared" si="28"/>
        <v>0</v>
      </c>
      <c r="AJ897" s="71"/>
    </row>
    <row r="898" spans="2:36" x14ac:dyDescent="0.25">
      <c r="B898" s="29"/>
      <c r="C898" s="10" t="s">
        <v>2070</v>
      </c>
      <c r="D898" s="2" t="b" cm="1">
        <f t="array" ref="D898:O898">_xlfn._xlws.FILTER(IF(ancillary!$E$4:$P$8="",FALSE,ancillary!$E$4:$P$8),ancillary!$B$4:$B$8=$C898)</f>
        <v>1</v>
      </c>
      <c r="E898" s="2" t="b">
        <v>1</v>
      </c>
      <c r="F898" s="2" t="b">
        <v>1</v>
      </c>
      <c r="G898" s="2" t="b">
        <v>1</v>
      </c>
      <c r="H898" s="2" t="b">
        <v>1</v>
      </c>
      <c r="I898" s="2" t="b">
        <v>1</v>
      </c>
      <c r="J898" s="2" t="b">
        <v>0</v>
      </c>
      <c r="K898" s="2" t="b">
        <v>0</v>
      </c>
      <c r="L898" s="2" t="b">
        <v>0</v>
      </c>
      <c r="M898" s="2" t="b">
        <v>0</v>
      </c>
      <c r="N898" s="2" t="b">
        <v>0</v>
      </c>
      <c r="O898" s="2" t="b">
        <v>0</v>
      </c>
      <c r="P898" s="68"/>
      <c r="R898" s="69"/>
      <c r="S898" s="68"/>
      <c r="U898" s="69"/>
      <c r="V898" s="68"/>
      <c r="X898" s="69"/>
      <c r="Y898" s="68"/>
      <c r="AA898" s="69"/>
      <c r="AB898" s="33">
        <f t="shared" si="27"/>
        <v>0</v>
      </c>
      <c r="AC898" s="45">
        <f>_xlfn.LET(_xlpm.ps_1,P898:R898, _xlpm.ps_2,S898:U898, _xlpm.ps_3,V898:X898, _xlpm.ps_4,Y898:AA898,
_xlpm.phase, MID(C898,SEARCH("-",C898)+1,256),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(_xlfn.XLOOKUP($C$7,site_assumptions[Details],site_assumptions[Volts])*SUMIFS(P898:AA898,_xlfn.ANCHORARRAY(D898),TRUE)/10*0.95)/1000,
IFERROR(IF(_xlpm.phase="3Phase", _xlpm.p3_calc, _xlpm.sp_calc),0))</f>
        <v>0</v>
      </c>
      <c r="AD898" s="29"/>
      <c r="AE898" s="30"/>
      <c r="AF898" s="30"/>
      <c r="AG898" s="30"/>
      <c r="AH898" s="31"/>
      <c r="AI898" s="49">
        <f t="shared" si="28"/>
        <v>0</v>
      </c>
      <c r="AJ898" s="71"/>
    </row>
    <row r="899" spans="2:36" x14ac:dyDescent="0.25">
      <c r="B899" s="29"/>
      <c r="C899" s="10" t="s">
        <v>2070</v>
      </c>
      <c r="D899" s="2" t="b" cm="1">
        <f t="array" ref="D899:O899">_xlfn._xlws.FILTER(IF(ancillary!$E$4:$P$8="",FALSE,ancillary!$E$4:$P$8),ancillary!$B$4:$B$8=$C899)</f>
        <v>1</v>
      </c>
      <c r="E899" s="2" t="b">
        <v>1</v>
      </c>
      <c r="F899" s="2" t="b">
        <v>1</v>
      </c>
      <c r="G899" s="2" t="b">
        <v>1</v>
      </c>
      <c r="H899" s="2" t="b">
        <v>1</v>
      </c>
      <c r="I899" s="2" t="b">
        <v>1</v>
      </c>
      <c r="J899" s="2" t="b">
        <v>0</v>
      </c>
      <c r="K899" s="2" t="b">
        <v>0</v>
      </c>
      <c r="L899" s="2" t="b">
        <v>0</v>
      </c>
      <c r="M899" s="2" t="b">
        <v>0</v>
      </c>
      <c r="N899" s="2" t="b">
        <v>0</v>
      </c>
      <c r="O899" s="2" t="b">
        <v>0</v>
      </c>
      <c r="P899" s="68"/>
      <c r="R899" s="69"/>
      <c r="S899" s="68"/>
      <c r="U899" s="69"/>
      <c r="V899" s="68"/>
      <c r="X899" s="69"/>
      <c r="Y899" s="68"/>
      <c r="AA899" s="69"/>
      <c r="AB899" s="33">
        <f t="shared" si="27"/>
        <v>0</v>
      </c>
      <c r="AC899" s="45">
        <f>_xlfn.LET(_xlpm.ps_1,P899:R899, _xlpm.ps_2,S899:U899, _xlpm.ps_3,V899:X899, _xlpm.ps_4,Y899:AA899,
_xlpm.phase, MID(C899,SEARCH("-",C899)+1,256),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(_xlfn.XLOOKUP($C$7,site_assumptions[Details],site_assumptions[Volts])*SUMIFS(P899:AA899,_xlfn.ANCHORARRAY(D899),TRUE)/10*0.95)/1000,
IFERROR(IF(_xlpm.phase="3Phase", _xlpm.p3_calc, _xlpm.sp_calc),0))</f>
        <v>0</v>
      </c>
      <c r="AD899" s="29"/>
      <c r="AE899" s="30"/>
      <c r="AF899" s="30"/>
      <c r="AG899" s="30"/>
      <c r="AH899" s="31"/>
      <c r="AI899" s="49">
        <f t="shared" si="28"/>
        <v>0</v>
      </c>
      <c r="AJ899" s="71"/>
    </row>
    <row r="900" spans="2:36" x14ac:dyDescent="0.25">
      <c r="B900" s="29"/>
      <c r="C900" s="10" t="s">
        <v>2070</v>
      </c>
      <c r="D900" s="2" t="b" cm="1">
        <f t="array" ref="D900:O900">_xlfn._xlws.FILTER(IF(ancillary!$E$4:$P$8="",FALSE,ancillary!$E$4:$P$8),ancillary!$B$4:$B$8=$C900)</f>
        <v>1</v>
      </c>
      <c r="E900" s="2" t="b">
        <v>1</v>
      </c>
      <c r="F900" s="2" t="b">
        <v>1</v>
      </c>
      <c r="G900" s="2" t="b">
        <v>1</v>
      </c>
      <c r="H900" s="2" t="b">
        <v>1</v>
      </c>
      <c r="I900" s="2" t="b">
        <v>1</v>
      </c>
      <c r="J900" s="2" t="b">
        <v>0</v>
      </c>
      <c r="K900" s="2" t="b">
        <v>0</v>
      </c>
      <c r="L900" s="2" t="b">
        <v>0</v>
      </c>
      <c r="M900" s="2" t="b">
        <v>0</v>
      </c>
      <c r="N900" s="2" t="b">
        <v>0</v>
      </c>
      <c r="O900" s="2" t="b">
        <v>0</v>
      </c>
      <c r="P900" s="68"/>
      <c r="R900" s="69"/>
      <c r="S900" s="68"/>
      <c r="U900" s="69"/>
      <c r="V900" s="68"/>
      <c r="X900" s="69"/>
      <c r="Y900" s="68"/>
      <c r="AA900" s="69"/>
      <c r="AB900" s="33">
        <f t="shared" si="27"/>
        <v>0</v>
      </c>
      <c r="AC900" s="45">
        <f>_xlfn.LET(_xlpm.ps_1,P900:R900, _xlpm.ps_2,S900:U900, _xlpm.ps_3,V900:X900, _xlpm.ps_4,Y900:AA900,
_xlpm.phase, MID(C900,SEARCH("-",C900)+1,256),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(_xlfn.XLOOKUP($C$7,site_assumptions[Details],site_assumptions[Volts])*SUMIFS(P900:AA900,_xlfn.ANCHORARRAY(D900),TRUE)/10*0.95)/1000,
IFERROR(IF(_xlpm.phase="3Phase", _xlpm.p3_calc, _xlpm.sp_calc),0))</f>
        <v>0</v>
      </c>
      <c r="AD900" s="29"/>
      <c r="AE900" s="30"/>
      <c r="AF900" s="30"/>
      <c r="AG900" s="30"/>
      <c r="AH900" s="31"/>
      <c r="AI900" s="49">
        <f t="shared" si="28"/>
        <v>0</v>
      </c>
      <c r="AJ900" s="71"/>
    </row>
    <row r="901" spans="2:36" x14ac:dyDescent="0.25">
      <c r="B901" s="29"/>
      <c r="C901" s="10" t="s">
        <v>2070</v>
      </c>
      <c r="D901" s="2" t="b" cm="1">
        <f t="array" ref="D901:O901">_xlfn._xlws.FILTER(IF(ancillary!$E$4:$P$8="",FALSE,ancillary!$E$4:$P$8),ancillary!$B$4:$B$8=$C901)</f>
        <v>1</v>
      </c>
      <c r="E901" s="2" t="b">
        <v>1</v>
      </c>
      <c r="F901" s="2" t="b">
        <v>1</v>
      </c>
      <c r="G901" s="2" t="b">
        <v>1</v>
      </c>
      <c r="H901" s="2" t="b">
        <v>1</v>
      </c>
      <c r="I901" s="2" t="b">
        <v>1</v>
      </c>
      <c r="J901" s="2" t="b">
        <v>0</v>
      </c>
      <c r="K901" s="2" t="b">
        <v>0</v>
      </c>
      <c r="L901" s="2" t="b">
        <v>0</v>
      </c>
      <c r="M901" s="2" t="b">
        <v>0</v>
      </c>
      <c r="N901" s="2" t="b">
        <v>0</v>
      </c>
      <c r="O901" s="2" t="b">
        <v>0</v>
      </c>
      <c r="P901" s="68"/>
      <c r="R901" s="69"/>
      <c r="S901" s="68"/>
      <c r="U901" s="69"/>
      <c r="V901" s="68"/>
      <c r="X901" s="69"/>
      <c r="Y901" s="68"/>
      <c r="AA901" s="69"/>
      <c r="AB901" s="33">
        <f t="shared" si="27"/>
        <v>0</v>
      </c>
      <c r="AC901" s="45">
        <f>_xlfn.LET(_xlpm.ps_1,P901:R901, _xlpm.ps_2,S901:U901, _xlpm.ps_3,V901:X901, _xlpm.ps_4,Y901:AA901,
_xlpm.phase, MID(C901,SEARCH("-",C901)+1,256),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(_xlfn.XLOOKUP($C$7,site_assumptions[Details],site_assumptions[Volts])*SUMIFS(P901:AA901,_xlfn.ANCHORARRAY(D901),TRUE)/10*0.95)/1000,
IFERROR(IF(_xlpm.phase="3Phase", _xlpm.p3_calc, _xlpm.sp_calc),0))</f>
        <v>0</v>
      </c>
      <c r="AD901" s="29"/>
      <c r="AE901" s="30"/>
      <c r="AF901" s="30"/>
      <c r="AG901" s="30"/>
      <c r="AH901" s="31"/>
      <c r="AI901" s="49">
        <f t="shared" si="28"/>
        <v>0</v>
      </c>
      <c r="AJ901" s="71"/>
    </row>
    <row r="902" spans="2:36" x14ac:dyDescent="0.25">
      <c r="B902" s="29"/>
      <c r="C902" s="10" t="s">
        <v>2070</v>
      </c>
      <c r="D902" s="2" t="b" cm="1">
        <f t="array" ref="D902:O902">_xlfn._xlws.FILTER(IF(ancillary!$E$4:$P$8="",FALSE,ancillary!$E$4:$P$8),ancillary!$B$4:$B$8=$C902)</f>
        <v>1</v>
      </c>
      <c r="E902" s="2" t="b">
        <v>1</v>
      </c>
      <c r="F902" s="2" t="b">
        <v>1</v>
      </c>
      <c r="G902" s="2" t="b">
        <v>1</v>
      </c>
      <c r="H902" s="2" t="b">
        <v>1</v>
      </c>
      <c r="I902" s="2" t="b">
        <v>1</v>
      </c>
      <c r="J902" s="2" t="b">
        <v>0</v>
      </c>
      <c r="K902" s="2" t="b">
        <v>0</v>
      </c>
      <c r="L902" s="2" t="b">
        <v>0</v>
      </c>
      <c r="M902" s="2" t="b">
        <v>0</v>
      </c>
      <c r="N902" s="2" t="b">
        <v>0</v>
      </c>
      <c r="O902" s="2" t="b">
        <v>0</v>
      </c>
      <c r="P902" s="68"/>
      <c r="R902" s="69"/>
      <c r="S902" s="68"/>
      <c r="U902" s="69"/>
      <c r="V902" s="68"/>
      <c r="X902" s="69"/>
      <c r="Y902" s="68"/>
      <c r="AA902" s="69"/>
      <c r="AB902" s="33">
        <f t="shared" si="27"/>
        <v>0</v>
      </c>
      <c r="AC902" s="45">
        <f>_xlfn.LET(_xlpm.ps_1,P902:R902, _xlpm.ps_2,S902:U902, _xlpm.ps_3,V902:X902, _xlpm.ps_4,Y902:AA902,
_xlpm.phase, MID(C902,SEARCH("-",C902)+1,256),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(_xlfn.XLOOKUP($C$7,site_assumptions[Details],site_assumptions[Volts])*SUMIFS(P902:AA902,_xlfn.ANCHORARRAY(D902),TRUE)/10*0.95)/1000,
IFERROR(IF(_xlpm.phase="3Phase", _xlpm.p3_calc, _xlpm.sp_calc),0))</f>
        <v>0</v>
      </c>
      <c r="AD902" s="29"/>
      <c r="AE902" s="30"/>
      <c r="AF902" s="30"/>
      <c r="AG902" s="30"/>
      <c r="AH902" s="31"/>
      <c r="AI902" s="49">
        <f t="shared" si="28"/>
        <v>0</v>
      </c>
      <c r="AJ902" s="71"/>
    </row>
    <row r="903" spans="2:36" x14ac:dyDescent="0.25">
      <c r="B903" s="29"/>
      <c r="C903" s="10" t="s">
        <v>2070</v>
      </c>
      <c r="D903" s="2" t="b" cm="1">
        <f t="array" ref="D903:O903">_xlfn._xlws.FILTER(IF(ancillary!$E$4:$P$8="",FALSE,ancillary!$E$4:$P$8),ancillary!$B$4:$B$8=$C903)</f>
        <v>1</v>
      </c>
      <c r="E903" s="2" t="b">
        <v>1</v>
      </c>
      <c r="F903" s="2" t="b">
        <v>1</v>
      </c>
      <c r="G903" s="2" t="b">
        <v>1</v>
      </c>
      <c r="H903" s="2" t="b">
        <v>1</v>
      </c>
      <c r="I903" s="2" t="b">
        <v>1</v>
      </c>
      <c r="J903" s="2" t="b">
        <v>0</v>
      </c>
      <c r="K903" s="2" t="b">
        <v>0</v>
      </c>
      <c r="L903" s="2" t="b">
        <v>0</v>
      </c>
      <c r="M903" s="2" t="b">
        <v>0</v>
      </c>
      <c r="N903" s="2" t="b">
        <v>0</v>
      </c>
      <c r="O903" s="2" t="b">
        <v>0</v>
      </c>
      <c r="P903" s="68"/>
      <c r="R903" s="69"/>
      <c r="S903" s="68"/>
      <c r="U903" s="69"/>
      <c r="V903" s="68"/>
      <c r="X903" s="69"/>
      <c r="Y903" s="68"/>
      <c r="AA903" s="69"/>
      <c r="AB903" s="33">
        <f t="shared" si="27"/>
        <v>0</v>
      </c>
      <c r="AC903" s="45">
        <f>_xlfn.LET(_xlpm.ps_1,P903:R903, _xlpm.ps_2,S903:U903, _xlpm.ps_3,V903:X903, _xlpm.ps_4,Y903:AA903,
_xlpm.phase, MID(C903,SEARCH("-",C903)+1,256),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(_xlfn.XLOOKUP($C$7,site_assumptions[Details],site_assumptions[Volts])*SUMIFS(P903:AA903,_xlfn.ANCHORARRAY(D903),TRUE)/10*0.95)/1000,
IFERROR(IF(_xlpm.phase="3Phase", _xlpm.p3_calc, _xlpm.sp_calc),0))</f>
        <v>0</v>
      </c>
      <c r="AD903" s="29"/>
      <c r="AE903" s="30"/>
      <c r="AF903" s="30"/>
      <c r="AG903" s="30"/>
      <c r="AH903" s="31"/>
      <c r="AI903" s="49">
        <f t="shared" si="28"/>
        <v>0</v>
      </c>
      <c r="AJ903" s="71"/>
    </row>
    <row r="904" spans="2:36" x14ac:dyDescent="0.25">
      <c r="B904" s="29"/>
      <c r="C904" s="10" t="s">
        <v>2070</v>
      </c>
      <c r="D904" s="2" t="b" cm="1">
        <f t="array" ref="D904:O904">_xlfn._xlws.FILTER(IF(ancillary!$E$4:$P$8="",FALSE,ancillary!$E$4:$P$8),ancillary!$B$4:$B$8=$C904)</f>
        <v>1</v>
      </c>
      <c r="E904" s="2" t="b">
        <v>1</v>
      </c>
      <c r="F904" s="2" t="b">
        <v>1</v>
      </c>
      <c r="G904" s="2" t="b">
        <v>1</v>
      </c>
      <c r="H904" s="2" t="b">
        <v>1</v>
      </c>
      <c r="I904" s="2" t="b">
        <v>1</v>
      </c>
      <c r="J904" s="2" t="b">
        <v>0</v>
      </c>
      <c r="K904" s="2" t="b">
        <v>0</v>
      </c>
      <c r="L904" s="2" t="b">
        <v>0</v>
      </c>
      <c r="M904" s="2" t="b">
        <v>0</v>
      </c>
      <c r="N904" s="2" t="b">
        <v>0</v>
      </c>
      <c r="O904" s="2" t="b">
        <v>0</v>
      </c>
      <c r="P904" s="68"/>
      <c r="R904" s="69"/>
      <c r="S904" s="68"/>
      <c r="U904" s="69"/>
      <c r="V904" s="68"/>
      <c r="X904" s="69"/>
      <c r="Y904" s="68"/>
      <c r="AA904" s="69"/>
      <c r="AB904" s="33">
        <f t="shared" si="27"/>
        <v>0</v>
      </c>
      <c r="AC904" s="45">
        <f>_xlfn.LET(_xlpm.ps_1,P904:R904, _xlpm.ps_2,S904:U904, _xlpm.ps_3,V904:X904, _xlpm.ps_4,Y904:AA904,
_xlpm.phase, MID(C904,SEARCH("-",C904)+1,256),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(_xlfn.XLOOKUP($C$7,site_assumptions[Details],site_assumptions[Volts])*SUMIFS(P904:AA904,_xlfn.ANCHORARRAY(D904),TRUE)/10*0.95)/1000,
IFERROR(IF(_xlpm.phase="3Phase", _xlpm.p3_calc, _xlpm.sp_calc),0))</f>
        <v>0</v>
      </c>
      <c r="AD904" s="29"/>
      <c r="AE904" s="30"/>
      <c r="AF904" s="30"/>
      <c r="AG904" s="30"/>
      <c r="AH904" s="31"/>
      <c r="AI904" s="49">
        <f t="shared" si="28"/>
        <v>0</v>
      </c>
      <c r="AJ904" s="71"/>
    </row>
    <row r="905" spans="2:36" x14ac:dyDescent="0.25">
      <c r="B905" s="29"/>
      <c r="C905" s="10" t="s">
        <v>2070</v>
      </c>
      <c r="D905" s="2" t="b" cm="1">
        <f t="array" ref="D905:O905">_xlfn._xlws.FILTER(IF(ancillary!$E$4:$P$8="",FALSE,ancillary!$E$4:$P$8),ancillary!$B$4:$B$8=$C905)</f>
        <v>1</v>
      </c>
      <c r="E905" s="2" t="b">
        <v>1</v>
      </c>
      <c r="F905" s="2" t="b">
        <v>1</v>
      </c>
      <c r="G905" s="2" t="b">
        <v>1</v>
      </c>
      <c r="H905" s="2" t="b">
        <v>1</v>
      </c>
      <c r="I905" s="2" t="b">
        <v>1</v>
      </c>
      <c r="J905" s="2" t="b">
        <v>0</v>
      </c>
      <c r="K905" s="2" t="b">
        <v>0</v>
      </c>
      <c r="L905" s="2" t="b">
        <v>0</v>
      </c>
      <c r="M905" s="2" t="b">
        <v>0</v>
      </c>
      <c r="N905" s="2" t="b">
        <v>0</v>
      </c>
      <c r="O905" s="2" t="b">
        <v>0</v>
      </c>
      <c r="P905" s="68"/>
      <c r="R905" s="69"/>
      <c r="S905" s="68"/>
      <c r="U905" s="69"/>
      <c r="V905" s="68"/>
      <c r="X905" s="69"/>
      <c r="Y905" s="68"/>
      <c r="AA905" s="69"/>
      <c r="AB905" s="33">
        <f t="shared" si="27"/>
        <v>0</v>
      </c>
      <c r="AC905" s="45">
        <f>_xlfn.LET(_xlpm.ps_1,P905:R905, _xlpm.ps_2,S905:U905, _xlpm.ps_3,V905:X905, _xlpm.ps_4,Y905:AA905,
_xlpm.phase, MID(C905,SEARCH("-",C905)+1,256),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(_xlfn.XLOOKUP($C$7,site_assumptions[Details],site_assumptions[Volts])*SUMIFS(P905:AA905,_xlfn.ANCHORARRAY(D905),TRUE)/10*0.95)/1000,
IFERROR(IF(_xlpm.phase="3Phase", _xlpm.p3_calc, _xlpm.sp_calc),0))</f>
        <v>0</v>
      </c>
      <c r="AD905" s="29"/>
      <c r="AE905" s="30"/>
      <c r="AF905" s="30"/>
      <c r="AG905" s="30"/>
      <c r="AH905" s="31"/>
      <c r="AI905" s="49">
        <f t="shared" si="28"/>
        <v>0</v>
      </c>
      <c r="AJ905" s="71"/>
    </row>
    <row r="906" spans="2:36" x14ac:dyDescent="0.25">
      <c r="B906" s="29"/>
      <c r="C906" s="10" t="s">
        <v>2070</v>
      </c>
      <c r="D906" s="2" t="b" cm="1">
        <f t="array" ref="D906:O906">_xlfn._xlws.FILTER(IF(ancillary!$E$4:$P$8="",FALSE,ancillary!$E$4:$P$8),ancillary!$B$4:$B$8=$C906)</f>
        <v>1</v>
      </c>
      <c r="E906" s="2" t="b">
        <v>1</v>
      </c>
      <c r="F906" s="2" t="b">
        <v>1</v>
      </c>
      <c r="G906" s="2" t="b">
        <v>1</v>
      </c>
      <c r="H906" s="2" t="b">
        <v>1</v>
      </c>
      <c r="I906" s="2" t="b">
        <v>1</v>
      </c>
      <c r="J906" s="2" t="b">
        <v>0</v>
      </c>
      <c r="K906" s="2" t="b">
        <v>0</v>
      </c>
      <c r="L906" s="2" t="b">
        <v>0</v>
      </c>
      <c r="M906" s="2" t="b">
        <v>0</v>
      </c>
      <c r="N906" s="2" t="b">
        <v>0</v>
      </c>
      <c r="O906" s="2" t="b">
        <v>0</v>
      </c>
      <c r="P906" s="68"/>
      <c r="R906" s="69"/>
      <c r="S906" s="68"/>
      <c r="U906" s="69"/>
      <c r="V906" s="68"/>
      <c r="X906" s="69"/>
      <c r="Y906" s="68"/>
      <c r="AA906" s="69"/>
      <c r="AB906" s="33">
        <f t="shared" si="27"/>
        <v>0</v>
      </c>
      <c r="AC906" s="45">
        <f>_xlfn.LET(_xlpm.ps_1,P906:R906, _xlpm.ps_2,S906:U906, _xlpm.ps_3,V906:X906, _xlpm.ps_4,Y906:AA906,
_xlpm.phase, MID(C906,SEARCH("-",C906)+1,256),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(_xlfn.XLOOKUP($C$7,site_assumptions[Details],site_assumptions[Volts])*SUMIFS(P906:AA906,_xlfn.ANCHORARRAY(D906),TRUE)/10*0.95)/1000,
IFERROR(IF(_xlpm.phase="3Phase", _xlpm.p3_calc, _xlpm.sp_calc),0))</f>
        <v>0</v>
      </c>
      <c r="AD906" s="29"/>
      <c r="AE906" s="30"/>
      <c r="AF906" s="30"/>
      <c r="AG906" s="30"/>
      <c r="AH906" s="31"/>
      <c r="AI906" s="49">
        <f t="shared" si="28"/>
        <v>0</v>
      </c>
      <c r="AJ906" s="71"/>
    </row>
    <row r="907" spans="2:36" x14ac:dyDescent="0.25">
      <c r="B907" s="29"/>
      <c r="C907" s="10" t="s">
        <v>2070</v>
      </c>
      <c r="D907" s="2" t="b" cm="1">
        <f t="array" ref="D907:O907">_xlfn._xlws.FILTER(IF(ancillary!$E$4:$P$8="",FALSE,ancillary!$E$4:$P$8),ancillary!$B$4:$B$8=$C907)</f>
        <v>1</v>
      </c>
      <c r="E907" s="2" t="b">
        <v>1</v>
      </c>
      <c r="F907" s="2" t="b">
        <v>1</v>
      </c>
      <c r="G907" s="2" t="b">
        <v>1</v>
      </c>
      <c r="H907" s="2" t="b">
        <v>1</v>
      </c>
      <c r="I907" s="2" t="b">
        <v>1</v>
      </c>
      <c r="J907" s="2" t="b">
        <v>0</v>
      </c>
      <c r="K907" s="2" t="b">
        <v>0</v>
      </c>
      <c r="L907" s="2" t="b">
        <v>0</v>
      </c>
      <c r="M907" s="2" t="b">
        <v>0</v>
      </c>
      <c r="N907" s="2" t="b">
        <v>0</v>
      </c>
      <c r="O907" s="2" t="b">
        <v>0</v>
      </c>
      <c r="P907" s="68"/>
      <c r="R907" s="69"/>
      <c r="S907" s="68"/>
      <c r="U907" s="69"/>
      <c r="V907" s="68"/>
      <c r="X907" s="69"/>
      <c r="Y907" s="68"/>
      <c r="AA907" s="69"/>
      <c r="AB907" s="33">
        <f t="shared" si="27"/>
        <v>0</v>
      </c>
      <c r="AC907" s="45">
        <f>_xlfn.LET(_xlpm.ps_1,P907:R907, _xlpm.ps_2,S907:U907, _xlpm.ps_3,V907:X907, _xlpm.ps_4,Y907:AA907,
_xlpm.phase, MID(C907,SEARCH("-",C907)+1,256),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(_xlfn.XLOOKUP($C$7,site_assumptions[Details],site_assumptions[Volts])*SUMIFS(P907:AA907,_xlfn.ANCHORARRAY(D907),TRUE)/10*0.95)/1000,
IFERROR(IF(_xlpm.phase="3Phase", _xlpm.p3_calc, _xlpm.sp_calc),0))</f>
        <v>0</v>
      </c>
      <c r="AD907" s="29"/>
      <c r="AE907" s="30"/>
      <c r="AF907" s="30"/>
      <c r="AG907" s="30"/>
      <c r="AH907" s="31"/>
      <c r="AI907" s="49">
        <f t="shared" si="28"/>
        <v>0</v>
      </c>
      <c r="AJ907" s="71"/>
    </row>
    <row r="908" spans="2:36" x14ac:dyDescent="0.25">
      <c r="B908" s="29"/>
      <c r="C908" s="10" t="s">
        <v>2070</v>
      </c>
      <c r="D908" s="2" t="b" cm="1">
        <f t="array" ref="D908:O908">_xlfn._xlws.FILTER(IF(ancillary!$E$4:$P$8="",FALSE,ancillary!$E$4:$P$8),ancillary!$B$4:$B$8=$C908)</f>
        <v>1</v>
      </c>
      <c r="E908" s="2" t="b">
        <v>1</v>
      </c>
      <c r="F908" s="2" t="b">
        <v>1</v>
      </c>
      <c r="G908" s="2" t="b">
        <v>1</v>
      </c>
      <c r="H908" s="2" t="b">
        <v>1</v>
      </c>
      <c r="I908" s="2" t="b">
        <v>1</v>
      </c>
      <c r="J908" s="2" t="b">
        <v>0</v>
      </c>
      <c r="K908" s="2" t="b">
        <v>0</v>
      </c>
      <c r="L908" s="2" t="b">
        <v>0</v>
      </c>
      <c r="M908" s="2" t="b">
        <v>0</v>
      </c>
      <c r="N908" s="2" t="b">
        <v>0</v>
      </c>
      <c r="O908" s="2" t="b">
        <v>0</v>
      </c>
      <c r="P908" s="68"/>
      <c r="R908" s="69"/>
      <c r="S908" s="68"/>
      <c r="U908" s="69"/>
      <c r="V908" s="68"/>
      <c r="X908" s="69"/>
      <c r="Y908" s="68"/>
      <c r="AA908" s="69"/>
      <c r="AB908" s="33">
        <f t="shared" si="27"/>
        <v>0</v>
      </c>
      <c r="AC908" s="45">
        <f>_xlfn.LET(_xlpm.ps_1,P908:R908, _xlpm.ps_2,S908:U908, _xlpm.ps_3,V908:X908, _xlpm.ps_4,Y908:AA908,
_xlpm.phase, MID(C908,SEARCH("-",C908)+1,256),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(_xlfn.XLOOKUP($C$7,site_assumptions[Details],site_assumptions[Volts])*SUMIFS(P908:AA908,_xlfn.ANCHORARRAY(D908),TRUE)/10*0.95)/1000,
IFERROR(IF(_xlpm.phase="3Phase", _xlpm.p3_calc, _xlpm.sp_calc),0))</f>
        <v>0</v>
      </c>
      <c r="AD908" s="29"/>
      <c r="AE908" s="30"/>
      <c r="AF908" s="30"/>
      <c r="AG908" s="30"/>
      <c r="AH908" s="31"/>
      <c r="AI908" s="49">
        <f t="shared" si="28"/>
        <v>0</v>
      </c>
      <c r="AJ908" s="71"/>
    </row>
    <row r="909" spans="2:36" x14ac:dyDescent="0.25">
      <c r="B909" s="29"/>
      <c r="C909" s="10" t="s">
        <v>2070</v>
      </c>
      <c r="D909" s="2" t="b" cm="1">
        <f t="array" ref="D909:O909">_xlfn._xlws.FILTER(IF(ancillary!$E$4:$P$8="",FALSE,ancillary!$E$4:$P$8),ancillary!$B$4:$B$8=$C909)</f>
        <v>1</v>
      </c>
      <c r="E909" s="2" t="b">
        <v>1</v>
      </c>
      <c r="F909" s="2" t="b">
        <v>1</v>
      </c>
      <c r="G909" s="2" t="b">
        <v>1</v>
      </c>
      <c r="H909" s="2" t="b">
        <v>1</v>
      </c>
      <c r="I909" s="2" t="b">
        <v>1</v>
      </c>
      <c r="J909" s="2" t="b">
        <v>0</v>
      </c>
      <c r="K909" s="2" t="b">
        <v>0</v>
      </c>
      <c r="L909" s="2" t="b">
        <v>0</v>
      </c>
      <c r="M909" s="2" t="b">
        <v>0</v>
      </c>
      <c r="N909" s="2" t="b">
        <v>0</v>
      </c>
      <c r="O909" s="2" t="b">
        <v>0</v>
      </c>
      <c r="P909" s="68"/>
      <c r="R909" s="69"/>
      <c r="S909" s="68"/>
      <c r="U909" s="69"/>
      <c r="V909" s="68"/>
      <c r="X909" s="69"/>
      <c r="Y909" s="68"/>
      <c r="AA909" s="69"/>
      <c r="AB909" s="33">
        <f t="shared" si="27"/>
        <v>0</v>
      </c>
      <c r="AC909" s="45">
        <f>_xlfn.LET(_xlpm.ps_1,P909:R909, _xlpm.ps_2,S909:U909, _xlpm.ps_3,V909:X909, _xlpm.ps_4,Y909:AA909,
_xlpm.phase, MID(C909,SEARCH("-",C909)+1,256),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(_xlfn.XLOOKUP($C$7,site_assumptions[Details],site_assumptions[Volts])*SUMIFS(P909:AA909,_xlfn.ANCHORARRAY(D909),TRUE)/10*0.95)/1000,
IFERROR(IF(_xlpm.phase="3Phase", _xlpm.p3_calc, _xlpm.sp_calc),0))</f>
        <v>0</v>
      </c>
      <c r="AD909" s="29"/>
      <c r="AE909" s="30"/>
      <c r="AF909" s="30"/>
      <c r="AG909" s="30"/>
      <c r="AH909" s="31"/>
      <c r="AI909" s="49">
        <f t="shared" si="28"/>
        <v>0</v>
      </c>
      <c r="AJ909" s="71"/>
    </row>
    <row r="910" spans="2:36" x14ac:dyDescent="0.25">
      <c r="B910" s="29"/>
      <c r="C910" s="10" t="s">
        <v>2070</v>
      </c>
      <c r="D910" s="2" t="b" cm="1">
        <f t="array" ref="D910:O910">_xlfn._xlws.FILTER(IF(ancillary!$E$4:$P$8="",FALSE,ancillary!$E$4:$P$8),ancillary!$B$4:$B$8=$C910)</f>
        <v>1</v>
      </c>
      <c r="E910" s="2" t="b">
        <v>1</v>
      </c>
      <c r="F910" s="2" t="b">
        <v>1</v>
      </c>
      <c r="G910" s="2" t="b">
        <v>1</v>
      </c>
      <c r="H910" s="2" t="b">
        <v>1</v>
      </c>
      <c r="I910" s="2" t="b">
        <v>1</v>
      </c>
      <c r="J910" s="2" t="b">
        <v>0</v>
      </c>
      <c r="K910" s="2" t="b">
        <v>0</v>
      </c>
      <c r="L910" s="2" t="b">
        <v>0</v>
      </c>
      <c r="M910" s="2" t="b">
        <v>0</v>
      </c>
      <c r="N910" s="2" t="b">
        <v>0</v>
      </c>
      <c r="O910" s="2" t="b">
        <v>0</v>
      </c>
      <c r="P910" s="68"/>
      <c r="R910" s="69"/>
      <c r="S910" s="68"/>
      <c r="U910" s="69"/>
      <c r="V910" s="68"/>
      <c r="X910" s="69"/>
      <c r="Y910" s="68"/>
      <c r="AA910" s="69"/>
      <c r="AB910" s="33">
        <f t="shared" ref="AB910:AB973" si="29">IFERROR(AVERAGEIFS(P910:AA910,_xlfn.ANCHORARRAY(D910),TRUE),0)/10</f>
        <v>0</v>
      </c>
      <c r="AC910" s="45">
        <f>_xlfn.LET(_xlpm.ps_1,P910:R910, _xlpm.ps_2,S910:U910, _xlpm.ps_3,V910:X910, _xlpm.ps_4,Y910:AA910,
_xlpm.phase, MID(C910,SEARCH("-",C910)+1,256),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(_xlfn.XLOOKUP($C$7,site_assumptions[Details],site_assumptions[Volts])*SUMIFS(P910:AA910,_xlfn.ANCHORARRAY(D910),TRUE)/10*0.95)/1000,
IFERROR(IF(_xlpm.phase="3Phase", _xlpm.p3_calc, _xlpm.sp_calc),0))</f>
        <v>0</v>
      </c>
      <c r="AD910" s="29"/>
      <c r="AE910" s="30"/>
      <c r="AF910" s="30"/>
      <c r="AG910" s="30"/>
      <c r="AH910" s="31"/>
      <c r="AI910" s="49">
        <f t="shared" si="28"/>
        <v>0</v>
      </c>
      <c r="AJ910" s="71"/>
    </row>
    <row r="911" spans="2:36" x14ac:dyDescent="0.25">
      <c r="B911" s="29"/>
      <c r="C911" s="10" t="s">
        <v>2070</v>
      </c>
      <c r="D911" s="2" t="b" cm="1">
        <f t="array" ref="D911:O911">_xlfn._xlws.FILTER(IF(ancillary!$E$4:$P$8="",FALSE,ancillary!$E$4:$P$8),ancillary!$B$4:$B$8=$C911)</f>
        <v>1</v>
      </c>
      <c r="E911" s="2" t="b">
        <v>1</v>
      </c>
      <c r="F911" s="2" t="b">
        <v>1</v>
      </c>
      <c r="G911" s="2" t="b">
        <v>1</v>
      </c>
      <c r="H911" s="2" t="b">
        <v>1</v>
      </c>
      <c r="I911" s="2" t="b">
        <v>1</v>
      </c>
      <c r="J911" s="2" t="b">
        <v>0</v>
      </c>
      <c r="K911" s="2" t="b">
        <v>0</v>
      </c>
      <c r="L911" s="2" t="b">
        <v>0</v>
      </c>
      <c r="M911" s="2" t="b">
        <v>0</v>
      </c>
      <c r="N911" s="2" t="b">
        <v>0</v>
      </c>
      <c r="O911" s="2" t="b">
        <v>0</v>
      </c>
      <c r="P911" s="68"/>
      <c r="R911" s="69"/>
      <c r="S911" s="68"/>
      <c r="U911" s="69"/>
      <c r="V911" s="68"/>
      <c r="X911" s="69"/>
      <c r="Y911" s="68"/>
      <c r="AA911" s="69"/>
      <c r="AB911" s="33">
        <f t="shared" si="29"/>
        <v>0</v>
      </c>
      <c r="AC911" s="45">
        <f>_xlfn.LET(_xlpm.ps_1,P911:R911, _xlpm.ps_2,S911:U911, _xlpm.ps_3,V911:X911, _xlpm.ps_4,Y911:AA911,
_xlpm.phase, MID(C911,SEARCH("-",C911)+1,256),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(_xlfn.XLOOKUP($C$7,site_assumptions[Details],site_assumptions[Volts])*SUMIFS(P911:AA911,_xlfn.ANCHORARRAY(D911),TRUE)/10*0.95)/1000,
IFERROR(IF(_xlpm.phase="3Phase", _xlpm.p3_calc, _xlpm.sp_calc),0))</f>
        <v>0</v>
      </c>
      <c r="AD911" s="29"/>
      <c r="AE911" s="30"/>
      <c r="AF911" s="30"/>
      <c r="AG911" s="30"/>
      <c r="AH911" s="31"/>
      <c r="AI911" s="49">
        <f t="shared" si="28"/>
        <v>0</v>
      </c>
      <c r="AJ911" s="71"/>
    </row>
    <row r="912" spans="2:36" x14ac:dyDescent="0.25">
      <c r="B912" s="29"/>
      <c r="C912" s="10" t="s">
        <v>2070</v>
      </c>
      <c r="D912" s="2" t="b" cm="1">
        <f t="array" ref="D912:O912">_xlfn._xlws.FILTER(IF(ancillary!$E$4:$P$8="",FALSE,ancillary!$E$4:$P$8),ancillary!$B$4:$B$8=$C912)</f>
        <v>1</v>
      </c>
      <c r="E912" s="2" t="b">
        <v>1</v>
      </c>
      <c r="F912" s="2" t="b">
        <v>1</v>
      </c>
      <c r="G912" s="2" t="b">
        <v>1</v>
      </c>
      <c r="H912" s="2" t="b">
        <v>1</v>
      </c>
      <c r="I912" s="2" t="b">
        <v>1</v>
      </c>
      <c r="J912" s="2" t="b">
        <v>0</v>
      </c>
      <c r="K912" s="2" t="b">
        <v>0</v>
      </c>
      <c r="L912" s="2" t="b">
        <v>0</v>
      </c>
      <c r="M912" s="2" t="b">
        <v>0</v>
      </c>
      <c r="N912" s="2" t="b">
        <v>0</v>
      </c>
      <c r="O912" s="2" t="b">
        <v>0</v>
      </c>
      <c r="P912" s="68"/>
      <c r="R912" s="69"/>
      <c r="S912" s="68"/>
      <c r="U912" s="69"/>
      <c r="V912" s="68"/>
      <c r="X912" s="69"/>
      <c r="Y912" s="68"/>
      <c r="AA912" s="69"/>
      <c r="AB912" s="33">
        <f t="shared" si="29"/>
        <v>0</v>
      </c>
      <c r="AC912" s="45">
        <f>_xlfn.LET(_xlpm.ps_1,P912:R912, _xlpm.ps_2,S912:U912, _xlpm.ps_3,V912:X912, _xlpm.ps_4,Y912:AA912,
_xlpm.phase, MID(C912,SEARCH("-",C912)+1,256),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(_xlfn.XLOOKUP($C$7,site_assumptions[Details],site_assumptions[Volts])*SUMIFS(P912:AA912,_xlfn.ANCHORARRAY(D912),TRUE)/10*0.95)/1000,
IFERROR(IF(_xlpm.phase="3Phase", _xlpm.p3_calc, _xlpm.sp_calc),0))</f>
        <v>0</v>
      </c>
      <c r="AD912" s="29"/>
      <c r="AE912" s="30"/>
      <c r="AF912" s="30"/>
      <c r="AG912" s="30"/>
      <c r="AH912" s="31"/>
      <c r="AI912" s="49">
        <f t="shared" si="28"/>
        <v>0</v>
      </c>
      <c r="AJ912" s="71"/>
    </row>
    <row r="913" spans="2:36" x14ac:dyDescent="0.25">
      <c r="B913" s="29"/>
      <c r="C913" s="10" t="s">
        <v>2070</v>
      </c>
      <c r="D913" s="2" t="b" cm="1">
        <f t="array" ref="D913:O913">_xlfn._xlws.FILTER(IF(ancillary!$E$4:$P$8="",FALSE,ancillary!$E$4:$P$8),ancillary!$B$4:$B$8=$C913)</f>
        <v>1</v>
      </c>
      <c r="E913" s="2" t="b">
        <v>1</v>
      </c>
      <c r="F913" s="2" t="b">
        <v>1</v>
      </c>
      <c r="G913" s="2" t="b">
        <v>1</v>
      </c>
      <c r="H913" s="2" t="b">
        <v>1</v>
      </c>
      <c r="I913" s="2" t="b">
        <v>1</v>
      </c>
      <c r="J913" s="2" t="b">
        <v>0</v>
      </c>
      <c r="K913" s="2" t="b">
        <v>0</v>
      </c>
      <c r="L913" s="2" t="b">
        <v>0</v>
      </c>
      <c r="M913" s="2" t="b">
        <v>0</v>
      </c>
      <c r="N913" s="2" t="b">
        <v>0</v>
      </c>
      <c r="O913" s="2" t="b">
        <v>0</v>
      </c>
      <c r="P913" s="68"/>
      <c r="R913" s="69"/>
      <c r="S913" s="68"/>
      <c r="U913" s="69"/>
      <c r="V913" s="68"/>
      <c r="X913" s="69"/>
      <c r="Y913" s="68"/>
      <c r="AA913" s="69"/>
      <c r="AB913" s="33">
        <f t="shared" si="29"/>
        <v>0</v>
      </c>
      <c r="AC913" s="45">
        <f>_xlfn.LET(_xlpm.ps_1,P913:R913, _xlpm.ps_2,S913:U913, _xlpm.ps_3,V913:X913, _xlpm.ps_4,Y913:AA913,
_xlpm.phase, MID(C913,SEARCH("-",C913)+1,256),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(_xlfn.XLOOKUP($C$7,site_assumptions[Details],site_assumptions[Volts])*SUMIFS(P913:AA913,_xlfn.ANCHORARRAY(D913),TRUE)/10*0.95)/1000,
IFERROR(IF(_xlpm.phase="3Phase", _xlpm.p3_calc, _xlpm.sp_calc),0))</f>
        <v>0</v>
      </c>
      <c r="AD913" s="29"/>
      <c r="AE913" s="30"/>
      <c r="AF913" s="30"/>
      <c r="AG913" s="30"/>
      <c r="AH913" s="31"/>
      <c r="AI913" s="49">
        <f t="shared" si="28"/>
        <v>0</v>
      </c>
      <c r="AJ913" s="71"/>
    </row>
    <row r="914" spans="2:36" x14ac:dyDescent="0.25">
      <c r="B914" s="29"/>
      <c r="C914" s="10" t="s">
        <v>2070</v>
      </c>
      <c r="D914" s="2" t="b" cm="1">
        <f t="array" ref="D914:O914">_xlfn._xlws.FILTER(IF(ancillary!$E$4:$P$8="",FALSE,ancillary!$E$4:$P$8),ancillary!$B$4:$B$8=$C914)</f>
        <v>1</v>
      </c>
      <c r="E914" s="2" t="b">
        <v>1</v>
      </c>
      <c r="F914" s="2" t="b">
        <v>1</v>
      </c>
      <c r="G914" s="2" t="b">
        <v>1</v>
      </c>
      <c r="H914" s="2" t="b">
        <v>1</v>
      </c>
      <c r="I914" s="2" t="b">
        <v>1</v>
      </c>
      <c r="J914" s="2" t="b">
        <v>0</v>
      </c>
      <c r="K914" s="2" t="b">
        <v>0</v>
      </c>
      <c r="L914" s="2" t="b">
        <v>0</v>
      </c>
      <c r="M914" s="2" t="b">
        <v>0</v>
      </c>
      <c r="N914" s="2" t="b">
        <v>0</v>
      </c>
      <c r="O914" s="2" t="b">
        <v>0</v>
      </c>
      <c r="P914" s="68"/>
      <c r="R914" s="69"/>
      <c r="S914" s="68"/>
      <c r="U914" s="69"/>
      <c r="V914" s="68"/>
      <c r="X914" s="69"/>
      <c r="Y914" s="68"/>
      <c r="AA914" s="69"/>
      <c r="AB914" s="33">
        <f t="shared" si="29"/>
        <v>0</v>
      </c>
      <c r="AC914" s="45">
        <f>_xlfn.LET(_xlpm.ps_1,P914:R914, _xlpm.ps_2,S914:U914, _xlpm.ps_3,V914:X914, _xlpm.ps_4,Y914:AA914,
_xlpm.phase, MID(C914,SEARCH("-",C914)+1,256),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(_xlfn.XLOOKUP($C$7,site_assumptions[Details],site_assumptions[Volts])*SUMIFS(P914:AA914,_xlfn.ANCHORARRAY(D914),TRUE)/10*0.95)/1000,
IFERROR(IF(_xlpm.phase="3Phase", _xlpm.p3_calc, _xlpm.sp_calc),0))</f>
        <v>0</v>
      </c>
      <c r="AD914" s="29"/>
      <c r="AE914" s="30"/>
      <c r="AF914" s="30"/>
      <c r="AG914" s="30"/>
      <c r="AH914" s="31"/>
      <c r="AI914" s="49">
        <f t="shared" si="28"/>
        <v>0</v>
      </c>
      <c r="AJ914" s="71"/>
    </row>
    <row r="915" spans="2:36" x14ac:dyDescent="0.25">
      <c r="B915" s="29"/>
      <c r="C915" s="10" t="s">
        <v>2070</v>
      </c>
      <c r="D915" s="2" t="b" cm="1">
        <f t="array" ref="D915:O915">_xlfn._xlws.FILTER(IF(ancillary!$E$4:$P$8="",FALSE,ancillary!$E$4:$P$8),ancillary!$B$4:$B$8=$C915)</f>
        <v>1</v>
      </c>
      <c r="E915" s="2" t="b">
        <v>1</v>
      </c>
      <c r="F915" s="2" t="b">
        <v>1</v>
      </c>
      <c r="G915" s="2" t="b">
        <v>1</v>
      </c>
      <c r="H915" s="2" t="b">
        <v>1</v>
      </c>
      <c r="I915" s="2" t="b">
        <v>1</v>
      </c>
      <c r="J915" s="2" t="b">
        <v>0</v>
      </c>
      <c r="K915" s="2" t="b">
        <v>0</v>
      </c>
      <c r="L915" s="2" t="b">
        <v>0</v>
      </c>
      <c r="M915" s="2" t="b">
        <v>0</v>
      </c>
      <c r="N915" s="2" t="b">
        <v>0</v>
      </c>
      <c r="O915" s="2" t="b">
        <v>0</v>
      </c>
      <c r="P915" s="68"/>
      <c r="R915" s="69"/>
      <c r="S915" s="68"/>
      <c r="U915" s="69"/>
      <c r="V915" s="68"/>
      <c r="X915" s="69"/>
      <c r="Y915" s="68"/>
      <c r="AA915" s="69"/>
      <c r="AB915" s="33">
        <f t="shared" si="29"/>
        <v>0</v>
      </c>
      <c r="AC915" s="45">
        <f>_xlfn.LET(_xlpm.ps_1,P915:R915, _xlpm.ps_2,S915:U915, _xlpm.ps_3,V915:X915, _xlpm.ps_4,Y915:AA915,
_xlpm.phase, MID(C915,SEARCH("-",C915)+1,256),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(_xlfn.XLOOKUP($C$7,site_assumptions[Details],site_assumptions[Volts])*SUMIFS(P915:AA915,_xlfn.ANCHORARRAY(D915),TRUE)/10*0.95)/1000,
IFERROR(IF(_xlpm.phase="3Phase", _xlpm.p3_calc, _xlpm.sp_calc),0))</f>
        <v>0</v>
      </c>
      <c r="AD915" s="29"/>
      <c r="AE915" s="30"/>
      <c r="AF915" s="30"/>
      <c r="AG915" s="30"/>
      <c r="AH915" s="31"/>
      <c r="AI915" s="49">
        <f t="shared" si="28"/>
        <v>0</v>
      </c>
      <c r="AJ915" s="71"/>
    </row>
    <row r="916" spans="2:36" x14ac:dyDescent="0.25">
      <c r="B916" s="29"/>
      <c r="C916" s="10" t="s">
        <v>2070</v>
      </c>
      <c r="D916" s="2" t="b" cm="1">
        <f t="array" ref="D916:O916">_xlfn._xlws.FILTER(IF(ancillary!$E$4:$P$8="",FALSE,ancillary!$E$4:$P$8),ancillary!$B$4:$B$8=$C916)</f>
        <v>1</v>
      </c>
      <c r="E916" s="2" t="b">
        <v>1</v>
      </c>
      <c r="F916" s="2" t="b">
        <v>1</v>
      </c>
      <c r="G916" s="2" t="b">
        <v>1</v>
      </c>
      <c r="H916" s="2" t="b">
        <v>1</v>
      </c>
      <c r="I916" s="2" t="b">
        <v>1</v>
      </c>
      <c r="J916" s="2" t="b">
        <v>0</v>
      </c>
      <c r="K916" s="2" t="b">
        <v>0</v>
      </c>
      <c r="L916" s="2" t="b">
        <v>0</v>
      </c>
      <c r="M916" s="2" t="b">
        <v>0</v>
      </c>
      <c r="N916" s="2" t="b">
        <v>0</v>
      </c>
      <c r="O916" s="2" t="b">
        <v>0</v>
      </c>
      <c r="P916" s="68"/>
      <c r="R916" s="69"/>
      <c r="S916" s="68"/>
      <c r="U916" s="69"/>
      <c r="V916" s="68"/>
      <c r="X916" s="69"/>
      <c r="Y916" s="68"/>
      <c r="AA916" s="69"/>
      <c r="AB916" s="33">
        <f t="shared" si="29"/>
        <v>0</v>
      </c>
      <c r="AC916" s="45">
        <f>_xlfn.LET(_xlpm.ps_1,P916:R916, _xlpm.ps_2,S916:U916, _xlpm.ps_3,V916:X916, _xlpm.ps_4,Y916:AA916,
_xlpm.phase, MID(C916,SEARCH("-",C916)+1,256),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(_xlfn.XLOOKUP($C$7,site_assumptions[Details],site_assumptions[Volts])*SUMIFS(P916:AA916,_xlfn.ANCHORARRAY(D916),TRUE)/10*0.95)/1000,
IFERROR(IF(_xlpm.phase="3Phase", _xlpm.p3_calc, _xlpm.sp_calc),0))</f>
        <v>0</v>
      </c>
      <c r="AD916" s="29"/>
      <c r="AE916" s="30"/>
      <c r="AF916" s="30"/>
      <c r="AG916" s="30"/>
      <c r="AH916" s="31"/>
      <c r="AI916" s="49">
        <f t="shared" si="28"/>
        <v>0</v>
      </c>
      <c r="AJ916" s="71"/>
    </row>
    <row r="917" spans="2:36" x14ac:dyDescent="0.25">
      <c r="B917" s="29"/>
      <c r="C917" s="10" t="s">
        <v>2070</v>
      </c>
      <c r="D917" s="2" t="b" cm="1">
        <f t="array" ref="D917:O917">_xlfn._xlws.FILTER(IF(ancillary!$E$4:$P$8="",FALSE,ancillary!$E$4:$P$8),ancillary!$B$4:$B$8=$C917)</f>
        <v>1</v>
      </c>
      <c r="E917" s="2" t="b">
        <v>1</v>
      </c>
      <c r="F917" s="2" t="b">
        <v>1</v>
      </c>
      <c r="G917" s="2" t="b">
        <v>1</v>
      </c>
      <c r="H917" s="2" t="b">
        <v>1</v>
      </c>
      <c r="I917" s="2" t="b">
        <v>1</v>
      </c>
      <c r="J917" s="2" t="b">
        <v>0</v>
      </c>
      <c r="K917" s="2" t="b">
        <v>0</v>
      </c>
      <c r="L917" s="2" t="b">
        <v>0</v>
      </c>
      <c r="M917" s="2" t="b">
        <v>0</v>
      </c>
      <c r="N917" s="2" t="b">
        <v>0</v>
      </c>
      <c r="O917" s="2" t="b">
        <v>0</v>
      </c>
      <c r="P917" s="68"/>
      <c r="R917" s="69"/>
      <c r="S917" s="68"/>
      <c r="U917" s="69"/>
      <c r="V917" s="68"/>
      <c r="X917" s="69"/>
      <c r="Y917" s="68"/>
      <c r="AA917" s="69"/>
      <c r="AB917" s="33">
        <f t="shared" si="29"/>
        <v>0</v>
      </c>
      <c r="AC917" s="45">
        <f>_xlfn.LET(_xlpm.ps_1,P917:R917, _xlpm.ps_2,S917:U917, _xlpm.ps_3,V917:X917, _xlpm.ps_4,Y917:AA917,
_xlpm.phase, MID(C917,SEARCH("-",C917)+1,256),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(_xlfn.XLOOKUP($C$7,site_assumptions[Details],site_assumptions[Volts])*SUMIFS(P917:AA917,_xlfn.ANCHORARRAY(D917),TRUE)/10*0.95)/1000,
IFERROR(IF(_xlpm.phase="3Phase", _xlpm.p3_calc, _xlpm.sp_calc),0))</f>
        <v>0</v>
      </c>
      <c r="AD917" s="29"/>
      <c r="AE917" s="30"/>
      <c r="AF917" s="30"/>
      <c r="AG917" s="30"/>
      <c r="AH917" s="31"/>
      <c r="AI917" s="49">
        <f t="shared" si="28"/>
        <v>0</v>
      </c>
      <c r="AJ917" s="71"/>
    </row>
    <row r="918" spans="2:36" x14ac:dyDescent="0.25">
      <c r="B918" s="29"/>
      <c r="C918" s="10" t="s">
        <v>2070</v>
      </c>
      <c r="D918" s="2" t="b" cm="1">
        <f t="array" ref="D918:O918">_xlfn._xlws.FILTER(IF(ancillary!$E$4:$P$8="",FALSE,ancillary!$E$4:$P$8),ancillary!$B$4:$B$8=$C918)</f>
        <v>1</v>
      </c>
      <c r="E918" s="2" t="b">
        <v>1</v>
      </c>
      <c r="F918" s="2" t="b">
        <v>1</v>
      </c>
      <c r="G918" s="2" t="b">
        <v>1</v>
      </c>
      <c r="H918" s="2" t="b">
        <v>1</v>
      </c>
      <c r="I918" s="2" t="b">
        <v>1</v>
      </c>
      <c r="J918" s="2" t="b">
        <v>0</v>
      </c>
      <c r="K918" s="2" t="b">
        <v>0</v>
      </c>
      <c r="L918" s="2" t="b">
        <v>0</v>
      </c>
      <c r="M918" s="2" t="b">
        <v>0</v>
      </c>
      <c r="N918" s="2" t="b">
        <v>0</v>
      </c>
      <c r="O918" s="2" t="b">
        <v>0</v>
      </c>
      <c r="P918" s="68"/>
      <c r="R918" s="69"/>
      <c r="S918" s="68"/>
      <c r="U918" s="69"/>
      <c r="V918" s="68"/>
      <c r="X918" s="69"/>
      <c r="Y918" s="68"/>
      <c r="AA918" s="69"/>
      <c r="AB918" s="33">
        <f t="shared" si="29"/>
        <v>0</v>
      </c>
      <c r="AC918" s="45">
        <f>_xlfn.LET(_xlpm.ps_1,P918:R918, _xlpm.ps_2,S918:U918, _xlpm.ps_3,V918:X918, _xlpm.ps_4,Y918:AA918,
_xlpm.phase, MID(C918,SEARCH("-",C918)+1,256),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(_xlfn.XLOOKUP($C$7,site_assumptions[Details],site_assumptions[Volts])*SUMIFS(P918:AA918,_xlfn.ANCHORARRAY(D918),TRUE)/10*0.95)/1000,
IFERROR(IF(_xlpm.phase="3Phase", _xlpm.p3_calc, _xlpm.sp_calc),0))</f>
        <v>0</v>
      </c>
      <c r="AD918" s="29"/>
      <c r="AE918" s="30"/>
      <c r="AF918" s="30"/>
      <c r="AG918" s="30"/>
      <c r="AH918" s="31"/>
      <c r="AI918" s="49">
        <f t="shared" si="28"/>
        <v>0</v>
      </c>
      <c r="AJ918" s="71"/>
    </row>
    <row r="919" spans="2:36" x14ac:dyDescent="0.25">
      <c r="B919" s="29"/>
      <c r="C919" s="10" t="s">
        <v>2070</v>
      </c>
      <c r="D919" s="2" t="b" cm="1">
        <f t="array" ref="D919:O919">_xlfn._xlws.FILTER(IF(ancillary!$E$4:$P$8="",FALSE,ancillary!$E$4:$P$8),ancillary!$B$4:$B$8=$C919)</f>
        <v>1</v>
      </c>
      <c r="E919" s="2" t="b">
        <v>1</v>
      </c>
      <c r="F919" s="2" t="b">
        <v>1</v>
      </c>
      <c r="G919" s="2" t="b">
        <v>1</v>
      </c>
      <c r="H919" s="2" t="b">
        <v>1</v>
      </c>
      <c r="I919" s="2" t="b">
        <v>1</v>
      </c>
      <c r="J919" s="2" t="b">
        <v>0</v>
      </c>
      <c r="K919" s="2" t="b">
        <v>0</v>
      </c>
      <c r="L919" s="2" t="b">
        <v>0</v>
      </c>
      <c r="M919" s="2" t="b">
        <v>0</v>
      </c>
      <c r="N919" s="2" t="b">
        <v>0</v>
      </c>
      <c r="O919" s="2" t="b">
        <v>0</v>
      </c>
      <c r="P919" s="68"/>
      <c r="R919" s="69"/>
      <c r="S919" s="68"/>
      <c r="U919" s="69"/>
      <c r="V919" s="68"/>
      <c r="X919" s="69"/>
      <c r="Y919" s="68"/>
      <c r="AA919" s="69"/>
      <c r="AB919" s="33">
        <f t="shared" si="29"/>
        <v>0</v>
      </c>
      <c r="AC919" s="45">
        <f>_xlfn.LET(_xlpm.ps_1,P919:R919, _xlpm.ps_2,S919:U919, _xlpm.ps_3,V919:X919, _xlpm.ps_4,Y919:AA919,
_xlpm.phase, MID(C919,SEARCH("-",C919)+1,256),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(_xlfn.XLOOKUP($C$7,site_assumptions[Details],site_assumptions[Volts])*SUMIFS(P919:AA919,_xlfn.ANCHORARRAY(D919),TRUE)/10*0.95)/1000,
IFERROR(IF(_xlpm.phase="3Phase", _xlpm.p3_calc, _xlpm.sp_calc),0))</f>
        <v>0</v>
      </c>
      <c r="AD919" s="29"/>
      <c r="AE919" s="30"/>
      <c r="AF919" s="30"/>
      <c r="AG919" s="30"/>
      <c r="AH919" s="31"/>
      <c r="AI919" s="49">
        <f t="shared" si="28"/>
        <v>0</v>
      </c>
      <c r="AJ919" s="71"/>
    </row>
    <row r="920" spans="2:36" x14ac:dyDescent="0.25">
      <c r="B920" s="29"/>
      <c r="C920" s="10" t="s">
        <v>2070</v>
      </c>
      <c r="D920" s="2" t="b" cm="1">
        <f t="array" ref="D920:O920">_xlfn._xlws.FILTER(IF(ancillary!$E$4:$P$8="",FALSE,ancillary!$E$4:$P$8),ancillary!$B$4:$B$8=$C920)</f>
        <v>1</v>
      </c>
      <c r="E920" s="2" t="b">
        <v>1</v>
      </c>
      <c r="F920" s="2" t="b">
        <v>1</v>
      </c>
      <c r="G920" s="2" t="b">
        <v>1</v>
      </c>
      <c r="H920" s="2" t="b">
        <v>1</v>
      </c>
      <c r="I920" s="2" t="b">
        <v>1</v>
      </c>
      <c r="J920" s="2" t="b">
        <v>0</v>
      </c>
      <c r="K920" s="2" t="b">
        <v>0</v>
      </c>
      <c r="L920" s="2" t="b">
        <v>0</v>
      </c>
      <c r="M920" s="2" t="b">
        <v>0</v>
      </c>
      <c r="N920" s="2" t="b">
        <v>0</v>
      </c>
      <c r="O920" s="2" t="b">
        <v>0</v>
      </c>
      <c r="P920" s="68"/>
      <c r="R920" s="69"/>
      <c r="S920" s="68"/>
      <c r="U920" s="69"/>
      <c r="V920" s="68"/>
      <c r="X920" s="69"/>
      <c r="Y920" s="68"/>
      <c r="AA920" s="69"/>
      <c r="AB920" s="33">
        <f t="shared" si="29"/>
        <v>0</v>
      </c>
      <c r="AC920" s="45">
        <f>_xlfn.LET(_xlpm.ps_1,P920:R920, _xlpm.ps_2,S920:U920, _xlpm.ps_3,V920:X920, _xlpm.ps_4,Y920:AA920,
_xlpm.phase, MID(C920,SEARCH("-",C920)+1,256),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(_xlfn.XLOOKUP($C$7,site_assumptions[Details],site_assumptions[Volts])*SUMIFS(P920:AA920,_xlfn.ANCHORARRAY(D920),TRUE)/10*0.95)/1000,
IFERROR(IF(_xlpm.phase="3Phase", _xlpm.p3_calc, _xlpm.sp_calc),0))</f>
        <v>0</v>
      </c>
      <c r="AD920" s="29"/>
      <c r="AE920" s="30"/>
      <c r="AF920" s="30"/>
      <c r="AG920" s="30"/>
      <c r="AH920" s="31"/>
      <c r="AI920" s="49">
        <f t="shared" si="28"/>
        <v>0</v>
      </c>
      <c r="AJ920" s="71"/>
    </row>
    <row r="921" spans="2:36" x14ac:dyDescent="0.25">
      <c r="B921" s="29"/>
      <c r="C921" s="10" t="s">
        <v>2070</v>
      </c>
      <c r="D921" s="2" t="b" cm="1">
        <f t="array" ref="D921:O921">_xlfn._xlws.FILTER(IF(ancillary!$E$4:$P$8="",FALSE,ancillary!$E$4:$P$8),ancillary!$B$4:$B$8=$C921)</f>
        <v>1</v>
      </c>
      <c r="E921" s="2" t="b">
        <v>1</v>
      </c>
      <c r="F921" s="2" t="b">
        <v>1</v>
      </c>
      <c r="G921" s="2" t="b">
        <v>1</v>
      </c>
      <c r="H921" s="2" t="b">
        <v>1</v>
      </c>
      <c r="I921" s="2" t="b">
        <v>1</v>
      </c>
      <c r="J921" s="2" t="b">
        <v>0</v>
      </c>
      <c r="K921" s="2" t="b">
        <v>0</v>
      </c>
      <c r="L921" s="2" t="b">
        <v>0</v>
      </c>
      <c r="M921" s="2" t="b">
        <v>0</v>
      </c>
      <c r="N921" s="2" t="b">
        <v>0</v>
      </c>
      <c r="O921" s="2" t="b">
        <v>0</v>
      </c>
      <c r="P921" s="68"/>
      <c r="R921" s="69"/>
      <c r="S921" s="68"/>
      <c r="U921" s="69"/>
      <c r="V921" s="68"/>
      <c r="X921" s="69"/>
      <c r="Y921" s="68"/>
      <c r="AA921" s="69"/>
      <c r="AB921" s="33">
        <f t="shared" si="29"/>
        <v>0</v>
      </c>
      <c r="AC921" s="45">
        <f>_xlfn.LET(_xlpm.ps_1,P921:R921, _xlpm.ps_2,S921:U921, _xlpm.ps_3,V921:X921, _xlpm.ps_4,Y921:AA921,
_xlpm.phase, MID(C921,SEARCH("-",C921)+1,256),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(_xlfn.XLOOKUP($C$7,site_assumptions[Details],site_assumptions[Volts])*SUMIFS(P921:AA921,_xlfn.ANCHORARRAY(D921),TRUE)/10*0.95)/1000,
IFERROR(IF(_xlpm.phase="3Phase", _xlpm.p3_calc, _xlpm.sp_calc),0))</f>
        <v>0</v>
      </c>
      <c r="AD921" s="29"/>
      <c r="AE921" s="30"/>
      <c r="AF921" s="30"/>
      <c r="AG921" s="30"/>
      <c r="AH921" s="31"/>
      <c r="AI921" s="49">
        <f t="shared" si="28"/>
        <v>0</v>
      </c>
      <c r="AJ921" s="71"/>
    </row>
    <row r="922" spans="2:36" x14ac:dyDescent="0.25">
      <c r="B922" s="29"/>
      <c r="C922" s="10" t="s">
        <v>2070</v>
      </c>
      <c r="D922" s="2" t="b" cm="1">
        <f t="array" ref="D922:O922">_xlfn._xlws.FILTER(IF(ancillary!$E$4:$P$8="",FALSE,ancillary!$E$4:$P$8),ancillary!$B$4:$B$8=$C922)</f>
        <v>1</v>
      </c>
      <c r="E922" s="2" t="b">
        <v>1</v>
      </c>
      <c r="F922" s="2" t="b">
        <v>1</v>
      </c>
      <c r="G922" s="2" t="b">
        <v>1</v>
      </c>
      <c r="H922" s="2" t="b">
        <v>1</v>
      </c>
      <c r="I922" s="2" t="b">
        <v>1</v>
      </c>
      <c r="J922" s="2" t="b">
        <v>0</v>
      </c>
      <c r="K922" s="2" t="b">
        <v>0</v>
      </c>
      <c r="L922" s="2" t="b">
        <v>0</v>
      </c>
      <c r="M922" s="2" t="b">
        <v>0</v>
      </c>
      <c r="N922" s="2" t="b">
        <v>0</v>
      </c>
      <c r="O922" s="2" t="b">
        <v>0</v>
      </c>
      <c r="P922" s="68"/>
      <c r="R922" s="69"/>
      <c r="S922" s="68"/>
      <c r="U922" s="69"/>
      <c r="V922" s="68"/>
      <c r="X922" s="69"/>
      <c r="Y922" s="68"/>
      <c r="AA922" s="69"/>
      <c r="AB922" s="33">
        <f t="shared" si="29"/>
        <v>0</v>
      </c>
      <c r="AC922" s="45">
        <f>_xlfn.LET(_xlpm.ps_1,P922:R922, _xlpm.ps_2,S922:U922, _xlpm.ps_3,V922:X922, _xlpm.ps_4,Y922:AA922,
_xlpm.phase, MID(C922,SEARCH("-",C922)+1,256),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(_xlfn.XLOOKUP($C$7,site_assumptions[Details],site_assumptions[Volts])*SUMIFS(P922:AA922,_xlfn.ANCHORARRAY(D922),TRUE)/10*0.95)/1000,
IFERROR(IF(_xlpm.phase="3Phase", _xlpm.p3_calc, _xlpm.sp_calc),0))</f>
        <v>0</v>
      </c>
      <c r="AD922" s="29"/>
      <c r="AE922" s="30"/>
      <c r="AF922" s="30"/>
      <c r="AG922" s="30"/>
      <c r="AH922" s="31"/>
      <c r="AI922" s="49">
        <f t="shared" si="28"/>
        <v>0</v>
      </c>
      <c r="AJ922" s="71"/>
    </row>
    <row r="923" spans="2:36" x14ac:dyDescent="0.25">
      <c r="B923" s="29"/>
      <c r="C923" s="10" t="s">
        <v>2070</v>
      </c>
      <c r="D923" s="2" t="b" cm="1">
        <f t="array" ref="D923:O923">_xlfn._xlws.FILTER(IF(ancillary!$E$4:$P$8="",FALSE,ancillary!$E$4:$P$8),ancillary!$B$4:$B$8=$C923)</f>
        <v>1</v>
      </c>
      <c r="E923" s="2" t="b">
        <v>1</v>
      </c>
      <c r="F923" s="2" t="b">
        <v>1</v>
      </c>
      <c r="G923" s="2" t="b">
        <v>1</v>
      </c>
      <c r="H923" s="2" t="b">
        <v>1</v>
      </c>
      <c r="I923" s="2" t="b">
        <v>1</v>
      </c>
      <c r="J923" s="2" t="b">
        <v>0</v>
      </c>
      <c r="K923" s="2" t="b">
        <v>0</v>
      </c>
      <c r="L923" s="2" t="b">
        <v>0</v>
      </c>
      <c r="M923" s="2" t="b">
        <v>0</v>
      </c>
      <c r="N923" s="2" t="b">
        <v>0</v>
      </c>
      <c r="O923" s="2" t="b">
        <v>0</v>
      </c>
      <c r="P923" s="68"/>
      <c r="R923" s="69"/>
      <c r="S923" s="68"/>
      <c r="U923" s="69"/>
      <c r="V923" s="68"/>
      <c r="X923" s="69"/>
      <c r="Y923" s="68"/>
      <c r="AA923" s="69"/>
      <c r="AB923" s="33">
        <f t="shared" si="29"/>
        <v>0</v>
      </c>
      <c r="AC923" s="45">
        <f>_xlfn.LET(_xlpm.ps_1,P923:R923, _xlpm.ps_2,S923:U923, _xlpm.ps_3,V923:X923, _xlpm.ps_4,Y923:AA923,
_xlpm.phase, MID(C923,SEARCH("-",C923)+1,256),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(_xlfn.XLOOKUP($C$7,site_assumptions[Details],site_assumptions[Volts])*SUMIFS(P923:AA923,_xlfn.ANCHORARRAY(D923),TRUE)/10*0.95)/1000,
IFERROR(IF(_xlpm.phase="3Phase", _xlpm.p3_calc, _xlpm.sp_calc),0))</f>
        <v>0</v>
      </c>
      <c r="AD923" s="29"/>
      <c r="AE923" s="30"/>
      <c r="AF923" s="30"/>
      <c r="AG923" s="30"/>
      <c r="AH923" s="31"/>
      <c r="AI923" s="49">
        <f t="shared" si="28"/>
        <v>0</v>
      </c>
      <c r="AJ923" s="71"/>
    </row>
    <row r="924" spans="2:36" x14ac:dyDescent="0.25">
      <c r="B924" s="29"/>
      <c r="C924" s="10" t="s">
        <v>2070</v>
      </c>
      <c r="D924" s="2" t="b" cm="1">
        <f t="array" ref="D924:O924">_xlfn._xlws.FILTER(IF(ancillary!$E$4:$P$8="",FALSE,ancillary!$E$4:$P$8),ancillary!$B$4:$B$8=$C924)</f>
        <v>1</v>
      </c>
      <c r="E924" s="2" t="b">
        <v>1</v>
      </c>
      <c r="F924" s="2" t="b">
        <v>1</v>
      </c>
      <c r="G924" s="2" t="b">
        <v>1</v>
      </c>
      <c r="H924" s="2" t="b">
        <v>1</v>
      </c>
      <c r="I924" s="2" t="b">
        <v>1</v>
      </c>
      <c r="J924" s="2" t="b">
        <v>0</v>
      </c>
      <c r="K924" s="2" t="b">
        <v>0</v>
      </c>
      <c r="L924" s="2" t="b">
        <v>0</v>
      </c>
      <c r="M924" s="2" t="b">
        <v>0</v>
      </c>
      <c r="N924" s="2" t="b">
        <v>0</v>
      </c>
      <c r="O924" s="2" t="b">
        <v>0</v>
      </c>
      <c r="P924" s="68"/>
      <c r="R924" s="69"/>
      <c r="S924" s="68"/>
      <c r="U924" s="69"/>
      <c r="V924" s="68"/>
      <c r="X924" s="69"/>
      <c r="Y924" s="68"/>
      <c r="AA924" s="69"/>
      <c r="AB924" s="33">
        <f t="shared" si="29"/>
        <v>0</v>
      </c>
      <c r="AC924" s="45">
        <f>_xlfn.LET(_xlpm.ps_1,P924:R924, _xlpm.ps_2,S924:U924, _xlpm.ps_3,V924:X924, _xlpm.ps_4,Y924:AA924,
_xlpm.phase, MID(C924,SEARCH("-",C924)+1,256),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(_xlfn.XLOOKUP($C$7,site_assumptions[Details],site_assumptions[Volts])*SUMIFS(P924:AA924,_xlfn.ANCHORARRAY(D924),TRUE)/10*0.95)/1000,
IFERROR(IF(_xlpm.phase="3Phase", _xlpm.p3_calc, _xlpm.sp_calc),0))</f>
        <v>0</v>
      </c>
      <c r="AD924" s="29"/>
      <c r="AE924" s="30"/>
      <c r="AF924" s="30"/>
      <c r="AG924" s="30"/>
      <c r="AH924" s="31"/>
      <c r="AI924" s="49">
        <f t="shared" si="28"/>
        <v>0</v>
      </c>
      <c r="AJ924" s="71"/>
    </row>
    <row r="925" spans="2:36" x14ac:dyDescent="0.25">
      <c r="B925" s="29"/>
      <c r="C925" s="10" t="s">
        <v>2070</v>
      </c>
      <c r="D925" s="2" t="b" cm="1">
        <f t="array" ref="D925:O925">_xlfn._xlws.FILTER(IF(ancillary!$E$4:$P$8="",FALSE,ancillary!$E$4:$P$8),ancillary!$B$4:$B$8=$C925)</f>
        <v>1</v>
      </c>
      <c r="E925" s="2" t="b">
        <v>1</v>
      </c>
      <c r="F925" s="2" t="b">
        <v>1</v>
      </c>
      <c r="G925" s="2" t="b">
        <v>1</v>
      </c>
      <c r="H925" s="2" t="b">
        <v>1</v>
      </c>
      <c r="I925" s="2" t="b">
        <v>1</v>
      </c>
      <c r="J925" s="2" t="b">
        <v>0</v>
      </c>
      <c r="K925" s="2" t="b">
        <v>0</v>
      </c>
      <c r="L925" s="2" t="b">
        <v>0</v>
      </c>
      <c r="M925" s="2" t="b">
        <v>0</v>
      </c>
      <c r="N925" s="2" t="b">
        <v>0</v>
      </c>
      <c r="O925" s="2" t="b">
        <v>0</v>
      </c>
      <c r="P925" s="68"/>
      <c r="R925" s="69"/>
      <c r="S925" s="68"/>
      <c r="U925" s="69"/>
      <c r="V925" s="68"/>
      <c r="X925" s="69"/>
      <c r="Y925" s="68"/>
      <c r="AA925" s="69"/>
      <c r="AB925" s="33">
        <f t="shared" si="29"/>
        <v>0</v>
      </c>
      <c r="AC925" s="45">
        <f>_xlfn.LET(_xlpm.ps_1,P925:R925, _xlpm.ps_2,S925:U925, _xlpm.ps_3,V925:X925, _xlpm.ps_4,Y925:AA925,
_xlpm.phase, MID(C925,SEARCH("-",C925)+1,256),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(_xlfn.XLOOKUP($C$7,site_assumptions[Details],site_assumptions[Volts])*SUMIFS(P925:AA925,_xlfn.ANCHORARRAY(D925),TRUE)/10*0.95)/1000,
IFERROR(IF(_xlpm.phase="3Phase", _xlpm.p3_calc, _xlpm.sp_calc),0))</f>
        <v>0</v>
      </c>
      <c r="AD925" s="29"/>
      <c r="AE925" s="30"/>
      <c r="AF925" s="30"/>
      <c r="AG925" s="30"/>
      <c r="AH925" s="31"/>
      <c r="AI925" s="49">
        <f t="shared" si="28"/>
        <v>0</v>
      </c>
      <c r="AJ925" s="71"/>
    </row>
    <row r="926" spans="2:36" x14ac:dyDescent="0.25">
      <c r="B926" s="29"/>
      <c r="C926" s="10" t="s">
        <v>2070</v>
      </c>
      <c r="D926" s="2" t="b" cm="1">
        <f t="array" ref="D926:O926">_xlfn._xlws.FILTER(IF(ancillary!$E$4:$P$8="",FALSE,ancillary!$E$4:$P$8),ancillary!$B$4:$B$8=$C926)</f>
        <v>1</v>
      </c>
      <c r="E926" s="2" t="b">
        <v>1</v>
      </c>
      <c r="F926" s="2" t="b">
        <v>1</v>
      </c>
      <c r="G926" s="2" t="b">
        <v>1</v>
      </c>
      <c r="H926" s="2" t="b">
        <v>1</v>
      </c>
      <c r="I926" s="2" t="b">
        <v>1</v>
      </c>
      <c r="J926" s="2" t="b">
        <v>0</v>
      </c>
      <c r="K926" s="2" t="b">
        <v>0</v>
      </c>
      <c r="L926" s="2" t="b">
        <v>0</v>
      </c>
      <c r="M926" s="2" t="b">
        <v>0</v>
      </c>
      <c r="N926" s="2" t="b">
        <v>0</v>
      </c>
      <c r="O926" s="2" t="b">
        <v>0</v>
      </c>
      <c r="P926" s="68"/>
      <c r="R926" s="69"/>
      <c r="S926" s="68"/>
      <c r="U926" s="69"/>
      <c r="V926" s="68"/>
      <c r="X926" s="69"/>
      <c r="Y926" s="68"/>
      <c r="AA926" s="69"/>
      <c r="AB926" s="33">
        <f t="shared" si="29"/>
        <v>0</v>
      </c>
      <c r="AC926" s="45">
        <f>_xlfn.LET(_xlpm.ps_1,P926:R926, _xlpm.ps_2,S926:U926, _xlpm.ps_3,V926:X926, _xlpm.ps_4,Y926:AA926,
_xlpm.phase, MID(C926,SEARCH("-",C926)+1,256),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(_xlfn.XLOOKUP($C$7,site_assumptions[Details],site_assumptions[Volts])*SUMIFS(P926:AA926,_xlfn.ANCHORARRAY(D926),TRUE)/10*0.95)/1000,
IFERROR(IF(_xlpm.phase="3Phase", _xlpm.p3_calc, _xlpm.sp_calc),0))</f>
        <v>0</v>
      </c>
      <c r="AD926" s="29"/>
      <c r="AE926" s="30"/>
      <c r="AF926" s="30"/>
      <c r="AG926" s="30"/>
      <c r="AH926" s="31"/>
      <c r="AI926" s="49">
        <f t="shared" si="28"/>
        <v>0</v>
      </c>
      <c r="AJ926" s="71"/>
    </row>
    <row r="927" spans="2:36" x14ac:dyDescent="0.25">
      <c r="B927" s="29"/>
      <c r="C927" s="10" t="s">
        <v>2070</v>
      </c>
      <c r="D927" s="2" t="b" cm="1">
        <f t="array" ref="D927:O927">_xlfn._xlws.FILTER(IF(ancillary!$E$4:$P$8="",FALSE,ancillary!$E$4:$P$8),ancillary!$B$4:$B$8=$C927)</f>
        <v>1</v>
      </c>
      <c r="E927" s="2" t="b">
        <v>1</v>
      </c>
      <c r="F927" s="2" t="b">
        <v>1</v>
      </c>
      <c r="G927" s="2" t="b">
        <v>1</v>
      </c>
      <c r="H927" s="2" t="b">
        <v>1</v>
      </c>
      <c r="I927" s="2" t="b">
        <v>1</v>
      </c>
      <c r="J927" s="2" t="b">
        <v>0</v>
      </c>
      <c r="K927" s="2" t="b">
        <v>0</v>
      </c>
      <c r="L927" s="2" t="b">
        <v>0</v>
      </c>
      <c r="M927" s="2" t="b">
        <v>0</v>
      </c>
      <c r="N927" s="2" t="b">
        <v>0</v>
      </c>
      <c r="O927" s="2" t="b">
        <v>0</v>
      </c>
      <c r="P927" s="68"/>
      <c r="R927" s="69"/>
      <c r="S927" s="68"/>
      <c r="U927" s="69"/>
      <c r="V927" s="68"/>
      <c r="X927" s="69"/>
      <c r="Y927" s="68"/>
      <c r="AA927" s="69"/>
      <c r="AB927" s="33">
        <f t="shared" si="29"/>
        <v>0</v>
      </c>
      <c r="AC927" s="45">
        <f>_xlfn.LET(_xlpm.ps_1,P927:R927, _xlpm.ps_2,S927:U927, _xlpm.ps_3,V927:X927, _xlpm.ps_4,Y927:AA927,
_xlpm.phase, MID(C927,SEARCH("-",C927)+1,256),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(_xlfn.XLOOKUP($C$7,site_assumptions[Details],site_assumptions[Volts])*SUMIFS(P927:AA927,_xlfn.ANCHORARRAY(D927),TRUE)/10*0.95)/1000,
IFERROR(IF(_xlpm.phase="3Phase", _xlpm.p3_calc, _xlpm.sp_calc),0))</f>
        <v>0</v>
      </c>
      <c r="AD927" s="29"/>
      <c r="AE927" s="30"/>
      <c r="AF927" s="30"/>
      <c r="AG927" s="30"/>
      <c r="AH927" s="31"/>
      <c r="AI927" s="49">
        <f t="shared" si="28"/>
        <v>0</v>
      </c>
      <c r="AJ927" s="71"/>
    </row>
    <row r="928" spans="2:36" x14ac:dyDescent="0.25">
      <c r="B928" s="29"/>
      <c r="C928" s="10" t="s">
        <v>2070</v>
      </c>
      <c r="D928" s="2" t="b" cm="1">
        <f t="array" ref="D928:O928">_xlfn._xlws.FILTER(IF(ancillary!$E$4:$P$8="",FALSE,ancillary!$E$4:$P$8),ancillary!$B$4:$B$8=$C928)</f>
        <v>1</v>
      </c>
      <c r="E928" s="2" t="b">
        <v>1</v>
      </c>
      <c r="F928" s="2" t="b">
        <v>1</v>
      </c>
      <c r="G928" s="2" t="b">
        <v>1</v>
      </c>
      <c r="H928" s="2" t="b">
        <v>1</v>
      </c>
      <c r="I928" s="2" t="b">
        <v>1</v>
      </c>
      <c r="J928" s="2" t="b">
        <v>0</v>
      </c>
      <c r="K928" s="2" t="b">
        <v>0</v>
      </c>
      <c r="L928" s="2" t="b">
        <v>0</v>
      </c>
      <c r="M928" s="2" t="b">
        <v>0</v>
      </c>
      <c r="N928" s="2" t="b">
        <v>0</v>
      </c>
      <c r="O928" s="2" t="b">
        <v>0</v>
      </c>
      <c r="P928" s="68"/>
      <c r="R928" s="69"/>
      <c r="S928" s="68"/>
      <c r="U928" s="69"/>
      <c r="V928" s="68"/>
      <c r="X928" s="69"/>
      <c r="Y928" s="68"/>
      <c r="AA928" s="69"/>
      <c r="AB928" s="33">
        <f t="shared" si="29"/>
        <v>0</v>
      </c>
      <c r="AC928" s="45">
        <f>_xlfn.LET(_xlpm.ps_1,P928:R928, _xlpm.ps_2,S928:U928, _xlpm.ps_3,V928:X928, _xlpm.ps_4,Y928:AA928,
_xlpm.phase, MID(C928,SEARCH("-",C928)+1,256),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(_xlfn.XLOOKUP($C$7,site_assumptions[Details],site_assumptions[Volts])*SUMIFS(P928:AA928,_xlfn.ANCHORARRAY(D928),TRUE)/10*0.95)/1000,
IFERROR(IF(_xlpm.phase="3Phase", _xlpm.p3_calc, _xlpm.sp_calc),0))</f>
        <v>0</v>
      </c>
      <c r="AD928" s="29"/>
      <c r="AE928" s="30"/>
      <c r="AF928" s="30"/>
      <c r="AG928" s="30"/>
      <c r="AH928" s="31"/>
      <c r="AI928" s="49">
        <f t="shared" si="28"/>
        <v>0</v>
      </c>
      <c r="AJ928" s="71"/>
    </row>
    <row r="929" spans="2:36" x14ac:dyDescent="0.25">
      <c r="B929" s="29"/>
      <c r="C929" s="10" t="s">
        <v>2070</v>
      </c>
      <c r="D929" s="2" t="b" cm="1">
        <f t="array" ref="D929:O929">_xlfn._xlws.FILTER(IF(ancillary!$E$4:$P$8="",FALSE,ancillary!$E$4:$P$8),ancillary!$B$4:$B$8=$C929)</f>
        <v>1</v>
      </c>
      <c r="E929" s="2" t="b">
        <v>1</v>
      </c>
      <c r="F929" s="2" t="b">
        <v>1</v>
      </c>
      <c r="G929" s="2" t="b">
        <v>1</v>
      </c>
      <c r="H929" s="2" t="b">
        <v>1</v>
      </c>
      <c r="I929" s="2" t="b">
        <v>1</v>
      </c>
      <c r="J929" s="2" t="b">
        <v>0</v>
      </c>
      <c r="K929" s="2" t="b">
        <v>0</v>
      </c>
      <c r="L929" s="2" t="b">
        <v>0</v>
      </c>
      <c r="M929" s="2" t="b">
        <v>0</v>
      </c>
      <c r="N929" s="2" t="b">
        <v>0</v>
      </c>
      <c r="O929" s="2" t="b">
        <v>0</v>
      </c>
      <c r="P929" s="68"/>
      <c r="R929" s="69"/>
      <c r="S929" s="68"/>
      <c r="U929" s="69"/>
      <c r="V929" s="68"/>
      <c r="X929" s="69"/>
      <c r="Y929" s="68"/>
      <c r="AA929" s="69"/>
      <c r="AB929" s="33">
        <f t="shared" si="29"/>
        <v>0</v>
      </c>
      <c r="AC929" s="45">
        <f>_xlfn.LET(_xlpm.ps_1,P929:R929, _xlpm.ps_2,S929:U929, _xlpm.ps_3,V929:X929, _xlpm.ps_4,Y929:AA929,
_xlpm.phase, MID(C929,SEARCH("-",C929)+1,256),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(_xlfn.XLOOKUP($C$7,site_assumptions[Details],site_assumptions[Volts])*SUMIFS(P929:AA929,_xlfn.ANCHORARRAY(D929),TRUE)/10*0.95)/1000,
IFERROR(IF(_xlpm.phase="3Phase", _xlpm.p3_calc, _xlpm.sp_calc),0))</f>
        <v>0</v>
      </c>
      <c r="AD929" s="29"/>
      <c r="AE929" s="30"/>
      <c r="AF929" s="30"/>
      <c r="AG929" s="30"/>
      <c r="AH929" s="31"/>
      <c r="AI929" s="49">
        <f t="shared" si="28"/>
        <v>0</v>
      </c>
      <c r="AJ929" s="71"/>
    </row>
    <row r="930" spans="2:36" x14ac:dyDescent="0.25">
      <c r="B930" s="29"/>
      <c r="C930" s="10" t="s">
        <v>2070</v>
      </c>
      <c r="D930" s="2" t="b" cm="1">
        <f t="array" ref="D930:O930">_xlfn._xlws.FILTER(IF(ancillary!$E$4:$P$8="",FALSE,ancillary!$E$4:$P$8),ancillary!$B$4:$B$8=$C930)</f>
        <v>1</v>
      </c>
      <c r="E930" s="2" t="b">
        <v>1</v>
      </c>
      <c r="F930" s="2" t="b">
        <v>1</v>
      </c>
      <c r="G930" s="2" t="b">
        <v>1</v>
      </c>
      <c r="H930" s="2" t="b">
        <v>1</v>
      </c>
      <c r="I930" s="2" t="b">
        <v>1</v>
      </c>
      <c r="J930" s="2" t="b">
        <v>0</v>
      </c>
      <c r="K930" s="2" t="b">
        <v>0</v>
      </c>
      <c r="L930" s="2" t="b">
        <v>0</v>
      </c>
      <c r="M930" s="2" t="b">
        <v>0</v>
      </c>
      <c r="N930" s="2" t="b">
        <v>0</v>
      </c>
      <c r="O930" s="2" t="b">
        <v>0</v>
      </c>
      <c r="P930" s="68"/>
      <c r="R930" s="69"/>
      <c r="S930" s="68"/>
      <c r="U930" s="69"/>
      <c r="V930" s="68"/>
      <c r="X930" s="69"/>
      <c r="Y930" s="68"/>
      <c r="AA930" s="69"/>
      <c r="AB930" s="33">
        <f t="shared" si="29"/>
        <v>0</v>
      </c>
      <c r="AC930" s="45">
        <f>_xlfn.LET(_xlpm.ps_1,P930:R930, _xlpm.ps_2,S930:U930, _xlpm.ps_3,V930:X930, _xlpm.ps_4,Y930:AA930,
_xlpm.phase, MID(C930,SEARCH("-",C930)+1,256),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(_xlfn.XLOOKUP($C$7,site_assumptions[Details],site_assumptions[Volts])*SUMIFS(P930:AA930,_xlfn.ANCHORARRAY(D930),TRUE)/10*0.95)/1000,
IFERROR(IF(_xlpm.phase="3Phase", _xlpm.p3_calc, _xlpm.sp_calc),0))</f>
        <v>0</v>
      </c>
      <c r="AD930" s="29"/>
      <c r="AE930" s="30"/>
      <c r="AF930" s="30"/>
      <c r="AG930" s="30"/>
      <c r="AH930" s="31"/>
      <c r="AI930" s="49">
        <f t="shared" si="28"/>
        <v>0</v>
      </c>
      <c r="AJ930" s="71"/>
    </row>
    <row r="931" spans="2:36" x14ac:dyDescent="0.25">
      <c r="B931" s="29"/>
      <c r="C931" s="10" t="s">
        <v>2070</v>
      </c>
      <c r="D931" s="2" t="b" cm="1">
        <f t="array" ref="D931:O931">_xlfn._xlws.FILTER(IF(ancillary!$E$4:$P$8="",FALSE,ancillary!$E$4:$P$8),ancillary!$B$4:$B$8=$C931)</f>
        <v>1</v>
      </c>
      <c r="E931" s="2" t="b">
        <v>1</v>
      </c>
      <c r="F931" s="2" t="b">
        <v>1</v>
      </c>
      <c r="G931" s="2" t="b">
        <v>1</v>
      </c>
      <c r="H931" s="2" t="b">
        <v>1</v>
      </c>
      <c r="I931" s="2" t="b">
        <v>1</v>
      </c>
      <c r="J931" s="2" t="b">
        <v>0</v>
      </c>
      <c r="K931" s="2" t="b">
        <v>0</v>
      </c>
      <c r="L931" s="2" t="b">
        <v>0</v>
      </c>
      <c r="M931" s="2" t="b">
        <v>0</v>
      </c>
      <c r="N931" s="2" t="b">
        <v>0</v>
      </c>
      <c r="O931" s="2" t="b">
        <v>0</v>
      </c>
      <c r="P931" s="68"/>
      <c r="R931" s="69"/>
      <c r="S931" s="68"/>
      <c r="U931" s="69"/>
      <c r="V931" s="68"/>
      <c r="X931" s="69"/>
      <c r="Y931" s="68"/>
      <c r="AA931" s="69"/>
      <c r="AB931" s="33">
        <f t="shared" si="29"/>
        <v>0</v>
      </c>
      <c r="AC931" s="45">
        <f>_xlfn.LET(_xlpm.ps_1,P931:R931, _xlpm.ps_2,S931:U931, _xlpm.ps_3,V931:X931, _xlpm.ps_4,Y931:AA931,
_xlpm.phase, MID(C931,SEARCH("-",C931)+1,256),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(_xlfn.XLOOKUP($C$7,site_assumptions[Details],site_assumptions[Volts])*SUMIFS(P931:AA931,_xlfn.ANCHORARRAY(D931),TRUE)/10*0.95)/1000,
IFERROR(IF(_xlpm.phase="3Phase", _xlpm.p3_calc, _xlpm.sp_calc),0))</f>
        <v>0</v>
      </c>
      <c r="AD931" s="29"/>
      <c r="AE931" s="30"/>
      <c r="AF931" s="30"/>
      <c r="AG931" s="30"/>
      <c r="AH931" s="31"/>
      <c r="AI931" s="49">
        <f t="shared" si="28"/>
        <v>0</v>
      </c>
      <c r="AJ931" s="71"/>
    </row>
    <row r="932" spans="2:36" x14ac:dyDescent="0.25">
      <c r="B932" s="29"/>
      <c r="C932" s="10" t="s">
        <v>2070</v>
      </c>
      <c r="D932" s="2" t="b" cm="1">
        <f t="array" ref="D932:O932">_xlfn._xlws.FILTER(IF(ancillary!$E$4:$P$8="",FALSE,ancillary!$E$4:$P$8),ancillary!$B$4:$B$8=$C932)</f>
        <v>1</v>
      </c>
      <c r="E932" s="2" t="b">
        <v>1</v>
      </c>
      <c r="F932" s="2" t="b">
        <v>1</v>
      </c>
      <c r="G932" s="2" t="b">
        <v>1</v>
      </c>
      <c r="H932" s="2" t="b">
        <v>1</v>
      </c>
      <c r="I932" s="2" t="b">
        <v>1</v>
      </c>
      <c r="J932" s="2" t="b">
        <v>0</v>
      </c>
      <c r="K932" s="2" t="b">
        <v>0</v>
      </c>
      <c r="L932" s="2" t="b">
        <v>0</v>
      </c>
      <c r="M932" s="2" t="b">
        <v>0</v>
      </c>
      <c r="N932" s="2" t="b">
        <v>0</v>
      </c>
      <c r="O932" s="2" t="b">
        <v>0</v>
      </c>
      <c r="P932" s="68"/>
      <c r="R932" s="69"/>
      <c r="S932" s="68"/>
      <c r="U932" s="69"/>
      <c r="V932" s="68"/>
      <c r="X932" s="69"/>
      <c r="Y932" s="68"/>
      <c r="AA932" s="69"/>
      <c r="AB932" s="33">
        <f t="shared" si="29"/>
        <v>0</v>
      </c>
      <c r="AC932" s="45">
        <f>_xlfn.LET(_xlpm.ps_1,P932:R932, _xlpm.ps_2,S932:U932, _xlpm.ps_3,V932:X932, _xlpm.ps_4,Y932:AA932,
_xlpm.phase, MID(C932,SEARCH("-",C932)+1,256),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(_xlfn.XLOOKUP($C$7,site_assumptions[Details],site_assumptions[Volts])*SUMIFS(P932:AA932,_xlfn.ANCHORARRAY(D932),TRUE)/10*0.95)/1000,
IFERROR(IF(_xlpm.phase="3Phase", _xlpm.p3_calc, _xlpm.sp_calc),0))</f>
        <v>0</v>
      </c>
      <c r="AD932" s="29"/>
      <c r="AE932" s="30"/>
      <c r="AF932" s="30"/>
      <c r="AG932" s="30"/>
      <c r="AH932" s="31"/>
      <c r="AI932" s="49">
        <f t="shared" si="28"/>
        <v>0</v>
      </c>
      <c r="AJ932" s="71"/>
    </row>
    <row r="933" spans="2:36" x14ac:dyDescent="0.25">
      <c r="B933" s="29"/>
      <c r="C933" s="10" t="s">
        <v>2070</v>
      </c>
      <c r="D933" s="2" t="b" cm="1">
        <f t="array" ref="D933:O933">_xlfn._xlws.FILTER(IF(ancillary!$E$4:$P$8="",FALSE,ancillary!$E$4:$P$8),ancillary!$B$4:$B$8=$C933)</f>
        <v>1</v>
      </c>
      <c r="E933" s="2" t="b">
        <v>1</v>
      </c>
      <c r="F933" s="2" t="b">
        <v>1</v>
      </c>
      <c r="G933" s="2" t="b">
        <v>1</v>
      </c>
      <c r="H933" s="2" t="b">
        <v>1</v>
      </c>
      <c r="I933" s="2" t="b">
        <v>1</v>
      </c>
      <c r="J933" s="2" t="b">
        <v>0</v>
      </c>
      <c r="K933" s="2" t="b">
        <v>0</v>
      </c>
      <c r="L933" s="2" t="b">
        <v>0</v>
      </c>
      <c r="M933" s="2" t="b">
        <v>0</v>
      </c>
      <c r="N933" s="2" t="b">
        <v>0</v>
      </c>
      <c r="O933" s="2" t="b">
        <v>0</v>
      </c>
      <c r="P933" s="68"/>
      <c r="R933" s="69"/>
      <c r="S933" s="68"/>
      <c r="U933" s="69"/>
      <c r="V933" s="68"/>
      <c r="X933" s="69"/>
      <c r="Y933" s="68"/>
      <c r="AA933" s="69"/>
      <c r="AB933" s="33">
        <f t="shared" si="29"/>
        <v>0</v>
      </c>
      <c r="AC933" s="45">
        <f>_xlfn.LET(_xlpm.ps_1,P933:R933, _xlpm.ps_2,S933:U933, _xlpm.ps_3,V933:X933, _xlpm.ps_4,Y933:AA933,
_xlpm.phase, MID(C933,SEARCH("-",C933)+1,256),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(_xlfn.XLOOKUP($C$7,site_assumptions[Details],site_assumptions[Volts])*SUMIFS(P933:AA933,_xlfn.ANCHORARRAY(D933),TRUE)/10*0.95)/1000,
IFERROR(IF(_xlpm.phase="3Phase", _xlpm.p3_calc, _xlpm.sp_calc),0))</f>
        <v>0</v>
      </c>
      <c r="AD933" s="29"/>
      <c r="AE933" s="30"/>
      <c r="AF933" s="30"/>
      <c r="AG933" s="30"/>
      <c r="AH933" s="31"/>
      <c r="AI933" s="49">
        <f t="shared" si="28"/>
        <v>0</v>
      </c>
      <c r="AJ933" s="71"/>
    </row>
    <row r="934" spans="2:36" x14ac:dyDescent="0.25">
      <c r="B934" s="29"/>
      <c r="C934" s="10" t="s">
        <v>2070</v>
      </c>
      <c r="D934" s="2" t="b" cm="1">
        <f t="array" ref="D934:O934">_xlfn._xlws.FILTER(IF(ancillary!$E$4:$P$8="",FALSE,ancillary!$E$4:$P$8),ancillary!$B$4:$B$8=$C934)</f>
        <v>1</v>
      </c>
      <c r="E934" s="2" t="b">
        <v>1</v>
      </c>
      <c r="F934" s="2" t="b">
        <v>1</v>
      </c>
      <c r="G934" s="2" t="b">
        <v>1</v>
      </c>
      <c r="H934" s="2" t="b">
        <v>1</v>
      </c>
      <c r="I934" s="2" t="b">
        <v>1</v>
      </c>
      <c r="J934" s="2" t="b">
        <v>0</v>
      </c>
      <c r="K934" s="2" t="b">
        <v>0</v>
      </c>
      <c r="L934" s="2" t="b">
        <v>0</v>
      </c>
      <c r="M934" s="2" t="b">
        <v>0</v>
      </c>
      <c r="N934" s="2" t="b">
        <v>0</v>
      </c>
      <c r="O934" s="2" t="b">
        <v>0</v>
      </c>
      <c r="P934" s="68"/>
      <c r="R934" s="69"/>
      <c r="S934" s="68"/>
      <c r="U934" s="69"/>
      <c r="V934" s="68"/>
      <c r="X934" s="69"/>
      <c r="Y934" s="68"/>
      <c r="AA934" s="69"/>
      <c r="AB934" s="33">
        <f t="shared" si="29"/>
        <v>0</v>
      </c>
      <c r="AC934" s="45">
        <f>_xlfn.LET(_xlpm.ps_1,P934:R934, _xlpm.ps_2,S934:U934, _xlpm.ps_3,V934:X934, _xlpm.ps_4,Y934:AA934,
_xlpm.phase, MID(C934,SEARCH("-",C934)+1,256),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(_xlfn.XLOOKUP($C$7,site_assumptions[Details],site_assumptions[Volts])*SUMIFS(P934:AA934,_xlfn.ANCHORARRAY(D934),TRUE)/10*0.95)/1000,
IFERROR(IF(_xlpm.phase="3Phase", _xlpm.p3_calc, _xlpm.sp_calc),0))</f>
        <v>0</v>
      </c>
      <c r="AD934" s="29"/>
      <c r="AE934" s="30"/>
      <c r="AF934" s="30"/>
      <c r="AG934" s="30"/>
      <c r="AH934" s="31"/>
      <c r="AI934" s="49">
        <f t="shared" si="28"/>
        <v>0</v>
      </c>
      <c r="AJ934" s="71"/>
    </row>
    <row r="935" spans="2:36" x14ac:dyDescent="0.25">
      <c r="B935" s="29"/>
      <c r="C935" s="10" t="s">
        <v>2070</v>
      </c>
      <c r="D935" s="2" t="b" cm="1">
        <f t="array" ref="D935:O935">_xlfn._xlws.FILTER(IF(ancillary!$E$4:$P$8="",FALSE,ancillary!$E$4:$P$8),ancillary!$B$4:$B$8=$C935)</f>
        <v>1</v>
      </c>
      <c r="E935" s="2" t="b">
        <v>1</v>
      </c>
      <c r="F935" s="2" t="b">
        <v>1</v>
      </c>
      <c r="G935" s="2" t="b">
        <v>1</v>
      </c>
      <c r="H935" s="2" t="b">
        <v>1</v>
      </c>
      <c r="I935" s="2" t="b">
        <v>1</v>
      </c>
      <c r="J935" s="2" t="b">
        <v>0</v>
      </c>
      <c r="K935" s="2" t="b">
        <v>0</v>
      </c>
      <c r="L935" s="2" t="b">
        <v>0</v>
      </c>
      <c r="M935" s="2" t="b">
        <v>0</v>
      </c>
      <c r="N935" s="2" t="b">
        <v>0</v>
      </c>
      <c r="O935" s="2" t="b">
        <v>0</v>
      </c>
      <c r="P935" s="68"/>
      <c r="R935" s="69"/>
      <c r="S935" s="68"/>
      <c r="U935" s="69"/>
      <c r="V935" s="68"/>
      <c r="X935" s="69"/>
      <c r="Y935" s="68"/>
      <c r="AA935" s="69"/>
      <c r="AB935" s="33">
        <f t="shared" si="29"/>
        <v>0</v>
      </c>
      <c r="AC935" s="45">
        <f>_xlfn.LET(_xlpm.ps_1,P935:R935, _xlpm.ps_2,S935:U935, _xlpm.ps_3,V935:X935, _xlpm.ps_4,Y935:AA935,
_xlpm.phase, MID(C935,SEARCH("-",C935)+1,256),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(_xlfn.XLOOKUP($C$7,site_assumptions[Details],site_assumptions[Volts])*SUMIFS(P935:AA935,_xlfn.ANCHORARRAY(D935),TRUE)/10*0.95)/1000,
IFERROR(IF(_xlpm.phase="3Phase", _xlpm.p3_calc, _xlpm.sp_calc),0))</f>
        <v>0</v>
      </c>
      <c r="AD935" s="29"/>
      <c r="AE935" s="30"/>
      <c r="AF935" s="30"/>
      <c r="AG935" s="30"/>
      <c r="AH935" s="31"/>
      <c r="AI935" s="49">
        <f t="shared" si="28"/>
        <v>0</v>
      </c>
      <c r="AJ935" s="71"/>
    </row>
    <row r="936" spans="2:36" x14ac:dyDescent="0.25">
      <c r="B936" s="29"/>
      <c r="C936" s="10" t="s">
        <v>2070</v>
      </c>
      <c r="D936" s="2" t="b" cm="1">
        <f t="array" ref="D936:O936">_xlfn._xlws.FILTER(IF(ancillary!$E$4:$P$8="",FALSE,ancillary!$E$4:$P$8),ancillary!$B$4:$B$8=$C936)</f>
        <v>1</v>
      </c>
      <c r="E936" s="2" t="b">
        <v>1</v>
      </c>
      <c r="F936" s="2" t="b">
        <v>1</v>
      </c>
      <c r="G936" s="2" t="b">
        <v>1</v>
      </c>
      <c r="H936" s="2" t="b">
        <v>1</v>
      </c>
      <c r="I936" s="2" t="b">
        <v>1</v>
      </c>
      <c r="J936" s="2" t="b">
        <v>0</v>
      </c>
      <c r="K936" s="2" t="b">
        <v>0</v>
      </c>
      <c r="L936" s="2" t="b">
        <v>0</v>
      </c>
      <c r="M936" s="2" t="b">
        <v>0</v>
      </c>
      <c r="N936" s="2" t="b">
        <v>0</v>
      </c>
      <c r="O936" s="2" t="b">
        <v>0</v>
      </c>
      <c r="P936" s="68"/>
      <c r="R936" s="69"/>
      <c r="S936" s="68"/>
      <c r="U936" s="69"/>
      <c r="V936" s="68"/>
      <c r="X936" s="69"/>
      <c r="Y936" s="68"/>
      <c r="AA936" s="69"/>
      <c r="AB936" s="33">
        <f t="shared" si="29"/>
        <v>0</v>
      </c>
      <c r="AC936" s="45">
        <f>_xlfn.LET(_xlpm.ps_1,P936:R936, _xlpm.ps_2,S936:U936, _xlpm.ps_3,V936:X936, _xlpm.ps_4,Y936:AA936,
_xlpm.phase, MID(C936,SEARCH("-",C936)+1,256),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(_xlfn.XLOOKUP($C$7,site_assumptions[Details],site_assumptions[Volts])*SUMIFS(P936:AA936,_xlfn.ANCHORARRAY(D936),TRUE)/10*0.95)/1000,
IFERROR(IF(_xlpm.phase="3Phase", _xlpm.p3_calc, _xlpm.sp_calc),0))</f>
        <v>0</v>
      </c>
      <c r="AD936" s="29"/>
      <c r="AE936" s="30"/>
      <c r="AF936" s="30"/>
      <c r="AG936" s="30"/>
      <c r="AH936" s="31"/>
      <c r="AI936" s="49">
        <f t="shared" si="28"/>
        <v>0</v>
      </c>
      <c r="AJ936" s="71"/>
    </row>
    <row r="937" spans="2:36" x14ac:dyDescent="0.25">
      <c r="B937" s="29"/>
      <c r="C937" s="10" t="s">
        <v>2070</v>
      </c>
      <c r="D937" s="2" t="b" cm="1">
        <f t="array" ref="D937:O937">_xlfn._xlws.FILTER(IF(ancillary!$E$4:$P$8="",FALSE,ancillary!$E$4:$P$8),ancillary!$B$4:$B$8=$C937)</f>
        <v>1</v>
      </c>
      <c r="E937" s="2" t="b">
        <v>1</v>
      </c>
      <c r="F937" s="2" t="b">
        <v>1</v>
      </c>
      <c r="G937" s="2" t="b">
        <v>1</v>
      </c>
      <c r="H937" s="2" t="b">
        <v>1</v>
      </c>
      <c r="I937" s="2" t="b">
        <v>1</v>
      </c>
      <c r="J937" s="2" t="b">
        <v>0</v>
      </c>
      <c r="K937" s="2" t="b">
        <v>0</v>
      </c>
      <c r="L937" s="2" t="b">
        <v>0</v>
      </c>
      <c r="M937" s="2" t="b">
        <v>0</v>
      </c>
      <c r="N937" s="2" t="b">
        <v>0</v>
      </c>
      <c r="O937" s="2" t="b">
        <v>0</v>
      </c>
      <c r="P937" s="68"/>
      <c r="R937" s="69"/>
      <c r="S937" s="68"/>
      <c r="U937" s="69"/>
      <c r="V937" s="68"/>
      <c r="X937" s="69"/>
      <c r="Y937" s="68"/>
      <c r="AA937" s="69"/>
      <c r="AB937" s="33">
        <f t="shared" si="29"/>
        <v>0</v>
      </c>
      <c r="AC937" s="45">
        <f>_xlfn.LET(_xlpm.ps_1,P937:R937, _xlpm.ps_2,S937:U937, _xlpm.ps_3,V937:X937, _xlpm.ps_4,Y937:AA937,
_xlpm.phase, MID(C937,SEARCH("-",C937)+1,256),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(_xlfn.XLOOKUP($C$7,site_assumptions[Details],site_assumptions[Volts])*SUMIFS(P937:AA937,_xlfn.ANCHORARRAY(D937),TRUE)/10*0.95)/1000,
IFERROR(IF(_xlpm.phase="3Phase", _xlpm.p3_calc, _xlpm.sp_calc),0))</f>
        <v>0</v>
      </c>
      <c r="AD937" s="29"/>
      <c r="AE937" s="30"/>
      <c r="AF937" s="30"/>
      <c r="AG937" s="30"/>
      <c r="AH937" s="31"/>
      <c r="AI937" s="49">
        <f t="shared" si="28"/>
        <v>0</v>
      </c>
      <c r="AJ937" s="71"/>
    </row>
    <row r="938" spans="2:36" x14ac:dyDescent="0.25">
      <c r="B938" s="29"/>
      <c r="C938" s="10" t="s">
        <v>2070</v>
      </c>
      <c r="D938" s="2" t="b" cm="1">
        <f t="array" ref="D938:O938">_xlfn._xlws.FILTER(IF(ancillary!$E$4:$P$8="",FALSE,ancillary!$E$4:$P$8),ancillary!$B$4:$B$8=$C938)</f>
        <v>1</v>
      </c>
      <c r="E938" s="2" t="b">
        <v>1</v>
      </c>
      <c r="F938" s="2" t="b">
        <v>1</v>
      </c>
      <c r="G938" s="2" t="b">
        <v>1</v>
      </c>
      <c r="H938" s="2" t="b">
        <v>1</v>
      </c>
      <c r="I938" s="2" t="b">
        <v>1</v>
      </c>
      <c r="J938" s="2" t="b">
        <v>0</v>
      </c>
      <c r="K938" s="2" t="b">
        <v>0</v>
      </c>
      <c r="L938" s="2" t="b">
        <v>0</v>
      </c>
      <c r="M938" s="2" t="b">
        <v>0</v>
      </c>
      <c r="N938" s="2" t="b">
        <v>0</v>
      </c>
      <c r="O938" s="2" t="b">
        <v>0</v>
      </c>
      <c r="P938" s="68"/>
      <c r="R938" s="69"/>
      <c r="S938" s="68"/>
      <c r="U938" s="69"/>
      <c r="V938" s="68"/>
      <c r="X938" s="69"/>
      <c r="Y938" s="68"/>
      <c r="AA938" s="69"/>
      <c r="AB938" s="33">
        <f t="shared" si="29"/>
        <v>0</v>
      </c>
      <c r="AC938" s="45">
        <f>_xlfn.LET(_xlpm.ps_1,P938:R938, _xlpm.ps_2,S938:U938, _xlpm.ps_3,V938:X938, _xlpm.ps_4,Y938:AA938,
_xlpm.phase, MID(C938,SEARCH("-",C938)+1,256),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(_xlfn.XLOOKUP($C$7,site_assumptions[Details],site_assumptions[Volts])*SUMIFS(P938:AA938,_xlfn.ANCHORARRAY(D938),TRUE)/10*0.95)/1000,
IFERROR(IF(_xlpm.phase="3Phase", _xlpm.p3_calc, _xlpm.sp_calc),0))</f>
        <v>0</v>
      </c>
      <c r="AD938" s="29"/>
      <c r="AE938" s="30"/>
      <c r="AF938" s="30"/>
      <c r="AG938" s="30"/>
      <c r="AH938" s="31"/>
      <c r="AI938" s="49">
        <f t="shared" si="28"/>
        <v>0</v>
      </c>
      <c r="AJ938" s="71"/>
    </row>
    <row r="939" spans="2:36" x14ac:dyDescent="0.25">
      <c r="B939" s="29"/>
      <c r="C939" s="10" t="s">
        <v>2070</v>
      </c>
      <c r="D939" s="2" t="b" cm="1">
        <f t="array" ref="D939:O939">_xlfn._xlws.FILTER(IF(ancillary!$E$4:$P$8="",FALSE,ancillary!$E$4:$P$8),ancillary!$B$4:$B$8=$C939)</f>
        <v>1</v>
      </c>
      <c r="E939" s="2" t="b">
        <v>1</v>
      </c>
      <c r="F939" s="2" t="b">
        <v>1</v>
      </c>
      <c r="G939" s="2" t="b">
        <v>1</v>
      </c>
      <c r="H939" s="2" t="b">
        <v>1</v>
      </c>
      <c r="I939" s="2" t="b">
        <v>1</v>
      </c>
      <c r="J939" s="2" t="b">
        <v>0</v>
      </c>
      <c r="K939" s="2" t="b">
        <v>0</v>
      </c>
      <c r="L939" s="2" t="b">
        <v>0</v>
      </c>
      <c r="M939" s="2" t="b">
        <v>0</v>
      </c>
      <c r="N939" s="2" t="b">
        <v>0</v>
      </c>
      <c r="O939" s="2" t="b">
        <v>0</v>
      </c>
      <c r="P939" s="68"/>
      <c r="R939" s="69"/>
      <c r="S939" s="68"/>
      <c r="U939" s="69"/>
      <c r="V939" s="68"/>
      <c r="X939" s="69"/>
      <c r="Y939" s="68"/>
      <c r="AA939" s="69"/>
      <c r="AB939" s="33">
        <f t="shared" si="29"/>
        <v>0</v>
      </c>
      <c r="AC939" s="45">
        <f>_xlfn.LET(_xlpm.ps_1,P939:R939, _xlpm.ps_2,S939:U939, _xlpm.ps_3,V939:X939, _xlpm.ps_4,Y939:AA939,
_xlpm.phase, MID(C939,SEARCH("-",C939)+1,256),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(_xlfn.XLOOKUP($C$7,site_assumptions[Details],site_assumptions[Volts])*SUMIFS(P939:AA939,_xlfn.ANCHORARRAY(D939),TRUE)/10*0.95)/1000,
IFERROR(IF(_xlpm.phase="3Phase", _xlpm.p3_calc, _xlpm.sp_calc),0))</f>
        <v>0</v>
      </c>
      <c r="AD939" s="29"/>
      <c r="AE939" s="30"/>
      <c r="AF939" s="30"/>
      <c r="AG939" s="30"/>
      <c r="AH939" s="31"/>
      <c r="AI939" s="49">
        <f t="shared" si="28"/>
        <v>0</v>
      </c>
      <c r="AJ939" s="71"/>
    </row>
    <row r="940" spans="2:36" x14ac:dyDescent="0.25">
      <c r="B940" s="29"/>
      <c r="C940" s="10" t="s">
        <v>2070</v>
      </c>
      <c r="D940" s="2" t="b" cm="1">
        <f t="array" ref="D940:O940">_xlfn._xlws.FILTER(IF(ancillary!$E$4:$P$8="",FALSE,ancillary!$E$4:$P$8),ancillary!$B$4:$B$8=$C940)</f>
        <v>1</v>
      </c>
      <c r="E940" s="2" t="b">
        <v>1</v>
      </c>
      <c r="F940" s="2" t="b">
        <v>1</v>
      </c>
      <c r="G940" s="2" t="b">
        <v>1</v>
      </c>
      <c r="H940" s="2" t="b">
        <v>1</v>
      </c>
      <c r="I940" s="2" t="b">
        <v>1</v>
      </c>
      <c r="J940" s="2" t="b">
        <v>0</v>
      </c>
      <c r="K940" s="2" t="b">
        <v>0</v>
      </c>
      <c r="L940" s="2" t="b">
        <v>0</v>
      </c>
      <c r="M940" s="2" t="b">
        <v>0</v>
      </c>
      <c r="N940" s="2" t="b">
        <v>0</v>
      </c>
      <c r="O940" s="2" t="b">
        <v>0</v>
      </c>
      <c r="P940" s="68"/>
      <c r="R940" s="69"/>
      <c r="S940" s="68"/>
      <c r="U940" s="69"/>
      <c r="V940" s="68"/>
      <c r="X940" s="69"/>
      <c r="Y940" s="68"/>
      <c r="AA940" s="69"/>
      <c r="AB940" s="33">
        <f t="shared" si="29"/>
        <v>0</v>
      </c>
      <c r="AC940" s="45">
        <f>_xlfn.LET(_xlpm.ps_1,P940:R940, _xlpm.ps_2,S940:U940, _xlpm.ps_3,V940:X940, _xlpm.ps_4,Y940:AA940,
_xlpm.phase, MID(C940,SEARCH("-",C940)+1,256),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(_xlfn.XLOOKUP($C$7,site_assumptions[Details],site_assumptions[Volts])*SUMIFS(P940:AA940,_xlfn.ANCHORARRAY(D940),TRUE)/10*0.95)/1000,
IFERROR(IF(_xlpm.phase="3Phase", _xlpm.p3_calc, _xlpm.sp_calc),0))</f>
        <v>0</v>
      </c>
      <c r="AD940" s="29"/>
      <c r="AE940" s="30"/>
      <c r="AF940" s="30"/>
      <c r="AG940" s="30"/>
      <c r="AH940" s="31"/>
      <c r="AI940" s="49">
        <f t="shared" si="28"/>
        <v>0</v>
      </c>
      <c r="AJ940" s="71"/>
    </row>
    <row r="941" spans="2:36" x14ac:dyDescent="0.25">
      <c r="B941" s="29"/>
      <c r="C941" s="10" t="s">
        <v>2070</v>
      </c>
      <c r="D941" s="2" t="b" cm="1">
        <f t="array" ref="D941:O941">_xlfn._xlws.FILTER(IF(ancillary!$E$4:$P$8="",FALSE,ancillary!$E$4:$P$8),ancillary!$B$4:$B$8=$C941)</f>
        <v>1</v>
      </c>
      <c r="E941" s="2" t="b">
        <v>1</v>
      </c>
      <c r="F941" s="2" t="b">
        <v>1</v>
      </c>
      <c r="G941" s="2" t="b">
        <v>1</v>
      </c>
      <c r="H941" s="2" t="b">
        <v>1</v>
      </c>
      <c r="I941" s="2" t="b">
        <v>1</v>
      </c>
      <c r="J941" s="2" t="b">
        <v>0</v>
      </c>
      <c r="K941" s="2" t="b">
        <v>0</v>
      </c>
      <c r="L941" s="2" t="b">
        <v>0</v>
      </c>
      <c r="M941" s="2" t="b">
        <v>0</v>
      </c>
      <c r="N941" s="2" t="b">
        <v>0</v>
      </c>
      <c r="O941" s="2" t="b">
        <v>0</v>
      </c>
      <c r="P941" s="68"/>
      <c r="R941" s="69"/>
      <c r="S941" s="68"/>
      <c r="U941" s="69"/>
      <c r="V941" s="68"/>
      <c r="X941" s="69"/>
      <c r="Y941" s="68"/>
      <c r="AA941" s="69"/>
      <c r="AB941" s="33">
        <f t="shared" si="29"/>
        <v>0</v>
      </c>
      <c r="AC941" s="45">
        <f>_xlfn.LET(_xlpm.ps_1,P941:R941, _xlpm.ps_2,S941:U941, _xlpm.ps_3,V941:X941, _xlpm.ps_4,Y941:AA941,
_xlpm.phase, MID(C941,SEARCH("-",C941)+1,256),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(_xlfn.XLOOKUP($C$7,site_assumptions[Details],site_assumptions[Volts])*SUMIFS(P941:AA941,_xlfn.ANCHORARRAY(D941),TRUE)/10*0.95)/1000,
IFERROR(IF(_xlpm.phase="3Phase", _xlpm.p3_calc, _xlpm.sp_calc),0))</f>
        <v>0</v>
      </c>
      <c r="AD941" s="29"/>
      <c r="AE941" s="30"/>
      <c r="AF941" s="30"/>
      <c r="AG941" s="30"/>
      <c r="AH941" s="31"/>
      <c r="AI941" s="49">
        <f t="shared" si="28"/>
        <v>0</v>
      </c>
      <c r="AJ941" s="71"/>
    </row>
    <row r="942" spans="2:36" x14ac:dyDescent="0.25">
      <c r="B942" s="29"/>
      <c r="C942" s="10" t="s">
        <v>2070</v>
      </c>
      <c r="D942" s="2" t="b" cm="1">
        <f t="array" ref="D942:O942">_xlfn._xlws.FILTER(IF(ancillary!$E$4:$P$8="",FALSE,ancillary!$E$4:$P$8),ancillary!$B$4:$B$8=$C942)</f>
        <v>1</v>
      </c>
      <c r="E942" s="2" t="b">
        <v>1</v>
      </c>
      <c r="F942" s="2" t="b">
        <v>1</v>
      </c>
      <c r="G942" s="2" t="b">
        <v>1</v>
      </c>
      <c r="H942" s="2" t="b">
        <v>1</v>
      </c>
      <c r="I942" s="2" t="b">
        <v>1</v>
      </c>
      <c r="J942" s="2" t="b">
        <v>0</v>
      </c>
      <c r="K942" s="2" t="b">
        <v>0</v>
      </c>
      <c r="L942" s="2" t="b">
        <v>0</v>
      </c>
      <c r="M942" s="2" t="b">
        <v>0</v>
      </c>
      <c r="N942" s="2" t="b">
        <v>0</v>
      </c>
      <c r="O942" s="2" t="b">
        <v>0</v>
      </c>
      <c r="P942" s="68"/>
      <c r="R942" s="69"/>
      <c r="S942" s="68"/>
      <c r="U942" s="69"/>
      <c r="V942" s="68"/>
      <c r="X942" s="69"/>
      <c r="Y942" s="68"/>
      <c r="AA942" s="69"/>
      <c r="AB942" s="33">
        <f t="shared" si="29"/>
        <v>0</v>
      </c>
      <c r="AC942" s="45">
        <f>_xlfn.LET(_xlpm.ps_1,P942:R942, _xlpm.ps_2,S942:U942, _xlpm.ps_3,V942:X942, _xlpm.ps_4,Y942:AA942,
_xlpm.phase, MID(C942,SEARCH("-",C942)+1,256),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(_xlfn.XLOOKUP($C$7,site_assumptions[Details],site_assumptions[Volts])*SUMIFS(P942:AA942,_xlfn.ANCHORARRAY(D942),TRUE)/10*0.95)/1000,
IFERROR(IF(_xlpm.phase="3Phase", _xlpm.p3_calc, _xlpm.sp_calc),0))</f>
        <v>0</v>
      </c>
      <c r="AD942" s="29"/>
      <c r="AE942" s="30"/>
      <c r="AF942" s="30"/>
      <c r="AG942" s="30"/>
      <c r="AH942" s="31"/>
      <c r="AI942" s="49">
        <f t="shared" si="28"/>
        <v>0</v>
      </c>
      <c r="AJ942" s="71"/>
    </row>
    <row r="943" spans="2:36" x14ac:dyDescent="0.25">
      <c r="B943" s="29"/>
      <c r="C943" s="10" t="s">
        <v>2070</v>
      </c>
      <c r="D943" s="2" t="b" cm="1">
        <f t="array" ref="D943:O943">_xlfn._xlws.FILTER(IF(ancillary!$E$4:$P$8="",FALSE,ancillary!$E$4:$P$8),ancillary!$B$4:$B$8=$C943)</f>
        <v>1</v>
      </c>
      <c r="E943" s="2" t="b">
        <v>1</v>
      </c>
      <c r="F943" s="2" t="b">
        <v>1</v>
      </c>
      <c r="G943" s="2" t="b">
        <v>1</v>
      </c>
      <c r="H943" s="2" t="b">
        <v>1</v>
      </c>
      <c r="I943" s="2" t="b">
        <v>1</v>
      </c>
      <c r="J943" s="2" t="b">
        <v>0</v>
      </c>
      <c r="K943" s="2" t="b">
        <v>0</v>
      </c>
      <c r="L943" s="2" t="b">
        <v>0</v>
      </c>
      <c r="M943" s="2" t="b">
        <v>0</v>
      </c>
      <c r="N943" s="2" t="b">
        <v>0</v>
      </c>
      <c r="O943" s="2" t="b">
        <v>0</v>
      </c>
      <c r="P943" s="68"/>
      <c r="R943" s="69"/>
      <c r="S943" s="68"/>
      <c r="U943" s="69"/>
      <c r="V943" s="68"/>
      <c r="X943" s="69"/>
      <c r="Y943" s="68"/>
      <c r="AA943" s="69"/>
      <c r="AB943" s="33">
        <f t="shared" si="29"/>
        <v>0</v>
      </c>
      <c r="AC943" s="45">
        <f>_xlfn.LET(_xlpm.ps_1,P943:R943, _xlpm.ps_2,S943:U943, _xlpm.ps_3,V943:X943, _xlpm.ps_4,Y943:AA943,
_xlpm.phase, MID(C943,SEARCH("-",C943)+1,256),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(_xlfn.XLOOKUP($C$7,site_assumptions[Details],site_assumptions[Volts])*SUMIFS(P943:AA943,_xlfn.ANCHORARRAY(D943),TRUE)/10*0.95)/1000,
IFERROR(IF(_xlpm.phase="3Phase", _xlpm.p3_calc, _xlpm.sp_calc),0))</f>
        <v>0</v>
      </c>
      <c r="AD943" s="29"/>
      <c r="AE943" s="30"/>
      <c r="AF943" s="30"/>
      <c r="AG943" s="30"/>
      <c r="AH943" s="31"/>
      <c r="AI943" s="49">
        <f t="shared" si="28"/>
        <v>0</v>
      </c>
      <c r="AJ943" s="71"/>
    </row>
    <row r="944" spans="2:36" x14ac:dyDescent="0.25">
      <c r="B944" s="29"/>
      <c r="C944" s="10" t="s">
        <v>2070</v>
      </c>
      <c r="D944" s="2" t="b" cm="1">
        <f t="array" ref="D944:O944">_xlfn._xlws.FILTER(IF(ancillary!$E$4:$P$8="",FALSE,ancillary!$E$4:$P$8),ancillary!$B$4:$B$8=$C944)</f>
        <v>1</v>
      </c>
      <c r="E944" s="2" t="b">
        <v>1</v>
      </c>
      <c r="F944" s="2" t="b">
        <v>1</v>
      </c>
      <c r="G944" s="2" t="b">
        <v>1</v>
      </c>
      <c r="H944" s="2" t="b">
        <v>1</v>
      </c>
      <c r="I944" s="2" t="b">
        <v>1</v>
      </c>
      <c r="J944" s="2" t="b">
        <v>0</v>
      </c>
      <c r="K944" s="2" t="b">
        <v>0</v>
      </c>
      <c r="L944" s="2" t="b">
        <v>0</v>
      </c>
      <c r="M944" s="2" t="b">
        <v>0</v>
      </c>
      <c r="N944" s="2" t="b">
        <v>0</v>
      </c>
      <c r="O944" s="2" t="b">
        <v>0</v>
      </c>
      <c r="P944" s="68"/>
      <c r="R944" s="69"/>
      <c r="S944" s="68"/>
      <c r="U944" s="69"/>
      <c r="V944" s="68"/>
      <c r="X944" s="69"/>
      <c r="Y944" s="68"/>
      <c r="AA944" s="69"/>
      <c r="AB944" s="33">
        <f t="shared" si="29"/>
        <v>0</v>
      </c>
      <c r="AC944" s="45">
        <f>_xlfn.LET(_xlpm.ps_1,P944:R944, _xlpm.ps_2,S944:U944, _xlpm.ps_3,V944:X944, _xlpm.ps_4,Y944:AA944,
_xlpm.phase, MID(C944,SEARCH("-",C944)+1,256),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(_xlfn.XLOOKUP($C$7,site_assumptions[Details],site_assumptions[Volts])*SUMIFS(P944:AA944,_xlfn.ANCHORARRAY(D944),TRUE)/10*0.95)/1000,
IFERROR(IF(_xlpm.phase="3Phase", _xlpm.p3_calc, _xlpm.sp_calc),0))</f>
        <v>0</v>
      </c>
      <c r="AD944" s="29"/>
      <c r="AE944" s="30"/>
      <c r="AF944" s="30"/>
      <c r="AG944" s="30"/>
      <c r="AH944" s="31"/>
      <c r="AI944" s="49">
        <f t="shared" si="28"/>
        <v>0</v>
      </c>
      <c r="AJ944" s="71"/>
    </row>
    <row r="945" spans="2:36" x14ac:dyDescent="0.25">
      <c r="B945" s="29"/>
      <c r="C945" s="10" t="s">
        <v>2070</v>
      </c>
      <c r="D945" s="2" t="b" cm="1">
        <f t="array" ref="D945:O945">_xlfn._xlws.FILTER(IF(ancillary!$E$4:$P$8="",FALSE,ancillary!$E$4:$P$8),ancillary!$B$4:$B$8=$C945)</f>
        <v>1</v>
      </c>
      <c r="E945" s="2" t="b">
        <v>1</v>
      </c>
      <c r="F945" s="2" t="b">
        <v>1</v>
      </c>
      <c r="G945" s="2" t="b">
        <v>1</v>
      </c>
      <c r="H945" s="2" t="b">
        <v>1</v>
      </c>
      <c r="I945" s="2" t="b">
        <v>1</v>
      </c>
      <c r="J945" s="2" t="b">
        <v>0</v>
      </c>
      <c r="K945" s="2" t="b">
        <v>0</v>
      </c>
      <c r="L945" s="2" t="b">
        <v>0</v>
      </c>
      <c r="M945" s="2" t="b">
        <v>0</v>
      </c>
      <c r="N945" s="2" t="b">
        <v>0</v>
      </c>
      <c r="O945" s="2" t="b">
        <v>0</v>
      </c>
      <c r="P945" s="68"/>
      <c r="R945" s="69"/>
      <c r="S945" s="68"/>
      <c r="U945" s="69"/>
      <c r="V945" s="68"/>
      <c r="X945" s="69"/>
      <c r="Y945" s="68"/>
      <c r="AA945" s="69"/>
      <c r="AB945" s="33">
        <f t="shared" si="29"/>
        <v>0</v>
      </c>
      <c r="AC945" s="45">
        <f>_xlfn.LET(_xlpm.ps_1,P945:R945, _xlpm.ps_2,S945:U945, _xlpm.ps_3,V945:X945, _xlpm.ps_4,Y945:AA945,
_xlpm.phase, MID(C945,SEARCH("-",C945)+1,256),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(_xlfn.XLOOKUP($C$7,site_assumptions[Details],site_assumptions[Volts])*SUMIFS(P945:AA945,_xlfn.ANCHORARRAY(D945),TRUE)/10*0.95)/1000,
IFERROR(IF(_xlpm.phase="3Phase", _xlpm.p3_calc, _xlpm.sp_calc),0))</f>
        <v>0</v>
      </c>
      <c r="AD945" s="29"/>
      <c r="AE945" s="30"/>
      <c r="AF945" s="30"/>
      <c r="AG945" s="30"/>
      <c r="AH945" s="31"/>
      <c r="AI945" s="49">
        <f t="shared" si="28"/>
        <v>0</v>
      </c>
      <c r="AJ945" s="71"/>
    </row>
    <row r="946" spans="2:36" x14ac:dyDescent="0.25">
      <c r="B946" s="29"/>
      <c r="C946" s="10" t="s">
        <v>2070</v>
      </c>
      <c r="D946" s="2" t="b" cm="1">
        <f t="array" ref="D946:O946">_xlfn._xlws.FILTER(IF(ancillary!$E$4:$P$8="",FALSE,ancillary!$E$4:$P$8),ancillary!$B$4:$B$8=$C946)</f>
        <v>1</v>
      </c>
      <c r="E946" s="2" t="b">
        <v>1</v>
      </c>
      <c r="F946" s="2" t="b">
        <v>1</v>
      </c>
      <c r="G946" s="2" t="b">
        <v>1</v>
      </c>
      <c r="H946" s="2" t="b">
        <v>1</v>
      </c>
      <c r="I946" s="2" t="b">
        <v>1</v>
      </c>
      <c r="J946" s="2" t="b">
        <v>0</v>
      </c>
      <c r="K946" s="2" t="b">
        <v>0</v>
      </c>
      <c r="L946" s="2" t="b">
        <v>0</v>
      </c>
      <c r="M946" s="2" t="b">
        <v>0</v>
      </c>
      <c r="N946" s="2" t="b">
        <v>0</v>
      </c>
      <c r="O946" s="2" t="b">
        <v>0</v>
      </c>
      <c r="P946" s="68"/>
      <c r="R946" s="69"/>
      <c r="S946" s="68"/>
      <c r="U946" s="69"/>
      <c r="V946" s="68"/>
      <c r="X946" s="69"/>
      <c r="Y946" s="68"/>
      <c r="AA946" s="69"/>
      <c r="AB946" s="33">
        <f t="shared" si="29"/>
        <v>0</v>
      </c>
      <c r="AC946" s="45">
        <f>_xlfn.LET(_xlpm.ps_1,P946:R946, _xlpm.ps_2,S946:U946, _xlpm.ps_3,V946:X946, _xlpm.ps_4,Y946:AA946,
_xlpm.phase, MID(C946,SEARCH("-",C946)+1,256),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(_xlfn.XLOOKUP($C$7,site_assumptions[Details],site_assumptions[Volts])*SUMIFS(P946:AA946,_xlfn.ANCHORARRAY(D946),TRUE)/10*0.95)/1000,
IFERROR(IF(_xlpm.phase="3Phase", _xlpm.p3_calc, _xlpm.sp_calc),0))</f>
        <v>0</v>
      </c>
      <c r="AD946" s="29"/>
      <c r="AE946" s="30"/>
      <c r="AF946" s="30"/>
      <c r="AG946" s="30"/>
      <c r="AH946" s="31"/>
      <c r="AI946" s="49">
        <f t="shared" si="28"/>
        <v>0</v>
      </c>
      <c r="AJ946" s="71"/>
    </row>
    <row r="947" spans="2:36" x14ac:dyDescent="0.25">
      <c r="B947" s="29"/>
      <c r="C947" s="10" t="s">
        <v>2070</v>
      </c>
      <c r="D947" s="2" t="b" cm="1">
        <f t="array" ref="D947:O947">_xlfn._xlws.FILTER(IF(ancillary!$E$4:$P$8="",FALSE,ancillary!$E$4:$P$8),ancillary!$B$4:$B$8=$C947)</f>
        <v>1</v>
      </c>
      <c r="E947" s="2" t="b">
        <v>1</v>
      </c>
      <c r="F947" s="2" t="b">
        <v>1</v>
      </c>
      <c r="G947" s="2" t="b">
        <v>1</v>
      </c>
      <c r="H947" s="2" t="b">
        <v>1</v>
      </c>
      <c r="I947" s="2" t="b">
        <v>1</v>
      </c>
      <c r="J947" s="2" t="b">
        <v>0</v>
      </c>
      <c r="K947" s="2" t="b">
        <v>0</v>
      </c>
      <c r="L947" s="2" t="b">
        <v>0</v>
      </c>
      <c r="M947" s="2" t="b">
        <v>0</v>
      </c>
      <c r="N947" s="2" t="b">
        <v>0</v>
      </c>
      <c r="O947" s="2" t="b">
        <v>0</v>
      </c>
      <c r="P947" s="68"/>
      <c r="R947" s="69"/>
      <c r="S947" s="68"/>
      <c r="U947" s="69"/>
      <c r="V947" s="68"/>
      <c r="X947" s="69"/>
      <c r="Y947" s="68"/>
      <c r="AA947" s="69"/>
      <c r="AB947" s="33">
        <f t="shared" si="29"/>
        <v>0</v>
      </c>
      <c r="AC947" s="45">
        <f>_xlfn.LET(_xlpm.ps_1,P947:R947, _xlpm.ps_2,S947:U947, _xlpm.ps_3,V947:X947, _xlpm.ps_4,Y947:AA947,
_xlpm.phase, MID(C947,SEARCH("-",C947)+1,256),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(_xlfn.XLOOKUP($C$7,site_assumptions[Details],site_assumptions[Volts])*SUMIFS(P947:AA947,_xlfn.ANCHORARRAY(D947),TRUE)/10*0.95)/1000,
IFERROR(IF(_xlpm.phase="3Phase", _xlpm.p3_calc, _xlpm.sp_calc),0))</f>
        <v>0</v>
      </c>
      <c r="AD947" s="29"/>
      <c r="AE947" s="30"/>
      <c r="AF947" s="30"/>
      <c r="AG947" s="30"/>
      <c r="AH947" s="31"/>
      <c r="AI947" s="49">
        <f t="shared" si="28"/>
        <v>0</v>
      </c>
      <c r="AJ947" s="71"/>
    </row>
    <row r="948" spans="2:36" x14ac:dyDescent="0.25">
      <c r="B948" s="29"/>
      <c r="C948" s="10" t="s">
        <v>2070</v>
      </c>
      <c r="D948" s="2" t="b" cm="1">
        <f t="array" ref="D948:O948">_xlfn._xlws.FILTER(IF(ancillary!$E$4:$P$8="",FALSE,ancillary!$E$4:$P$8),ancillary!$B$4:$B$8=$C948)</f>
        <v>1</v>
      </c>
      <c r="E948" s="2" t="b">
        <v>1</v>
      </c>
      <c r="F948" s="2" t="b">
        <v>1</v>
      </c>
      <c r="G948" s="2" t="b">
        <v>1</v>
      </c>
      <c r="H948" s="2" t="b">
        <v>1</v>
      </c>
      <c r="I948" s="2" t="b">
        <v>1</v>
      </c>
      <c r="J948" s="2" t="b">
        <v>0</v>
      </c>
      <c r="K948" s="2" t="b">
        <v>0</v>
      </c>
      <c r="L948" s="2" t="b">
        <v>0</v>
      </c>
      <c r="M948" s="2" t="b">
        <v>0</v>
      </c>
      <c r="N948" s="2" t="b">
        <v>0</v>
      </c>
      <c r="O948" s="2" t="b">
        <v>0</v>
      </c>
      <c r="P948" s="68"/>
      <c r="R948" s="69"/>
      <c r="S948" s="68"/>
      <c r="U948" s="69"/>
      <c r="V948" s="68"/>
      <c r="X948" s="69"/>
      <c r="Y948" s="68"/>
      <c r="AA948" s="69"/>
      <c r="AB948" s="33">
        <f t="shared" si="29"/>
        <v>0</v>
      </c>
      <c r="AC948" s="45">
        <f>_xlfn.LET(_xlpm.ps_1,P948:R948, _xlpm.ps_2,S948:U948, _xlpm.ps_3,V948:X948, _xlpm.ps_4,Y948:AA948,
_xlpm.phase, MID(C948,SEARCH("-",C948)+1,256),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(_xlfn.XLOOKUP($C$7,site_assumptions[Details],site_assumptions[Volts])*SUMIFS(P948:AA948,_xlfn.ANCHORARRAY(D948),TRUE)/10*0.95)/1000,
IFERROR(IF(_xlpm.phase="3Phase", _xlpm.p3_calc, _xlpm.sp_calc),0))</f>
        <v>0</v>
      </c>
      <c r="AD948" s="29"/>
      <c r="AE948" s="30"/>
      <c r="AF948" s="30"/>
      <c r="AG948" s="30"/>
      <c r="AH948" s="31"/>
      <c r="AI948" s="49">
        <f t="shared" ref="AI948:AI1000" si="30">IFERROR(AC948/AG948,0)</f>
        <v>0</v>
      </c>
      <c r="AJ948" s="71"/>
    </row>
    <row r="949" spans="2:36" x14ac:dyDescent="0.25">
      <c r="B949" s="29"/>
      <c r="C949" s="10" t="s">
        <v>2070</v>
      </c>
      <c r="D949" s="2" t="b" cm="1">
        <f t="array" ref="D949:O949">_xlfn._xlws.FILTER(IF(ancillary!$E$4:$P$8="",FALSE,ancillary!$E$4:$P$8),ancillary!$B$4:$B$8=$C949)</f>
        <v>1</v>
      </c>
      <c r="E949" s="2" t="b">
        <v>1</v>
      </c>
      <c r="F949" s="2" t="b">
        <v>1</v>
      </c>
      <c r="G949" s="2" t="b">
        <v>1</v>
      </c>
      <c r="H949" s="2" t="b">
        <v>1</v>
      </c>
      <c r="I949" s="2" t="b">
        <v>1</v>
      </c>
      <c r="J949" s="2" t="b">
        <v>0</v>
      </c>
      <c r="K949" s="2" t="b">
        <v>0</v>
      </c>
      <c r="L949" s="2" t="b">
        <v>0</v>
      </c>
      <c r="M949" s="2" t="b">
        <v>0</v>
      </c>
      <c r="N949" s="2" t="b">
        <v>0</v>
      </c>
      <c r="O949" s="2" t="b">
        <v>0</v>
      </c>
      <c r="P949" s="68"/>
      <c r="R949" s="69"/>
      <c r="S949" s="68"/>
      <c r="U949" s="69"/>
      <c r="V949" s="68"/>
      <c r="X949" s="69"/>
      <c r="Y949" s="68"/>
      <c r="AA949" s="69"/>
      <c r="AB949" s="33">
        <f t="shared" si="29"/>
        <v>0</v>
      </c>
      <c r="AC949" s="45">
        <f>_xlfn.LET(_xlpm.ps_1,P949:R949, _xlpm.ps_2,S949:U949, _xlpm.ps_3,V949:X949, _xlpm.ps_4,Y949:AA949,
_xlpm.phase, MID(C949,SEARCH("-",C949)+1,256),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(_xlfn.XLOOKUP($C$7,site_assumptions[Details],site_assumptions[Volts])*SUMIFS(P949:AA949,_xlfn.ANCHORARRAY(D949),TRUE)/10*0.95)/1000,
IFERROR(IF(_xlpm.phase="3Phase", _xlpm.p3_calc, _xlpm.sp_calc),0))</f>
        <v>0</v>
      </c>
      <c r="AD949" s="29"/>
      <c r="AE949" s="30"/>
      <c r="AF949" s="30"/>
      <c r="AG949" s="30"/>
      <c r="AH949" s="31"/>
      <c r="AI949" s="49">
        <f t="shared" si="30"/>
        <v>0</v>
      </c>
      <c r="AJ949" s="71"/>
    </row>
    <row r="950" spans="2:36" x14ac:dyDescent="0.25">
      <c r="B950" s="29"/>
      <c r="C950" s="10" t="s">
        <v>2070</v>
      </c>
      <c r="D950" s="2" t="b" cm="1">
        <f t="array" ref="D950:O950">_xlfn._xlws.FILTER(IF(ancillary!$E$4:$P$8="",FALSE,ancillary!$E$4:$P$8),ancillary!$B$4:$B$8=$C950)</f>
        <v>1</v>
      </c>
      <c r="E950" s="2" t="b">
        <v>1</v>
      </c>
      <c r="F950" s="2" t="b">
        <v>1</v>
      </c>
      <c r="G950" s="2" t="b">
        <v>1</v>
      </c>
      <c r="H950" s="2" t="b">
        <v>1</v>
      </c>
      <c r="I950" s="2" t="b">
        <v>1</v>
      </c>
      <c r="J950" s="2" t="b">
        <v>0</v>
      </c>
      <c r="K950" s="2" t="b">
        <v>0</v>
      </c>
      <c r="L950" s="2" t="b">
        <v>0</v>
      </c>
      <c r="M950" s="2" t="b">
        <v>0</v>
      </c>
      <c r="N950" s="2" t="b">
        <v>0</v>
      </c>
      <c r="O950" s="2" t="b">
        <v>0</v>
      </c>
      <c r="P950" s="68"/>
      <c r="R950" s="69"/>
      <c r="S950" s="68"/>
      <c r="U950" s="69"/>
      <c r="V950" s="68"/>
      <c r="X950" s="69"/>
      <c r="Y950" s="68"/>
      <c r="AA950" s="69"/>
      <c r="AB950" s="33">
        <f t="shared" si="29"/>
        <v>0</v>
      </c>
      <c r="AC950" s="45">
        <f>_xlfn.LET(_xlpm.ps_1,P950:R950, _xlpm.ps_2,S950:U950, _xlpm.ps_3,V950:X950, _xlpm.ps_4,Y950:AA950,
_xlpm.phase, MID(C950,SEARCH("-",C950)+1,256),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(_xlfn.XLOOKUP($C$7,site_assumptions[Details],site_assumptions[Volts])*SUMIFS(P950:AA950,_xlfn.ANCHORARRAY(D950),TRUE)/10*0.95)/1000,
IFERROR(IF(_xlpm.phase="3Phase", _xlpm.p3_calc, _xlpm.sp_calc),0))</f>
        <v>0</v>
      </c>
      <c r="AD950" s="29"/>
      <c r="AE950" s="30"/>
      <c r="AF950" s="30"/>
      <c r="AG950" s="30"/>
      <c r="AH950" s="31"/>
      <c r="AI950" s="49">
        <f t="shared" si="30"/>
        <v>0</v>
      </c>
      <c r="AJ950" s="71"/>
    </row>
    <row r="951" spans="2:36" x14ac:dyDescent="0.25">
      <c r="B951" s="29"/>
      <c r="C951" s="10" t="s">
        <v>2070</v>
      </c>
      <c r="D951" s="2" t="b" cm="1">
        <f t="array" ref="D951:O951">_xlfn._xlws.FILTER(IF(ancillary!$E$4:$P$8="",FALSE,ancillary!$E$4:$P$8),ancillary!$B$4:$B$8=$C951)</f>
        <v>1</v>
      </c>
      <c r="E951" s="2" t="b">
        <v>1</v>
      </c>
      <c r="F951" s="2" t="b">
        <v>1</v>
      </c>
      <c r="G951" s="2" t="b">
        <v>1</v>
      </c>
      <c r="H951" s="2" t="b">
        <v>1</v>
      </c>
      <c r="I951" s="2" t="b">
        <v>1</v>
      </c>
      <c r="J951" s="2" t="b">
        <v>0</v>
      </c>
      <c r="K951" s="2" t="b">
        <v>0</v>
      </c>
      <c r="L951" s="2" t="b">
        <v>0</v>
      </c>
      <c r="M951" s="2" t="b">
        <v>0</v>
      </c>
      <c r="N951" s="2" t="b">
        <v>0</v>
      </c>
      <c r="O951" s="2" t="b">
        <v>0</v>
      </c>
      <c r="P951" s="68"/>
      <c r="R951" s="69"/>
      <c r="S951" s="68"/>
      <c r="U951" s="69"/>
      <c r="V951" s="68"/>
      <c r="X951" s="69"/>
      <c r="Y951" s="68"/>
      <c r="AA951" s="69"/>
      <c r="AB951" s="33">
        <f t="shared" si="29"/>
        <v>0</v>
      </c>
      <c r="AC951" s="45">
        <f>_xlfn.LET(_xlpm.ps_1,P951:R951, _xlpm.ps_2,S951:U951, _xlpm.ps_3,V951:X951, _xlpm.ps_4,Y951:AA951,
_xlpm.phase, MID(C951,SEARCH("-",C951)+1,256),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(_xlfn.XLOOKUP($C$7,site_assumptions[Details],site_assumptions[Volts])*SUMIFS(P951:AA951,_xlfn.ANCHORARRAY(D951),TRUE)/10*0.95)/1000,
IFERROR(IF(_xlpm.phase="3Phase", _xlpm.p3_calc, _xlpm.sp_calc),0))</f>
        <v>0</v>
      </c>
      <c r="AD951" s="29"/>
      <c r="AE951" s="30"/>
      <c r="AF951" s="30"/>
      <c r="AG951" s="30"/>
      <c r="AH951" s="31"/>
      <c r="AI951" s="49">
        <f t="shared" si="30"/>
        <v>0</v>
      </c>
      <c r="AJ951" s="71"/>
    </row>
    <row r="952" spans="2:36" x14ac:dyDescent="0.25">
      <c r="B952" s="29"/>
      <c r="C952" s="10" t="s">
        <v>2070</v>
      </c>
      <c r="D952" s="2" t="b" cm="1">
        <f t="array" ref="D952:O952">_xlfn._xlws.FILTER(IF(ancillary!$E$4:$P$8="",FALSE,ancillary!$E$4:$P$8),ancillary!$B$4:$B$8=$C952)</f>
        <v>1</v>
      </c>
      <c r="E952" s="2" t="b">
        <v>1</v>
      </c>
      <c r="F952" s="2" t="b">
        <v>1</v>
      </c>
      <c r="G952" s="2" t="b">
        <v>1</v>
      </c>
      <c r="H952" s="2" t="b">
        <v>1</v>
      </c>
      <c r="I952" s="2" t="b">
        <v>1</v>
      </c>
      <c r="J952" s="2" t="b">
        <v>0</v>
      </c>
      <c r="K952" s="2" t="b">
        <v>0</v>
      </c>
      <c r="L952" s="2" t="b">
        <v>0</v>
      </c>
      <c r="M952" s="2" t="b">
        <v>0</v>
      </c>
      <c r="N952" s="2" t="b">
        <v>0</v>
      </c>
      <c r="O952" s="2" t="b">
        <v>0</v>
      </c>
      <c r="P952" s="68"/>
      <c r="R952" s="69"/>
      <c r="S952" s="68"/>
      <c r="U952" s="69"/>
      <c r="V952" s="68"/>
      <c r="X952" s="69"/>
      <c r="Y952" s="68"/>
      <c r="AA952" s="69"/>
      <c r="AB952" s="33">
        <f t="shared" si="29"/>
        <v>0</v>
      </c>
      <c r="AC952" s="45">
        <f>_xlfn.LET(_xlpm.ps_1,P952:R952, _xlpm.ps_2,S952:U952, _xlpm.ps_3,V952:X952, _xlpm.ps_4,Y952:AA952,
_xlpm.phase, MID(C952,SEARCH("-",C952)+1,256),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(_xlfn.XLOOKUP($C$7,site_assumptions[Details],site_assumptions[Volts])*SUMIFS(P952:AA952,_xlfn.ANCHORARRAY(D952),TRUE)/10*0.95)/1000,
IFERROR(IF(_xlpm.phase="3Phase", _xlpm.p3_calc, _xlpm.sp_calc),0))</f>
        <v>0</v>
      </c>
      <c r="AD952" s="29"/>
      <c r="AE952" s="30"/>
      <c r="AF952" s="30"/>
      <c r="AG952" s="30"/>
      <c r="AH952" s="31"/>
      <c r="AI952" s="49">
        <f t="shared" si="30"/>
        <v>0</v>
      </c>
      <c r="AJ952" s="71"/>
    </row>
    <row r="953" spans="2:36" x14ac:dyDescent="0.25">
      <c r="B953" s="29"/>
      <c r="C953" s="10" t="s">
        <v>2070</v>
      </c>
      <c r="D953" s="2" t="b" cm="1">
        <f t="array" ref="D953:O953">_xlfn._xlws.FILTER(IF(ancillary!$E$4:$P$8="",FALSE,ancillary!$E$4:$P$8),ancillary!$B$4:$B$8=$C953)</f>
        <v>1</v>
      </c>
      <c r="E953" s="2" t="b">
        <v>1</v>
      </c>
      <c r="F953" s="2" t="b">
        <v>1</v>
      </c>
      <c r="G953" s="2" t="b">
        <v>1</v>
      </c>
      <c r="H953" s="2" t="b">
        <v>1</v>
      </c>
      <c r="I953" s="2" t="b">
        <v>1</v>
      </c>
      <c r="J953" s="2" t="b">
        <v>0</v>
      </c>
      <c r="K953" s="2" t="b">
        <v>0</v>
      </c>
      <c r="L953" s="2" t="b">
        <v>0</v>
      </c>
      <c r="M953" s="2" t="b">
        <v>0</v>
      </c>
      <c r="N953" s="2" t="b">
        <v>0</v>
      </c>
      <c r="O953" s="2" t="b">
        <v>0</v>
      </c>
      <c r="P953" s="68"/>
      <c r="R953" s="69"/>
      <c r="S953" s="68"/>
      <c r="U953" s="69"/>
      <c r="V953" s="68"/>
      <c r="X953" s="69"/>
      <c r="Y953" s="68"/>
      <c r="AA953" s="69"/>
      <c r="AB953" s="33">
        <f t="shared" si="29"/>
        <v>0</v>
      </c>
      <c r="AC953" s="45">
        <f>_xlfn.LET(_xlpm.ps_1,P953:R953, _xlpm.ps_2,S953:U953, _xlpm.ps_3,V953:X953, _xlpm.ps_4,Y953:AA953,
_xlpm.phase, MID(C953,SEARCH("-",C953)+1,256),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(_xlfn.XLOOKUP($C$7,site_assumptions[Details],site_assumptions[Volts])*SUMIFS(P953:AA953,_xlfn.ANCHORARRAY(D953),TRUE)/10*0.95)/1000,
IFERROR(IF(_xlpm.phase="3Phase", _xlpm.p3_calc, _xlpm.sp_calc),0))</f>
        <v>0</v>
      </c>
      <c r="AD953" s="29"/>
      <c r="AE953" s="30"/>
      <c r="AF953" s="30"/>
      <c r="AG953" s="30"/>
      <c r="AH953" s="31"/>
      <c r="AI953" s="49">
        <f t="shared" si="30"/>
        <v>0</v>
      </c>
      <c r="AJ953" s="71"/>
    </row>
    <row r="954" spans="2:36" x14ac:dyDescent="0.25">
      <c r="B954" s="29"/>
      <c r="C954" s="10" t="s">
        <v>2070</v>
      </c>
      <c r="D954" s="2" t="b" cm="1">
        <f t="array" ref="D954:O954">_xlfn._xlws.FILTER(IF(ancillary!$E$4:$P$8="",FALSE,ancillary!$E$4:$P$8),ancillary!$B$4:$B$8=$C954)</f>
        <v>1</v>
      </c>
      <c r="E954" s="2" t="b">
        <v>1</v>
      </c>
      <c r="F954" s="2" t="b">
        <v>1</v>
      </c>
      <c r="G954" s="2" t="b">
        <v>1</v>
      </c>
      <c r="H954" s="2" t="b">
        <v>1</v>
      </c>
      <c r="I954" s="2" t="b">
        <v>1</v>
      </c>
      <c r="J954" s="2" t="b">
        <v>0</v>
      </c>
      <c r="K954" s="2" t="b">
        <v>0</v>
      </c>
      <c r="L954" s="2" t="b">
        <v>0</v>
      </c>
      <c r="M954" s="2" t="b">
        <v>0</v>
      </c>
      <c r="N954" s="2" t="b">
        <v>0</v>
      </c>
      <c r="O954" s="2" t="b">
        <v>0</v>
      </c>
      <c r="P954" s="68"/>
      <c r="R954" s="69"/>
      <c r="S954" s="68"/>
      <c r="U954" s="69"/>
      <c r="V954" s="68"/>
      <c r="X954" s="69"/>
      <c r="Y954" s="68"/>
      <c r="AA954" s="69"/>
      <c r="AB954" s="33">
        <f t="shared" si="29"/>
        <v>0</v>
      </c>
      <c r="AC954" s="45">
        <f>_xlfn.LET(_xlpm.ps_1,P954:R954, _xlpm.ps_2,S954:U954, _xlpm.ps_3,V954:X954, _xlpm.ps_4,Y954:AA954,
_xlpm.phase, MID(C954,SEARCH("-",C954)+1,256),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(_xlfn.XLOOKUP($C$7,site_assumptions[Details],site_assumptions[Volts])*SUMIFS(P954:AA954,_xlfn.ANCHORARRAY(D954),TRUE)/10*0.95)/1000,
IFERROR(IF(_xlpm.phase="3Phase", _xlpm.p3_calc, _xlpm.sp_calc),0))</f>
        <v>0</v>
      </c>
      <c r="AD954" s="29"/>
      <c r="AE954" s="30"/>
      <c r="AF954" s="30"/>
      <c r="AG954" s="30"/>
      <c r="AH954" s="31"/>
      <c r="AI954" s="49">
        <f t="shared" si="30"/>
        <v>0</v>
      </c>
      <c r="AJ954" s="71"/>
    </row>
    <row r="955" spans="2:36" x14ac:dyDescent="0.25">
      <c r="B955" s="29"/>
      <c r="C955" s="10" t="s">
        <v>2070</v>
      </c>
      <c r="D955" s="2" t="b" cm="1">
        <f t="array" ref="D955:O955">_xlfn._xlws.FILTER(IF(ancillary!$E$4:$P$8="",FALSE,ancillary!$E$4:$P$8),ancillary!$B$4:$B$8=$C955)</f>
        <v>1</v>
      </c>
      <c r="E955" s="2" t="b">
        <v>1</v>
      </c>
      <c r="F955" s="2" t="b">
        <v>1</v>
      </c>
      <c r="G955" s="2" t="b">
        <v>1</v>
      </c>
      <c r="H955" s="2" t="b">
        <v>1</v>
      </c>
      <c r="I955" s="2" t="b">
        <v>1</v>
      </c>
      <c r="J955" s="2" t="b">
        <v>0</v>
      </c>
      <c r="K955" s="2" t="b">
        <v>0</v>
      </c>
      <c r="L955" s="2" t="b">
        <v>0</v>
      </c>
      <c r="M955" s="2" t="b">
        <v>0</v>
      </c>
      <c r="N955" s="2" t="b">
        <v>0</v>
      </c>
      <c r="O955" s="2" t="b">
        <v>0</v>
      </c>
      <c r="P955" s="68"/>
      <c r="R955" s="69"/>
      <c r="S955" s="68"/>
      <c r="U955" s="69"/>
      <c r="V955" s="68"/>
      <c r="X955" s="69"/>
      <c r="Y955" s="68"/>
      <c r="AA955" s="69"/>
      <c r="AB955" s="33">
        <f t="shared" si="29"/>
        <v>0</v>
      </c>
      <c r="AC955" s="45">
        <f>_xlfn.LET(_xlpm.ps_1,P955:R955, _xlpm.ps_2,S955:U955, _xlpm.ps_3,V955:X955, _xlpm.ps_4,Y955:AA955,
_xlpm.phase, MID(C955,SEARCH("-",C955)+1,256),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(_xlfn.XLOOKUP($C$7,site_assumptions[Details],site_assumptions[Volts])*SUMIFS(P955:AA955,_xlfn.ANCHORARRAY(D955),TRUE)/10*0.95)/1000,
IFERROR(IF(_xlpm.phase="3Phase", _xlpm.p3_calc, _xlpm.sp_calc),0))</f>
        <v>0</v>
      </c>
      <c r="AD955" s="29"/>
      <c r="AE955" s="30"/>
      <c r="AF955" s="30"/>
      <c r="AG955" s="30"/>
      <c r="AH955" s="31"/>
      <c r="AI955" s="49">
        <f t="shared" si="30"/>
        <v>0</v>
      </c>
      <c r="AJ955" s="71"/>
    </row>
    <row r="956" spans="2:36" x14ac:dyDescent="0.25">
      <c r="B956" s="29"/>
      <c r="C956" s="10" t="s">
        <v>2070</v>
      </c>
      <c r="D956" s="2" t="b" cm="1">
        <f t="array" ref="D956:O956">_xlfn._xlws.FILTER(IF(ancillary!$E$4:$P$8="",FALSE,ancillary!$E$4:$P$8),ancillary!$B$4:$B$8=$C956)</f>
        <v>1</v>
      </c>
      <c r="E956" s="2" t="b">
        <v>1</v>
      </c>
      <c r="F956" s="2" t="b">
        <v>1</v>
      </c>
      <c r="G956" s="2" t="b">
        <v>1</v>
      </c>
      <c r="H956" s="2" t="b">
        <v>1</v>
      </c>
      <c r="I956" s="2" t="b">
        <v>1</v>
      </c>
      <c r="J956" s="2" t="b">
        <v>0</v>
      </c>
      <c r="K956" s="2" t="b">
        <v>0</v>
      </c>
      <c r="L956" s="2" t="b">
        <v>0</v>
      </c>
      <c r="M956" s="2" t="b">
        <v>0</v>
      </c>
      <c r="N956" s="2" t="b">
        <v>0</v>
      </c>
      <c r="O956" s="2" t="b">
        <v>0</v>
      </c>
      <c r="P956" s="68"/>
      <c r="R956" s="69"/>
      <c r="S956" s="68"/>
      <c r="U956" s="69"/>
      <c r="V956" s="68"/>
      <c r="X956" s="69"/>
      <c r="Y956" s="68"/>
      <c r="AA956" s="69"/>
      <c r="AB956" s="33">
        <f t="shared" si="29"/>
        <v>0</v>
      </c>
      <c r="AC956" s="45">
        <f>_xlfn.LET(_xlpm.ps_1,P956:R956, _xlpm.ps_2,S956:U956, _xlpm.ps_3,V956:X956, _xlpm.ps_4,Y956:AA956,
_xlpm.phase, MID(C956,SEARCH("-",C956)+1,256),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(_xlfn.XLOOKUP($C$7,site_assumptions[Details],site_assumptions[Volts])*SUMIFS(P956:AA956,_xlfn.ANCHORARRAY(D956),TRUE)/10*0.95)/1000,
IFERROR(IF(_xlpm.phase="3Phase", _xlpm.p3_calc, _xlpm.sp_calc),0))</f>
        <v>0</v>
      </c>
      <c r="AD956" s="29"/>
      <c r="AE956" s="30"/>
      <c r="AF956" s="30"/>
      <c r="AG956" s="30"/>
      <c r="AH956" s="31"/>
      <c r="AI956" s="49">
        <f t="shared" si="30"/>
        <v>0</v>
      </c>
      <c r="AJ956" s="71"/>
    </row>
    <row r="957" spans="2:36" x14ac:dyDescent="0.25">
      <c r="B957" s="29"/>
      <c r="C957" s="10" t="s">
        <v>2070</v>
      </c>
      <c r="D957" s="2" t="b" cm="1">
        <f t="array" ref="D957:O957">_xlfn._xlws.FILTER(IF(ancillary!$E$4:$P$8="",FALSE,ancillary!$E$4:$P$8),ancillary!$B$4:$B$8=$C957)</f>
        <v>1</v>
      </c>
      <c r="E957" s="2" t="b">
        <v>1</v>
      </c>
      <c r="F957" s="2" t="b">
        <v>1</v>
      </c>
      <c r="G957" s="2" t="b">
        <v>1</v>
      </c>
      <c r="H957" s="2" t="b">
        <v>1</v>
      </c>
      <c r="I957" s="2" t="b">
        <v>1</v>
      </c>
      <c r="J957" s="2" t="b">
        <v>0</v>
      </c>
      <c r="K957" s="2" t="b">
        <v>0</v>
      </c>
      <c r="L957" s="2" t="b">
        <v>0</v>
      </c>
      <c r="M957" s="2" t="b">
        <v>0</v>
      </c>
      <c r="N957" s="2" t="b">
        <v>0</v>
      </c>
      <c r="O957" s="2" t="b">
        <v>0</v>
      </c>
      <c r="P957" s="68"/>
      <c r="R957" s="69"/>
      <c r="S957" s="68"/>
      <c r="U957" s="69"/>
      <c r="V957" s="68"/>
      <c r="X957" s="69"/>
      <c r="Y957" s="68"/>
      <c r="AA957" s="69"/>
      <c r="AB957" s="33">
        <f t="shared" si="29"/>
        <v>0</v>
      </c>
      <c r="AC957" s="45">
        <f>_xlfn.LET(_xlpm.ps_1,P957:R957, _xlpm.ps_2,S957:U957, _xlpm.ps_3,V957:X957, _xlpm.ps_4,Y957:AA957,
_xlpm.phase, MID(C957,SEARCH("-",C957)+1,256),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(_xlfn.XLOOKUP($C$7,site_assumptions[Details],site_assumptions[Volts])*SUMIFS(P957:AA957,_xlfn.ANCHORARRAY(D957),TRUE)/10*0.95)/1000,
IFERROR(IF(_xlpm.phase="3Phase", _xlpm.p3_calc, _xlpm.sp_calc),0))</f>
        <v>0</v>
      </c>
      <c r="AD957" s="29"/>
      <c r="AE957" s="30"/>
      <c r="AF957" s="30"/>
      <c r="AG957" s="30"/>
      <c r="AH957" s="31"/>
      <c r="AI957" s="49">
        <f t="shared" si="30"/>
        <v>0</v>
      </c>
      <c r="AJ957" s="71"/>
    </row>
    <row r="958" spans="2:36" x14ac:dyDescent="0.25">
      <c r="B958" s="29"/>
      <c r="C958" s="10" t="s">
        <v>2070</v>
      </c>
      <c r="D958" s="2" t="b" cm="1">
        <f t="array" ref="D958:O958">_xlfn._xlws.FILTER(IF(ancillary!$E$4:$P$8="",FALSE,ancillary!$E$4:$P$8),ancillary!$B$4:$B$8=$C958)</f>
        <v>1</v>
      </c>
      <c r="E958" s="2" t="b">
        <v>1</v>
      </c>
      <c r="F958" s="2" t="b">
        <v>1</v>
      </c>
      <c r="G958" s="2" t="b">
        <v>1</v>
      </c>
      <c r="H958" s="2" t="b">
        <v>1</v>
      </c>
      <c r="I958" s="2" t="b">
        <v>1</v>
      </c>
      <c r="J958" s="2" t="b">
        <v>0</v>
      </c>
      <c r="K958" s="2" t="b">
        <v>0</v>
      </c>
      <c r="L958" s="2" t="b">
        <v>0</v>
      </c>
      <c r="M958" s="2" t="b">
        <v>0</v>
      </c>
      <c r="N958" s="2" t="b">
        <v>0</v>
      </c>
      <c r="O958" s="2" t="b">
        <v>0</v>
      </c>
      <c r="P958" s="68"/>
      <c r="R958" s="69"/>
      <c r="S958" s="68"/>
      <c r="U958" s="69"/>
      <c r="V958" s="68"/>
      <c r="X958" s="69"/>
      <c r="Y958" s="68"/>
      <c r="AA958" s="69"/>
      <c r="AB958" s="33">
        <f t="shared" si="29"/>
        <v>0</v>
      </c>
      <c r="AC958" s="45">
        <f>_xlfn.LET(_xlpm.ps_1,P958:R958, _xlpm.ps_2,S958:U958, _xlpm.ps_3,V958:X958, _xlpm.ps_4,Y958:AA958,
_xlpm.phase, MID(C958,SEARCH("-",C958)+1,256),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(_xlfn.XLOOKUP($C$7,site_assumptions[Details],site_assumptions[Volts])*SUMIFS(P958:AA958,_xlfn.ANCHORARRAY(D958),TRUE)/10*0.95)/1000,
IFERROR(IF(_xlpm.phase="3Phase", _xlpm.p3_calc, _xlpm.sp_calc),0))</f>
        <v>0</v>
      </c>
      <c r="AD958" s="29"/>
      <c r="AE958" s="30"/>
      <c r="AF958" s="30"/>
      <c r="AG958" s="30"/>
      <c r="AH958" s="31"/>
      <c r="AI958" s="49">
        <f t="shared" si="30"/>
        <v>0</v>
      </c>
      <c r="AJ958" s="71"/>
    </row>
    <row r="959" spans="2:36" x14ac:dyDescent="0.25">
      <c r="B959" s="29"/>
      <c r="C959" s="10" t="s">
        <v>2070</v>
      </c>
      <c r="D959" s="2" t="b" cm="1">
        <f t="array" ref="D959:O959">_xlfn._xlws.FILTER(IF(ancillary!$E$4:$P$8="",FALSE,ancillary!$E$4:$P$8),ancillary!$B$4:$B$8=$C959)</f>
        <v>1</v>
      </c>
      <c r="E959" s="2" t="b">
        <v>1</v>
      </c>
      <c r="F959" s="2" t="b">
        <v>1</v>
      </c>
      <c r="G959" s="2" t="b">
        <v>1</v>
      </c>
      <c r="H959" s="2" t="b">
        <v>1</v>
      </c>
      <c r="I959" s="2" t="b">
        <v>1</v>
      </c>
      <c r="J959" s="2" t="b">
        <v>0</v>
      </c>
      <c r="K959" s="2" t="b">
        <v>0</v>
      </c>
      <c r="L959" s="2" t="b">
        <v>0</v>
      </c>
      <c r="M959" s="2" t="b">
        <v>0</v>
      </c>
      <c r="N959" s="2" t="b">
        <v>0</v>
      </c>
      <c r="O959" s="2" t="b">
        <v>0</v>
      </c>
      <c r="P959" s="68"/>
      <c r="R959" s="69"/>
      <c r="S959" s="68"/>
      <c r="U959" s="69"/>
      <c r="V959" s="68"/>
      <c r="X959" s="69"/>
      <c r="Y959" s="68"/>
      <c r="AA959" s="69"/>
      <c r="AB959" s="33">
        <f t="shared" si="29"/>
        <v>0</v>
      </c>
      <c r="AC959" s="45">
        <f>_xlfn.LET(_xlpm.ps_1,P959:R959, _xlpm.ps_2,S959:U959, _xlpm.ps_3,V959:X959, _xlpm.ps_4,Y959:AA959,
_xlpm.phase, MID(C959,SEARCH("-",C959)+1,256),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(_xlfn.XLOOKUP($C$7,site_assumptions[Details],site_assumptions[Volts])*SUMIFS(P959:AA959,_xlfn.ANCHORARRAY(D959),TRUE)/10*0.95)/1000,
IFERROR(IF(_xlpm.phase="3Phase", _xlpm.p3_calc, _xlpm.sp_calc),0))</f>
        <v>0</v>
      </c>
      <c r="AD959" s="29"/>
      <c r="AE959" s="30"/>
      <c r="AF959" s="30"/>
      <c r="AG959" s="30"/>
      <c r="AH959" s="31"/>
      <c r="AI959" s="49">
        <f t="shared" si="30"/>
        <v>0</v>
      </c>
      <c r="AJ959" s="71"/>
    </row>
    <row r="960" spans="2:36" x14ac:dyDescent="0.25">
      <c r="B960" s="29"/>
      <c r="C960" s="10" t="s">
        <v>2070</v>
      </c>
      <c r="D960" s="2" t="b" cm="1">
        <f t="array" ref="D960:O960">_xlfn._xlws.FILTER(IF(ancillary!$E$4:$P$8="",FALSE,ancillary!$E$4:$P$8),ancillary!$B$4:$B$8=$C960)</f>
        <v>1</v>
      </c>
      <c r="E960" s="2" t="b">
        <v>1</v>
      </c>
      <c r="F960" s="2" t="b">
        <v>1</v>
      </c>
      <c r="G960" s="2" t="b">
        <v>1</v>
      </c>
      <c r="H960" s="2" t="b">
        <v>1</v>
      </c>
      <c r="I960" s="2" t="b">
        <v>1</v>
      </c>
      <c r="J960" s="2" t="b">
        <v>0</v>
      </c>
      <c r="K960" s="2" t="b">
        <v>0</v>
      </c>
      <c r="L960" s="2" t="b">
        <v>0</v>
      </c>
      <c r="M960" s="2" t="b">
        <v>0</v>
      </c>
      <c r="N960" s="2" t="b">
        <v>0</v>
      </c>
      <c r="O960" s="2" t="b">
        <v>0</v>
      </c>
      <c r="P960" s="68"/>
      <c r="R960" s="69"/>
      <c r="S960" s="68"/>
      <c r="U960" s="69"/>
      <c r="V960" s="68"/>
      <c r="X960" s="69"/>
      <c r="Y960" s="68"/>
      <c r="AA960" s="69"/>
      <c r="AB960" s="33">
        <f t="shared" si="29"/>
        <v>0</v>
      </c>
      <c r="AC960" s="45">
        <f>_xlfn.LET(_xlpm.ps_1,P960:R960, _xlpm.ps_2,S960:U960, _xlpm.ps_3,V960:X960, _xlpm.ps_4,Y960:AA960,
_xlpm.phase, MID(C960,SEARCH("-",C960)+1,256),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(_xlfn.XLOOKUP($C$7,site_assumptions[Details],site_assumptions[Volts])*SUMIFS(P960:AA960,_xlfn.ANCHORARRAY(D960),TRUE)/10*0.95)/1000,
IFERROR(IF(_xlpm.phase="3Phase", _xlpm.p3_calc, _xlpm.sp_calc),0))</f>
        <v>0</v>
      </c>
      <c r="AD960" s="29"/>
      <c r="AE960" s="30"/>
      <c r="AF960" s="30"/>
      <c r="AG960" s="30"/>
      <c r="AH960" s="31"/>
      <c r="AI960" s="49">
        <f t="shared" si="30"/>
        <v>0</v>
      </c>
      <c r="AJ960" s="71"/>
    </row>
    <row r="961" spans="2:36" x14ac:dyDescent="0.25">
      <c r="B961" s="29"/>
      <c r="C961" s="10" t="s">
        <v>2070</v>
      </c>
      <c r="D961" s="2" t="b" cm="1">
        <f t="array" ref="D961:O961">_xlfn._xlws.FILTER(IF(ancillary!$E$4:$P$8="",FALSE,ancillary!$E$4:$P$8),ancillary!$B$4:$B$8=$C961)</f>
        <v>1</v>
      </c>
      <c r="E961" s="2" t="b">
        <v>1</v>
      </c>
      <c r="F961" s="2" t="b">
        <v>1</v>
      </c>
      <c r="G961" s="2" t="b">
        <v>1</v>
      </c>
      <c r="H961" s="2" t="b">
        <v>1</v>
      </c>
      <c r="I961" s="2" t="b">
        <v>1</v>
      </c>
      <c r="J961" s="2" t="b">
        <v>0</v>
      </c>
      <c r="K961" s="2" t="b">
        <v>0</v>
      </c>
      <c r="L961" s="2" t="b">
        <v>0</v>
      </c>
      <c r="M961" s="2" t="b">
        <v>0</v>
      </c>
      <c r="N961" s="2" t="b">
        <v>0</v>
      </c>
      <c r="O961" s="2" t="b">
        <v>0</v>
      </c>
      <c r="P961" s="68"/>
      <c r="R961" s="69"/>
      <c r="S961" s="68"/>
      <c r="U961" s="69"/>
      <c r="V961" s="68"/>
      <c r="X961" s="69"/>
      <c r="Y961" s="68"/>
      <c r="AA961" s="69"/>
      <c r="AB961" s="33">
        <f t="shared" si="29"/>
        <v>0</v>
      </c>
      <c r="AC961" s="45">
        <f>_xlfn.LET(_xlpm.ps_1,P961:R961, _xlpm.ps_2,S961:U961, _xlpm.ps_3,V961:X961, _xlpm.ps_4,Y961:AA961,
_xlpm.phase, MID(C961,SEARCH("-",C961)+1,256),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(_xlfn.XLOOKUP($C$7,site_assumptions[Details],site_assumptions[Volts])*SUMIFS(P961:AA961,_xlfn.ANCHORARRAY(D961),TRUE)/10*0.95)/1000,
IFERROR(IF(_xlpm.phase="3Phase", _xlpm.p3_calc, _xlpm.sp_calc),0))</f>
        <v>0</v>
      </c>
      <c r="AD961" s="29"/>
      <c r="AE961" s="30"/>
      <c r="AF961" s="30"/>
      <c r="AG961" s="30"/>
      <c r="AH961" s="31"/>
      <c r="AI961" s="49">
        <f t="shared" si="30"/>
        <v>0</v>
      </c>
      <c r="AJ961" s="71"/>
    </row>
    <row r="962" spans="2:36" x14ac:dyDescent="0.25">
      <c r="B962" s="29"/>
      <c r="C962" s="10" t="s">
        <v>2070</v>
      </c>
      <c r="D962" s="2" t="b" cm="1">
        <f t="array" ref="D962:O962">_xlfn._xlws.FILTER(IF(ancillary!$E$4:$P$8="",FALSE,ancillary!$E$4:$P$8),ancillary!$B$4:$B$8=$C962)</f>
        <v>1</v>
      </c>
      <c r="E962" s="2" t="b">
        <v>1</v>
      </c>
      <c r="F962" s="2" t="b">
        <v>1</v>
      </c>
      <c r="G962" s="2" t="b">
        <v>1</v>
      </c>
      <c r="H962" s="2" t="b">
        <v>1</v>
      </c>
      <c r="I962" s="2" t="b">
        <v>1</v>
      </c>
      <c r="J962" s="2" t="b">
        <v>0</v>
      </c>
      <c r="K962" s="2" t="b">
        <v>0</v>
      </c>
      <c r="L962" s="2" t="b">
        <v>0</v>
      </c>
      <c r="M962" s="2" t="b">
        <v>0</v>
      </c>
      <c r="N962" s="2" t="b">
        <v>0</v>
      </c>
      <c r="O962" s="2" t="b">
        <v>0</v>
      </c>
      <c r="P962" s="68"/>
      <c r="R962" s="69"/>
      <c r="S962" s="68"/>
      <c r="U962" s="69"/>
      <c r="V962" s="68"/>
      <c r="X962" s="69"/>
      <c r="Y962" s="68"/>
      <c r="AA962" s="69"/>
      <c r="AB962" s="33">
        <f t="shared" si="29"/>
        <v>0</v>
      </c>
      <c r="AC962" s="45">
        <f>_xlfn.LET(_xlpm.ps_1,P962:R962, _xlpm.ps_2,S962:U962, _xlpm.ps_3,V962:X962, _xlpm.ps_4,Y962:AA962,
_xlpm.phase, MID(C962,SEARCH("-",C962)+1,256),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(_xlfn.XLOOKUP($C$7,site_assumptions[Details],site_assumptions[Volts])*SUMIFS(P962:AA962,_xlfn.ANCHORARRAY(D962),TRUE)/10*0.95)/1000,
IFERROR(IF(_xlpm.phase="3Phase", _xlpm.p3_calc, _xlpm.sp_calc),0))</f>
        <v>0</v>
      </c>
      <c r="AD962" s="29"/>
      <c r="AE962" s="30"/>
      <c r="AF962" s="30"/>
      <c r="AG962" s="30"/>
      <c r="AH962" s="31"/>
      <c r="AI962" s="49">
        <f t="shared" si="30"/>
        <v>0</v>
      </c>
      <c r="AJ962" s="71"/>
    </row>
    <row r="963" spans="2:36" x14ac:dyDescent="0.25">
      <c r="B963" s="29"/>
      <c r="C963" s="10" t="s">
        <v>2070</v>
      </c>
      <c r="D963" s="2" t="b" cm="1">
        <f t="array" ref="D963:O963">_xlfn._xlws.FILTER(IF(ancillary!$E$4:$P$8="",FALSE,ancillary!$E$4:$P$8),ancillary!$B$4:$B$8=$C963)</f>
        <v>1</v>
      </c>
      <c r="E963" s="2" t="b">
        <v>1</v>
      </c>
      <c r="F963" s="2" t="b">
        <v>1</v>
      </c>
      <c r="G963" s="2" t="b">
        <v>1</v>
      </c>
      <c r="H963" s="2" t="b">
        <v>1</v>
      </c>
      <c r="I963" s="2" t="b">
        <v>1</v>
      </c>
      <c r="J963" s="2" t="b">
        <v>0</v>
      </c>
      <c r="K963" s="2" t="b">
        <v>0</v>
      </c>
      <c r="L963" s="2" t="b">
        <v>0</v>
      </c>
      <c r="M963" s="2" t="b">
        <v>0</v>
      </c>
      <c r="N963" s="2" t="b">
        <v>0</v>
      </c>
      <c r="O963" s="2" t="b">
        <v>0</v>
      </c>
      <c r="P963" s="68"/>
      <c r="R963" s="69"/>
      <c r="S963" s="68"/>
      <c r="U963" s="69"/>
      <c r="V963" s="68"/>
      <c r="X963" s="69"/>
      <c r="Y963" s="68"/>
      <c r="AA963" s="69"/>
      <c r="AB963" s="33">
        <f t="shared" si="29"/>
        <v>0</v>
      </c>
      <c r="AC963" s="45">
        <f>_xlfn.LET(_xlpm.ps_1,P963:R963, _xlpm.ps_2,S963:U963, _xlpm.ps_3,V963:X963, _xlpm.ps_4,Y963:AA963,
_xlpm.phase, MID(C963,SEARCH("-",C963)+1,256),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(_xlfn.XLOOKUP($C$7,site_assumptions[Details],site_assumptions[Volts])*SUMIFS(P963:AA963,_xlfn.ANCHORARRAY(D963),TRUE)/10*0.95)/1000,
IFERROR(IF(_xlpm.phase="3Phase", _xlpm.p3_calc, _xlpm.sp_calc),0))</f>
        <v>0</v>
      </c>
      <c r="AD963" s="29"/>
      <c r="AE963" s="30"/>
      <c r="AF963" s="30"/>
      <c r="AG963" s="30"/>
      <c r="AH963" s="31"/>
      <c r="AI963" s="49">
        <f t="shared" si="30"/>
        <v>0</v>
      </c>
      <c r="AJ963" s="71"/>
    </row>
    <row r="964" spans="2:36" x14ac:dyDescent="0.25">
      <c r="B964" s="29"/>
      <c r="C964" s="10" t="s">
        <v>2070</v>
      </c>
      <c r="D964" s="2" t="b" cm="1">
        <f t="array" ref="D964:O964">_xlfn._xlws.FILTER(IF(ancillary!$E$4:$P$8="",FALSE,ancillary!$E$4:$P$8),ancillary!$B$4:$B$8=$C964)</f>
        <v>1</v>
      </c>
      <c r="E964" s="2" t="b">
        <v>1</v>
      </c>
      <c r="F964" s="2" t="b">
        <v>1</v>
      </c>
      <c r="G964" s="2" t="b">
        <v>1</v>
      </c>
      <c r="H964" s="2" t="b">
        <v>1</v>
      </c>
      <c r="I964" s="2" t="b">
        <v>1</v>
      </c>
      <c r="J964" s="2" t="b">
        <v>0</v>
      </c>
      <c r="K964" s="2" t="b">
        <v>0</v>
      </c>
      <c r="L964" s="2" t="b">
        <v>0</v>
      </c>
      <c r="M964" s="2" t="b">
        <v>0</v>
      </c>
      <c r="N964" s="2" t="b">
        <v>0</v>
      </c>
      <c r="O964" s="2" t="b">
        <v>0</v>
      </c>
      <c r="P964" s="68"/>
      <c r="R964" s="69"/>
      <c r="S964" s="68"/>
      <c r="U964" s="69"/>
      <c r="V964" s="68"/>
      <c r="X964" s="69"/>
      <c r="Y964" s="68"/>
      <c r="AA964" s="69"/>
      <c r="AB964" s="33">
        <f t="shared" si="29"/>
        <v>0</v>
      </c>
      <c r="AC964" s="45">
        <f>_xlfn.LET(_xlpm.ps_1,P964:R964, _xlpm.ps_2,S964:U964, _xlpm.ps_3,V964:X964, _xlpm.ps_4,Y964:AA964,
_xlpm.phase, MID(C964,SEARCH("-",C964)+1,256),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(_xlfn.XLOOKUP($C$7,site_assumptions[Details],site_assumptions[Volts])*SUMIFS(P964:AA964,_xlfn.ANCHORARRAY(D964),TRUE)/10*0.95)/1000,
IFERROR(IF(_xlpm.phase="3Phase", _xlpm.p3_calc, _xlpm.sp_calc),0))</f>
        <v>0</v>
      </c>
      <c r="AD964" s="29"/>
      <c r="AE964" s="30"/>
      <c r="AF964" s="30"/>
      <c r="AG964" s="30"/>
      <c r="AH964" s="31"/>
      <c r="AI964" s="49">
        <f t="shared" si="30"/>
        <v>0</v>
      </c>
      <c r="AJ964" s="71"/>
    </row>
    <row r="965" spans="2:36" x14ac:dyDescent="0.25">
      <c r="B965" s="29"/>
      <c r="C965" s="10" t="s">
        <v>2070</v>
      </c>
      <c r="D965" s="2" t="b" cm="1">
        <f t="array" ref="D965:O965">_xlfn._xlws.FILTER(IF(ancillary!$E$4:$P$8="",FALSE,ancillary!$E$4:$P$8),ancillary!$B$4:$B$8=$C965)</f>
        <v>1</v>
      </c>
      <c r="E965" s="2" t="b">
        <v>1</v>
      </c>
      <c r="F965" s="2" t="b">
        <v>1</v>
      </c>
      <c r="G965" s="2" t="b">
        <v>1</v>
      </c>
      <c r="H965" s="2" t="b">
        <v>1</v>
      </c>
      <c r="I965" s="2" t="b">
        <v>1</v>
      </c>
      <c r="J965" s="2" t="b">
        <v>0</v>
      </c>
      <c r="K965" s="2" t="b">
        <v>0</v>
      </c>
      <c r="L965" s="2" t="b">
        <v>0</v>
      </c>
      <c r="M965" s="2" t="b">
        <v>0</v>
      </c>
      <c r="N965" s="2" t="b">
        <v>0</v>
      </c>
      <c r="O965" s="2" t="b">
        <v>0</v>
      </c>
      <c r="P965" s="68"/>
      <c r="R965" s="69"/>
      <c r="S965" s="68"/>
      <c r="U965" s="69"/>
      <c r="V965" s="68"/>
      <c r="X965" s="69"/>
      <c r="Y965" s="68"/>
      <c r="AA965" s="69"/>
      <c r="AB965" s="33">
        <f t="shared" si="29"/>
        <v>0</v>
      </c>
      <c r="AC965" s="45">
        <f>_xlfn.LET(_xlpm.ps_1,P965:R965, _xlpm.ps_2,S965:U965, _xlpm.ps_3,V965:X965, _xlpm.ps_4,Y965:AA965,
_xlpm.phase, MID(C965,SEARCH("-",C965)+1,256),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(_xlfn.XLOOKUP($C$7,site_assumptions[Details],site_assumptions[Volts])*SUMIFS(P965:AA965,_xlfn.ANCHORARRAY(D965),TRUE)/10*0.95)/1000,
IFERROR(IF(_xlpm.phase="3Phase", _xlpm.p3_calc, _xlpm.sp_calc),0))</f>
        <v>0</v>
      </c>
      <c r="AD965" s="29"/>
      <c r="AE965" s="30"/>
      <c r="AF965" s="30"/>
      <c r="AG965" s="30"/>
      <c r="AH965" s="31"/>
      <c r="AI965" s="49">
        <f t="shared" si="30"/>
        <v>0</v>
      </c>
      <c r="AJ965" s="71"/>
    </row>
    <row r="966" spans="2:36" x14ac:dyDescent="0.25">
      <c r="B966" s="29"/>
      <c r="C966" s="10" t="s">
        <v>2070</v>
      </c>
      <c r="D966" s="2" t="b" cm="1">
        <f t="array" ref="D966:O966">_xlfn._xlws.FILTER(IF(ancillary!$E$4:$P$8="",FALSE,ancillary!$E$4:$P$8),ancillary!$B$4:$B$8=$C966)</f>
        <v>1</v>
      </c>
      <c r="E966" s="2" t="b">
        <v>1</v>
      </c>
      <c r="F966" s="2" t="b">
        <v>1</v>
      </c>
      <c r="G966" s="2" t="b">
        <v>1</v>
      </c>
      <c r="H966" s="2" t="b">
        <v>1</v>
      </c>
      <c r="I966" s="2" t="b">
        <v>1</v>
      </c>
      <c r="J966" s="2" t="b">
        <v>0</v>
      </c>
      <c r="K966" s="2" t="b">
        <v>0</v>
      </c>
      <c r="L966" s="2" t="b">
        <v>0</v>
      </c>
      <c r="M966" s="2" t="b">
        <v>0</v>
      </c>
      <c r="N966" s="2" t="b">
        <v>0</v>
      </c>
      <c r="O966" s="2" t="b">
        <v>0</v>
      </c>
      <c r="P966" s="68"/>
      <c r="R966" s="69"/>
      <c r="S966" s="68"/>
      <c r="U966" s="69"/>
      <c r="V966" s="68"/>
      <c r="X966" s="69"/>
      <c r="Y966" s="68"/>
      <c r="AA966" s="69"/>
      <c r="AB966" s="33">
        <f t="shared" si="29"/>
        <v>0</v>
      </c>
      <c r="AC966" s="45">
        <f>_xlfn.LET(_xlpm.ps_1,P966:R966, _xlpm.ps_2,S966:U966, _xlpm.ps_3,V966:X966, _xlpm.ps_4,Y966:AA966,
_xlpm.phase, MID(C966,SEARCH("-",C966)+1,256),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(_xlfn.XLOOKUP($C$7,site_assumptions[Details],site_assumptions[Volts])*SUMIFS(P966:AA966,_xlfn.ANCHORARRAY(D966),TRUE)/10*0.95)/1000,
IFERROR(IF(_xlpm.phase="3Phase", _xlpm.p3_calc, _xlpm.sp_calc),0))</f>
        <v>0</v>
      </c>
      <c r="AD966" s="29"/>
      <c r="AE966" s="30"/>
      <c r="AF966" s="30"/>
      <c r="AG966" s="30"/>
      <c r="AH966" s="31"/>
      <c r="AI966" s="49">
        <f t="shared" si="30"/>
        <v>0</v>
      </c>
      <c r="AJ966" s="71"/>
    </row>
    <row r="967" spans="2:36" x14ac:dyDescent="0.25">
      <c r="B967" s="29"/>
      <c r="C967" s="10" t="s">
        <v>2070</v>
      </c>
      <c r="D967" s="2" t="b" cm="1">
        <f t="array" ref="D967:O967">_xlfn._xlws.FILTER(IF(ancillary!$E$4:$P$8="",FALSE,ancillary!$E$4:$P$8),ancillary!$B$4:$B$8=$C967)</f>
        <v>1</v>
      </c>
      <c r="E967" s="2" t="b">
        <v>1</v>
      </c>
      <c r="F967" s="2" t="b">
        <v>1</v>
      </c>
      <c r="G967" s="2" t="b">
        <v>1</v>
      </c>
      <c r="H967" s="2" t="b">
        <v>1</v>
      </c>
      <c r="I967" s="2" t="b">
        <v>1</v>
      </c>
      <c r="J967" s="2" t="b">
        <v>0</v>
      </c>
      <c r="K967" s="2" t="b">
        <v>0</v>
      </c>
      <c r="L967" s="2" t="b">
        <v>0</v>
      </c>
      <c r="M967" s="2" t="b">
        <v>0</v>
      </c>
      <c r="N967" s="2" t="b">
        <v>0</v>
      </c>
      <c r="O967" s="2" t="b">
        <v>0</v>
      </c>
      <c r="P967" s="68"/>
      <c r="R967" s="69"/>
      <c r="S967" s="68"/>
      <c r="U967" s="69"/>
      <c r="V967" s="68"/>
      <c r="X967" s="69"/>
      <c r="Y967" s="68"/>
      <c r="AA967" s="69"/>
      <c r="AB967" s="33">
        <f t="shared" si="29"/>
        <v>0</v>
      </c>
      <c r="AC967" s="45">
        <f>_xlfn.LET(_xlpm.ps_1,P967:R967, _xlpm.ps_2,S967:U967, _xlpm.ps_3,V967:X967, _xlpm.ps_4,Y967:AA967,
_xlpm.phase, MID(C967,SEARCH("-",C967)+1,256),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(_xlfn.XLOOKUP($C$7,site_assumptions[Details],site_assumptions[Volts])*SUMIFS(P967:AA967,_xlfn.ANCHORARRAY(D967),TRUE)/10*0.95)/1000,
IFERROR(IF(_xlpm.phase="3Phase", _xlpm.p3_calc, _xlpm.sp_calc),0))</f>
        <v>0</v>
      </c>
      <c r="AD967" s="29"/>
      <c r="AE967" s="30"/>
      <c r="AF967" s="30"/>
      <c r="AG967" s="30"/>
      <c r="AH967" s="31"/>
      <c r="AI967" s="49">
        <f t="shared" si="30"/>
        <v>0</v>
      </c>
      <c r="AJ967" s="71"/>
    </row>
    <row r="968" spans="2:36" x14ac:dyDescent="0.25">
      <c r="B968" s="29"/>
      <c r="C968" s="10" t="s">
        <v>2070</v>
      </c>
      <c r="D968" s="2" t="b" cm="1">
        <f t="array" ref="D968:O968">_xlfn._xlws.FILTER(IF(ancillary!$E$4:$P$8="",FALSE,ancillary!$E$4:$P$8),ancillary!$B$4:$B$8=$C968)</f>
        <v>1</v>
      </c>
      <c r="E968" s="2" t="b">
        <v>1</v>
      </c>
      <c r="F968" s="2" t="b">
        <v>1</v>
      </c>
      <c r="G968" s="2" t="b">
        <v>1</v>
      </c>
      <c r="H968" s="2" t="b">
        <v>1</v>
      </c>
      <c r="I968" s="2" t="b">
        <v>1</v>
      </c>
      <c r="J968" s="2" t="b">
        <v>0</v>
      </c>
      <c r="K968" s="2" t="b">
        <v>0</v>
      </c>
      <c r="L968" s="2" t="b">
        <v>0</v>
      </c>
      <c r="M968" s="2" t="b">
        <v>0</v>
      </c>
      <c r="N968" s="2" t="b">
        <v>0</v>
      </c>
      <c r="O968" s="2" t="b">
        <v>0</v>
      </c>
      <c r="P968" s="68"/>
      <c r="R968" s="69"/>
      <c r="S968" s="68"/>
      <c r="U968" s="69"/>
      <c r="V968" s="68"/>
      <c r="X968" s="69"/>
      <c r="Y968" s="68"/>
      <c r="AA968" s="69"/>
      <c r="AB968" s="33">
        <f t="shared" si="29"/>
        <v>0</v>
      </c>
      <c r="AC968" s="45">
        <f>_xlfn.LET(_xlpm.ps_1,P968:R968, _xlpm.ps_2,S968:U968, _xlpm.ps_3,V968:X968, _xlpm.ps_4,Y968:AA968,
_xlpm.phase, MID(C968,SEARCH("-",C968)+1,256),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(_xlfn.XLOOKUP($C$7,site_assumptions[Details],site_assumptions[Volts])*SUMIFS(P968:AA968,_xlfn.ANCHORARRAY(D968),TRUE)/10*0.95)/1000,
IFERROR(IF(_xlpm.phase="3Phase", _xlpm.p3_calc, _xlpm.sp_calc),0))</f>
        <v>0</v>
      </c>
      <c r="AD968" s="29"/>
      <c r="AE968" s="30"/>
      <c r="AF968" s="30"/>
      <c r="AG968" s="30"/>
      <c r="AH968" s="31"/>
      <c r="AI968" s="49">
        <f t="shared" si="30"/>
        <v>0</v>
      </c>
      <c r="AJ968" s="71"/>
    </row>
    <row r="969" spans="2:36" x14ac:dyDescent="0.25">
      <c r="B969" s="29"/>
      <c r="C969" s="10" t="s">
        <v>2070</v>
      </c>
      <c r="D969" s="2" t="b" cm="1">
        <f t="array" ref="D969:O969">_xlfn._xlws.FILTER(IF(ancillary!$E$4:$P$8="",FALSE,ancillary!$E$4:$P$8),ancillary!$B$4:$B$8=$C969)</f>
        <v>1</v>
      </c>
      <c r="E969" s="2" t="b">
        <v>1</v>
      </c>
      <c r="F969" s="2" t="b">
        <v>1</v>
      </c>
      <c r="G969" s="2" t="b">
        <v>1</v>
      </c>
      <c r="H969" s="2" t="b">
        <v>1</v>
      </c>
      <c r="I969" s="2" t="b">
        <v>1</v>
      </c>
      <c r="J969" s="2" t="b">
        <v>0</v>
      </c>
      <c r="K969" s="2" t="b">
        <v>0</v>
      </c>
      <c r="L969" s="2" t="b">
        <v>0</v>
      </c>
      <c r="M969" s="2" t="b">
        <v>0</v>
      </c>
      <c r="N969" s="2" t="b">
        <v>0</v>
      </c>
      <c r="O969" s="2" t="b">
        <v>0</v>
      </c>
      <c r="P969" s="68"/>
      <c r="R969" s="69"/>
      <c r="S969" s="68"/>
      <c r="U969" s="69"/>
      <c r="V969" s="68"/>
      <c r="X969" s="69"/>
      <c r="Y969" s="68"/>
      <c r="AA969" s="69"/>
      <c r="AB969" s="33">
        <f t="shared" si="29"/>
        <v>0</v>
      </c>
      <c r="AC969" s="45">
        <f>_xlfn.LET(_xlpm.ps_1,P969:R969, _xlpm.ps_2,S969:U969, _xlpm.ps_3,V969:X969, _xlpm.ps_4,Y969:AA969,
_xlpm.phase, MID(C969,SEARCH("-",C969)+1,256),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(_xlfn.XLOOKUP($C$7,site_assumptions[Details],site_assumptions[Volts])*SUMIFS(P969:AA969,_xlfn.ANCHORARRAY(D969),TRUE)/10*0.95)/1000,
IFERROR(IF(_xlpm.phase="3Phase", _xlpm.p3_calc, _xlpm.sp_calc),0))</f>
        <v>0</v>
      </c>
      <c r="AD969" s="29"/>
      <c r="AE969" s="30"/>
      <c r="AF969" s="30"/>
      <c r="AG969" s="30"/>
      <c r="AH969" s="31"/>
      <c r="AI969" s="49">
        <f t="shared" si="30"/>
        <v>0</v>
      </c>
      <c r="AJ969" s="71"/>
    </row>
    <row r="970" spans="2:36" x14ac:dyDescent="0.25">
      <c r="B970" s="29"/>
      <c r="C970" s="10" t="s">
        <v>2070</v>
      </c>
      <c r="D970" s="2" t="b" cm="1">
        <f t="array" ref="D970:O970">_xlfn._xlws.FILTER(IF(ancillary!$E$4:$P$8="",FALSE,ancillary!$E$4:$P$8),ancillary!$B$4:$B$8=$C970)</f>
        <v>1</v>
      </c>
      <c r="E970" s="2" t="b">
        <v>1</v>
      </c>
      <c r="F970" s="2" t="b">
        <v>1</v>
      </c>
      <c r="G970" s="2" t="b">
        <v>1</v>
      </c>
      <c r="H970" s="2" t="b">
        <v>1</v>
      </c>
      <c r="I970" s="2" t="b">
        <v>1</v>
      </c>
      <c r="J970" s="2" t="b">
        <v>0</v>
      </c>
      <c r="K970" s="2" t="b">
        <v>0</v>
      </c>
      <c r="L970" s="2" t="b">
        <v>0</v>
      </c>
      <c r="M970" s="2" t="b">
        <v>0</v>
      </c>
      <c r="N970" s="2" t="b">
        <v>0</v>
      </c>
      <c r="O970" s="2" t="b">
        <v>0</v>
      </c>
      <c r="P970" s="68"/>
      <c r="R970" s="69"/>
      <c r="S970" s="68"/>
      <c r="U970" s="69"/>
      <c r="V970" s="68"/>
      <c r="X970" s="69"/>
      <c r="Y970" s="68"/>
      <c r="AA970" s="69"/>
      <c r="AB970" s="33">
        <f t="shared" si="29"/>
        <v>0</v>
      </c>
      <c r="AC970" s="45">
        <f>_xlfn.LET(_xlpm.ps_1,P970:R970, _xlpm.ps_2,S970:U970, _xlpm.ps_3,V970:X970, _xlpm.ps_4,Y970:AA970,
_xlpm.phase, MID(C970,SEARCH("-",C970)+1,256),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(_xlfn.XLOOKUP($C$7,site_assumptions[Details],site_assumptions[Volts])*SUMIFS(P970:AA970,_xlfn.ANCHORARRAY(D970),TRUE)/10*0.95)/1000,
IFERROR(IF(_xlpm.phase="3Phase", _xlpm.p3_calc, _xlpm.sp_calc),0))</f>
        <v>0</v>
      </c>
      <c r="AD970" s="29"/>
      <c r="AE970" s="30"/>
      <c r="AF970" s="30"/>
      <c r="AG970" s="30"/>
      <c r="AH970" s="31"/>
      <c r="AI970" s="49">
        <f t="shared" si="30"/>
        <v>0</v>
      </c>
      <c r="AJ970" s="71"/>
    </row>
    <row r="971" spans="2:36" x14ac:dyDescent="0.25">
      <c r="B971" s="29"/>
      <c r="C971" s="10" t="s">
        <v>2070</v>
      </c>
      <c r="D971" s="2" t="b" cm="1">
        <f t="array" ref="D971:O971">_xlfn._xlws.FILTER(IF(ancillary!$E$4:$P$8="",FALSE,ancillary!$E$4:$P$8),ancillary!$B$4:$B$8=$C971)</f>
        <v>1</v>
      </c>
      <c r="E971" s="2" t="b">
        <v>1</v>
      </c>
      <c r="F971" s="2" t="b">
        <v>1</v>
      </c>
      <c r="G971" s="2" t="b">
        <v>1</v>
      </c>
      <c r="H971" s="2" t="b">
        <v>1</v>
      </c>
      <c r="I971" s="2" t="b">
        <v>1</v>
      </c>
      <c r="J971" s="2" t="b">
        <v>0</v>
      </c>
      <c r="K971" s="2" t="b">
        <v>0</v>
      </c>
      <c r="L971" s="2" t="b">
        <v>0</v>
      </c>
      <c r="M971" s="2" t="b">
        <v>0</v>
      </c>
      <c r="N971" s="2" t="b">
        <v>0</v>
      </c>
      <c r="O971" s="2" t="b">
        <v>0</v>
      </c>
      <c r="P971" s="68"/>
      <c r="R971" s="69"/>
      <c r="S971" s="68"/>
      <c r="U971" s="69"/>
      <c r="V971" s="68"/>
      <c r="X971" s="69"/>
      <c r="Y971" s="68"/>
      <c r="AA971" s="69"/>
      <c r="AB971" s="33">
        <f t="shared" si="29"/>
        <v>0</v>
      </c>
      <c r="AC971" s="45">
        <f>_xlfn.LET(_xlpm.ps_1,P971:R971, _xlpm.ps_2,S971:U971, _xlpm.ps_3,V971:X971, _xlpm.ps_4,Y971:AA971,
_xlpm.phase, MID(C971,SEARCH("-",C971)+1,256),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(_xlfn.XLOOKUP($C$7,site_assumptions[Details],site_assumptions[Volts])*SUMIFS(P971:AA971,_xlfn.ANCHORARRAY(D971),TRUE)/10*0.95)/1000,
IFERROR(IF(_xlpm.phase="3Phase", _xlpm.p3_calc, _xlpm.sp_calc),0))</f>
        <v>0</v>
      </c>
      <c r="AD971" s="29"/>
      <c r="AE971" s="30"/>
      <c r="AF971" s="30"/>
      <c r="AG971" s="30"/>
      <c r="AH971" s="31"/>
      <c r="AI971" s="49">
        <f t="shared" si="30"/>
        <v>0</v>
      </c>
      <c r="AJ971" s="71"/>
    </row>
    <row r="972" spans="2:36" x14ac:dyDescent="0.25">
      <c r="B972" s="29"/>
      <c r="C972" s="10" t="s">
        <v>2070</v>
      </c>
      <c r="D972" s="2" t="b" cm="1">
        <f t="array" ref="D972:O972">_xlfn._xlws.FILTER(IF(ancillary!$E$4:$P$8="",FALSE,ancillary!$E$4:$P$8),ancillary!$B$4:$B$8=$C972)</f>
        <v>1</v>
      </c>
      <c r="E972" s="2" t="b">
        <v>1</v>
      </c>
      <c r="F972" s="2" t="b">
        <v>1</v>
      </c>
      <c r="G972" s="2" t="b">
        <v>1</v>
      </c>
      <c r="H972" s="2" t="b">
        <v>1</v>
      </c>
      <c r="I972" s="2" t="b">
        <v>1</v>
      </c>
      <c r="J972" s="2" t="b">
        <v>0</v>
      </c>
      <c r="K972" s="2" t="b">
        <v>0</v>
      </c>
      <c r="L972" s="2" t="b">
        <v>0</v>
      </c>
      <c r="M972" s="2" t="b">
        <v>0</v>
      </c>
      <c r="N972" s="2" t="b">
        <v>0</v>
      </c>
      <c r="O972" s="2" t="b">
        <v>0</v>
      </c>
      <c r="P972" s="68"/>
      <c r="R972" s="69"/>
      <c r="S972" s="68"/>
      <c r="U972" s="69"/>
      <c r="V972" s="68"/>
      <c r="X972" s="69"/>
      <c r="Y972" s="68"/>
      <c r="AA972" s="69"/>
      <c r="AB972" s="33">
        <f t="shared" si="29"/>
        <v>0</v>
      </c>
      <c r="AC972" s="45">
        <f>_xlfn.LET(_xlpm.ps_1,P972:R972, _xlpm.ps_2,S972:U972, _xlpm.ps_3,V972:X972, _xlpm.ps_4,Y972:AA972,
_xlpm.phase, MID(C972,SEARCH("-",C972)+1,256),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(_xlfn.XLOOKUP($C$7,site_assumptions[Details],site_assumptions[Volts])*SUMIFS(P972:AA972,_xlfn.ANCHORARRAY(D972),TRUE)/10*0.95)/1000,
IFERROR(IF(_xlpm.phase="3Phase", _xlpm.p3_calc, _xlpm.sp_calc),0))</f>
        <v>0</v>
      </c>
      <c r="AD972" s="29"/>
      <c r="AE972" s="30"/>
      <c r="AF972" s="30"/>
      <c r="AG972" s="30"/>
      <c r="AH972" s="31"/>
      <c r="AI972" s="49">
        <f t="shared" si="30"/>
        <v>0</v>
      </c>
      <c r="AJ972" s="71"/>
    </row>
    <row r="973" spans="2:36" x14ac:dyDescent="0.25">
      <c r="B973" s="29"/>
      <c r="C973" s="10" t="s">
        <v>2070</v>
      </c>
      <c r="D973" s="2" t="b" cm="1">
        <f t="array" ref="D973:O973">_xlfn._xlws.FILTER(IF(ancillary!$E$4:$P$8="",FALSE,ancillary!$E$4:$P$8),ancillary!$B$4:$B$8=$C973)</f>
        <v>1</v>
      </c>
      <c r="E973" s="2" t="b">
        <v>1</v>
      </c>
      <c r="F973" s="2" t="b">
        <v>1</v>
      </c>
      <c r="G973" s="2" t="b">
        <v>1</v>
      </c>
      <c r="H973" s="2" t="b">
        <v>1</v>
      </c>
      <c r="I973" s="2" t="b">
        <v>1</v>
      </c>
      <c r="J973" s="2" t="b">
        <v>0</v>
      </c>
      <c r="K973" s="2" t="b">
        <v>0</v>
      </c>
      <c r="L973" s="2" t="b">
        <v>0</v>
      </c>
      <c r="M973" s="2" t="b">
        <v>0</v>
      </c>
      <c r="N973" s="2" t="b">
        <v>0</v>
      </c>
      <c r="O973" s="2" t="b">
        <v>0</v>
      </c>
      <c r="P973" s="68"/>
      <c r="R973" s="69"/>
      <c r="S973" s="68"/>
      <c r="U973" s="69"/>
      <c r="V973" s="68"/>
      <c r="X973" s="69"/>
      <c r="Y973" s="68"/>
      <c r="AA973" s="69"/>
      <c r="AB973" s="33">
        <f t="shared" si="29"/>
        <v>0</v>
      </c>
      <c r="AC973" s="45">
        <f>_xlfn.LET(_xlpm.ps_1,P973:R973, _xlpm.ps_2,S973:U973, _xlpm.ps_3,V973:X973, _xlpm.ps_4,Y973:AA973,
_xlpm.phase, MID(C973,SEARCH("-",C973)+1,256),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(_xlfn.XLOOKUP($C$7,site_assumptions[Details],site_assumptions[Volts])*SUMIFS(P973:AA973,_xlfn.ANCHORARRAY(D973),TRUE)/10*0.95)/1000,
IFERROR(IF(_xlpm.phase="3Phase", _xlpm.p3_calc, _xlpm.sp_calc),0))</f>
        <v>0</v>
      </c>
      <c r="AD973" s="29"/>
      <c r="AE973" s="30"/>
      <c r="AF973" s="30"/>
      <c r="AG973" s="30"/>
      <c r="AH973" s="31"/>
      <c r="AI973" s="49">
        <f t="shared" si="30"/>
        <v>0</v>
      </c>
      <c r="AJ973" s="71"/>
    </row>
    <row r="974" spans="2:36" x14ac:dyDescent="0.25">
      <c r="B974" s="29"/>
      <c r="C974" s="10" t="s">
        <v>2070</v>
      </c>
      <c r="D974" s="2" t="b" cm="1">
        <f t="array" ref="D974:O974">_xlfn._xlws.FILTER(IF(ancillary!$E$4:$P$8="",FALSE,ancillary!$E$4:$P$8),ancillary!$B$4:$B$8=$C974)</f>
        <v>1</v>
      </c>
      <c r="E974" s="2" t="b">
        <v>1</v>
      </c>
      <c r="F974" s="2" t="b">
        <v>1</v>
      </c>
      <c r="G974" s="2" t="b">
        <v>1</v>
      </c>
      <c r="H974" s="2" t="b">
        <v>1</v>
      </c>
      <c r="I974" s="2" t="b">
        <v>1</v>
      </c>
      <c r="J974" s="2" t="b">
        <v>0</v>
      </c>
      <c r="K974" s="2" t="b">
        <v>0</v>
      </c>
      <c r="L974" s="2" t="b">
        <v>0</v>
      </c>
      <c r="M974" s="2" t="b">
        <v>0</v>
      </c>
      <c r="N974" s="2" t="b">
        <v>0</v>
      </c>
      <c r="O974" s="2" t="b">
        <v>0</v>
      </c>
      <c r="P974" s="68"/>
      <c r="R974" s="69"/>
      <c r="S974" s="68"/>
      <c r="U974" s="69"/>
      <c r="V974" s="68"/>
      <c r="X974" s="69"/>
      <c r="Y974" s="68"/>
      <c r="AA974" s="69"/>
      <c r="AB974" s="33">
        <f t="shared" ref="AB974:AB1000" si="31">IFERROR(AVERAGEIFS(P974:AA974,_xlfn.ANCHORARRAY(D974),TRUE),0)/10</f>
        <v>0</v>
      </c>
      <c r="AC974" s="45">
        <f>_xlfn.LET(_xlpm.ps_1,P974:R974, _xlpm.ps_2,S974:U974, _xlpm.ps_3,V974:X974, _xlpm.ps_4,Y974:AA974,
_xlpm.phase, MID(C974,SEARCH("-",C974)+1,256),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(_xlfn.XLOOKUP($C$7,site_assumptions[Details],site_assumptions[Volts])*SUMIFS(P974:AA974,_xlfn.ANCHORARRAY(D974),TRUE)/10*0.95)/1000,
IFERROR(IF(_xlpm.phase="3Phase", _xlpm.p3_calc, _xlpm.sp_calc),0))</f>
        <v>0</v>
      </c>
      <c r="AD974" s="29"/>
      <c r="AE974" s="30"/>
      <c r="AF974" s="30"/>
      <c r="AG974" s="30"/>
      <c r="AH974" s="31"/>
      <c r="AI974" s="49">
        <f t="shared" si="30"/>
        <v>0</v>
      </c>
      <c r="AJ974" s="71"/>
    </row>
    <row r="975" spans="2:36" x14ac:dyDescent="0.25">
      <c r="B975" s="29"/>
      <c r="C975" s="10" t="s">
        <v>2070</v>
      </c>
      <c r="D975" s="2" t="b" cm="1">
        <f t="array" ref="D975:O975">_xlfn._xlws.FILTER(IF(ancillary!$E$4:$P$8="",FALSE,ancillary!$E$4:$P$8),ancillary!$B$4:$B$8=$C975)</f>
        <v>1</v>
      </c>
      <c r="E975" s="2" t="b">
        <v>1</v>
      </c>
      <c r="F975" s="2" t="b">
        <v>1</v>
      </c>
      <c r="G975" s="2" t="b">
        <v>1</v>
      </c>
      <c r="H975" s="2" t="b">
        <v>1</v>
      </c>
      <c r="I975" s="2" t="b">
        <v>1</v>
      </c>
      <c r="J975" s="2" t="b">
        <v>0</v>
      </c>
      <c r="K975" s="2" t="b">
        <v>0</v>
      </c>
      <c r="L975" s="2" t="b">
        <v>0</v>
      </c>
      <c r="M975" s="2" t="b">
        <v>0</v>
      </c>
      <c r="N975" s="2" t="b">
        <v>0</v>
      </c>
      <c r="O975" s="2" t="b">
        <v>0</v>
      </c>
      <c r="P975" s="68"/>
      <c r="R975" s="69"/>
      <c r="S975" s="68"/>
      <c r="U975" s="69"/>
      <c r="V975" s="68"/>
      <c r="X975" s="69"/>
      <c r="Y975" s="68"/>
      <c r="AA975" s="69"/>
      <c r="AB975" s="33">
        <f t="shared" si="31"/>
        <v>0</v>
      </c>
      <c r="AC975" s="45">
        <f>_xlfn.LET(_xlpm.ps_1,P975:R975, _xlpm.ps_2,S975:U975, _xlpm.ps_3,V975:X975, _xlpm.ps_4,Y975:AA975,
_xlpm.phase, MID(C975,SEARCH("-",C975)+1,256),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(_xlfn.XLOOKUP($C$7,site_assumptions[Details],site_assumptions[Volts])*SUMIFS(P975:AA975,_xlfn.ANCHORARRAY(D975),TRUE)/10*0.95)/1000,
IFERROR(IF(_xlpm.phase="3Phase", _xlpm.p3_calc, _xlpm.sp_calc),0))</f>
        <v>0</v>
      </c>
      <c r="AD975" s="29"/>
      <c r="AE975" s="30"/>
      <c r="AF975" s="30"/>
      <c r="AG975" s="30"/>
      <c r="AH975" s="31"/>
      <c r="AI975" s="49">
        <f t="shared" si="30"/>
        <v>0</v>
      </c>
      <c r="AJ975" s="71"/>
    </row>
    <row r="976" spans="2:36" x14ac:dyDescent="0.25">
      <c r="B976" s="29"/>
      <c r="C976" s="10" t="s">
        <v>2070</v>
      </c>
      <c r="D976" s="2" t="b" cm="1">
        <f t="array" ref="D976:O976">_xlfn._xlws.FILTER(IF(ancillary!$E$4:$P$8="",FALSE,ancillary!$E$4:$P$8),ancillary!$B$4:$B$8=$C976)</f>
        <v>1</v>
      </c>
      <c r="E976" s="2" t="b">
        <v>1</v>
      </c>
      <c r="F976" s="2" t="b">
        <v>1</v>
      </c>
      <c r="G976" s="2" t="b">
        <v>1</v>
      </c>
      <c r="H976" s="2" t="b">
        <v>1</v>
      </c>
      <c r="I976" s="2" t="b">
        <v>1</v>
      </c>
      <c r="J976" s="2" t="b">
        <v>0</v>
      </c>
      <c r="K976" s="2" t="b">
        <v>0</v>
      </c>
      <c r="L976" s="2" t="b">
        <v>0</v>
      </c>
      <c r="M976" s="2" t="b">
        <v>0</v>
      </c>
      <c r="N976" s="2" t="b">
        <v>0</v>
      </c>
      <c r="O976" s="2" t="b">
        <v>0</v>
      </c>
      <c r="P976" s="68"/>
      <c r="R976" s="69"/>
      <c r="S976" s="68"/>
      <c r="U976" s="69"/>
      <c r="V976" s="68"/>
      <c r="X976" s="69"/>
      <c r="Y976" s="68"/>
      <c r="AA976" s="69"/>
      <c r="AB976" s="33">
        <f t="shared" si="31"/>
        <v>0</v>
      </c>
      <c r="AC976" s="45">
        <f>_xlfn.LET(_xlpm.ps_1,P976:R976, _xlpm.ps_2,S976:U976, _xlpm.ps_3,V976:X976, _xlpm.ps_4,Y976:AA976,
_xlpm.phase, MID(C976,SEARCH("-",C976)+1,256),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(_xlfn.XLOOKUP($C$7,site_assumptions[Details],site_assumptions[Volts])*SUMIFS(P976:AA976,_xlfn.ANCHORARRAY(D976),TRUE)/10*0.95)/1000,
IFERROR(IF(_xlpm.phase="3Phase", _xlpm.p3_calc, _xlpm.sp_calc),0))</f>
        <v>0</v>
      </c>
      <c r="AD976" s="29"/>
      <c r="AE976" s="30"/>
      <c r="AF976" s="30"/>
      <c r="AG976" s="30"/>
      <c r="AH976" s="31"/>
      <c r="AI976" s="49">
        <f t="shared" si="30"/>
        <v>0</v>
      </c>
      <c r="AJ976" s="71"/>
    </row>
    <row r="977" spans="2:36" x14ac:dyDescent="0.25">
      <c r="B977" s="29"/>
      <c r="C977" s="10" t="s">
        <v>2070</v>
      </c>
      <c r="D977" s="2" t="b" cm="1">
        <f t="array" ref="D977:O977">_xlfn._xlws.FILTER(IF(ancillary!$E$4:$P$8="",FALSE,ancillary!$E$4:$P$8),ancillary!$B$4:$B$8=$C977)</f>
        <v>1</v>
      </c>
      <c r="E977" s="2" t="b">
        <v>1</v>
      </c>
      <c r="F977" s="2" t="b">
        <v>1</v>
      </c>
      <c r="G977" s="2" t="b">
        <v>1</v>
      </c>
      <c r="H977" s="2" t="b">
        <v>1</v>
      </c>
      <c r="I977" s="2" t="b">
        <v>1</v>
      </c>
      <c r="J977" s="2" t="b">
        <v>0</v>
      </c>
      <c r="K977" s="2" t="b">
        <v>0</v>
      </c>
      <c r="L977" s="2" t="b">
        <v>0</v>
      </c>
      <c r="M977" s="2" t="b">
        <v>0</v>
      </c>
      <c r="N977" s="2" t="b">
        <v>0</v>
      </c>
      <c r="O977" s="2" t="b">
        <v>0</v>
      </c>
      <c r="P977" s="68"/>
      <c r="R977" s="69"/>
      <c r="S977" s="68"/>
      <c r="U977" s="69"/>
      <c r="V977" s="68"/>
      <c r="X977" s="69"/>
      <c r="Y977" s="68"/>
      <c r="AA977" s="69"/>
      <c r="AB977" s="33">
        <f t="shared" si="31"/>
        <v>0</v>
      </c>
      <c r="AC977" s="45">
        <f>_xlfn.LET(_xlpm.ps_1,P977:R977, _xlpm.ps_2,S977:U977, _xlpm.ps_3,V977:X977, _xlpm.ps_4,Y977:AA977,
_xlpm.phase, MID(C977,SEARCH("-",C977)+1,256),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(_xlfn.XLOOKUP($C$7,site_assumptions[Details],site_assumptions[Volts])*SUMIFS(P977:AA977,_xlfn.ANCHORARRAY(D977),TRUE)/10*0.95)/1000,
IFERROR(IF(_xlpm.phase="3Phase", _xlpm.p3_calc, _xlpm.sp_calc),0))</f>
        <v>0</v>
      </c>
      <c r="AD977" s="29"/>
      <c r="AE977" s="30"/>
      <c r="AF977" s="30"/>
      <c r="AG977" s="30"/>
      <c r="AH977" s="31"/>
      <c r="AI977" s="49">
        <f t="shared" si="30"/>
        <v>0</v>
      </c>
      <c r="AJ977" s="71"/>
    </row>
    <row r="978" spans="2:36" x14ac:dyDescent="0.25">
      <c r="B978" s="29"/>
      <c r="C978" s="10" t="s">
        <v>2070</v>
      </c>
      <c r="D978" s="2" t="b" cm="1">
        <f t="array" ref="D978:O978">_xlfn._xlws.FILTER(IF(ancillary!$E$4:$P$8="",FALSE,ancillary!$E$4:$P$8),ancillary!$B$4:$B$8=$C978)</f>
        <v>1</v>
      </c>
      <c r="E978" s="2" t="b">
        <v>1</v>
      </c>
      <c r="F978" s="2" t="b">
        <v>1</v>
      </c>
      <c r="G978" s="2" t="b">
        <v>1</v>
      </c>
      <c r="H978" s="2" t="b">
        <v>1</v>
      </c>
      <c r="I978" s="2" t="b">
        <v>1</v>
      </c>
      <c r="J978" s="2" t="b">
        <v>0</v>
      </c>
      <c r="K978" s="2" t="b">
        <v>0</v>
      </c>
      <c r="L978" s="2" t="b">
        <v>0</v>
      </c>
      <c r="M978" s="2" t="b">
        <v>0</v>
      </c>
      <c r="N978" s="2" t="b">
        <v>0</v>
      </c>
      <c r="O978" s="2" t="b">
        <v>0</v>
      </c>
      <c r="P978" s="68"/>
      <c r="R978" s="69"/>
      <c r="S978" s="68"/>
      <c r="U978" s="69"/>
      <c r="V978" s="68"/>
      <c r="X978" s="69"/>
      <c r="Y978" s="68"/>
      <c r="AA978" s="69"/>
      <c r="AB978" s="33">
        <f t="shared" si="31"/>
        <v>0</v>
      </c>
      <c r="AC978" s="45">
        <f>_xlfn.LET(_xlpm.ps_1,P978:R978, _xlpm.ps_2,S978:U978, _xlpm.ps_3,V978:X978, _xlpm.ps_4,Y978:AA978,
_xlpm.phase, MID(C978,SEARCH("-",C978)+1,256),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(_xlfn.XLOOKUP($C$7,site_assumptions[Details],site_assumptions[Volts])*SUMIFS(P978:AA978,_xlfn.ANCHORARRAY(D978),TRUE)/10*0.95)/1000,
IFERROR(IF(_xlpm.phase="3Phase", _xlpm.p3_calc, _xlpm.sp_calc),0))</f>
        <v>0</v>
      </c>
      <c r="AD978" s="29"/>
      <c r="AE978" s="30"/>
      <c r="AF978" s="30"/>
      <c r="AG978" s="30"/>
      <c r="AH978" s="31"/>
      <c r="AI978" s="49">
        <f t="shared" si="30"/>
        <v>0</v>
      </c>
      <c r="AJ978" s="71"/>
    </row>
    <row r="979" spans="2:36" x14ac:dyDescent="0.25">
      <c r="B979" s="29"/>
      <c r="C979" s="10" t="s">
        <v>2070</v>
      </c>
      <c r="D979" s="2" t="b" cm="1">
        <f t="array" ref="D979:O979">_xlfn._xlws.FILTER(IF(ancillary!$E$4:$P$8="",FALSE,ancillary!$E$4:$P$8),ancillary!$B$4:$B$8=$C979)</f>
        <v>1</v>
      </c>
      <c r="E979" s="2" t="b">
        <v>1</v>
      </c>
      <c r="F979" s="2" t="b">
        <v>1</v>
      </c>
      <c r="G979" s="2" t="b">
        <v>1</v>
      </c>
      <c r="H979" s="2" t="b">
        <v>1</v>
      </c>
      <c r="I979" s="2" t="b">
        <v>1</v>
      </c>
      <c r="J979" s="2" t="b">
        <v>0</v>
      </c>
      <c r="K979" s="2" t="b">
        <v>0</v>
      </c>
      <c r="L979" s="2" t="b">
        <v>0</v>
      </c>
      <c r="M979" s="2" t="b">
        <v>0</v>
      </c>
      <c r="N979" s="2" t="b">
        <v>0</v>
      </c>
      <c r="O979" s="2" t="b">
        <v>0</v>
      </c>
      <c r="P979" s="68"/>
      <c r="R979" s="69"/>
      <c r="S979" s="68"/>
      <c r="U979" s="69"/>
      <c r="V979" s="68"/>
      <c r="X979" s="69"/>
      <c r="Y979" s="68"/>
      <c r="AA979" s="69"/>
      <c r="AB979" s="33">
        <f t="shared" si="31"/>
        <v>0</v>
      </c>
      <c r="AC979" s="45">
        <f>_xlfn.LET(_xlpm.ps_1,P979:R979, _xlpm.ps_2,S979:U979, _xlpm.ps_3,V979:X979, _xlpm.ps_4,Y979:AA979,
_xlpm.phase, MID(C979,SEARCH("-",C979)+1,256),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(_xlfn.XLOOKUP($C$7,site_assumptions[Details],site_assumptions[Volts])*SUMIFS(P979:AA979,_xlfn.ANCHORARRAY(D979),TRUE)/10*0.95)/1000,
IFERROR(IF(_xlpm.phase="3Phase", _xlpm.p3_calc, _xlpm.sp_calc),0))</f>
        <v>0</v>
      </c>
      <c r="AD979" s="29"/>
      <c r="AE979" s="30"/>
      <c r="AF979" s="30"/>
      <c r="AG979" s="30"/>
      <c r="AH979" s="31"/>
      <c r="AI979" s="49">
        <f t="shared" si="30"/>
        <v>0</v>
      </c>
      <c r="AJ979" s="71"/>
    </row>
    <row r="980" spans="2:36" x14ac:dyDescent="0.25">
      <c r="B980" s="29"/>
      <c r="C980" s="10" t="s">
        <v>2070</v>
      </c>
      <c r="D980" s="2" t="b" cm="1">
        <f t="array" ref="D980:O980">_xlfn._xlws.FILTER(IF(ancillary!$E$4:$P$8="",FALSE,ancillary!$E$4:$P$8),ancillary!$B$4:$B$8=$C980)</f>
        <v>1</v>
      </c>
      <c r="E980" s="2" t="b">
        <v>1</v>
      </c>
      <c r="F980" s="2" t="b">
        <v>1</v>
      </c>
      <c r="G980" s="2" t="b">
        <v>1</v>
      </c>
      <c r="H980" s="2" t="b">
        <v>1</v>
      </c>
      <c r="I980" s="2" t="b">
        <v>1</v>
      </c>
      <c r="J980" s="2" t="b">
        <v>0</v>
      </c>
      <c r="K980" s="2" t="b">
        <v>0</v>
      </c>
      <c r="L980" s="2" t="b">
        <v>0</v>
      </c>
      <c r="M980" s="2" t="b">
        <v>0</v>
      </c>
      <c r="N980" s="2" t="b">
        <v>0</v>
      </c>
      <c r="O980" s="2" t="b">
        <v>0</v>
      </c>
      <c r="P980" s="68"/>
      <c r="R980" s="69"/>
      <c r="S980" s="68"/>
      <c r="U980" s="69"/>
      <c r="V980" s="68"/>
      <c r="X980" s="69"/>
      <c r="Y980" s="68"/>
      <c r="AA980" s="69"/>
      <c r="AB980" s="33">
        <f t="shared" si="31"/>
        <v>0</v>
      </c>
      <c r="AC980" s="45">
        <f>_xlfn.LET(_xlpm.ps_1,P980:R980, _xlpm.ps_2,S980:U980, _xlpm.ps_3,V980:X980, _xlpm.ps_4,Y980:AA980,
_xlpm.phase, MID(C980,SEARCH("-",C980)+1,256),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(_xlfn.XLOOKUP($C$7,site_assumptions[Details],site_assumptions[Volts])*SUMIFS(P980:AA980,_xlfn.ANCHORARRAY(D980),TRUE)/10*0.95)/1000,
IFERROR(IF(_xlpm.phase="3Phase", _xlpm.p3_calc, _xlpm.sp_calc),0))</f>
        <v>0</v>
      </c>
      <c r="AD980" s="29"/>
      <c r="AE980" s="30"/>
      <c r="AF980" s="30"/>
      <c r="AG980" s="30"/>
      <c r="AH980" s="31"/>
      <c r="AI980" s="49">
        <f t="shared" si="30"/>
        <v>0</v>
      </c>
      <c r="AJ980" s="71"/>
    </row>
    <row r="981" spans="2:36" x14ac:dyDescent="0.25">
      <c r="B981" s="29"/>
      <c r="C981" s="10" t="s">
        <v>2070</v>
      </c>
      <c r="D981" s="2" t="b" cm="1">
        <f t="array" ref="D981:O981">_xlfn._xlws.FILTER(IF(ancillary!$E$4:$P$8="",FALSE,ancillary!$E$4:$P$8),ancillary!$B$4:$B$8=$C981)</f>
        <v>1</v>
      </c>
      <c r="E981" s="2" t="b">
        <v>1</v>
      </c>
      <c r="F981" s="2" t="b">
        <v>1</v>
      </c>
      <c r="G981" s="2" t="b">
        <v>1</v>
      </c>
      <c r="H981" s="2" t="b">
        <v>1</v>
      </c>
      <c r="I981" s="2" t="b">
        <v>1</v>
      </c>
      <c r="J981" s="2" t="b">
        <v>0</v>
      </c>
      <c r="K981" s="2" t="b">
        <v>0</v>
      </c>
      <c r="L981" s="2" t="b">
        <v>0</v>
      </c>
      <c r="M981" s="2" t="b">
        <v>0</v>
      </c>
      <c r="N981" s="2" t="b">
        <v>0</v>
      </c>
      <c r="O981" s="2" t="b">
        <v>0</v>
      </c>
      <c r="P981" s="68"/>
      <c r="R981" s="69"/>
      <c r="S981" s="68"/>
      <c r="U981" s="69"/>
      <c r="V981" s="68"/>
      <c r="X981" s="69"/>
      <c r="Y981" s="68"/>
      <c r="AA981" s="69"/>
      <c r="AB981" s="33">
        <f t="shared" si="31"/>
        <v>0</v>
      </c>
      <c r="AC981" s="45">
        <f>_xlfn.LET(_xlpm.ps_1,P981:R981, _xlpm.ps_2,S981:U981, _xlpm.ps_3,V981:X981, _xlpm.ps_4,Y981:AA981,
_xlpm.phase, MID(C981,SEARCH("-",C981)+1,256),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(_xlfn.XLOOKUP($C$7,site_assumptions[Details],site_assumptions[Volts])*SUMIFS(P981:AA981,_xlfn.ANCHORARRAY(D981),TRUE)/10*0.95)/1000,
IFERROR(IF(_xlpm.phase="3Phase", _xlpm.p3_calc, _xlpm.sp_calc),0))</f>
        <v>0</v>
      </c>
      <c r="AD981" s="29"/>
      <c r="AE981" s="30"/>
      <c r="AF981" s="30"/>
      <c r="AG981" s="30"/>
      <c r="AH981" s="31"/>
      <c r="AI981" s="49">
        <f t="shared" si="30"/>
        <v>0</v>
      </c>
      <c r="AJ981" s="71"/>
    </row>
    <row r="982" spans="2:36" x14ac:dyDescent="0.25">
      <c r="B982" s="29"/>
      <c r="C982" s="10" t="s">
        <v>2070</v>
      </c>
      <c r="D982" s="2" t="b" cm="1">
        <f t="array" ref="D982:O982">_xlfn._xlws.FILTER(IF(ancillary!$E$4:$P$8="",FALSE,ancillary!$E$4:$P$8),ancillary!$B$4:$B$8=$C982)</f>
        <v>1</v>
      </c>
      <c r="E982" s="2" t="b">
        <v>1</v>
      </c>
      <c r="F982" s="2" t="b">
        <v>1</v>
      </c>
      <c r="G982" s="2" t="b">
        <v>1</v>
      </c>
      <c r="H982" s="2" t="b">
        <v>1</v>
      </c>
      <c r="I982" s="2" t="b">
        <v>1</v>
      </c>
      <c r="J982" s="2" t="b">
        <v>0</v>
      </c>
      <c r="K982" s="2" t="b">
        <v>0</v>
      </c>
      <c r="L982" s="2" t="b">
        <v>0</v>
      </c>
      <c r="M982" s="2" t="b">
        <v>0</v>
      </c>
      <c r="N982" s="2" t="b">
        <v>0</v>
      </c>
      <c r="O982" s="2" t="b">
        <v>0</v>
      </c>
      <c r="P982" s="68"/>
      <c r="R982" s="69"/>
      <c r="S982" s="68"/>
      <c r="U982" s="69"/>
      <c r="V982" s="68"/>
      <c r="X982" s="69"/>
      <c r="Y982" s="68"/>
      <c r="AA982" s="69"/>
      <c r="AB982" s="33">
        <f t="shared" si="31"/>
        <v>0</v>
      </c>
      <c r="AC982" s="45">
        <f>_xlfn.LET(_xlpm.ps_1,P982:R982, _xlpm.ps_2,S982:U982, _xlpm.ps_3,V982:X982, _xlpm.ps_4,Y982:AA982,
_xlpm.phase, MID(C982,SEARCH("-",C982)+1,256),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(_xlfn.XLOOKUP($C$7,site_assumptions[Details],site_assumptions[Volts])*SUMIFS(P982:AA982,_xlfn.ANCHORARRAY(D982),TRUE)/10*0.95)/1000,
IFERROR(IF(_xlpm.phase="3Phase", _xlpm.p3_calc, _xlpm.sp_calc),0))</f>
        <v>0</v>
      </c>
      <c r="AD982" s="29"/>
      <c r="AE982" s="30"/>
      <c r="AF982" s="30"/>
      <c r="AG982" s="30"/>
      <c r="AH982" s="31"/>
      <c r="AI982" s="49">
        <f t="shared" si="30"/>
        <v>0</v>
      </c>
      <c r="AJ982" s="71"/>
    </row>
    <row r="983" spans="2:36" x14ac:dyDescent="0.25">
      <c r="B983" s="29"/>
      <c r="C983" s="10" t="s">
        <v>2070</v>
      </c>
      <c r="D983" s="2" t="b" cm="1">
        <f t="array" ref="D983:O983">_xlfn._xlws.FILTER(IF(ancillary!$E$4:$P$8="",FALSE,ancillary!$E$4:$P$8),ancillary!$B$4:$B$8=$C983)</f>
        <v>1</v>
      </c>
      <c r="E983" s="2" t="b">
        <v>1</v>
      </c>
      <c r="F983" s="2" t="b">
        <v>1</v>
      </c>
      <c r="G983" s="2" t="b">
        <v>1</v>
      </c>
      <c r="H983" s="2" t="b">
        <v>1</v>
      </c>
      <c r="I983" s="2" t="b">
        <v>1</v>
      </c>
      <c r="J983" s="2" t="b">
        <v>0</v>
      </c>
      <c r="K983" s="2" t="b">
        <v>0</v>
      </c>
      <c r="L983" s="2" t="b">
        <v>0</v>
      </c>
      <c r="M983" s="2" t="b">
        <v>0</v>
      </c>
      <c r="N983" s="2" t="b">
        <v>0</v>
      </c>
      <c r="O983" s="2" t="b">
        <v>0</v>
      </c>
      <c r="P983" s="68"/>
      <c r="R983" s="69"/>
      <c r="S983" s="68"/>
      <c r="U983" s="69"/>
      <c r="V983" s="68"/>
      <c r="X983" s="69"/>
      <c r="Y983" s="68"/>
      <c r="AA983" s="69"/>
      <c r="AB983" s="33">
        <f t="shared" si="31"/>
        <v>0</v>
      </c>
      <c r="AC983" s="45">
        <f>_xlfn.LET(_xlpm.ps_1,P983:R983, _xlpm.ps_2,S983:U983, _xlpm.ps_3,V983:X983, _xlpm.ps_4,Y983:AA983,
_xlpm.phase, MID(C983,SEARCH("-",C983)+1,256),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(_xlfn.XLOOKUP($C$7,site_assumptions[Details],site_assumptions[Volts])*SUMIFS(P983:AA983,_xlfn.ANCHORARRAY(D983),TRUE)/10*0.95)/1000,
IFERROR(IF(_xlpm.phase="3Phase", _xlpm.p3_calc, _xlpm.sp_calc),0))</f>
        <v>0</v>
      </c>
      <c r="AD983" s="29"/>
      <c r="AE983" s="30"/>
      <c r="AF983" s="30"/>
      <c r="AG983" s="30"/>
      <c r="AH983" s="31"/>
      <c r="AI983" s="49">
        <f t="shared" si="30"/>
        <v>0</v>
      </c>
      <c r="AJ983" s="71"/>
    </row>
    <row r="984" spans="2:36" x14ac:dyDescent="0.25">
      <c r="B984" s="29"/>
      <c r="C984" s="10" t="s">
        <v>2070</v>
      </c>
      <c r="D984" s="2" t="b" cm="1">
        <f t="array" ref="D984:O984">_xlfn._xlws.FILTER(IF(ancillary!$E$4:$P$8="",FALSE,ancillary!$E$4:$P$8),ancillary!$B$4:$B$8=$C984)</f>
        <v>1</v>
      </c>
      <c r="E984" s="2" t="b">
        <v>1</v>
      </c>
      <c r="F984" s="2" t="b">
        <v>1</v>
      </c>
      <c r="G984" s="2" t="b">
        <v>1</v>
      </c>
      <c r="H984" s="2" t="b">
        <v>1</v>
      </c>
      <c r="I984" s="2" t="b">
        <v>1</v>
      </c>
      <c r="J984" s="2" t="b">
        <v>0</v>
      </c>
      <c r="K984" s="2" t="b">
        <v>0</v>
      </c>
      <c r="L984" s="2" t="b">
        <v>0</v>
      </c>
      <c r="M984" s="2" t="b">
        <v>0</v>
      </c>
      <c r="N984" s="2" t="b">
        <v>0</v>
      </c>
      <c r="O984" s="2" t="b">
        <v>0</v>
      </c>
      <c r="P984" s="68"/>
      <c r="R984" s="69"/>
      <c r="S984" s="68"/>
      <c r="U984" s="69"/>
      <c r="V984" s="68"/>
      <c r="X984" s="69"/>
      <c r="Y984" s="68"/>
      <c r="AA984" s="69"/>
      <c r="AB984" s="33">
        <f t="shared" si="31"/>
        <v>0</v>
      </c>
      <c r="AC984" s="45">
        <f>_xlfn.LET(_xlpm.ps_1,P984:R984, _xlpm.ps_2,S984:U984, _xlpm.ps_3,V984:X984, _xlpm.ps_4,Y984:AA984,
_xlpm.phase, MID(C984,SEARCH("-",C984)+1,256),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(_xlfn.XLOOKUP($C$7,site_assumptions[Details],site_assumptions[Volts])*SUMIFS(P984:AA984,_xlfn.ANCHORARRAY(D984),TRUE)/10*0.95)/1000,
IFERROR(IF(_xlpm.phase="3Phase", _xlpm.p3_calc, _xlpm.sp_calc),0))</f>
        <v>0</v>
      </c>
      <c r="AD984" s="29"/>
      <c r="AE984" s="30"/>
      <c r="AF984" s="30"/>
      <c r="AG984" s="30"/>
      <c r="AH984" s="31"/>
      <c r="AI984" s="49">
        <f t="shared" si="30"/>
        <v>0</v>
      </c>
      <c r="AJ984" s="71"/>
    </row>
    <row r="985" spans="2:36" x14ac:dyDescent="0.25">
      <c r="B985" s="29"/>
      <c r="C985" s="10" t="s">
        <v>2070</v>
      </c>
      <c r="D985" s="2" t="b" cm="1">
        <f t="array" ref="D985:O985">_xlfn._xlws.FILTER(IF(ancillary!$E$4:$P$8="",FALSE,ancillary!$E$4:$P$8),ancillary!$B$4:$B$8=$C985)</f>
        <v>1</v>
      </c>
      <c r="E985" s="2" t="b">
        <v>1</v>
      </c>
      <c r="F985" s="2" t="b">
        <v>1</v>
      </c>
      <c r="G985" s="2" t="b">
        <v>1</v>
      </c>
      <c r="H985" s="2" t="b">
        <v>1</v>
      </c>
      <c r="I985" s="2" t="b">
        <v>1</v>
      </c>
      <c r="J985" s="2" t="b">
        <v>0</v>
      </c>
      <c r="K985" s="2" t="b">
        <v>0</v>
      </c>
      <c r="L985" s="2" t="b">
        <v>0</v>
      </c>
      <c r="M985" s="2" t="b">
        <v>0</v>
      </c>
      <c r="N985" s="2" t="b">
        <v>0</v>
      </c>
      <c r="O985" s="2" t="b">
        <v>0</v>
      </c>
      <c r="P985" s="68"/>
      <c r="R985" s="69"/>
      <c r="S985" s="68"/>
      <c r="U985" s="69"/>
      <c r="V985" s="68"/>
      <c r="X985" s="69"/>
      <c r="Y985" s="68"/>
      <c r="AA985" s="69"/>
      <c r="AB985" s="33">
        <f t="shared" si="31"/>
        <v>0</v>
      </c>
      <c r="AC985" s="45">
        <f>_xlfn.LET(_xlpm.ps_1,P985:R985, _xlpm.ps_2,S985:U985, _xlpm.ps_3,V985:X985, _xlpm.ps_4,Y985:AA985,
_xlpm.phase, MID(C985,SEARCH("-",C985)+1,256),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(_xlfn.XLOOKUP($C$7,site_assumptions[Details],site_assumptions[Volts])*SUMIFS(P985:AA985,_xlfn.ANCHORARRAY(D985),TRUE)/10*0.95)/1000,
IFERROR(IF(_xlpm.phase="3Phase", _xlpm.p3_calc, _xlpm.sp_calc),0))</f>
        <v>0</v>
      </c>
      <c r="AD985" s="29"/>
      <c r="AE985" s="30"/>
      <c r="AF985" s="30"/>
      <c r="AG985" s="30"/>
      <c r="AH985" s="31"/>
      <c r="AI985" s="49">
        <f t="shared" si="30"/>
        <v>0</v>
      </c>
      <c r="AJ985" s="71"/>
    </row>
    <row r="986" spans="2:36" x14ac:dyDescent="0.25">
      <c r="B986" s="29"/>
      <c r="C986" s="10" t="s">
        <v>2070</v>
      </c>
      <c r="D986" s="2" t="b" cm="1">
        <f t="array" ref="D986:O986">_xlfn._xlws.FILTER(IF(ancillary!$E$4:$P$8="",FALSE,ancillary!$E$4:$P$8),ancillary!$B$4:$B$8=$C986)</f>
        <v>1</v>
      </c>
      <c r="E986" s="2" t="b">
        <v>1</v>
      </c>
      <c r="F986" s="2" t="b">
        <v>1</v>
      </c>
      <c r="G986" s="2" t="b">
        <v>1</v>
      </c>
      <c r="H986" s="2" t="b">
        <v>1</v>
      </c>
      <c r="I986" s="2" t="b">
        <v>1</v>
      </c>
      <c r="J986" s="2" t="b">
        <v>0</v>
      </c>
      <c r="K986" s="2" t="b">
        <v>0</v>
      </c>
      <c r="L986" s="2" t="b">
        <v>0</v>
      </c>
      <c r="M986" s="2" t="b">
        <v>0</v>
      </c>
      <c r="N986" s="2" t="b">
        <v>0</v>
      </c>
      <c r="O986" s="2" t="b">
        <v>0</v>
      </c>
      <c r="P986" s="68"/>
      <c r="R986" s="69"/>
      <c r="S986" s="68"/>
      <c r="U986" s="69"/>
      <c r="V986" s="68"/>
      <c r="X986" s="69"/>
      <c r="Y986" s="68"/>
      <c r="AA986" s="69"/>
      <c r="AB986" s="33">
        <f t="shared" si="31"/>
        <v>0</v>
      </c>
      <c r="AC986" s="45">
        <f>_xlfn.LET(_xlpm.ps_1,P986:R986, _xlpm.ps_2,S986:U986, _xlpm.ps_3,V986:X986, _xlpm.ps_4,Y986:AA986,
_xlpm.phase, MID(C986,SEARCH("-",C986)+1,256),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(_xlfn.XLOOKUP($C$7,site_assumptions[Details],site_assumptions[Volts])*SUMIFS(P986:AA986,_xlfn.ANCHORARRAY(D986),TRUE)/10*0.95)/1000,
IFERROR(IF(_xlpm.phase="3Phase", _xlpm.p3_calc, _xlpm.sp_calc),0))</f>
        <v>0</v>
      </c>
      <c r="AD986" s="29"/>
      <c r="AE986" s="30"/>
      <c r="AF986" s="30"/>
      <c r="AG986" s="30"/>
      <c r="AH986" s="31"/>
      <c r="AI986" s="49">
        <f t="shared" si="30"/>
        <v>0</v>
      </c>
      <c r="AJ986" s="71"/>
    </row>
    <row r="987" spans="2:36" x14ac:dyDescent="0.25">
      <c r="B987" s="29"/>
      <c r="C987" s="10" t="s">
        <v>2070</v>
      </c>
      <c r="D987" s="2" t="b" cm="1">
        <f t="array" ref="D987:O987">_xlfn._xlws.FILTER(IF(ancillary!$E$4:$P$8="",FALSE,ancillary!$E$4:$P$8),ancillary!$B$4:$B$8=$C987)</f>
        <v>1</v>
      </c>
      <c r="E987" s="2" t="b">
        <v>1</v>
      </c>
      <c r="F987" s="2" t="b">
        <v>1</v>
      </c>
      <c r="G987" s="2" t="b">
        <v>1</v>
      </c>
      <c r="H987" s="2" t="b">
        <v>1</v>
      </c>
      <c r="I987" s="2" t="b">
        <v>1</v>
      </c>
      <c r="J987" s="2" t="b">
        <v>0</v>
      </c>
      <c r="K987" s="2" t="b">
        <v>0</v>
      </c>
      <c r="L987" s="2" t="b">
        <v>0</v>
      </c>
      <c r="M987" s="2" t="b">
        <v>0</v>
      </c>
      <c r="N987" s="2" t="b">
        <v>0</v>
      </c>
      <c r="O987" s="2" t="b">
        <v>0</v>
      </c>
      <c r="P987" s="68"/>
      <c r="R987" s="69"/>
      <c r="S987" s="68"/>
      <c r="U987" s="69"/>
      <c r="V987" s="68"/>
      <c r="X987" s="69"/>
      <c r="Y987" s="68"/>
      <c r="AA987" s="69"/>
      <c r="AB987" s="33">
        <f t="shared" si="31"/>
        <v>0</v>
      </c>
      <c r="AC987" s="45">
        <f>_xlfn.LET(_xlpm.ps_1,P987:R987, _xlpm.ps_2,S987:U987, _xlpm.ps_3,V987:X987, _xlpm.ps_4,Y987:AA987,
_xlpm.phase, MID(C987,SEARCH("-",C987)+1,256),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(_xlfn.XLOOKUP($C$7,site_assumptions[Details],site_assumptions[Volts])*SUMIFS(P987:AA987,_xlfn.ANCHORARRAY(D987),TRUE)/10*0.95)/1000,
IFERROR(IF(_xlpm.phase="3Phase", _xlpm.p3_calc, _xlpm.sp_calc),0))</f>
        <v>0</v>
      </c>
      <c r="AD987" s="29"/>
      <c r="AE987" s="30"/>
      <c r="AF987" s="30"/>
      <c r="AG987" s="30"/>
      <c r="AH987" s="31"/>
      <c r="AI987" s="49">
        <f t="shared" si="30"/>
        <v>0</v>
      </c>
      <c r="AJ987" s="71"/>
    </row>
    <row r="988" spans="2:36" x14ac:dyDescent="0.25">
      <c r="B988" s="29"/>
      <c r="C988" s="10" t="s">
        <v>2070</v>
      </c>
      <c r="D988" s="2" t="b" cm="1">
        <f t="array" ref="D988:O988">_xlfn._xlws.FILTER(IF(ancillary!$E$4:$P$8="",FALSE,ancillary!$E$4:$P$8),ancillary!$B$4:$B$8=$C988)</f>
        <v>1</v>
      </c>
      <c r="E988" s="2" t="b">
        <v>1</v>
      </c>
      <c r="F988" s="2" t="b">
        <v>1</v>
      </c>
      <c r="G988" s="2" t="b">
        <v>1</v>
      </c>
      <c r="H988" s="2" t="b">
        <v>1</v>
      </c>
      <c r="I988" s="2" t="b">
        <v>1</v>
      </c>
      <c r="J988" s="2" t="b">
        <v>0</v>
      </c>
      <c r="K988" s="2" t="b">
        <v>0</v>
      </c>
      <c r="L988" s="2" t="b">
        <v>0</v>
      </c>
      <c r="M988" s="2" t="b">
        <v>0</v>
      </c>
      <c r="N988" s="2" t="b">
        <v>0</v>
      </c>
      <c r="O988" s="2" t="b">
        <v>0</v>
      </c>
      <c r="P988" s="68"/>
      <c r="R988" s="69"/>
      <c r="S988" s="68"/>
      <c r="U988" s="69"/>
      <c r="V988" s="68"/>
      <c r="X988" s="69"/>
      <c r="Y988" s="68"/>
      <c r="AA988" s="69"/>
      <c r="AB988" s="33">
        <f t="shared" si="31"/>
        <v>0</v>
      </c>
      <c r="AC988" s="45">
        <f>_xlfn.LET(_xlpm.ps_1,P988:R988, _xlpm.ps_2,S988:U988, _xlpm.ps_3,V988:X988, _xlpm.ps_4,Y988:AA988,
_xlpm.phase, MID(C988,SEARCH("-",C988)+1,256),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(_xlfn.XLOOKUP($C$7,site_assumptions[Details],site_assumptions[Volts])*SUMIFS(P988:AA988,_xlfn.ANCHORARRAY(D988),TRUE)/10*0.95)/1000,
IFERROR(IF(_xlpm.phase="3Phase", _xlpm.p3_calc, _xlpm.sp_calc),0))</f>
        <v>0</v>
      </c>
      <c r="AD988" s="29"/>
      <c r="AE988" s="30"/>
      <c r="AF988" s="30"/>
      <c r="AG988" s="30"/>
      <c r="AH988" s="31"/>
      <c r="AI988" s="49">
        <f t="shared" si="30"/>
        <v>0</v>
      </c>
      <c r="AJ988" s="71"/>
    </row>
    <row r="989" spans="2:36" x14ac:dyDescent="0.25">
      <c r="B989" s="29"/>
      <c r="C989" s="10" t="s">
        <v>2070</v>
      </c>
      <c r="D989" s="2" t="b" cm="1">
        <f t="array" ref="D989:O989">_xlfn._xlws.FILTER(IF(ancillary!$E$4:$P$8="",FALSE,ancillary!$E$4:$P$8),ancillary!$B$4:$B$8=$C989)</f>
        <v>1</v>
      </c>
      <c r="E989" s="2" t="b">
        <v>1</v>
      </c>
      <c r="F989" s="2" t="b">
        <v>1</v>
      </c>
      <c r="G989" s="2" t="b">
        <v>1</v>
      </c>
      <c r="H989" s="2" t="b">
        <v>1</v>
      </c>
      <c r="I989" s="2" t="b">
        <v>1</v>
      </c>
      <c r="J989" s="2" t="b">
        <v>0</v>
      </c>
      <c r="K989" s="2" t="b">
        <v>0</v>
      </c>
      <c r="L989" s="2" t="b">
        <v>0</v>
      </c>
      <c r="M989" s="2" t="b">
        <v>0</v>
      </c>
      <c r="N989" s="2" t="b">
        <v>0</v>
      </c>
      <c r="O989" s="2" t="b">
        <v>0</v>
      </c>
      <c r="P989" s="68"/>
      <c r="R989" s="69"/>
      <c r="S989" s="68"/>
      <c r="U989" s="69"/>
      <c r="V989" s="68"/>
      <c r="X989" s="69"/>
      <c r="Y989" s="68"/>
      <c r="AA989" s="69"/>
      <c r="AB989" s="33">
        <f t="shared" si="31"/>
        <v>0</v>
      </c>
      <c r="AC989" s="45">
        <f>_xlfn.LET(_xlpm.ps_1,P989:R989, _xlpm.ps_2,S989:U989, _xlpm.ps_3,V989:X989, _xlpm.ps_4,Y989:AA989,
_xlpm.phase, MID(C989,SEARCH("-",C989)+1,256),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(_xlfn.XLOOKUP($C$7,site_assumptions[Details],site_assumptions[Volts])*SUMIFS(P989:AA989,_xlfn.ANCHORARRAY(D989),TRUE)/10*0.95)/1000,
IFERROR(IF(_xlpm.phase="3Phase", _xlpm.p3_calc, _xlpm.sp_calc),0))</f>
        <v>0</v>
      </c>
      <c r="AD989" s="29"/>
      <c r="AE989" s="30"/>
      <c r="AF989" s="30"/>
      <c r="AG989" s="30"/>
      <c r="AH989" s="31"/>
      <c r="AI989" s="49">
        <f t="shared" si="30"/>
        <v>0</v>
      </c>
      <c r="AJ989" s="71"/>
    </row>
    <row r="990" spans="2:36" x14ac:dyDescent="0.25">
      <c r="B990" s="29"/>
      <c r="C990" s="10" t="s">
        <v>2070</v>
      </c>
      <c r="D990" s="2" t="b" cm="1">
        <f t="array" ref="D990:O990">_xlfn._xlws.FILTER(IF(ancillary!$E$4:$P$8="",FALSE,ancillary!$E$4:$P$8),ancillary!$B$4:$B$8=$C990)</f>
        <v>1</v>
      </c>
      <c r="E990" s="2" t="b">
        <v>1</v>
      </c>
      <c r="F990" s="2" t="b">
        <v>1</v>
      </c>
      <c r="G990" s="2" t="b">
        <v>1</v>
      </c>
      <c r="H990" s="2" t="b">
        <v>1</v>
      </c>
      <c r="I990" s="2" t="b">
        <v>1</v>
      </c>
      <c r="J990" s="2" t="b">
        <v>0</v>
      </c>
      <c r="K990" s="2" t="b">
        <v>0</v>
      </c>
      <c r="L990" s="2" t="b">
        <v>0</v>
      </c>
      <c r="M990" s="2" t="b">
        <v>0</v>
      </c>
      <c r="N990" s="2" t="b">
        <v>0</v>
      </c>
      <c r="O990" s="2" t="b">
        <v>0</v>
      </c>
      <c r="P990" s="68"/>
      <c r="R990" s="69"/>
      <c r="S990" s="68"/>
      <c r="U990" s="69"/>
      <c r="V990" s="68"/>
      <c r="X990" s="69"/>
      <c r="Y990" s="68"/>
      <c r="AA990" s="69"/>
      <c r="AB990" s="33">
        <f t="shared" si="31"/>
        <v>0</v>
      </c>
      <c r="AC990" s="45">
        <f>_xlfn.LET(_xlpm.ps_1,P990:R990, _xlpm.ps_2,S990:U990, _xlpm.ps_3,V990:X990, _xlpm.ps_4,Y990:AA990,
_xlpm.phase, MID(C990,SEARCH("-",C990)+1,256),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(_xlfn.XLOOKUP($C$7,site_assumptions[Details],site_assumptions[Volts])*SUMIFS(P990:AA990,_xlfn.ANCHORARRAY(D990),TRUE)/10*0.95)/1000,
IFERROR(IF(_xlpm.phase="3Phase", _xlpm.p3_calc, _xlpm.sp_calc),0))</f>
        <v>0</v>
      </c>
      <c r="AD990" s="29"/>
      <c r="AE990" s="30"/>
      <c r="AF990" s="30"/>
      <c r="AG990" s="30"/>
      <c r="AH990" s="31"/>
      <c r="AI990" s="49">
        <f t="shared" si="30"/>
        <v>0</v>
      </c>
      <c r="AJ990" s="71"/>
    </row>
    <row r="991" spans="2:36" x14ac:dyDescent="0.25">
      <c r="B991" s="29"/>
      <c r="C991" s="10" t="s">
        <v>2070</v>
      </c>
      <c r="D991" s="2" t="b" cm="1">
        <f t="array" ref="D991:O991">_xlfn._xlws.FILTER(IF(ancillary!$E$4:$P$8="",FALSE,ancillary!$E$4:$P$8),ancillary!$B$4:$B$8=$C991)</f>
        <v>1</v>
      </c>
      <c r="E991" s="2" t="b">
        <v>1</v>
      </c>
      <c r="F991" s="2" t="b">
        <v>1</v>
      </c>
      <c r="G991" s="2" t="b">
        <v>1</v>
      </c>
      <c r="H991" s="2" t="b">
        <v>1</v>
      </c>
      <c r="I991" s="2" t="b">
        <v>1</v>
      </c>
      <c r="J991" s="2" t="b">
        <v>0</v>
      </c>
      <c r="K991" s="2" t="b">
        <v>0</v>
      </c>
      <c r="L991" s="2" t="b">
        <v>0</v>
      </c>
      <c r="M991" s="2" t="b">
        <v>0</v>
      </c>
      <c r="N991" s="2" t="b">
        <v>0</v>
      </c>
      <c r="O991" s="2" t="b">
        <v>0</v>
      </c>
      <c r="P991" s="68"/>
      <c r="R991" s="69"/>
      <c r="S991" s="68"/>
      <c r="U991" s="69"/>
      <c r="V991" s="68"/>
      <c r="X991" s="69"/>
      <c r="Y991" s="68"/>
      <c r="AA991" s="69"/>
      <c r="AB991" s="33">
        <f t="shared" si="31"/>
        <v>0</v>
      </c>
      <c r="AC991" s="45">
        <f>_xlfn.LET(_xlpm.ps_1,P991:R991, _xlpm.ps_2,S991:U991, _xlpm.ps_3,V991:X991, _xlpm.ps_4,Y991:AA991,
_xlpm.phase, MID(C991,SEARCH("-",C991)+1,256),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(_xlfn.XLOOKUP($C$7,site_assumptions[Details],site_assumptions[Volts])*SUMIFS(P991:AA991,_xlfn.ANCHORARRAY(D991),TRUE)/10*0.95)/1000,
IFERROR(IF(_xlpm.phase="3Phase", _xlpm.p3_calc, _xlpm.sp_calc),0))</f>
        <v>0</v>
      </c>
      <c r="AD991" s="29"/>
      <c r="AE991" s="30"/>
      <c r="AF991" s="30"/>
      <c r="AG991" s="30"/>
      <c r="AH991" s="31"/>
      <c r="AI991" s="49">
        <f t="shared" si="30"/>
        <v>0</v>
      </c>
      <c r="AJ991" s="71"/>
    </row>
    <row r="992" spans="2:36" x14ac:dyDescent="0.25">
      <c r="B992" s="29"/>
      <c r="C992" s="10" t="s">
        <v>2070</v>
      </c>
      <c r="D992" s="2" t="b" cm="1">
        <f t="array" ref="D992:O992">_xlfn._xlws.FILTER(IF(ancillary!$E$4:$P$8="",FALSE,ancillary!$E$4:$P$8),ancillary!$B$4:$B$8=$C992)</f>
        <v>1</v>
      </c>
      <c r="E992" s="2" t="b">
        <v>1</v>
      </c>
      <c r="F992" s="2" t="b">
        <v>1</v>
      </c>
      <c r="G992" s="2" t="b">
        <v>1</v>
      </c>
      <c r="H992" s="2" t="b">
        <v>1</v>
      </c>
      <c r="I992" s="2" t="b">
        <v>1</v>
      </c>
      <c r="J992" s="2" t="b">
        <v>0</v>
      </c>
      <c r="K992" s="2" t="b">
        <v>0</v>
      </c>
      <c r="L992" s="2" t="b">
        <v>0</v>
      </c>
      <c r="M992" s="2" t="b">
        <v>0</v>
      </c>
      <c r="N992" s="2" t="b">
        <v>0</v>
      </c>
      <c r="O992" s="2" t="b">
        <v>0</v>
      </c>
      <c r="P992" s="68"/>
      <c r="R992" s="69"/>
      <c r="S992" s="68"/>
      <c r="U992" s="69"/>
      <c r="V992" s="68"/>
      <c r="X992" s="69"/>
      <c r="Y992" s="68"/>
      <c r="AA992" s="69"/>
      <c r="AB992" s="33">
        <f t="shared" si="31"/>
        <v>0</v>
      </c>
      <c r="AC992" s="45">
        <f>_xlfn.LET(_xlpm.ps_1,P992:R992, _xlpm.ps_2,S992:U992, _xlpm.ps_3,V992:X992, _xlpm.ps_4,Y992:AA992,
_xlpm.phase, MID(C992,SEARCH("-",C992)+1,256),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(_xlfn.XLOOKUP($C$7,site_assumptions[Details],site_assumptions[Volts])*SUMIFS(P992:AA992,_xlfn.ANCHORARRAY(D992),TRUE)/10*0.95)/1000,
IFERROR(IF(_xlpm.phase="3Phase", _xlpm.p3_calc, _xlpm.sp_calc),0))</f>
        <v>0</v>
      </c>
      <c r="AD992" s="29"/>
      <c r="AE992" s="30"/>
      <c r="AF992" s="30"/>
      <c r="AG992" s="30"/>
      <c r="AH992" s="31"/>
      <c r="AI992" s="49">
        <f t="shared" si="30"/>
        <v>0</v>
      </c>
      <c r="AJ992" s="71"/>
    </row>
    <row r="993" spans="2:36" x14ac:dyDescent="0.25">
      <c r="B993" s="29"/>
      <c r="C993" s="10" t="s">
        <v>2070</v>
      </c>
      <c r="D993" s="2" t="b" cm="1">
        <f t="array" ref="D993:O993">_xlfn._xlws.FILTER(IF(ancillary!$E$4:$P$8="",FALSE,ancillary!$E$4:$P$8),ancillary!$B$4:$B$8=$C993)</f>
        <v>1</v>
      </c>
      <c r="E993" s="2" t="b">
        <v>1</v>
      </c>
      <c r="F993" s="2" t="b">
        <v>1</v>
      </c>
      <c r="G993" s="2" t="b">
        <v>1</v>
      </c>
      <c r="H993" s="2" t="b">
        <v>1</v>
      </c>
      <c r="I993" s="2" t="b">
        <v>1</v>
      </c>
      <c r="J993" s="2" t="b">
        <v>0</v>
      </c>
      <c r="K993" s="2" t="b">
        <v>0</v>
      </c>
      <c r="L993" s="2" t="b">
        <v>0</v>
      </c>
      <c r="M993" s="2" t="b">
        <v>0</v>
      </c>
      <c r="N993" s="2" t="b">
        <v>0</v>
      </c>
      <c r="O993" s="2" t="b">
        <v>0</v>
      </c>
      <c r="P993" s="68"/>
      <c r="R993" s="69"/>
      <c r="S993" s="68"/>
      <c r="U993" s="69"/>
      <c r="V993" s="68"/>
      <c r="X993" s="69"/>
      <c r="Y993" s="68"/>
      <c r="AA993" s="69"/>
      <c r="AB993" s="33">
        <f t="shared" si="31"/>
        <v>0</v>
      </c>
      <c r="AC993" s="45">
        <f>_xlfn.LET(_xlpm.ps_1,P993:R993, _xlpm.ps_2,S993:U993, _xlpm.ps_3,V993:X993, _xlpm.ps_4,Y993:AA993,
_xlpm.phase, MID(C993,SEARCH("-",C993)+1,256),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(_xlfn.XLOOKUP($C$7,site_assumptions[Details],site_assumptions[Volts])*SUMIFS(P993:AA993,_xlfn.ANCHORARRAY(D993),TRUE)/10*0.95)/1000,
IFERROR(IF(_xlpm.phase="3Phase", _xlpm.p3_calc, _xlpm.sp_calc),0))</f>
        <v>0</v>
      </c>
      <c r="AD993" s="29"/>
      <c r="AE993" s="30"/>
      <c r="AF993" s="30"/>
      <c r="AG993" s="30"/>
      <c r="AH993" s="31"/>
      <c r="AI993" s="49">
        <f t="shared" si="30"/>
        <v>0</v>
      </c>
      <c r="AJ993" s="71"/>
    </row>
    <row r="994" spans="2:36" x14ac:dyDescent="0.25">
      <c r="B994" s="29"/>
      <c r="C994" s="10" t="s">
        <v>2070</v>
      </c>
      <c r="D994" s="2" t="b" cm="1">
        <f t="array" ref="D994:O994">_xlfn._xlws.FILTER(IF(ancillary!$E$4:$P$8="",FALSE,ancillary!$E$4:$P$8),ancillary!$B$4:$B$8=$C994)</f>
        <v>1</v>
      </c>
      <c r="E994" s="2" t="b">
        <v>1</v>
      </c>
      <c r="F994" s="2" t="b">
        <v>1</v>
      </c>
      <c r="G994" s="2" t="b">
        <v>1</v>
      </c>
      <c r="H994" s="2" t="b">
        <v>1</v>
      </c>
      <c r="I994" s="2" t="b">
        <v>1</v>
      </c>
      <c r="J994" s="2" t="b">
        <v>0</v>
      </c>
      <c r="K994" s="2" t="b">
        <v>0</v>
      </c>
      <c r="L994" s="2" t="b">
        <v>0</v>
      </c>
      <c r="M994" s="2" t="b">
        <v>0</v>
      </c>
      <c r="N994" s="2" t="b">
        <v>0</v>
      </c>
      <c r="O994" s="2" t="b">
        <v>0</v>
      </c>
      <c r="P994" s="68"/>
      <c r="R994" s="69"/>
      <c r="S994" s="68"/>
      <c r="U994" s="69"/>
      <c r="V994" s="68"/>
      <c r="X994" s="69"/>
      <c r="Y994" s="68"/>
      <c r="AA994" s="69"/>
      <c r="AB994" s="33">
        <f t="shared" si="31"/>
        <v>0</v>
      </c>
      <c r="AC994" s="45">
        <f>_xlfn.LET(_xlpm.ps_1,P994:R994, _xlpm.ps_2,S994:U994, _xlpm.ps_3,V994:X994, _xlpm.ps_4,Y994:AA994,
_xlpm.phase, MID(C994,SEARCH("-",C994)+1,256),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(_xlfn.XLOOKUP($C$7,site_assumptions[Details],site_assumptions[Volts])*SUMIFS(P994:AA994,_xlfn.ANCHORARRAY(D994),TRUE)/10*0.95)/1000,
IFERROR(IF(_xlpm.phase="3Phase", _xlpm.p3_calc, _xlpm.sp_calc),0))</f>
        <v>0</v>
      </c>
      <c r="AD994" s="29"/>
      <c r="AE994" s="30"/>
      <c r="AF994" s="30"/>
      <c r="AG994" s="30"/>
      <c r="AH994" s="31"/>
      <c r="AI994" s="49">
        <f t="shared" si="30"/>
        <v>0</v>
      </c>
      <c r="AJ994" s="71"/>
    </row>
    <row r="995" spans="2:36" x14ac:dyDescent="0.25">
      <c r="B995" s="29"/>
      <c r="C995" s="10" t="s">
        <v>2070</v>
      </c>
      <c r="D995" s="2" t="b" cm="1">
        <f t="array" ref="D995:O995">_xlfn._xlws.FILTER(IF(ancillary!$E$4:$P$8="",FALSE,ancillary!$E$4:$P$8),ancillary!$B$4:$B$8=$C995)</f>
        <v>1</v>
      </c>
      <c r="E995" s="2" t="b">
        <v>1</v>
      </c>
      <c r="F995" s="2" t="b">
        <v>1</v>
      </c>
      <c r="G995" s="2" t="b">
        <v>1</v>
      </c>
      <c r="H995" s="2" t="b">
        <v>1</v>
      </c>
      <c r="I995" s="2" t="b">
        <v>1</v>
      </c>
      <c r="J995" s="2" t="b">
        <v>0</v>
      </c>
      <c r="K995" s="2" t="b">
        <v>0</v>
      </c>
      <c r="L995" s="2" t="b">
        <v>0</v>
      </c>
      <c r="M995" s="2" t="b">
        <v>0</v>
      </c>
      <c r="N995" s="2" t="b">
        <v>0</v>
      </c>
      <c r="O995" s="2" t="b">
        <v>0</v>
      </c>
      <c r="P995" s="68"/>
      <c r="R995" s="69"/>
      <c r="S995" s="68"/>
      <c r="U995" s="69"/>
      <c r="V995" s="68"/>
      <c r="X995" s="69"/>
      <c r="Y995" s="68"/>
      <c r="AA995" s="69"/>
      <c r="AB995" s="33">
        <f t="shared" si="31"/>
        <v>0</v>
      </c>
      <c r="AC995" s="45">
        <f>_xlfn.LET(_xlpm.ps_1,P995:R995, _xlpm.ps_2,S995:U995, _xlpm.ps_3,V995:X995, _xlpm.ps_4,Y995:AA995,
_xlpm.phase, MID(C995,SEARCH("-",C995)+1,256),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(_xlfn.XLOOKUP($C$7,site_assumptions[Details],site_assumptions[Volts])*SUMIFS(P995:AA995,_xlfn.ANCHORARRAY(D995),TRUE)/10*0.95)/1000,
IFERROR(IF(_xlpm.phase="3Phase", _xlpm.p3_calc, _xlpm.sp_calc),0))</f>
        <v>0</v>
      </c>
      <c r="AD995" s="29"/>
      <c r="AE995" s="30"/>
      <c r="AF995" s="30"/>
      <c r="AG995" s="30"/>
      <c r="AH995" s="31"/>
      <c r="AI995" s="49">
        <f t="shared" si="30"/>
        <v>0</v>
      </c>
      <c r="AJ995" s="71"/>
    </row>
    <row r="996" spans="2:36" x14ac:dyDescent="0.25">
      <c r="B996" s="29"/>
      <c r="C996" s="10" t="s">
        <v>2070</v>
      </c>
      <c r="D996" s="2" t="b" cm="1">
        <f t="array" ref="D996:O996">_xlfn._xlws.FILTER(IF(ancillary!$E$4:$P$8="",FALSE,ancillary!$E$4:$P$8),ancillary!$B$4:$B$8=$C996)</f>
        <v>1</v>
      </c>
      <c r="E996" s="2" t="b">
        <v>1</v>
      </c>
      <c r="F996" s="2" t="b">
        <v>1</v>
      </c>
      <c r="G996" s="2" t="b">
        <v>1</v>
      </c>
      <c r="H996" s="2" t="b">
        <v>1</v>
      </c>
      <c r="I996" s="2" t="b">
        <v>1</v>
      </c>
      <c r="J996" s="2" t="b">
        <v>0</v>
      </c>
      <c r="K996" s="2" t="b">
        <v>0</v>
      </c>
      <c r="L996" s="2" t="b">
        <v>0</v>
      </c>
      <c r="M996" s="2" t="b">
        <v>0</v>
      </c>
      <c r="N996" s="2" t="b">
        <v>0</v>
      </c>
      <c r="O996" s="2" t="b">
        <v>0</v>
      </c>
      <c r="P996" s="68"/>
      <c r="R996" s="69"/>
      <c r="S996" s="68"/>
      <c r="U996" s="69"/>
      <c r="V996" s="68"/>
      <c r="X996" s="69"/>
      <c r="Y996" s="68"/>
      <c r="AA996" s="69"/>
      <c r="AB996" s="33">
        <f t="shared" si="31"/>
        <v>0</v>
      </c>
      <c r="AC996" s="45">
        <f>_xlfn.LET(_xlpm.ps_1,P996:R996, _xlpm.ps_2,S996:U996, _xlpm.ps_3,V996:X996, _xlpm.ps_4,Y996:AA996,
_xlpm.phase, MID(C996,SEARCH("-",C996)+1,256),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(_xlfn.XLOOKUP($C$7,site_assumptions[Details],site_assumptions[Volts])*SUMIFS(P996:AA996,_xlfn.ANCHORARRAY(D996),TRUE)/10*0.95)/1000,
IFERROR(IF(_xlpm.phase="3Phase", _xlpm.p3_calc, _xlpm.sp_calc),0))</f>
        <v>0</v>
      </c>
      <c r="AD996" s="29"/>
      <c r="AE996" s="30"/>
      <c r="AF996" s="30"/>
      <c r="AG996" s="30"/>
      <c r="AH996" s="31"/>
      <c r="AI996" s="49">
        <f t="shared" si="30"/>
        <v>0</v>
      </c>
      <c r="AJ996" s="71"/>
    </row>
    <row r="997" spans="2:36" x14ac:dyDescent="0.25">
      <c r="B997" s="29"/>
      <c r="C997" s="10" t="s">
        <v>2070</v>
      </c>
      <c r="D997" s="2" t="b" cm="1">
        <f t="array" ref="D997:O997">_xlfn._xlws.FILTER(IF(ancillary!$E$4:$P$8="",FALSE,ancillary!$E$4:$P$8),ancillary!$B$4:$B$8=$C997)</f>
        <v>1</v>
      </c>
      <c r="E997" s="2" t="b">
        <v>1</v>
      </c>
      <c r="F997" s="2" t="b">
        <v>1</v>
      </c>
      <c r="G997" s="2" t="b">
        <v>1</v>
      </c>
      <c r="H997" s="2" t="b">
        <v>1</v>
      </c>
      <c r="I997" s="2" t="b">
        <v>1</v>
      </c>
      <c r="J997" s="2" t="b">
        <v>0</v>
      </c>
      <c r="K997" s="2" t="b">
        <v>0</v>
      </c>
      <c r="L997" s="2" t="b">
        <v>0</v>
      </c>
      <c r="M997" s="2" t="b">
        <v>0</v>
      </c>
      <c r="N997" s="2" t="b">
        <v>0</v>
      </c>
      <c r="O997" s="2" t="b">
        <v>0</v>
      </c>
      <c r="P997" s="68"/>
      <c r="R997" s="69"/>
      <c r="S997" s="68"/>
      <c r="U997" s="69"/>
      <c r="V997" s="68"/>
      <c r="X997" s="69"/>
      <c r="Y997" s="68"/>
      <c r="AA997" s="69"/>
      <c r="AB997" s="33">
        <f t="shared" si="31"/>
        <v>0</v>
      </c>
      <c r="AC997" s="45">
        <f>_xlfn.LET(_xlpm.ps_1,P997:R997, _xlpm.ps_2,S997:U997, _xlpm.ps_3,V997:X997, _xlpm.ps_4,Y997:AA997,
_xlpm.phase, MID(C997,SEARCH("-",C997)+1,256),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(_xlfn.XLOOKUP($C$7,site_assumptions[Details],site_assumptions[Volts])*SUMIFS(P997:AA997,_xlfn.ANCHORARRAY(D997),TRUE)/10*0.95)/1000,
IFERROR(IF(_xlpm.phase="3Phase", _xlpm.p3_calc, _xlpm.sp_calc),0))</f>
        <v>0</v>
      </c>
      <c r="AD997" s="29"/>
      <c r="AE997" s="30"/>
      <c r="AF997" s="30"/>
      <c r="AG997" s="30"/>
      <c r="AH997" s="31"/>
      <c r="AI997" s="49">
        <f t="shared" si="30"/>
        <v>0</v>
      </c>
      <c r="AJ997" s="71"/>
    </row>
    <row r="998" spans="2:36" x14ac:dyDescent="0.25">
      <c r="B998" s="29"/>
      <c r="C998" s="10" t="s">
        <v>2070</v>
      </c>
      <c r="D998" s="2" t="b" cm="1">
        <f t="array" ref="D998:O998">_xlfn._xlws.FILTER(IF(ancillary!$E$4:$P$8="",FALSE,ancillary!$E$4:$P$8),ancillary!$B$4:$B$8=$C998)</f>
        <v>1</v>
      </c>
      <c r="E998" s="2" t="b">
        <v>1</v>
      </c>
      <c r="F998" s="2" t="b">
        <v>1</v>
      </c>
      <c r="G998" s="2" t="b">
        <v>1</v>
      </c>
      <c r="H998" s="2" t="b">
        <v>1</v>
      </c>
      <c r="I998" s="2" t="b">
        <v>1</v>
      </c>
      <c r="J998" s="2" t="b">
        <v>0</v>
      </c>
      <c r="K998" s="2" t="b">
        <v>0</v>
      </c>
      <c r="L998" s="2" t="b">
        <v>0</v>
      </c>
      <c r="M998" s="2" t="b">
        <v>0</v>
      </c>
      <c r="N998" s="2" t="b">
        <v>0</v>
      </c>
      <c r="O998" s="2" t="b">
        <v>0</v>
      </c>
      <c r="P998" s="68"/>
      <c r="R998" s="69"/>
      <c r="S998" s="68"/>
      <c r="U998" s="69"/>
      <c r="V998" s="68"/>
      <c r="X998" s="69"/>
      <c r="Y998" s="68"/>
      <c r="AA998" s="69"/>
      <c r="AB998" s="33">
        <f t="shared" si="31"/>
        <v>0</v>
      </c>
      <c r="AC998" s="45">
        <f>_xlfn.LET(_xlpm.ps_1,P998:R998, _xlpm.ps_2,S998:U998, _xlpm.ps_3,V998:X998, _xlpm.ps_4,Y998:AA998,
_xlpm.phase, MID(C998,SEARCH("-",C998)+1,256),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(_xlfn.XLOOKUP($C$7,site_assumptions[Details],site_assumptions[Volts])*SUMIFS(P998:AA998,_xlfn.ANCHORARRAY(D998),TRUE)/10*0.95)/1000,
IFERROR(IF(_xlpm.phase="3Phase", _xlpm.p3_calc, _xlpm.sp_calc),0))</f>
        <v>0</v>
      </c>
      <c r="AD998" s="29"/>
      <c r="AE998" s="30"/>
      <c r="AF998" s="30"/>
      <c r="AG998" s="30"/>
      <c r="AH998" s="31"/>
      <c r="AI998" s="49">
        <f t="shared" si="30"/>
        <v>0</v>
      </c>
      <c r="AJ998" s="71"/>
    </row>
    <row r="999" spans="2:36" x14ac:dyDescent="0.25">
      <c r="B999" s="29"/>
      <c r="C999" s="10" t="s">
        <v>2070</v>
      </c>
      <c r="D999" s="2" t="b" cm="1">
        <f t="array" ref="D999:O999">_xlfn._xlws.FILTER(IF(ancillary!$E$4:$P$8="",FALSE,ancillary!$E$4:$P$8),ancillary!$B$4:$B$8=$C999)</f>
        <v>1</v>
      </c>
      <c r="E999" s="2" t="b">
        <v>1</v>
      </c>
      <c r="F999" s="2" t="b">
        <v>1</v>
      </c>
      <c r="G999" s="2" t="b">
        <v>1</v>
      </c>
      <c r="H999" s="2" t="b">
        <v>1</v>
      </c>
      <c r="I999" s="2" t="b">
        <v>1</v>
      </c>
      <c r="J999" s="2" t="b">
        <v>0</v>
      </c>
      <c r="K999" s="2" t="b">
        <v>0</v>
      </c>
      <c r="L999" s="2" t="b">
        <v>0</v>
      </c>
      <c r="M999" s="2" t="b">
        <v>0</v>
      </c>
      <c r="N999" s="2" t="b">
        <v>0</v>
      </c>
      <c r="O999" s="2" t="b">
        <v>0</v>
      </c>
      <c r="P999" s="68"/>
      <c r="R999" s="69"/>
      <c r="S999" s="68"/>
      <c r="U999" s="69"/>
      <c r="V999" s="68"/>
      <c r="X999" s="69"/>
      <c r="Y999" s="68"/>
      <c r="AA999" s="69"/>
      <c r="AB999" s="33">
        <f t="shared" si="31"/>
        <v>0</v>
      </c>
      <c r="AC999" s="45">
        <f>_xlfn.LET(_xlpm.ps_1,P999:R999, _xlpm.ps_2,S999:U999, _xlpm.ps_3,V999:X999, _xlpm.ps_4,Y999:AA999,
_xlpm.phase, MID(C999,SEARCH("-",C999)+1,256),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(_xlfn.XLOOKUP($C$7,site_assumptions[Details],site_assumptions[Volts])*SUMIFS(P999:AA999,_xlfn.ANCHORARRAY(D999),TRUE)/10*0.95)/1000,
IFERROR(IF(_xlpm.phase="3Phase", _xlpm.p3_calc, _xlpm.sp_calc),0))</f>
        <v>0</v>
      </c>
      <c r="AD999" s="29"/>
      <c r="AE999" s="30"/>
      <c r="AF999" s="30"/>
      <c r="AG999" s="30"/>
      <c r="AH999" s="31"/>
      <c r="AI999" s="49">
        <f t="shared" si="30"/>
        <v>0</v>
      </c>
      <c r="AJ999" s="71"/>
    </row>
    <row r="1000" spans="2:36" x14ac:dyDescent="0.25">
      <c r="B1000" s="29"/>
      <c r="C1000" s="10" t="s">
        <v>2070</v>
      </c>
      <c r="D1000" s="2" t="b" cm="1">
        <f t="array" ref="D1000:O1000">_xlfn._xlws.FILTER(IF(ancillary!$E$4:$P$8="",FALSE,ancillary!$E$4:$P$8),ancillary!$B$4:$B$8=$C1000)</f>
        <v>1</v>
      </c>
      <c r="E1000" s="2" t="b">
        <v>1</v>
      </c>
      <c r="F1000" s="2" t="b">
        <v>1</v>
      </c>
      <c r="G1000" s="2" t="b">
        <v>1</v>
      </c>
      <c r="H1000" s="2" t="b">
        <v>1</v>
      </c>
      <c r="I1000" s="2" t="b">
        <v>1</v>
      </c>
      <c r="J1000" s="2" t="b">
        <v>0</v>
      </c>
      <c r="K1000" s="2" t="b">
        <v>0</v>
      </c>
      <c r="L1000" s="2" t="b">
        <v>0</v>
      </c>
      <c r="M1000" s="2" t="b">
        <v>0</v>
      </c>
      <c r="N1000" s="2" t="b">
        <v>0</v>
      </c>
      <c r="O1000" s="2" t="b">
        <v>0</v>
      </c>
      <c r="P1000" s="68"/>
      <c r="R1000" s="69"/>
      <c r="S1000" s="68"/>
      <c r="U1000" s="69"/>
      <c r="V1000" s="68"/>
      <c r="X1000" s="69"/>
      <c r="Y1000" s="68"/>
      <c r="AA1000" s="69"/>
      <c r="AB1000" s="33">
        <f t="shared" si="31"/>
        <v>0</v>
      </c>
      <c r="AC1000" s="45">
        <f>_xlfn.LET(_xlpm.ps_1,P1000:R1000, _xlpm.ps_2,S1000:U1000, _xlpm.ps_3,V1000:X1000, _xlpm.ps_4,Y1000:AA1000,
_xlpm.phase, MID(C1000,SEARCH("-",C1000)+1,256),
_xlpm.p3_calc, ((_xlfn.XLOOKUP($C$7,site_assumptions[Details],site_assumptions[Volts])*IFERROR((AVERAGE(_xlpm.ps_1)/10),0)*1.732*0.95)
+ (_xlfn.XLOOKUP($C$7,site_assumptions[Details],site_assumptions[Volts])*IFERROR((AVERAGE(_xlpm.ps_2)/10),0)*1.732*0.95)
+ (_xlfn.XLOOKUP($C$7,site_assumptions[Details],site_assumptions[Volts])*IFERROR((AVERAGE(_xlpm.ps_3)/10),0)*1.732*0.95)
+ (_xlfn.XLOOKUP($C$7,site_assumptions[Details],site_assumptions[Volts])*IFERROR((AVERAGE(_xlpm.ps_4)/10),0)*1.732*0.95))/1000,
_xlpm.sp_calc, (_xlfn.XLOOKUP($C$7,site_assumptions[Details],site_assumptions[Volts])*SUMIFS(P1000:AA1000,_xlfn.ANCHORARRAY(D1000),TRUE)/10*0.95)/1000,
IFERROR(IF(_xlpm.phase="3Phase", _xlpm.p3_calc, _xlpm.sp_calc),0))</f>
        <v>0</v>
      </c>
      <c r="AD1000" s="29"/>
      <c r="AE1000" s="30"/>
      <c r="AF1000" s="30"/>
      <c r="AG1000" s="30"/>
      <c r="AH1000" s="31"/>
      <c r="AI1000" s="49">
        <f t="shared" si="30"/>
        <v>0</v>
      </c>
      <c r="AJ1000" s="71"/>
    </row>
  </sheetData>
  <sheetProtection selectLockedCells="1"/>
  <conditionalFormatting sqref="B13:AJ1000">
    <cfRule type="expression" dxfId="25" priority="1">
      <formula>$B13=""</formula>
    </cfRule>
  </conditionalFormatting>
  <conditionalFormatting sqref="P13:AA1000">
    <cfRule type="expression" dxfId="24" priority="3">
      <formula>D13=FALSE</formula>
    </cfRule>
  </conditionalFormatting>
  <conditionalFormatting sqref="Q12:R12 T12:U12 W12:X12 Z12:AA12">
    <cfRule type="expression" dxfId="23" priority="2" stopIfTrue="1">
      <formula>$C$14="Single"</formula>
    </cfRule>
  </conditionalFormatting>
  <dataValidations disablePrompts="1" count="1">
    <dataValidation type="whole" allowBlank="1" showInputMessage="1" showErrorMessage="1" sqref="P13:AA1000" xr:uid="{DEA0CE9F-745C-4A10-8110-FA8EC964724F}">
      <formula1>10</formula1>
      <formula2>999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AF1F6479-484D-4DD8-BD8C-791490EB8313}">
          <x14:formula1>
            <xm:f>ancillary!$B$4:$B$8</xm:f>
          </x14:formula1>
          <xm:sqref>C13:C1000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0E38B-5B09-464A-8FA4-5B048FC18032}">
  <sheetPr codeName="Sheet9">
    <tabColor theme="9" tint="0.59999389629810485"/>
  </sheetPr>
  <dimension ref="A1:BF1720"/>
  <sheetViews>
    <sheetView zoomScale="85" zoomScaleNormal="85" workbookViewId="0"/>
  </sheetViews>
  <sheetFormatPr defaultRowHeight="15" x14ac:dyDescent="0.25"/>
  <cols>
    <col min="1" max="1" width="15.7109375" bestFit="1" customWidth="1"/>
    <col min="2" max="2" width="13.7109375" bestFit="1" customWidth="1"/>
    <col min="3" max="3" width="14.5703125" bestFit="1" customWidth="1"/>
    <col min="4" max="6" width="9.140625" customWidth="1"/>
    <col min="7" max="7" width="10" bestFit="1" customWidth="1"/>
    <col min="8" max="8" width="11.42578125" bestFit="1" customWidth="1"/>
    <col min="9" max="9" width="12.42578125" bestFit="1" customWidth="1"/>
    <col min="10" max="10" width="15.5703125" bestFit="1" customWidth="1"/>
    <col min="11" max="11" width="11.7109375" bestFit="1" customWidth="1"/>
    <col min="12" max="12" width="12.140625" bestFit="1" customWidth="1"/>
    <col min="13" max="13" width="10.28515625" bestFit="1" customWidth="1"/>
    <col min="14" max="14" width="11.5703125" bestFit="1" customWidth="1"/>
    <col min="15" max="15" width="17.85546875" bestFit="1" customWidth="1"/>
    <col min="16" max="16" width="17.28515625" bestFit="1" customWidth="1"/>
    <col min="17" max="17" width="14.140625" bestFit="1" customWidth="1"/>
    <col min="18" max="18" width="14.85546875" bestFit="1" customWidth="1"/>
    <col min="19" max="19" width="81.140625" bestFit="1" customWidth="1"/>
    <col min="20" max="20" width="16" bestFit="1" customWidth="1"/>
    <col min="21" max="21" width="18" bestFit="1" customWidth="1"/>
    <col min="22" max="22" width="19.140625" bestFit="1" customWidth="1"/>
    <col min="23" max="23" width="20.140625" bestFit="1" customWidth="1"/>
    <col min="24" max="24" width="20.5703125" bestFit="1" customWidth="1"/>
    <col min="25" max="25" width="15.7109375" bestFit="1" customWidth="1"/>
    <col min="26" max="26" width="14.7109375" bestFit="1" customWidth="1"/>
    <col min="27" max="27" width="17" bestFit="1" customWidth="1"/>
    <col min="28" max="28" width="15.42578125" bestFit="1" customWidth="1"/>
    <col min="29" max="29" width="13.5703125" bestFit="1" customWidth="1"/>
    <col min="30" max="30" width="16.7109375" bestFit="1" customWidth="1"/>
    <col min="31" max="31" width="13.140625" bestFit="1" customWidth="1"/>
    <col min="32" max="32" width="12.5703125" bestFit="1" customWidth="1"/>
    <col min="33" max="33" width="17.5703125" bestFit="1" customWidth="1"/>
    <col min="34" max="34" width="14.140625" bestFit="1" customWidth="1"/>
    <col min="35" max="35" width="14.85546875" bestFit="1" customWidth="1"/>
    <col min="36" max="36" width="20.85546875" bestFit="1" customWidth="1"/>
    <col min="37" max="37" width="22" bestFit="1" customWidth="1"/>
    <col min="38" max="38" width="16.5703125" bestFit="1" customWidth="1"/>
    <col min="39" max="39" width="18" bestFit="1" customWidth="1"/>
    <col min="40" max="40" width="17.85546875" bestFit="1" customWidth="1"/>
    <col min="41" max="41" width="19" bestFit="1" customWidth="1"/>
    <col min="42" max="42" width="25.140625" bestFit="1" customWidth="1"/>
    <col min="43" max="43" width="13.28515625" bestFit="1" customWidth="1"/>
    <col min="44" max="44" width="12.140625" bestFit="1" customWidth="1"/>
    <col min="45" max="49" width="9.140625" customWidth="1"/>
    <col min="50" max="50" width="19.85546875" bestFit="1" customWidth="1"/>
    <col min="51" max="51" width="19.5703125" bestFit="1" customWidth="1"/>
    <col min="52" max="53" width="19.28515625" bestFit="1" customWidth="1"/>
    <col min="54" max="54" width="21.28515625" bestFit="1" customWidth="1"/>
    <col min="55" max="55" width="18.85546875" bestFit="1" customWidth="1"/>
    <col min="56" max="56" width="19.140625" bestFit="1" customWidth="1"/>
    <col min="57" max="57" width="32.5703125" bestFit="1" customWidth="1"/>
    <col min="58" max="58" width="9.140625" style="1"/>
  </cols>
  <sheetData>
    <row r="1" spans="1:58" x14ac:dyDescent="0.25">
      <c r="A1" t="s">
        <v>69</v>
      </c>
      <c r="B1" t="s">
        <v>4</v>
      </c>
      <c r="C1" t="s">
        <v>5</v>
      </c>
      <c r="D1" t="s">
        <v>70</v>
      </c>
      <c r="E1" t="s">
        <v>71</v>
      </c>
      <c r="F1" t="s">
        <v>72</v>
      </c>
      <c r="G1" t="s">
        <v>73</v>
      </c>
      <c r="H1" t="s">
        <v>74</v>
      </c>
      <c r="I1" t="s">
        <v>68</v>
      </c>
      <c r="J1" t="s">
        <v>75</v>
      </c>
      <c r="K1" t="s">
        <v>76</v>
      </c>
      <c r="L1" t="s">
        <v>77</v>
      </c>
      <c r="M1" t="s">
        <v>78</v>
      </c>
      <c r="N1" t="s">
        <v>79</v>
      </c>
      <c r="O1" t="s">
        <v>80</v>
      </c>
      <c r="P1" t="s">
        <v>81</v>
      </c>
      <c r="Q1" t="s">
        <v>82</v>
      </c>
      <c r="R1" t="s">
        <v>83</v>
      </c>
      <c r="S1" t="s">
        <v>84</v>
      </c>
      <c r="T1" t="s">
        <v>85</v>
      </c>
      <c r="U1" t="s">
        <v>86</v>
      </c>
      <c r="V1" t="s">
        <v>87</v>
      </c>
      <c r="W1" t="s">
        <v>88</v>
      </c>
      <c r="X1" t="s">
        <v>89</v>
      </c>
      <c r="Y1" t="s">
        <v>90</v>
      </c>
      <c r="Z1" t="s">
        <v>91</v>
      </c>
      <c r="AA1" t="s">
        <v>92</v>
      </c>
      <c r="AB1" t="s">
        <v>93</v>
      </c>
      <c r="AC1" t="s">
        <v>94</v>
      </c>
      <c r="AD1" t="s">
        <v>95</v>
      </c>
      <c r="AE1" t="s">
        <v>96</v>
      </c>
      <c r="AF1" t="s">
        <v>97</v>
      </c>
      <c r="AG1" t="s">
        <v>98</v>
      </c>
      <c r="AH1" t="s">
        <v>99</v>
      </c>
      <c r="AI1" t="s">
        <v>100</v>
      </c>
      <c r="AJ1" t="s">
        <v>101</v>
      </c>
      <c r="AK1" t="s">
        <v>102</v>
      </c>
      <c r="AL1" t="s">
        <v>103</v>
      </c>
      <c r="AM1" t="s">
        <v>104</v>
      </c>
      <c r="AN1" t="s">
        <v>105</v>
      </c>
      <c r="AO1" t="s">
        <v>106</v>
      </c>
      <c r="AP1" t="s">
        <v>107</v>
      </c>
      <c r="AQ1" t="s">
        <v>108</v>
      </c>
      <c r="AR1" t="s">
        <v>109</v>
      </c>
      <c r="AS1" t="s">
        <v>110</v>
      </c>
      <c r="AT1" t="s">
        <v>111</v>
      </c>
      <c r="AU1" t="s">
        <v>112</v>
      </c>
      <c r="AV1" t="s">
        <v>113</v>
      </c>
      <c r="AW1" t="s">
        <v>114</v>
      </c>
      <c r="AX1" t="s">
        <v>115</v>
      </c>
      <c r="AY1" t="s">
        <v>116</v>
      </c>
      <c r="AZ1" t="s">
        <v>117</v>
      </c>
      <c r="BA1" t="s">
        <v>118</v>
      </c>
      <c r="BB1" t="s">
        <v>119</v>
      </c>
      <c r="BC1" t="s">
        <v>120</v>
      </c>
      <c r="BD1" t="s">
        <v>121</v>
      </c>
      <c r="BE1" t="s">
        <v>122</v>
      </c>
      <c r="BF1" s="1" t="s">
        <v>2150</v>
      </c>
    </row>
    <row r="2" spans="1:58" x14ac:dyDescent="0.25">
      <c r="A2" t="s">
        <v>193</v>
      </c>
      <c r="B2" t="s">
        <v>19</v>
      </c>
      <c r="C2">
        <v>1</v>
      </c>
      <c r="D2">
        <v>1</v>
      </c>
      <c r="E2" t="s">
        <v>2108</v>
      </c>
      <c r="F2" t="s">
        <v>123</v>
      </c>
      <c r="G2" t="s">
        <v>124</v>
      </c>
      <c r="H2" t="s">
        <v>125</v>
      </c>
      <c r="I2" t="s">
        <v>140</v>
      </c>
      <c r="J2" t="s">
        <v>141</v>
      </c>
      <c r="K2" t="s">
        <v>127</v>
      </c>
      <c r="L2">
        <v>50</v>
      </c>
      <c r="M2">
        <v>937513</v>
      </c>
      <c r="N2">
        <v>10</v>
      </c>
      <c r="O2">
        <v>1</v>
      </c>
      <c r="P2" t="s">
        <v>128</v>
      </c>
      <c r="Q2" t="s">
        <v>129</v>
      </c>
      <c r="R2">
        <v>1</v>
      </c>
      <c r="T2">
        <v>36</v>
      </c>
      <c r="U2">
        <v>41</v>
      </c>
      <c r="V2">
        <v>3</v>
      </c>
      <c r="W2">
        <v>0</v>
      </c>
      <c r="X2">
        <v>3</v>
      </c>
      <c r="Y2">
        <v>3</v>
      </c>
      <c r="Z2">
        <v>42</v>
      </c>
      <c r="AA2">
        <v>47</v>
      </c>
      <c r="AB2">
        <v>50</v>
      </c>
      <c r="AC2">
        <v>41</v>
      </c>
      <c r="AD2">
        <v>3</v>
      </c>
      <c r="AE2">
        <v>3</v>
      </c>
      <c r="AF2">
        <v>47</v>
      </c>
      <c r="AG2">
        <v>0</v>
      </c>
      <c r="AH2">
        <v>9</v>
      </c>
      <c r="AI2">
        <v>3</v>
      </c>
      <c r="AJ2">
        <v>6</v>
      </c>
      <c r="AK2">
        <v>9</v>
      </c>
      <c r="AL2">
        <v>0</v>
      </c>
      <c r="AM2">
        <v>0.2</v>
      </c>
      <c r="AN2">
        <v>0.54545454545454541</v>
      </c>
      <c r="AO2">
        <v>0</v>
      </c>
      <c r="AP2" t="s">
        <v>142</v>
      </c>
      <c r="AQ2" t="s">
        <v>131</v>
      </c>
      <c r="AR2" t="s">
        <v>194</v>
      </c>
      <c r="AS2">
        <v>4138</v>
      </c>
      <c r="AT2">
        <v>4264</v>
      </c>
      <c r="AU2">
        <v>0</v>
      </c>
      <c r="AV2">
        <v>0</v>
      </c>
      <c r="AW2">
        <v>8.4019999999999992</v>
      </c>
      <c r="AX2">
        <v>0.20492682926829267</v>
      </c>
      <c r="AY2">
        <v>9.6315609756097551</v>
      </c>
      <c r="AZ2" t="s">
        <v>135</v>
      </c>
      <c r="BA2">
        <v>0.3684390243902449</v>
      </c>
      <c r="BB2">
        <v>1.7979052606522306</v>
      </c>
      <c r="BC2" t="s">
        <v>132</v>
      </c>
      <c r="BD2">
        <v>0</v>
      </c>
      <c r="BE2" t="s">
        <v>133</v>
      </c>
      <c r="BF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13.931053333333331</v>
      </c>
    </row>
    <row r="3" spans="1:58" x14ac:dyDescent="0.25">
      <c r="A3" t="s">
        <v>195</v>
      </c>
      <c r="B3" t="s">
        <v>19</v>
      </c>
      <c r="C3">
        <v>1</v>
      </c>
      <c r="D3">
        <v>2</v>
      </c>
      <c r="E3" t="s">
        <v>2108</v>
      </c>
      <c r="F3" t="s">
        <v>123</v>
      </c>
      <c r="G3" t="s">
        <v>124</v>
      </c>
      <c r="H3" t="s">
        <v>125</v>
      </c>
      <c r="I3" t="s">
        <v>140</v>
      </c>
      <c r="J3" t="s">
        <v>141</v>
      </c>
      <c r="K3" t="s">
        <v>127</v>
      </c>
      <c r="L3">
        <v>50</v>
      </c>
      <c r="M3">
        <v>937515</v>
      </c>
      <c r="N3">
        <v>10</v>
      </c>
      <c r="O3">
        <v>1</v>
      </c>
      <c r="P3" t="s">
        <v>128</v>
      </c>
      <c r="Q3" t="s">
        <v>129</v>
      </c>
      <c r="R3">
        <v>1</v>
      </c>
      <c r="T3">
        <v>32</v>
      </c>
      <c r="U3">
        <v>37</v>
      </c>
      <c r="V3">
        <v>7</v>
      </c>
      <c r="W3">
        <v>0</v>
      </c>
      <c r="X3">
        <v>7</v>
      </c>
      <c r="Y3">
        <v>4</v>
      </c>
      <c r="Z3">
        <v>43</v>
      </c>
      <c r="AA3">
        <v>48</v>
      </c>
      <c r="AB3">
        <v>50</v>
      </c>
      <c r="AC3">
        <v>37</v>
      </c>
      <c r="AD3">
        <v>7</v>
      </c>
      <c r="AE3">
        <v>4</v>
      </c>
      <c r="AF3">
        <v>48</v>
      </c>
      <c r="AG3">
        <v>0</v>
      </c>
      <c r="AH3">
        <v>13</v>
      </c>
      <c r="AI3">
        <v>2</v>
      </c>
      <c r="AJ3">
        <v>9</v>
      </c>
      <c r="AK3">
        <v>13</v>
      </c>
      <c r="AL3">
        <v>0</v>
      </c>
      <c r="AM3">
        <v>0.2</v>
      </c>
      <c r="AN3">
        <v>0.81818181818181823</v>
      </c>
      <c r="AO3">
        <v>0</v>
      </c>
      <c r="AP3" t="s">
        <v>142</v>
      </c>
      <c r="AQ3" t="s">
        <v>131</v>
      </c>
      <c r="AR3" t="s">
        <v>194</v>
      </c>
      <c r="AS3">
        <v>5296</v>
      </c>
      <c r="AT3">
        <v>3966</v>
      </c>
      <c r="AU3">
        <v>0</v>
      </c>
      <c r="AV3">
        <v>0</v>
      </c>
      <c r="AW3">
        <v>9.2620000000000005</v>
      </c>
      <c r="AX3">
        <v>0.25032432432432433</v>
      </c>
      <c r="AY3">
        <v>12.015567567567569</v>
      </c>
      <c r="AZ3" t="s">
        <v>135</v>
      </c>
      <c r="BA3">
        <v>-2.0155675675675688</v>
      </c>
      <c r="BB3">
        <v>-8.0518246599006744</v>
      </c>
      <c r="BC3" t="s">
        <v>133</v>
      </c>
      <c r="BD3">
        <v>0</v>
      </c>
      <c r="BE3" t="s">
        <v>133</v>
      </c>
      <c r="BF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9.2620000000000005</v>
      </c>
    </row>
    <row r="4" spans="1:58" x14ac:dyDescent="0.25">
      <c r="A4" t="s">
        <v>196</v>
      </c>
      <c r="B4" t="s">
        <v>19</v>
      </c>
      <c r="C4">
        <v>1</v>
      </c>
      <c r="D4">
        <v>3</v>
      </c>
      <c r="E4" t="s">
        <v>2108</v>
      </c>
      <c r="F4" t="s">
        <v>123</v>
      </c>
      <c r="G4" t="s">
        <v>124</v>
      </c>
      <c r="H4" t="s">
        <v>125</v>
      </c>
      <c r="I4" t="s">
        <v>140</v>
      </c>
      <c r="J4" t="s">
        <v>141</v>
      </c>
      <c r="K4" t="s">
        <v>127</v>
      </c>
      <c r="L4">
        <v>50</v>
      </c>
      <c r="M4">
        <v>937517</v>
      </c>
      <c r="N4">
        <v>10</v>
      </c>
      <c r="O4">
        <v>1</v>
      </c>
      <c r="P4" t="s">
        <v>128</v>
      </c>
      <c r="Q4" t="s">
        <v>129</v>
      </c>
      <c r="R4">
        <v>1</v>
      </c>
      <c r="T4">
        <v>32</v>
      </c>
      <c r="U4">
        <v>37</v>
      </c>
      <c r="V4">
        <v>4</v>
      </c>
      <c r="W4">
        <v>0</v>
      </c>
      <c r="X4">
        <v>4</v>
      </c>
      <c r="Y4">
        <v>6</v>
      </c>
      <c r="Z4">
        <v>42</v>
      </c>
      <c r="AA4">
        <v>47</v>
      </c>
      <c r="AB4">
        <v>50</v>
      </c>
      <c r="AC4">
        <v>37</v>
      </c>
      <c r="AD4">
        <v>4</v>
      </c>
      <c r="AE4">
        <v>6</v>
      </c>
      <c r="AF4">
        <v>47</v>
      </c>
      <c r="AG4">
        <v>0</v>
      </c>
      <c r="AH4">
        <v>13</v>
      </c>
      <c r="AI4">
        <v>3</v>
      </c>
      <c r="AJ4">
        <v>7</v>
      </c>
      <c r="AK4">
        <v>13</v>
      </c>
      <c r="AL4">
        <v>0</v>
      </c>
      <c r="AM4">
        <v>0.2</v>
      </c>
      <c r="AN4">
        <v>0.63636363636363635</v>
      </c>
      <c r="AO4">
        <v>0</v>
      </c>
      <c r="AP4" t="s">
        <v>142</v>
      </c>
      <c r="AQ4" t="s">
        <v>131</v>
      </c>
      <c r="AR4" t="s">
        <v>194</v>
      </c>
      <c r="AS4">
        <v>3598</v>
      </c>
      <c r="AT4">
        <v>4206</v>
      </c>
      <c r="AU4">
        <v>0</v>
      </c>
      <c r="AV4">
        <v>0</v>
      </c>
      <c r="AW4">
        <v>7.8040000000000003</v>
      </c>
      <c r="AX4">
        <v>0.21091891891891892</v>
      </c>
      <c r="AY4">
        <v>9.9131891891891897</v>
      </c>
      <c r="AZ4" t="s">
        <v>135</v>
      </c>
      <c r="BA4">
        <v>8.6810810810810324E-2</v>
      </c>
      <c r="BB4">
        <v>0.4115838031778552</v>
      </c>
      <c r="BC4" t="s">
        <v>133</v>
      </c>
      <c r="BD4">
        <v>0</v>
      </c>
      <c r="BE4" t="s">
        <v>133</v>
      </c>
      <c r="BF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7.8040000000000003</v>
      </c>
    </row>
    <row r="5" spans="1:58" x14ac:dyDescent="0.25">
      <c r="A5" t="s">
        <v>197</v>
      </c>
      <c r="B5" t="s">
        <v>19</v>
      </c>
      <c r="C5">
        <v>1</v>
      </c>
      <c r="D5">
        <v>4</v>
      </c>
      <c r="E5" t="s">
        <v>2108</v>
      </c>
      <c r="F5" t="s">
        <v>123</v>
      </c>
      <c r="G5" t="s">
        <v>124</v>
      </c>
      <c r="H5" t="s">
        <v>125</v>
      </c>
      <c r="I5" t="s">
        <v>140</v>
      </c>
      <c r="J5" t="s">
        <v>141</v>
      </c>
      <c r="K5" t="s">
        <v>127</v>
      </c>
      <c r="L5">
        <v>50</v>
      </c>
      <c r="M5">
        <v>937519</v>
      </c>
      <c r="N5">
        <v>10</v>
      </c>
      <c r="O5">
        <v>1</v>
      </c>
      <c r="P5" t="s">
        <v>128</v>
      </c>
      <c r="Q5" t="s">
        <v>129</v>
      </c>
      <c r="R5">
        <v>1</v>
      </c>
      <c r="T5">
        <v>31</v>
      </c>
      <c r="U5">
        <v>36</v>
      </c>
      <c r="V5">
        <v>7</v>
      </c>
      <c r="W5">
        <v>0</v>
      </c>
      <c r="X5">
        <v>7</v>
      </c>
      <c r="Y5">
        <v>5</v>
      </c>
      <c r="Z5">
        <v>43</v>
      </c>
      <c r="AA5">
        <v>48</v>
      </c>
      <c r="AB5">
        <v>50</v>
      </c>
      <c r="AC5">
        <v>36</v>
      </c>
      <c r="AD5">
        <v>7</v>
      </c>
      <c r="AE5">
        <v>5</v>
      </c>
      <c r="AF5">
        <v>48</v>
      </c>
      <c r="AG5">
        <v>0</v>
      </c>
      <c r="AH5">
        <v>14</v>
      </c>
      <c r="AI5">
        <v>2</v>
      </c>
      <c r="AJ5">
        <v>9</v>
      </c>
      <c r="AK5">
        <v>14</v>
      </c>
      <c r="AL5">
        <v>0</v>
      </c>
      <c r="AM5">
        <v>0.2</v>
      </c>
      <c r="AN5">
        <v>0.81818181818181823</v>
      </c>
      <c r="AO5">
        <v>0</v>
      </c>
      <c r="AP5" t="s">
        <v>142</v>
      </c>
      <c r="AQ5" t="s">
        <v>131</v>
      </c>
      <c r="AR5" t="s">
        <v>194</v>
      </c>
      <c r="AS5">
        <v>3961</v>
      </c>
      <c r="AT5">
        <v>4287</v>
      </c>
      <c r="AU5">
        <v>0</v>
      </c>
      <c r="AV5">
        <v>0</v>
      </c>
      <c r="AW5">
        <v>8.2479999999999993</v>
      </c>
      <c r="AX5">
        <v>0.2291111111111111</v>
      </c>
      <c r="AY5">
        <v>10.997333333333334</v>
      </c>
      <c r="AZ5" t="s">
        <v>135</v>
      </c>
      <c r="BA5">
        <v>-0.99733333333333363</v>
      </c>
      <c r="BB5">
        <v>-4.3530552861299725</v>
      </c>
      <c r="BC5" t="s">
        <v>133</v>
      </c>
      <c r="BD5">
        <v>0</v>
      </c>
      <c r="BE5" t="s">
        <v>133</v>
      </c>
      <c r="BF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8.74</v>
      </c>
    </row>
    <row r="6" spans="1:58" x14ac:dyDescent="0.25">
      <c r="A6" t="s">
        <v>198</v>
      </c>
      <c r="B6" t="s">
        <v>19</v>
      </c>
      <c r="C6">
        <v>1</v>
      </c>
      <c r="D6">
        <v>5</v>
      </c>
      <c r="E6" t="s">
        <v>2108</v>
      </c>
      <c r="F6" t="s">
        <v>123</v>
      </c>
      <c r="G6" t="s">
        <v>124</v>
      </c>
      <c r="H6" t="s">
        <v>125</v>
      </c>
      <c r="I6" t="s">
        <v>140</v>
      </c>
      <c r="J6" t="s">
        <v>141</v>
      </c>
      <c r="K6" t="s">
        <v>127</v>
      </c>
      <c r="L6">
        <v>50</v>
      </c>
      <c r="M6">
        <v>937521</v>
      </c>
      <c r="N6">
        <v>10</v>
      </c>
      <c r="O6">
        <v>1</v>
      </c>
      <c r="P6" t="s">
        <v>128</v>
      </c>
      <c r="Q6" t="s">
        <v>129</v>
      </c>
      <c r="R6">
        <v>1</v>
      </c>
      <c r="T6">
        <v>23</v>
      </c>
      <c r="U6">
        <v>28</v>
      </c>
      <c r="V6">
        <v>13</v>
      </c>
      <c r="W6">
        <v>0</v>
      </c>
      <c r="X6">
        <v>13</v>
      </c>
      <c r="Y6">
        <v>6</v>
      </c>
      <c r="Z6">
        <v>42</v>
      </c>
      <c r="AA6">
        <v>47</v>
      </c>
      <c r="AB6">
        <v>50</v>
      </c>
      <c r="AC6">
        <v>28</v>
      </c>
      <c r="AD6">
        <v>13</v>
      </c>
      <c r="AE6">
        <v>6</v>
      </c>
      <c r="AF6">
        <v>47</v>
      </c>
      <c r="AG6">
        <v>0</v>
      </c>
      <c r="AH6">
        <v>22</v>
      </c>
      <c r="AI6">
        <v>3</v>
      </c>
      <c r="AJ6">
        <v>16</v>
      </c>
      <c r="AK6">
        <v>22</v>
      </c>
      <c r="AL6">
        <v>0</v>
      </c>
      <c r="AM6">
        <v>0.2</v>
      </c>
      <c r="AN6">
        <v>1.4545454545454546</v>
      </c>
      <c r="AO6">
        <v>0</v>
      </c>
      <c r="AP6" t="s">
        <v>142</v>
      </c>
      <c r="AQ6" t="s">
        <v>131</v>
      </c>
      <c r="AR6" t="s">
        <v>194</v>
      </c>
      <c r="AS6">
        <v>3833</v>
      </c>
      <c r="AT6">
        <v>4322</v>
      </c>
      <c r="AU6">
        <v>0</v>
      </c>
      <c r="AV6">
        <v>0</v>
      </c>
      <c r="AW6">
        <v>8.1549999999999994</v>
      </c>
      <c r="AX6">
        <v>0.29124999999999995</v>
      </c>
      <c r="AY6">
        <v>13.688749999999997</v>
      </c>
      <c r="AZ6" t="s">
        <v>135</v>
      </c>
      <c r="BA6">
        <v>-3.6887499999999971</v>
      </c>
      <c r="BB6">
        <v>-12.665236051502138</v>
      </c>
      <c r="BC6" t="s">
        <v>133</v>
      </c>
      <c r="BD6">
        <v>0</v>
      </c>
      <c r="BE6" t="s">
        <v>133</v>
      </c>
      <c r="BF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8.1549999999999994</v>
      </c>
    </row>
    <row r="7" spans="1:58" x14ac:dyDescent="0.25">
      <c r="A7" t="s">
        <v>199</v>
      </c>
      <c r="B7" t="s">
        <v>19</v>
      </c>
      <c r="C7">
        <v>1</v>
      </c>
      <c r="D7">
        <v>6</v>
      </c>
      <c r="E7" t="s">
        <v>2108</v>
      </c>
      <c r="F7" t="s">
        <v>123</v>
      </c>
      <c r="G7" t="s">
        <v>124</v>
      </c>
      <c r="H7" t="s">
        <v>136</v>
      </c>
      <c r="I7" t="s">
        <v>137</v>
      </c>
      <c r="J7" t="s">
        <v>138</v>
      </c>
      <c r="K7" t="s">
        <v>127</v>
      </c>
      <c r="L7">
        <v>50</v>
      </c>
      <c r="M7">
        <v>937523</v>
      </c>
      <c r="N7">
        <v>5</v>
      </c>
      <c r="O7">
        <v>1</v>
      </c>
      <c r="P7" t="s">
        <v>128</v>
      </c>
      <c r="Q7" t="s">
        <v>129</v>
      </c>
      <c r="R7">
        <v>1</v>
      </c>
      <c r="T7">
        <v>0</v>
      </c>
      <c r="U7">
        <v>4</v>
      </c>
      <c r="V7">
        <v>0</v>
      </c>
      <c r="W7">
        <v>0</v>
      </c>
      <c r="X7">
        <v>0</v>
      </c>
      <c r="Y7">
        <v>0</v>
      </c>
      <c r="Z7">
        <v>0</v>
      </c>
      <c r="AA7">
        <v>4</v>
      </c>
      <c r="AB7">
        <v>50</v>
      </c>
      <c r="AC7">
        <v>4</v>
      </c>
      <c r="AD7">
        <v>0</v>
      </c>
      <c r="AE7">
        <v>0</v>
      </c>
      <c r="AF7">
        <v>4</v>
      </c>
      <c r="AG7">
        <v>0</v>
      </c>
      <c r="AH7">
        <v>46</v>
      </c>
      <c r="AI7">
        <v>46</v>
      </c>
      <c r="AJ7">
        <v>46</v>
      </c>
      <c r="AK7">
        <v>46</v>
      </c>
      <c r="AL7">
        <v>0</v>
      </c>
      <c r="AM7">
        <v>0.1</v>
      </c>
      <c r="AN7">
        <v>4.1818181818181817</v>
      </c>
      <c r="AO7">
        <v>0</v>
      </c>
      <c r="AP7" t="s">
        <v>139</v>
      </c>
      <c r="AQ7" t="s">
        <v>131</v>
      </c>
      <c r="AR7" t="s">
        <v>194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 t="s">
        <v>134</v>
      </c>
      <c r="BA7">
        <v>5</v>
      </c>
      <c r="BB7">
        <v>0</v>
      </c>
      <c r="BC7" t="s">
        <v>133</v>
      </c>
      <c r="BD7">
        <v>0</v>
      </c>
      <c r="BE7" t="s">
        <v>133</v>
      </c>
      <c r="BF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8.4359999999999999</v>
      </c>
    </row>
    <row r="8" spans="1:58" x14ac:dyDescent="0.25">
      <c r="A8" t="s">
        <v>200</v>
      </c>
      <c r="B8" t="s">
        <v>19</v>
      </c>
      <c r="C8">
        <v>1</v>
      </c>
      <c r="D8">
        <v>7</v>
      </c>
      <c r="E8" t="s">
        <v>2108</v>
      </c>
      <c r="F8" t="s">
        <v>123</v>
      </c>
      <c r="G8" t="s">
        <v>124</v>
      </c>
      <c r="H8" t="s">
        <v>125</v>
      </c>
      <c r="I8" t="s">
        <v>140</v>
      </c>
      <c r="J8" t="s">
        <v>141</v>
      </c>
      <c r="K8" t="s">
        <v>127</v>
      </c>
      <c r="L8">
        <v>50</v>
      </c>
      <c r="M8">
        <v>937525</v>
      </c>
      <c r="N8">
        <v>10</v>
      </c>
      <c r="O8">
        <v>1</v>
      </c>
      <c r="P8" t="s">
        <v>128</v>
      </c>
      <c r="Q8" t="s">
        <v>129</v>
      </c>
      <c r="R8">
        <v>1</v>
      </c>
      <c r="T8">
        <v>29</v>
      </c>
      <c r="U8">
        <v>34</v>
      </c>
      <c r="V8">
        <v>7</v>
      </c>
      <c r="W8">
        <v>0</v>
      </c>
      <c r="X8">
        <v>7</v>
      </c>
      <c r="Y8">
        <v>7</v>
      </c>
      <c r="Z8">
        <v>43</v>
      </c>
      <c r="AA8">
        <v>48</v>
      </c>
      <c r="AB8">
        <v>50</v>
      </c>
      <c r="AC8">
        <v>34</v>
      </c>
      <c r="AD8">
        <v>7</v>
      </c>
      <c r="AE8">
        <v>7</v>
      </c>
      <c r="AF8">
        <v>48</v>
      </c>
      <c r="AG8">
        <v>0</v>
      </c>
      <c r="AH8">
        <v>16</v>
      </c>
      <c r="AI8">
        <v>2</v>
      </c>
      <c r="AJ8">
        <v>9</v>
      </c>
      <c r="AK8">
        <v>16</v>
      </c>
      <c r="AL8">
        <v>0</v>
      </c>
      <c r="AM8">
        <v>0.2</v>
      </c>
      <c r="AN8">
        <v>0.81818181818181823</v>
      </c>
      <c r="AO8">
        <v>0</v>
      </c>
      <c r="AP8" t="s">
        <v>142</v>
      </c>
      <c r="AQ8" t="s">
        <v>131</v>
      </c>
      <c r="AR8" t="s">
        <v>194</v>
      </c>
      <c r="AS8">
        <v>3644</v>
      </c>
      <c r="AT8">
        <v>3919</v>
      </c>
      <c r="AU8">
        <v>0</v>
      </c>
      <c r="AV8">
        <v>0</v>
      </c>
      <c r="AW8">
        <v>7.5629999999999997</v>
      </c>
      <c r="AX8">
        <v>0.22244117647058823</v>
      </c>
      <c r="AY8">
        <v>10.677176470588234</v>
      </c>
      <c r="AZ8" t="s">
        <v>135</v>
      </c>
      <c r="BA8">
        <v>-0.67717647058823438</v>
      </c>
      <c r="BB8">
        <v>-3.0442945920930806</v>
      </c>
      <c r="BC8" t="s">
        <v>133</v>
      </c>
      <c r="BD8">
        <v>0</v>
      </c>
      <c r="BE8" t="s">
        <v>133</v>
      </c>
      <c r="BF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7.5629999999999997</v>
      </c>
    </row>
    <row r="9" spans="1:58" x14ac:dyDescent="0.25">
      <c r="A9" t="s">
        <v>201</v>
      </c>
      <c r="B9" t="s">
        <v>19</v>
      </c>
      <c r="C9">
        <v>1</v>
      </c>
      <c r="D9">
        <v>8</v>
      </c>
      <c r="E9" t="s">
        <v>2108</v>
      </c>
      <c r="F9" t="s">
        <v>123</v>
      </c>
      <c r="G9" t="s">
        <v>124</v>
      </c>
      <c r="H9" t="s">
        <v>125</v>
      </c>
      <c r="I9" t="s">
        <v>140</v>
      </c>
      <c r="J9" t="s">
        <v>141</v>
      </c>
      <c r="K9" t="s">
        <v>127</v>
      </c>
      <c r="L9">
        <v>50</v>
      </c>
      <c r="M9">
        <v>937527</v>
      </c>
      <c r="N9">
        <v>10</v>
      </c>
      <c r="O9">
        <v>1</v>
      </c>
      <c r="P9" t="s">
        <v>128</v>
      </c>
      <c r="Q9" t="s">
        <v>129</v>
      </c>
      <c r="R9">
        <v>1</v>
      </c>
      <c r="T9">
        <v>24</v>
      </c>
      <c r="U9">
        <v>29</v>
      </c>
      <c r="V9">
        <v>13</v>
      </c>
      <c r="W9">
        <v>0</v>
      </c>
      <c r="X9">
        <v>13</v>
      </c>
      <c r="Y9">
        <v>5</v>
      </c>
      <c r="Z9">
        <v>42</v>
      </c>
      <c r="AA9">
        <v>47</v>
      </c>
      <c r="AB9">
        <v>50</v>
      </c>
      <c r="AC9">
        <v>29</v>
      </c>
      <c r="AD9">
        <v>13</v>
      </c>
      <c r="AE9">
        <v>5</v>
      </c>
      <c r="AF9">
        <v>47</v>
      </c>
      <c r="AG9">
        <v>0</v>
      </c>
      <c r="AH9">
        <v>21</v>
      </c>
      <c r="AI9">
        <v>3</v>
      </c>
      <c r="AJ9">
        <v>16</v>
      </c>
      <c r="AK9">
        <v>21</v>
      </c>
      <c r="AL9">
        <v>0</v>
      </c>
      <c r="AM9">
        <v>0.2</v>
      </c>
      <c r="AN9">
        <v>1.4545454545454546</v>
      </c>
      <c r="AO9">
        <v>0</v>
      </c>
      <c r="AP9" t="s">
        <v>142</v>
      </c>
      <c r="AQ9" t="s">
        <v>131</v>
      </c>
      <c r="AR9" t="s">
        <v>194</v>
      </c>
      <c r="AS9">
        <v>4112</v>
      </c>
      <c r="AT9">
        <v>4571</v>
      </c>
      <c r="AU9">
        <v>0</v>
      </c>
      <c r="AV9">
        <v>0</v>
      </c>
      <c r="AW9">
        <v>8.6829999999999998</v>
      </c>
      <c r="AX9">
        <v>0.29941379310344829</v>
      </c>
      <c r="AY9">
        <v>14.072448275862069</v>
      </c>
      <c r="AZ9" t="s">
        <v>135</v>
      </c>
      <c r="BA9">
        <v>-4.0724482758620688</v>
      </c>
      <c r="BB9">
        <v>-13.601405044339513</v>
      </c>
      <c r="BC9" t="s">
        <v>133</v>
      </c>
      <c r="BD9">
        <v>0</v>
      </c>
      <c r="BE9" t="s">
        <v>133</v>
      </c>
      <c r="BF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8.6829999999999998</v>
      </c>
    </row>
    <row r="10" spans="1:58" x14ac:dyDescent="0.25">
      <c r="A10" t="s">
        <v>202</v>
      </c>
      <c r="B10" t="s">
        <v>19</v>
      </c>
      <c r="C10">
        <v>1</v>
      </c>
      <c r="D10">
        <v>9</v>
      </c>
      <c r="E10" t="s">
        <v>2108</v>
      </c>
      <c r="F10" t="s">
        <v>123</v>
      </c>
      <c r="G10" t="s">
        <v>124</v>
      </c>
      <c r="H10" t="s">
        <v>125</v>
      </c>
      <c r="I10" t="s">
        <v>140</v>
      </c>
      <c r="J10" t="s">
        <v>141</v>
      </c>
      <c r="K10" t="s">
        <v>127</v>
      </c>
      <c r="L10">
        <v>50</v>
      </c>
      <c r="M10">
        <v>937529</v>
      </c>
      <c r="N10">
        <v>10</v>
      </c>
      <c r="O10">
        <v>1</v>
      </c>
      <c r="P10" t="s">
        <v>128</v>
      </c>
      <c r="Q10" t="s">
        <v>129</v>
      </c>
      <c r="R10">
        <v>1</v>
      </c>
      <c r="T10">
        <v>27</v>
      </c>
      <c r="U10">
        <v>32</v>
      </c>
      <c r="V10">
        <v>6</v>
      </c>
      <c r="W10">
        <v>0</v>
      </c>
      <c r="X10">
        <v>6</v>
      </c>
      <c r="Y10">
        <v>9</v>
      </c>
      <c r="Z10">
        <v>42</v>
      </c>
      <c r="AA10">
        <v>47</v>
      </c>
      <c r="AB10">
        <v>50</v>
      </c>
      <c r="AC10">
        <v>32</v>
      </c>
      <c r="AD10">
        <v>6</v>
      </c>
      <c r="AE10">
        <v>9</v>
      </c>
      <c r="AF10">
        <v>47</v>
      </c>
      <c r="AG10">
        <v>0</v>
      </c>
      <c r="AH10">
        <v>18</v>
      </c>
      <c r="AI10">
        <v>3</v>
      </c>
      <c r="AJ10">
        <v>9</v>
      </c>
      <c r="AK10">
        <v>18</v>
      </c>
      <c r="AL10">
        <v>0</v>
      </c>
      <c r="AM10">
        <v>0.2</v>
      </c>
      <c r="AN10">
        <v>0.81818181818181823</v>
      </c>
      <c r="AO10">
        <v>0</v>
      </c>
      <c r="AP10" t="s">
        <v>142</v>
      </c>
      <c r="AQ10" t="s">
        <v>131</v>
      </c>
      <c r="AR10" t="s">
        <v>194</v>
      </c>
      <c r="AS10">
        <v>3764</v>
      </c>
      <c r="AT10">
        <v>3895</v>
      </c>
      <c r="AU10">
        <v>0</v>
      </c>
      <c r="AV10">
        <v>0</v>
      </c>
      <c r="AW10">
        <v>7.6589999999999998</v>
      </c>
      <c r="AX10">
        <v>0.23934374999999999</v>
      </c>
      <c r="AY10">
        <v>11.24915625</v>
      </c>
      <c r="AZ10" t="s">
        <v>135</v>
      </c>
      <c r="BA10">
        <v>-1.2491562500000004</v>
      </c>
      <c r="BB10">
        <v>-5.2190886538712649</v>
      </c>
      <c r="BC10" t="s">
        <v>133</v>
      </c>
      <c r="BD10">
        <v>0</v>
      </c>
      <c r="BE10" t="s">
        <v>133</v>
      </c>
      <c r="BF1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7.6589999999999998</v>
      </c>
    </row>
    <row r="11" spans="1:58" x14ac:dyDescent="0.25">
      <c r="A11" t="s">
        <v>203</v>
      </c>
      <c r="B11" t="s">
        <v>19</v>
      </c>
      <c r="C11">
        <v>1</v>
      </c>
      <c r="D11">
        <v>10</v>
      </c>
      <c r="E11" t="s">
        <v>2108</v>
      </c>
      <c r="F11" t="s">
        <v>123</v>
      </c>
      <c r="G11" t="s">
        <v>124</v>
      </c>
      <c r="H11" t="s">
        <v>125</v>
      </c>
      <c r="I11" t="s">
        <v>140</v>
      </c>
      <c r="J11" t="s">
        <v>141</v>
      </c>
      <c r="K11" t="s">
        <v>127</v>
      </c>
      <c r="L11">
        <v>50</v>
      </c>
      <c r="M11">
        <v>937531</v>
      </c>
      <c r="N11">
        <v>10</v>
      </c>
      <c r="O11">
        <v>1</v>
      </c>
      <c r="P11" t="s">
        <v>128</v>
      </c>
      <c r="Q11" t="s">
        <v>129</v>
      </c>
      <c r="R11">
        <v>1</v>
      </c>
      <c r="T11">
        <v>25</v>
      </c>
      <c r="U11">
        <v>30</v>
      </c>
      <c r="V11">
        <v>13</v>
      </c>
      <c r="W11">
        <v>0</v>
      </c>
      <c r="X11">
        <v>13</v>
      </c>
      <c r="Y11">
        <v>5</v>
      </c>
      <c r="Z11">
        <v>43</v>
      </c>
      <c r="AA11">
        <v>48</v>
      </c>
      <c r="AB11">
        <v>50</v>
      </c>
      <c r="AC11">
        <v>30</v>
      </c>
      <c r="AD11">
        <v>13</v>
      </c>
      <c r="AE11">
        <v>5</v>
      </c>
      <c r="AF11">
        <v>48</v>
      </c>
      <c r="AG11">
        <v>0</v>
      </c>
      <c r="AH11">
        <v>20</v>
      </c>
      <c r="AI11">
        <v>2</v>
      </c>
      <c r="AJ11">
        <v>15</v>
      </c>
      <c r="AK11">
        <v>20</v>
      </c>
      <c r="AL11">
        <v>0</v>
      </c>
      <c r="AM11">
        <v>0.2</v>
      </c>
      <c r="AN11">
        <v>1.3636363636363638</v>
      </c>
      <c r="AO11">
        <v>0</v>
      </c>
      <c r="AP11" t="s">
        <v>142</v>
      </c>
      <c r="AQ11" t="s">
        <v>131</v>
      </c>
      <c r="AR11" t="s">
        <v>194</v>
      </c>
      <c r="AS11">
        <v>4570</v>
      </c>
      <c r="AT11">
        <v>3951</v>
      </c>
      <c r="AU11">
        <v>0</v>
      </c>
      <c r="AV11">
        <v>0</v>
      </c>
      <c r="AW11">
        <v>8.5210000000000008</v>
      </c>
      <c r="AX11">
        <v>0.28403333333333336</v>
      </c>
      <c r="AY11">
        <v>13.633600000000001</v>
      </c>
      <c r="AZ11" t="s">
        <v>135</v>
      </c>
      <c r="BA11">
        <v>-3.6336000000000013</v>
      </c>
      <c r="BB11">
        <v>-12.792864687243284</v>
      </c>
      <c r="BC11" t="s">
        <v>133</v>
      </c>
      <c r="BD11">
        <v>0</v>
      </c>
      <c r="BE11" t="s">
        <v>133</v>
      </c>
      <c r="BF1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8.5210000000000008</v>
      </c>
    </row>
    <row r="12" spans="1:58" x14ac:dyDescent="0.25">
      <c r="A12" t="s">
        <v>204</v>
      </c>
      <c r="B12" t="s">
        <v>19</v>
      </c>
      <c r="C12">
        <v>1</v>
      </c>
      <c r="D12">
        <v>11</v>
      </c>
      <c r="E12" t="s">
        <v>2108</v>
      </c>
      <c r="F12" t="s">
        <v>123</v>
      </c>
      <c r="G12" t="s">
        <v>124</v>
      </c>
      <c r="H12" t="s">
        <v>125</v>
      </c>
      <c r="I12" t="s">
        <v>140</v>
      </c>
      <c r="J12" t="s">
        <v>141</v>
      </c>
      <c r="K12" t="s">
        <v>127</v>
      </c>
      <c r="L12">
        <v>50</v>
      </c>
      <c r="M12">
        <v>937533</v>
      </c>
      <c r="N12">
        <v>10</v>
      </c>
      <c r="O12">
        <v>1</v>
      </c>
      <c r="P12" t="s">
        <v>128</v>
      </c>
      <c r="Q12" t="s">
        <v>129</v>
      </c>
      <c r="R12">
        <v>1</v>
      </c>
      <c r="T12">
        <v>27</v>
      </c>
      <c r="U12">
        <v>32</v>
      </c>
      <c r="V12">
        <v>7</v>
      </c>
      <c r="W12">
        <v>0</v>
      </c>
      <c r="X12">
        <v>7</v>
      </c>
      <c r="Y12">
        <v>7</v>
      </c>
      <c r="Z12">
        <v>41</v>
      </c>
      <c r="AA12">
        <v>46</v>
      </c>
      <c r="AB12">
        <v>50</v>
      </c>
      <c r="AC12">
        <v>32</v>
      </c>
      <c r="AD12">
        <v>7</v>
      </c>
      <c r="AE12">
        <v>7</v>
      </c>
      <c r="AF12">
        <v>46</v>
      </c>
      <c r="AG12">
        <v>0</v>
      </c>
      <c r="AH12">
        <v>18</v>
      </c>
      <c r="AI12">
        <v>4</v>
      </c>
      <c r="AJ12">
        <v>11</v>
      </c>
      <c r="AK12">
        <v>18</v>
      </c>
      <c r="AL12">
        <v>0</v>
      </c>
      <c r="AM12">
        <v>0.2</v>
      </c>
      <c r="AN12">
        <v>1</v>
      </c>
      <c r="AO12">
        <v>0</v>
      </c>
      <c r="AP12" t="s">
        <v>142</v>
      </c>
      <c r="AQ12" t="s">
        <v>131</v>
      </c>
      <c r="AR12" t="s">
        <v>194</v>
      </c>
      <c r="AS12">
        <v>3770</v>
      </c>
      <c r="AT12">
        <v>3773</v>
      </c>
      <c r="AU12">
        <v>0</v>
      </c>
      <c r="AV12">
        <v>0</v>
      </c>
      <c r="AW12">
        <v>7.5430000000000001</v>
      </c>
      <c r="AX12">
        <v>0.23571875</v>
      </c>
      <c r="AY12">
        <v>10.8430625</v>
      </c>
      <c r="AZ12" t="s">
        <v>135</v>
      </c>
      <c r="BA12">
        <v>-0.84306250000000027</v>
      </c>
      <c r="BB12">
        <v>-3.576561049980115</v>
      </c>
      <c r="BC12" t="s">
        <v>144</v>
      </c>
      <c r="BD12">
        <v>0</v>
      </c>
      <c r="BE12" t="s">
        <v>133</v>
      </c>
      <c r="BF1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7.5430000000000001</v>
      </c>
    </row>
    <row r="13" spans="1:58" x14ac:dyDescent="0.25">
      <c r="A13" t="s">
        <v>205</v>
      </c>
      <c r="B13" t="s">
        <v>19</v>
      </c>
      <c r="C13">
        <v>1</v>
      </c>
      <c r="D13">
        <v>12</v>
      </c>
      <c r="E13" t="s">
        <v>2108</v>
      </c>
      <c r="F13" t="s">
        <v>123</v>
      </c>
      <c r="G13" t="s">
        <v>124</v>
      </c>
      <c r="H13" t="s">
        <v>125</v>
      </c>
      <c r="I13" t="s">
        <v>126</v>
      </c>
      <c r="J13" t="s">
        <v>126</v>
      </c>
      <c r="K13" t="s">
        <v>127</v>
      </c>
      <c r="L13">
        <v>50</v>
      </c>
      <c r="M13">
        <v>937535</v>
      </c>
      <c r="N13">
        <v>6</v>
      </c>
      <c r="O13">
        <v>1</v>
      </c>
      <c r="P13" t="s">
        <v>128</v>
      </c>
      <c r="Q13" t="s">
        <v>129</v>
      </c>
      <c r="R13">
        <v>2</v>
      </c>
      <c r="T13">
        <v>11</v>
      </c>
      <c r="U13">
        <v>16</v>
      </c>
      <c r="V13">
        <v>3</v>
      </c>
      <c r="W13">
        <v>0</v>
      </c>
      <c r="X13">
        <v>3</v>
      </c>
      <c r="Y13">
        <v>3</v>
      </c>
      <c r="Z13">
        <v>17</v>
      </c>
      <c r="AA13">
        <v>22</v>
      </c>
      <c r="AB13">
        <v>50</v>
      </c>
      <c r="AC13">
        <v>18</v>
      </c>
      <c r="AD13">
        <v>6</v>
      </c>
      <c r="AE13">
        <v>4</v>
      </c>
      <c r="AF13">
        <v>28</v>
      </c>
      <c r="AG13">
        <v>0</v>
      </c>
      <c r="AH13">
        <v>32</v>
      </c>
      <c r="AI13">
        <v>22</v>
      </c>
      <c r="AJ13">
        <v>28</v>
      </c>
      <c r="AK13">
        <v>32</v>
      </c>
      <c r="AL13">
        <v>0</v>
      </c>
      <c r="AM13">
        <v>0.12</v>
      </c>
      <c r="AN13">
        <v>2.5454545454545454</v>
      </c>
      <c r="AO13">
        <v>0</v>
      </c>
      <c r="AP13" t="s">
        <v>130</v>
      </c>
      <c r="AQ13" t="s">
        <v>131</v>
      </c>
      <c r="AR13" t="s">
        <v>194</v>
      </c>
      <c r="AS13">
        <v>1309</v>
      </c>
      <c r="AT13">
        <v>1241</v>
      </c>
      <c r="AU13">
        <v>0</v>
      </c>
      <c r="AV13">
        <v>0</v>
      </c>
      <c r="AW13">
        <v>2.5499999999999998</v>
      </c>
      <c r="AX13">
        <v>0.14166666666666666</v>
      </c>
      <c r="AY13">
        <v>3.9666666666666668</v>
      </c>
      <c r="AZ13" t="s">
        <v>135</v>
      </c>
      <c r="BA13">
        <v>2.0333333333333332</v>
      </c>
      <c r="BB13">
        <v>14.352941176470587</v>
      </c>
      <c r="BC13" t="s">
        <v>132</v>
      </c>
      <c r="BD13">
        <v>0</v>
      </c>
      <c r="BE13" t="s">
        <v>133</v>
      </c>
      <c r="BF1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2.5499999999999998</v>
      </c>
    </row>
    <row r="14" spans="1:58" x14ac:dyDescent="0.25">
      <c r="A14" t="s">
        <v>206</v>
      </c>
      <c r="B14" t="s">
        <v>19</v>
      </c>
      <c r="C14">
        <v>1</v>
      </c>
      <c r="D14">
        <v>13</v>
      </c>
      <c r="E14" t="s">
        <v>2108</v>
      </c>
      <c r="F14" t="s">
        <v>123</v>
      </c>
      <c r="G14" t="s">
        <v>124</v>
      </c>
      <c r="H14" t="s">
        <v>125</v>
      </c>
      <c r="I14" t="s">
        <v>126</v>
      </c>
      <c r="J14" t="s">
        <v>126</v>
      </c>
      <c r="K14" t="s">
        <v>127</v>
      </c>
      <c r="L14">
        <v>50</v>
      </c>
      <c r="M14">
        <v>937537</v>
      </c>
      <c r="N14">
        <v>6</v>
      </c>
      <c r="O14">
        <v>1</v>
      </c>
      <c r="P14" t="s">
        <v>128</v>
      </c>
      <c r="Q14" t="s">
        <v>129</v>
      </c>
      <c r="R14">
        <v>2</v>
      </c>
      <c r="T14">
        <v>17</v>
      </c>
      <c r="U14">
        <v>22</v>
      </c>
      <c r="V14">
        <v>2</v>
      </c>
      <c r="W14">
        <v>0</v>
      </c>
      <c r="X14">
        <v>2</v>
      </c>
      <c r="Y14">
        <v>0</v>
      </c>
      <c r="Z14">
        <v>19</v>
      </c>
      <c r="AA14">
        <v>24</v>
      </c>
      <c r="AB14">
        <v>50</v>
      </c>
      <c r="AC14">
        <v>29</v>
      </c>
      <c r="AD14">
        <v>2</v>
      </c>
      <c r="AE14">
        <v>0</v>
      </c>
      <c r="AF14">
        <v>31</v>
      </c>
      <c r="AG14">
        <v>0</v>
      </c>
      <c r="AH14">
        <v>21</v>
      </c>
      <c r="AI14">
        <v>19</v>
      </c>
      <c r="AJ14">
        <v>21</v>
      </c>
      <c r="AK14">
        <v>21</v>
      </c>
      <c r="AL14">
        <v>0</v>
      </c>
      <c r="AM14">
        <v>0.12</v>
      </c>
      <c r="AN14">
        <v>1.9090909090909092</v>
      </c>
      <c r="AO14">
        <v>0</v>
      </c>
      <c r="AP14" t="s">
        <v>130</v>
      </c>
      <c r="AQ14" t="s">
        <v>131</v>
      </c>
      <c r="AR14" t="s">
        <v>194</v>
      </c>
      <c r="AS14">
        <v>2019</v>
      </c>
      <c r="AT14">
        <v>2050</v>
      </c>
      <c r="AU14">
        <v>0</v>
      </c>
      <c r="AV14">
        <v>0</v>
      </c>
      <c r="AW14">
        <v>4.069</v>
      </c>
      <c r="AX14">
        <v>0.1403103448275862</v>
      </c>
      <c r="AY14">
        <v>4.3496206896551719</v>
      </c>
      <c r="AZ14" t="s">
        <v>135</v>
      </c>
      <c r="BA14">
        <v>1.6503793103448281</v>
      </c>
      <c r="BB14">
        <v>11.762349471614652</v>
      </c>
      <c r="BC14" t="s">
        <v>133</v>
      </c>
      <c r="BD14">
        <v>0</v>
      </c>
      <c r="BE14" t="s">
        <v>133</v>
      </c>
      <c r="BF1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4.069</v>
      </c>
    </row>
    <row r="15" spans="1:58" x14ac:dyDescent="0.25">
      <c r="A15" t="s">
        <v>207</v>
      </c>
      <c r="B15" t="s">
        <v>19</v>
      </c>
      <c r="C15">
        <v>1</v>
      </c>
      <c r="D15">
        <v>14</v>
      </c>
      <c r="E15" t="s">
        <v>2108</v>
      </c>
      <c r="F15" t="s">
        <v>123</v>
      </c>
      <c r="G15" t="s">
        <v>124</v>
      </c>
      <c r="H15" t="s">
        <v>125</v>
      </c>
      <c r="I15" t="s">
        <v>126</v>
      </c>
      <c r="J15" t="s">
        <v>126</v>
      </c>
      <c r="K15" t="s">
        <v>127</v>
      </c>
      <c r="L15">
        <v>50</v>
      </c>
      <c r="M15">
        <v>937539</v>
      </c>
      <c r="N15">
        <v>6</v>
      </c>
      <c r="O15">
        <v>1</v>
      </c>
      <c r="P15" t="s">
        <v>128</v>
      </c>
      <c r="Q15" t="s">
        <v>129</v>
      </c>
      <c r="R15">
        <v>2</v>
      </c>
      <c r="T15">
        <v>14</v>
      </c>
      <c r="U15">
        <v>19</v>
      </c>
      <c r="V15">
        <v>0</v>
      </c>
      <c r="W15">
        <v>0</v>
      </c>
      <c r="X15">
        <v>0</v>
      </c>
      <c r="Y15">
        <v>1</v>
      </c>
      <c r="Z15">
        <v>15</v>
      </c>
      <c r="AA15">
        <v>20</v>
      </c>
      <c r="AB15">
        <v>50</v>
      </c>
      <c r="AC15">
        <v>22</v>
      </c>
      <c r="AD15">
        <v>0</v>
      </c>
      <c r="AE15">
        <v>1</v>
      </c>
      <c r="AF15">
        <v>23</v>
      </c>
      <c r="AG15">
        <v>0</v>
      </c>
      <c r="AH15">
        <v>28</v>
      </c>
      <c r="AI15">
        <v>27</v>
      </c>
      <c r="AJ15">
        <v>27</v>
      </c>
      <c r="AK15">
        <v>28</v>
      </c>
      <c r="AL15">
        <v>0</v>
      </c>
      <c r="AM15">
        <v>0.12</v>
      </c>
      <c r="AN15">
        <v>2.4545454545454546</v>
      </c>
      <c r="AO15">
        <v>0</v>
      </c>
      <c r="AP15" t="s">
        <v>130</v>
      </c>
      <c r="AQ15" t="s">
        <v>131</v>
      </c>
      <c r="AR15" t="s">
        <v>194</v>
      </c>
      <c r="AS15">
        <v>1883</v>
      </c>
      <c r="AT15">
        <v>1792</v>
      </c>
      <c r="AU15">
        <v>0</v>
      </c>
      <c r="AV15">
        <v>0</v>
      </c>
      <c r="AW15">
        <v>3.6749999999999998</v>
      </c>
      <c r="AX15">
        <v>0.16704545454545452</v>
      </c>
      <c r="AY15">
        <v>3.8420454545454539</v>
      </c>
      <c r="AZ15" t="s">
        <v>135</v>
      </c>
      <c r="BA15">
        <v>2.1579545454545461</v>
      </c>
      <c r="BB15">
        <v>12.918367346938782</v>
      </c>
      <c r="BC15" t="s">
        <v>133</v>
      </c>
      <c r="BD15">
        <v>0</v>
      </c>
      <c r="BE15" t="s">
        <v>133</v>
      </c>
      <c r="BF1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3.6749999999999998</v>
      </c>
    </row>
    <row r="16" spans="1:58" x14ac:dyDescent="0.25">
      <c r="A16" t="s">
        <v>208</v>
      </c>
      <c r="B16" t="s">
        <v>19</v>
      </c>
      <c r="C16">
        <v>1</v>
      </c>
      <c r="D16">
        <v>15</v>
      </c>
      <c r="E16" t="s">
        <v>2108</v>
      </c>
      <c r="F16" t="s">
        <v>123</v>
      </c>
      <c r="G16" t="s">
        <v>124</v>
      </c>
      <c r="H16" t="s">
        <v>125</v>
      </c>
      <c r="I16" t="s">
        <v>126</v>
      </c>
      <c r="J16" t="s">
        <v>126</v>
      </c>
      <c r="K16" t="s">
        <v>127</v>
      </c>
      <c r="L16">
        <v>50</v>
      </c>
      <c r="M16">
        <v>937541</v>
      </c>
      <c r="N16">
        <v>6</v>
      </c>
      <c r="O16">
        <v>1</v>
      </c>
      <c r="P16" t="s">
        <v>128</v>
      </c>
      <c r="Q16" t="s">
        <v>129</v>
      </c>
      <c r="R16">
        <v>2</v>
      </c>
      <c r="T16">
        <v>14</v>
      </c>
      <c r="U16">
        <v>19</v>
      </c>
      <c r="V16">
        <v>3</v>
      </c>
      <c r="W16">
        <v>0</v>
      </c>
      <c r="X16">
        <v>3</v>
      </c>
      <c r="Y16">
        <v>0</v>
      </c>
      <c r="Z16">
        <v>17</v>
      </c>
      <c r="AA16">
        <v>22</v>
      </c>
      <c r="AB16">
        <v>50</v>
      </c>
      <c r="AC16">
        <v>21</v>
      </c>
      <c r="AD16">
        <v>4</v>
      </c>
      <c r="AE16">
        <v>0</v>
      </c>
      <c r="AF16">
        <v>25</v>
      </c>
      <c r="AG16">
        <v>0</v>
      </c>
      <c r="AH16">
        <v>29</v>
      </c>
      <c r="AI16">
        <v>25</v>
      </c>
      <c r="AJ16">
        <v>29</v>
      </c>
      <c r="AK16">
        <v>29</v>
      </c>
      <c r="AL16">
        <v>0</v>
      </c>
      <c r="AM16">
        <v>0.12</v>
      </c>
      <c r="AN16">
        <v>2.6363636363636362</v>
      </c>
      <c r="AO16">
        <v>0</v>
      </c>
      <c r="AP16" t="s">
        <v>130</v>
      </c>
      <c r="AQ16" t="s">
        <v>131</v>
      </c>
      <c r="AR16" t="s">
        <v>194</v>
      </c>
      <c r="AS16">
        <v>1716</v>
      </c>
      <c r="AT16">
        <v>1726</v>
      </c>
      <c r="AU16">
        <v>0</v>
      </c>
      <c r="AV16">
        <v>0</v>
      </c>
      <c r="AW16">
        <v>3.4420000000000002</v>
      </c>
      <c r="AX16">
        <v>0.16390476190476191</v>
      </c>
      <c r="AY16">
        <v>4.0976190476190482</v>
      </c>
      <c r="AZ16" t="s">
        <v>135</v>
      </c>
      <c r="BA16">
        <v>1.9023809523809518</v>
      </c>
      <c r="BB16">
        <v>11.606624055781518</v>
      </c>
      <c r="BC16" t="s">
        <v>133</v>
      </c>
      <c r="BD16">
        <v>0</v>
      </c>
      <c r="BE16" t="s">
        <v>133</v>
      </c>
      <c r="BF1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3.4420000000000002</v>
      </c>
    </row>
    <row r="17" spans="1:58" x14ac:dyDescent="0.25">
      <c r="A17" t="s">
        <v>209</v>
      </c>
      <c r="B17" t="s">
        <v>19</v>
      </c>
      <c r="C17">
        <v>1</v>
      </c>
      <c r="D17">
        <v>16</v>
      </c>
      <c r="E17" t="s">
        <v>2108</v>
      </c>
      <c r="F17" t="s">
        <v>123</v>
      </c>
      <c r="G17" t="s">
        <v>124</v>
      </c>
      <c r="H17" t="s">
        <v>125</v>
      </c>
      <c r="I17" t="s">
        <v>126</v>
      </c>
      <c r="J17" t="s">
        <v>126</v>
      </c>
      <c r="K17" t="s">
        <v>127</v>
      </c>
      <c r="L17">
        <v>50</v>
      </c>
      <c r="M17">
        <v>937543</v>
      </c>
      <c r="N17">
        <v>6</v>
      </c>
      <c r="O17">
        <v>1</v>
      </c>
      <c r="P17" t="s">
        <v>128</v>
      </c>
      <c r="Q17" t="s">
        <v>129</v>
      </c>
      <c r="R17">
        <v>2</v>
      </c>
      <c r="T17">
        <v>14</v>
      </c>
      <c r="U17">
        <v>19</v>
      </c>
      <c r="V17">
        <v>1</v>
      </c>
      <c r="W17">
        <v>0</v>
      </c>
      <c r="X17">
        <v>1</v>
      </c>
      <c r="Y17">
        <v>0</v>
      </c>
      <c r="Z17">
        <v>15</v>
      </c>
      <c r="AA17">
        <v>20</v>
      </c>
      <c r="AB17">
        <v>50</v>
      </c>
      <c r="AC17">
        <v>24</v>
      </c>
      <c r="AD17">
        <v>1</v>
      </c>
      <c r="AE17">
        <v>0</v>
      </c>
      <c r="AF17">
        <v>25</v>
      </c>
      <c r="AG17">
        <v>0</v>
      </c>
      <c r="AH17">
        <v>26</v>
      </c>
      <c r="AI17">
        <v>25</v>
      </c>
      <c r="AJ17">
        <v>26</v>
      </c>
      <c r="AK17">
        <v>26</v>
      </c>
      <c r="AL17">
        <v>0</v>
      </c>
      <c r="AM17">
        <v>0.12</v>
      </c>
      <c r="AN17">
        <v>2.3636363636363638</v>
      </c>
      <c r="AO17">
        <v>0</v>
      </c>
      <c r="AP17" t="s">
        <v>130</v>
      </c>
      <c r="AQ17" t="s">
        <v>131</v>
      </c>
      <c r="AR17" t="s">
        <v>194</v>
      </c>
      <c r="AS17">
        <v>1745</v>
      </c>
      <c r="AT17">
        <v>2117</v>
      </c>
      <c r="AU17">
        <v>0</v>
      </c>
      <c r="AV17">
        <v>0</v>
      </c>
      <c r="AW17">
        <v>3.8620000000000001</v>
      </c>
      <c r="AX17">
        <v>0.16091666666666668</v>
      </c>
      <c r="AY17">
        <v>4.0229166666666671</v>
      </c>
      <c r="AZ17" t="s">
        <v>135</v>
      </c>
      <c r="BA17">
        <v>1.9770833333333329</v>
      </c>
      <c r="BB17">
        <v>12.286380113930601</v>
      </c>
      <c r="BC17" t="s">
        <v>133</v>
      </c>
      <c r="BD17">
        <v>0</v>
      </c>
      <c r="BE17" t="s">
        <v>133</v>
      </c>
      <c r="BF1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3.8620000000000001</v>
      </c>
    </row>
    <row r="18" spans="1:58" x14ac:dyDescent="0.25">
      <c r="A18" t="s">
        <v>210</v>
      </c>
      <c r="B18" t="s">
        <v>19</v>
      </c>
      <c r="C18">
        <v>1</v>
      </c>
      <c r="D18">
        <v>17</v>
      </c>
      <c r="E18" t="s">
        <v>2108</v>
      </c>
      <c r="F18" t="s">
        <v>123</v>
      </c>
      <c r="G18" t="s">
        <v>124</v>
      </c>
      <c r="H18" t="s">
        <v>136</v>
      </c>
      <c r="I18" t="s">
        <v>137</v>
      </c>
      <c r="J18" t="s">
        <v>138</v>
      </c>
      <c r="K18" t="s">
        <v>127</v>
      </c>
      <c r="L18">
        <v>50</v>
      </c>
      <c r="M18">
        <v>937545</v>
      </c>
      <c r="N18">
        <v>5</v>
      </c>
      <c r="O18">
        <v>1</v>
      </c>
      <c r="P18" t="s">
        <v>128</v>
      </c>
      <c r="Q18" t="s">
        <v>129</v>
      </c>
      <c r="R18">
        <v>2</v>
      </c>
      <c r="T18">
        <v>0</v>
      </c>
      <c r="U18">
        <v>4</v>
      </c>
      <c r="V18">
        <v>0</v>
      </c>
      <c r="W18">
        <v>0</v>
      </c>
      <c r="X18">
        <v>0</v>
      </c>
      <c r="Y18">
        <v>0</v>
      </c>
      <c r="Z18">
        <v>0</v>
      </c>
      <c r="AA18">
        <v>4</v>
      </c>
      <c r="AB18">
        <v>50</v>
      </c>
      <c r="AC18">
        <v>4</v>
      </c>
      <c r="AD18">
        <v>0</v>
      </c>
      <c r="AE18">
        <v>0</v>
      </c>
      <c r="AF18">
        <v>4</v>
      </c>
      <c r="AG18">
        <v>0</v>
      </c>
      <c r="AH18">
        <v>46</v>
      </c>
      <c r="AI18">
        <v>46</v>
      </c>
      <c r="AJ18">
        <v>46</v>
      </c>
      <c r="AK18">
        <v>46</v>
      </c>
      <c r="AL18">
        <v>0</v>
      </c>
      <c r="AM18">
        <v>0.1</v>
      </c>
      <c r="AN18">
        <v>4.1818181818181817</v>
      </c>
      <c r="AO18">
        <v>0</v>
      </c>
      <c r="AP18" t="s">
        <v>139</v>
      </c>
      <c r="AQ18" t="s">
        <v>131</v>
      </c>
      <c r="AR18" t="s">
        <v>194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 t="s">
        <v>134</v>
      </c>
      <c r="BA18">
        <v>5</v>
      </c>
      <c r="BB18">
        <v>0</v>
      </c>
      <c r="BC18" t="s">
        <v>133</v>
      </c>
      <c r="BD18">
        <v>0</v>
      </c>
      <c r="BE18" t="s">
        <v>133</v>
      </c>
      <c r="BF1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9" spans="1:58" x14ac:dyDescent="0.25">
      <c r="A19" t="s">
        <v>211</v>
      </c>
      <c r="B19" t="s">
        <v>19</v>
      </c>
      <c r="C19">
        <v>1</v>
      </c>
      <c r="D19">
        <v>18</v>
      </c>
      <c r="E19" t="s">
        <v>2108</v>
      </c>
      <c r="F19" t="s">
        <v>123</v>
      </c>
      <c r="G19" t="s">
        <v>124</v>
      </c>
      <c r="H19" t="s">
        <v>125</v>
      </c>
      <c r="I19" t="s">
        <v>126</v>
      </c>
      <c r="J19" t="s">
        <v>126</v>
      </c>
      <c r="K19" t="s">
        <v>127</v>
      </c>
      <c r="L19">
        <v>50</v>
      </c>
      <c r="M19">
        <v>937547</v>
      </c>
      <c r="N19">
        <v>6</v>
      </c>
      <c r="O19">
        <v>1</v>
      </c>
      <c r="P19" t="s">
        <v>128</v>
      </c>
      <c r="Q19" t="s">
        <v>129</v>
      </c>
      <c r="R19">
        <v>2</v>
      </c>
      <c r="T19">
        <v>14</v>
      </c>
      <c r="U19">
        <v>19</v>
      </c>
      <c r="V19">
        <v>2</v>
      </c>
      <c r="W19">
        <v>0</v>
      </c>
      <c r="X19">
        <v>2</v>
      </c>
      <c r="Y19">
        <v>0</v>
      </c>
      <c r="Z19">
        <v>16</v>
      </c>
      <c r="AA19">
        <v>21</v>
      </c>
      <c r="AB19">
        <v>50</v>
      </c>
      <c r="AC19">
        <v>23</v>
      </c>
      <c r="AD19">
        <v>3</v>
      </c>
      <c r="AE19">
        <v>0</v>
      </c>
      <c r="AF19">
        <v>26</v>
      </c>
      <c r="AG19">
        <v>0</v>
      </c>
      <c r="AH19">
        <v>27</v>
      </c>
      <c r="AI19">
        <v>24</v>
      </c>
      <c r="AJ19">
        <v>27</v>
      </c>
      <c r="AK19">
        <v>27</v>
      </c>
      <c r="AL19">
        <v>0</v>
      </c>
      <c r="AM19">
        <v>0.12</v>
      </c>
      <c r="AN19">
        <v>2.4545454545454546</v>
      </c>
      <c r="AO19">
        <v>0</v>
      </c>
      <c r="AP19" t="s">
        <v>130</v>
      </c>
      <c r="AQ19" t="s">
        <v>131</v>
      </c>
      <c r="AR19" t="s">
        <v>194</v>
      </c>
      <c r="AS19">
        <v>1307</v>
      </c>
      <c r="AT19">
        <v>1657</v>
      </c>
      <c r="AU19">
        <v>0</v>
      </c>
      <c r="AV19">
        <v>0</v>
      </c>
      <c r="AW19">
        <v>2.964</v>
      </c>
      <c r="AX19">
        <v>0.12886956521739129</v>
      </c>
      <c r="AY19">
        <v>3.3506086956521735</v>
      </c>
      <c r="AZ19" t="s">
        <v>135</v>
      </c>
      <c r="BA19">
        <v>2.6493913043478265</v>
      </c>
      <c r="BB19">
        <v>20.558704453441301</v>
      </c>
      <c r="BC19" t="s">
        <v>133</v>
      </c>
      <c r="BD19">
        <v>0</v>
      </c>
      <c r="BE19" t="s">
        <v>133</v>
      </c>
      <c r="BF1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2.964</v>
      </c>
    </row>
    <row r="20" spans="1:58" x14ac:dyDescent="0.25">
      <c r="A20" t="s">
        <v>212</v>
      </c>
      <c r="B20" t="s">
        <v>19</v>
      </c>
      <c r="C20">
        <v>1</v>
      </c>
      <c r="D20">
        <v>19</v>
      </c>
      <c r="E20" t="s">
        <v>2108</v>
      </c>
      <c r="F20" t="s">
        <v>123</v>
      </c>
      <c r="G20" t="s">
        <v>124</v>
      </c>
      <c r="H20" t="s">
        <v>125</v>
      </c>
      <c r="I20" t="s">
        <v>126</v>
      </c>
      <c r="J20" t="s">
        <v>126</v>
      </c>
      <c r="K20" t="s">
        <v>127</v>
      </c>
      <c r="L20">
        <v>50</v>
      </c>
      <c r="M20">
        <v>937549</v>
      </c>
      <c r="N20">
        <v>6</v>
      </c>
      <c r="O20">
        <v>1</v>
      </c>
      <c r="P20" t="s">
        <v>128</v>
      </c>
      <c r="Q20" t="s">
        <v>129</v>
      </c>
      <c r="R20">
        <v>2</v>
      </c>
      <c r="T20">
        <v>15</v>
      </c>
      <c r="U20">
        <v>20</v>
      </c>
      <c r="V20">
        <v>0</v>
      </c>
      <c r="W20">
        <v>0</v>
      </c>
      <c r="X20">
        <v>0</v>
      </c>
      <c r="Y20">
        <v>3</v>
      </c>
      <c r="Z20">
        <v>18</v>
      </c>
      <c r="AA20">
        <v>23</v>
      </c>
      <c r="AB20">
        <v>50</v>
      </c>
      <c r="AC20">
        <v>21</v>
      </c>
      <c r="AD20">
        <v>0</v>
      </c>
      <c r="AE20">
        <v>7</v>
      </c>
      <c r="AF20">
        <v>28</v>
      </c>
      <c r="AG20">
        <v>0</v>
      </c>
      <c r="AH20">
        <v>29</v>
      </c>
      <c r="AI20">
        <v>22</v>
      </c>
      <c r="AJ20">
        <v>22</v>
      </c>
      <c r="AK20">
        <v>29</v>
      </c>
      <c r="AL20">
        <v>0</v>
      </c>
      <c r="AM20">
        <v>0.12</v>
      </c>
      <c r="AN20">
        <v>2</v>
      </c>
      <c r="AO20">
        <v>0</v>
      </c>
      <c r="AP20" t="s">
        <v>130</v>
      </c>
      <c r="AQ20" t="s">
        <v>131</v>
      </c>
      <c r="AR20" t="s">
        <v>194</v>
      </c>
      <c r="AS20">
        <v>2009</v>
      </c>
      <c r="AT20">
        <v>1785</v>
      </c>
      <c r="AU20">
        <v>0</v>
      </c>
      <c r="AV20">
        <v>0</v>
      </c>
      <c r="AW20">
        <v>3.794</v>
      </c>
      <c r="AX20">
        <v>0.18066666666666667</v>
      </c>
      <c r="AY20">
        <v>5.0586666666666664</v>
      </c>
      <c r="AZ20" t="s">
        <v>135</v>
      </c>
      <c r="BA20">
        <v>0.94133333333333358</v>
      </c>
      <c r="BB20">
        <v>5.2103321033210346</v>
      </c>
      <c r="BC20" t="s">
        <v>133</v>
      </c>
      <c r="BD20">
        <v>0</v>
      </c>
      <c r="BE20" t="s">
        <v>133</v>
      </c>
      <c r="BF2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3.794</v>
      </c>
    </row>
    <row r="21" spans="1:58" x14ac:dyDescent="0.25">
      <c r="A21" t="s">
        <v>213</v>
      </c>
      <c r="B21" t="s">
        <v>19</v>
      </c>
      <c r="C21">
        <v>1</v>
      </c>
      <c r="D21">
        <v>20</v>
      </c>
      <c r="E21" t="s">
        <v>2108</v>
      </c>
      <c r="F21" t="s">
        <v>123</v>
      </c>
      <c r="G21" t="s">
        <v>124</v>
      </c>
      <c r="H21" t="s">
        <v>125</v>
      </c>
      <c r="I21" t="s">
        <v>126</v>
      </c>
      <c r="J21" t="s">
        <v>126</v>
      </c>
      <c r="K21" t="s">
        <v>127</v>
      </c>
      <c r="L21">
        <v>50</v>
      </c>
      <c r="M21">
        <v>937551</v>
      </c>
      <c r="N21">
        <v>6</v>
      </c>
      <c r="O21">
        <v>1</v>
      </c>
      <c r="P21" t="s">
        <v>128</v>
      </c>
      <c r="Q21" t="s">
        <v>129</v>
      </c>
      <c r="R21">
        <v>2</v>
      </c>
      <c r="T21">
        <v>13</v>
      </c>
      <c r="U21">
        <v>18</v>
      </c>
      <c r="V21">
        <v>4</v>
      </c>
      <c r="W21">
        <v>0</v>
      </c>
      <c r="X21">
        <v>4</v>
      </c>
      <c r="Y21">
        <v>2</v>
      </c>
      <c r="Z21">
        <v>19</v>
      </c>
      <c r="AA21">
        <v>24</v>
      </c>
      <c r="AB21">
        <v>50</v>
      </c>
      <c r="AC21">
        <v>21</v>
      </c>
      <c r="AD21">
        <v>5</v>
      </c>
      <c r="AE21">
        <v>5</v>
      </c>
      <c r="AF21">
        <v>31</v>
      </c>
      <c r="AG21">
        <v>0</v>
      </c>
      <c r="AH21">
        <v>29</v>
      </c>
      <c r="AI21">
        <v>19</v>
      </c>
      <c r="AJ21">
        <v>24</v>
      </c>
      <c r="AK21">
        <v>29</v>
      </c>
      <c r="AL21">
        <v>0</v>
      </c>
      <c r="AM21">
        <v>0.12</v>
      </c>
      <c r="AN21">
        <v>2.1818181818181817</v>
      </c>
      <c r="AO21">
        <v>0</v>
      </c>
      <c r="AP21" t="s">
        <v>130</v>
      </c>
      <c r="AQ21" t="s">
        <v>131</v>
      </c>
      <c r="AR21" t="s">
        <v>194</v>
      </c>
      <c r="AS21">
        <v>1835</v>
      </c>
      <c r="AT21">
        <v>1763</v>
      </c>
      <c r="AU21">
        <v>0</v>
      </c>
      <c r="AV21">
        <v>0</v>
      </c>
      <c r="AW21">
        <v>3.5979999999999999</v>
      </c>
      <c r="AX21">
        <v>0.17133333333333334</v>
      </c>
      <c r="AY21">
        <v>5.3113333333333337</v>
      </c>
      <c r="AZ21" t="s">
        <v>135</v>
      </c>
      <c r="BA21">
        <v>0.68866666666666632</v>
      </c>
      <c r="BB21">
        <v>4.0194552529182861</v>
      </c>
      <c r="BC21" t="s">
        <v>133</v>
      </c>
      <c r="BD21">
        <v>0</v>
      </c>
      <c r="BE21" t="s">
        <v>133</v>
      </c>
      <c r="BF2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3.5979999999999999</v>
      </c>
    </row>
    <row r="22" spans="1:58" x14ac:dyDescent="0.25">
      <c r="A22" t="s">
        <v>214</v>
      </c>
      <c r="B22" t="s">
        <v>19</v>
      </c>
      <c r="C22">
        <v>1</v>
      </c>
      <c r="D22">
        <v>21</v>
      </c>
      <c r="E22" t="s">
        <v>2108</v>
      </c>
      <c r="F22" t="s">
        <v>123</v>
      </c>
      <c r="G22" t="s">
        <v>124</v>
      </c>
      <c r="H22" t="s">
        <v>125</v>
      </c>
      <c r="I22" t="s">
        <v>126</v>
      </c>
      <c r="J22" t="s">
        <v>126</v>
      </c>
      <c r="K22" t="s">
        <v>127</v>
      </c>
      <c r="L22">
        <v>50</v>
      </c>
      <c r="M22">
        <v>937553</v>
      </c>
      <c r="N22">
        <v>6</v>
      </c>
      <c r="O22">
        <v>1</v>
      </c>
      <c r="P22" t="s">
        <v>128</v>
      </c>
      <c r="Q22" t="s">
        <v>129</v>
      </c>
      <c r="R22">
        <v>2</v>
      </c>
      <c r="T22">
        <v>10</v>
      </c>
      <c r="U22">
        <v>15</v>
      </c>
      <c r="V22">
        <v>5</v>
      </c>
      <c r="W22">
        <v>0</v>
      </c>
      <c r="X22">
        <v>5</v>
      </c>
      <c r="Y22">
        <v>0</v>
      </c>
      <c r="Z22">
        <v>15</v>
      </c>
      <c r="AA22">
        <v>20</v>
      </c>
      <c r="AB22">
        <v>50</v>
      </c>
      <c r="AC22">
        <v>20</v>
      </c>
      <c r="AD22">
        <v>8</v>
      </c>
      <c r="AE22">
        <v>0</v>
      </c>
      <c r="AF22">
        <v>28</v>
      </c>
      <c r="AG22">
        <v>0</v>
      </c>
      <c r="AH22">
        <v>30</v>
      </c>
      <c r="AI22">
        <v>22</v>
      </c>
      <c r="AJ22">
        <v>30</v>
      </c>
      <c r="AK22">
        <v>30</v>
      </c>
      <c r="AL22">
        <v>0</v>
      </c>
      <c r="AM22">
        <v>0.12</v>
      </c>
      <c r="AN22">
        <v>2.7272727272727275</v>
      </c>
      <c r="AO22">
        <v>0</v>
      </c>
      <c r="AP22" t="s">
        <v>130</v>
      </c>
      <c r="AQ22" t="s">
        <v>131</v>
      </c>
      <c r="AR22" t="s">
        <v>194</v>
      </c>
      <c r="AS22">
        <v>1804</v>
      </c>
      <c r="AT22">
        <v>1642</v>
      </c>
      <c r="AU22">
        <v>0</v>
      </c>
      <c r="AV22">
        <v>0</v>
      </c>
      <c r="AW22">
        <v>3.4460000000000002</v>
      </c>
      <c r="AX22">
        <v>0.17230000000000001</v>
      </c>
      <c r="AY22">
        <v>4.8244000000000007</v>
      </c>
      <c r="AZ22" t="s">
        <v>135</v>
      </c>
      <c r="BA22">
        <v>1.1755999999999993</v>
      </c>
      <c r="BB22">
        <v>6.8229831688914642</v>
      </c>
      <c r="BC22" t="s">
        <v>133</v>
      </c>
      <c r="BD22">
        <v>0</v>
      </c>
      <c r="BE22" t="s">
        <v>133</v>
      </c>
      <c r="BF2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3.4460000000000002</v>
      </c>
    </row>
    <row r="23" spans="1:58" x14ac:dyDescent="0.25">
      <c r="A23" t="s">
        <v>215</v>
      </c>
      <c r="B23" t="s">
        <v>19</v>
      </c>
      <c r="C23">
        <v>1</v>
      </c>
      <c r="D23">
        <v>22</v>
      </c>
      <c r="E23" t="s">
        <v>2108</v>
      </c>
      <c r="F23" t="s">
        <v>123</v>
      </c>
      <c r="G23" t="s">
        <v>124</v>
      </c>
      <c r="H23" t="s">
        <v>125</v>
      </c>
      <c r="I23" t="s">
        <v>126</v>
      </c>
      <c r="J23" t="s">
        <v>145</v>
      </c>
      <c r="K23" t="s">
        <v>127</v>
      </c>
      <c r="L23">
        <v>50</v>
      </c>
      <c r="M23">
        <v>937555</v>
      </c>
      <c r="N23">
        <v>6</v>
      </c>
      <c r="O23">
        <v>1</v>
      </c>
      <c r="P23" t="s">
        <v>128</v>
      </c>
      <c r="Q23" t="s">
        <v>129</v>
      </c>
      <c r="R23">
        <v>2</v>
      </c>
      <c r="T23">
        <v>0</v>
      </c>
      <c r="U23">
        <v>11</v>
      </c>
      <c r="V23">
        <v>7</v>
      </c>
      <c r="W23">
        <v>0</v>
      </c>
      <c r="X23">
        <v>7</v>
      </c>
      <c r="Y23">
        <v>4</v>
      </c>
      <c r="Z23">
        <v>0</v>
      </c>
      <c r="AA23">
        <v>22</v>
      </c>
      <c r="AB23">
        <v>50</v>
      </c>
      <c r="AC23">
        <v>11</v>
      </c>
      <c r="AD23">
        <v>7</v>
      </c>
      <c r="AE23">
        <v>8</v>
      </c>
      <c r="AF23">
        <v>26</v>
      </c>
      <c r="AG23">
        <v>0</v>
      </c>
      <c r="AH23">
        <v>39</v>
      </c>
      <c r="AI23">
        <v>24</v>
      </c>
      <c r="AJ23">
        <v>31</v>
      </c>
      <c r="AK23">
        <v>39</v>
      </c>
      <c r="AL23">
        <v>0</v>
      </c>
      <c r="AM23">
        <v>0.12</v>
      </c>
      <c r="AN23">
        <v>2.8181818181818183</v>
      </c>
      <c r="AO23">
        <v>0</v>
      </c>
      <c r="AP23" t="s">
        <v>130</v>
      </c>
      <c r="AQ23" t="s">
        <v>131</v>
      </c>
      <c r="AR23" t="s">
        <v>194</v>
      </c>
      <c r="AS23">
        <v>696</v>
      </c>
      <c r="AT23">
        <v>634</v>
      </c>
      <c r="AU23">
        <v>0</v>
      </c>
      <c r="AV23">
        <v>0</v>
      </c>
      <c r="AW23">
        <v>1.33</v>
      </c>
      <c r="AX23">
        <v>0.12090909090909091</v>
      </c>
      <c r="AY23">
        <v>3.1436363636363636</v>
      </c>
      <c r="AZ23" t="s">
        <v>135</v>
      </c>
      <c r="BA23">
        <v>2.8563636363636364</v>
      </c>
      <c r="BB23">
        <v>23.624060150375939</v>
      </c>
      <c r="BC23" t="s">
        <v>144</v>
      </c>
      <c r="BD23">
        <v>1</v>
      </c>
      <c r="BE23" t="s">
        <v>133</v>
      </c>
      <c r="BF2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1.33</v>
      </c>
    </row>
    <row r="24" spans="1:58" x14ac:dyDescent="0.25">
      <c r="A24" t="s">
        <v>216</v>
      </c>
      <c r="B24" t="s">
        <v>19</v>
      </c>
      <c r="C24">
        <v>1</v>
      </c>
      <c r="D24">
        <v>23</v>
      </c>
      <c r="E24" t="s">
        <v>2108</v>
      </c>
      <c r="F24" t="s">
        <v>123</v>
      </c>
      <c r="G24" t="s">
        <v>124</v>
      </c>
      <c r="H24" t="s">
        <v>125</v>
      </c>
      <c r="I24" t="s">
        <v>126</v>
      </c>
      <c r="J24" t="s">
        <v>126</v>
      </c>
      <c r="K24" t="s">
        <v>127</v>
      </c>
      <c r="L24">
        <v>50</v>
      </c>
      <c r="M24">
        <v>937557</v>
      </c>
      <c r="N24">
        <v>6</v>
      </c>
      <c r="O24">
        <v>1</v>
      </c>
      <c r="P24" t="s">
        <v>128</v>
      </c>
      <c r="Q24" t="s">
        <v>129</v>
      </c>
      <c r="R24">
        <v>3</v>
      </c>
      <c r="T24">
        <v>14</v>
      </c>
      <c r="U24">
        <v>19</v>
      </c>
      <c r="V24">
        <v>2</v>
      </c>
      <c r="W24">
        <v>0</v>
      </c>
      <c r="X24">
        <v>2</v>
      </c>
      <c r="Y24">
        <v>0</v>
      </c>
      <c r="Z24">
        <v>16</v>
      </c>
      <c r="AA24">
        <v>21</v>
      </c>
      <c r="AB24">
        <v>50</v>
      </c>
      <c r="AC24">
        <v>28</v>
      </c>
      <c r="AD24">
        <v>2</v>
      </c>
      <c r="AE24">
        <v>0</v>
      </c>
      <c r="AF24">
        <v>30</v>
      </c>
      <c r="AG24">
        <v>0</v>
      </c>
      <c r="AH24">
        <v>22</v>
      </c>
      <c r="AI24">
        <v>20</v>
      </c>
      <c r="AJ24">
        <v>22</v>
      </c>
      <c r="AK24">
        <v>22</v>
      </c>
      <c r="AL24">
        <v>0</v>
      </c>
      <c r="AM24">
        <v>0.12</v>
      </c>
      <c r="AN24">
        <v>2</v>
      </c>
      <c r="AO24">
        <v>0</v>
      </c>
      <c r="AP24" t="s">
        <v>130</v>
      </c>
      <c r="AQ24" t="s">
        <v>131</v>
      </c>
      <c r="AR24" t="s">
        <v>194</v>
      </c>
      <c r="AS24">
        <v>1746</v>
      </c>
      <c r="AT24">
        <v>2035</v>
      </c>
      <c r="AU24">
        <v>0</v>
      </c>
      <c r="AV24">
        <v>0</v>
      </c>
      <c r="AW24">
        <v>3.7810000000000001</v>
      </c>
      <c r="AX24">
        <v>0.13503571428571429</v>
      </c>
      <c r="AY24">
        <v>4.0510714285714284</v>
      </c>
      <c r="AZ24" t="s">
        <v>135</v>
      </c>
      <c r="BA24">
        <v>1.9489285714285716</v>
      </c>
      <c r="BB24">
        <v>14.432689764612537</v>
      </c>
      <c r="BC24" t="s">
        <v>132</v>
      </c>
      <c r="BD24">
        <v>0</v>
      </c>
      <c r="BE24" t="s">
        <v>133</v>
      </c>
      <c r="BF2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3.7810000000000001</v>
      </c>
    </row>
    <row r="25" spans="1:58" x14ac:dyDescent="0.25">
      <c r="A25" t="s">
        <v>217</v>
      </c>
      <c r="B25" t="s">
        <v>19</v>
      </c>
      <c r="C25">
        <v>1</v>
      </c>
      <c r="D25">
        <v>24</v>
      </c>
      <c r="E25" t="s">
        <v>2108</v>
      </c>
      <c r="F25" t="s">
        <v>123</v>
      </c>
      <c r="G25" t="s">
        <v>124</v>
      </c>
      <c r="H25" t="s">
        <v>125</v>
      </c>
      <c r="I25" t="s">
        <v>126</v>
      </c>
      <c r="J25" t="s">
        <v>126</v>
      </c>
      <c r="K25" t="s">
        <v>127</v>
      </c>
      <c r="L25">
        <v>50</v>
      </c>
      <c r="M25">
        <v>937559</v>
      </c>
      <c r="N25">
        <v>6</v>
      </c>
      <c r="O25">
        <v>1</v>
      </c>
      <c r="P25" t="s">
        <v>128</v>
      </c>
      <c r="Q25" t="s">
        <v>129</v>
      </c>
      <c r="R25">
        <v>3</v>
      </c>
      <c r="T25">
        <v>11</v>
      </c>
      <c r="U25">
        <v>16</v>
      </c>
      <c r="V25">
        <v>0</v>
      </c>
      <c r="W25">
        <v>0</v>
      </c>
      <c r="X25">
        <v>0</v>
      </c>
      <c r="Y25">
        <v>0</v>
      </c>
      <c r="Z25">
        <v>11</v>
      </c>
      <c r="AA25">
        <v>16</v>
      </c>
      <c r="AB25">
        <v>50</v>
      </c>
      <c r="AC25">
        <v>28</v>
      </c>
      <c r="AD25">
        <v>0</v>
      </c>
      <c r="AE25">
        <v>0</v>
      </c>
      <c r="AF25">
        <v>28</v>
      </c>
      <c r="AG25">
        <v>0</v>
      </c>
      <c r="AH25">
        <v>22</v>
      </c>
      <c r="AI25">
        <v>22</v>
      </c>
      <c r="AJ25">
        <v>22</v>
      </c>
      <c r="AK25">
        <v>22</v>
      </c>
      <c r="AL25">
        <v>0</v>
      </c>
      <c r="AM25">
        <v>0.12</v>
      </c>
      <c r="AN25">
        <v>2</v>
      </c>
      <c r="AO25">
        <v>0</v>
      </c>
      <c r="AP25" t="s">
        <v>130</v>
      </c>
      <c r="AQ25" t="s">
        <v>131</v>
      </c>
      <c r="AR25" t="s">
        <v>194</v>
      </c>
      <c r="AS25">
        <v>1884</v>
      </c>
      <c r="AT25">
        <v>1702</v>
      </c>
      <c r="AU25">
        <v>0</v>
      </c>
      <c r="AV25">
        <v>0</v>
      </c>
      <c r="AW25">
        <v>3.5859999999999999</v>
      </c>
      <c r="AX25">
        <v>0.12807142857142856</v>
      </c>
      <c r="AY25">
        <v>3.5859999999999994</v>
      </c>
      <c r="AZ25" t="s">
        <v>135</v>
      </c>
      <c r="BA25">
        <v>2.4140000000000006</v>
      </c>
      <c r="BB25">
        <v>18.848856664807592</v>
      </c>
      <c r="BC25" t="s">
        <v>133</v>
      </c>
      <c r="BD25">
        <v>0</v>
      </c>
      <c r="BE25" t="s">
        <v>133</v>
      </c>
      <c r="BF2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3.5859999999999999</v>
      </c>
    </row>
    <row r="26" spans="1:58" x14ac:dyDescent="0.25">
      <c r="A26" t="s">
        <v>218</v>
      </c>
      <c r="B26" t="s">
        <v>19</v>
      </c>
      <c r="C26">
        <v>1</v>
      </c>
      <c r="D26">
        <v>25</v>
      </c>
      <c r="E26" t="s">
        <v>2108</v>
      </c>
      <c r="F26" t="s">
        <v>123</v>
      </c>
      <c r="G26" t="s">
        <v>124</v>
      </c>
      <c r="H26" t="s">
        <v>125</v>
      </c>
      <c r="I26" t="s">
        <v>126</v>
      </c>
      <c r="J26" t="s">
        <v>126</v>
      </c>
      <c r="K26" t="s">
        <v>127</v>
      </c>
      <c r="L26">
        <v>50</v>
      </c>
      <c r="M26">
        <v>937561</v>
      </c>
      <c r="N26">
        <v>6</v>
      </c>
      <c r="O26">
        <v>1</v>
      </c>
      <c r="P26" t="s">
        <v>128</v>
      </c>
      <c r="Q26" t="s">
        <v>129</v>
      </c>
      <c r="R26">
        <v>3</v>
      </c>
      <c r="T26">
        <v>12</v>
      </c>
      <c r="U26">
        <v>17</v>
      </c>
      <c r="V26">
        <v>0</v>
      </c>
      <c r="W26">
        <v>0</v>
      </c>
      <c r="X26">
        <v>0</v>
      </c>
      <c r="Y26">
        <v>0</v>
      </c>
      <c r="Z26">
        <v>12</v>
      </c>
      <c r="AA26">
        <v>17</v>
      </c>
      <c r="AB26">
        <v>50</v>
      </c>
      <c r="AC26">
        <v>27</v>
      </c>
      <c r="AD26">
        <v>0</v>
      </c>
      <c r="AE26">
        <v>0</v>
      </c>
      <c r="AF26">
        <v>27</v>
      </c>
      <c r="AG26">
        <v>0</v>
      </c>
      <c r="AH26">
        <v>23</v>
      </c>
      <c r="AI26">
        <v>23</v>
      </c>
      <c r="AJ26">
        <v>23</v>
      </c>
      <c r="AK26">
        <v>23</v>
      </c>
      <c r="AL26">
        <v>0</v>
      </c>
      <c r="AM26">
        <v>0.12</v>
      </c>
      <c r="AN26">
        <v>2.0909090909090908</v>
      </c>
      <c r="AO26">
        <v>0</v>
      </c>
      <c r="AP26" t="s">
        <v>130</v>
      </c>
      <c r="AQ26" t="s">
        <v>131</v>
      </c>
      <c r="AR26" t="s">
        <v>194</v>
      </c>
      <c r="AS26">
        <v>1998</v>
      </c>
      <c r="AT26">
        <v>1967</v>
      </c>
      <c r="AU26">
        <v>0</v>
      </c>
      <c r="AV26">
        <v>0</v>
      </c>
      <c r="AW26">
        <v>3.9649999999999999</v>
      </c>
      <c r="AX26">
        <v>0.14685185185185184</v>
      </c>
      <c r="AY26">
        <v>3.9649999999999999</v>
      </c>
      <c r="AZ26" t="s">
        <v>135</v>
      </c>
      <c r="BA26">
        <v>2.0350000000000001</v>
      </c>
      <c r="BB26">
        <v>13.857503152585121</v>
      </c>
      <c r="BC26" t="s">
        <v>133</v>
      </c>
      <c r="BD26">
        <v>0</v>
      </c>
      <c r="BE26" t="s">
        <v>133</v>
      </c>
      <c r="BF2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3.9649999999999999</v>
      </c>
    </row>
    <row r="27" spans="1:58" x14ac:dyDescent="0.25">
      <c r="A27" t="s">
        <v>219</v>
      </c>
      <c r="B27" t="s">
        <v>19</v>
      </c>
      <c r="C27">
        <v>1</v>
      </c>
      <c r="D27">
        <v>26</v>
      </c>
      <c r="E27" t="s">
        <v>2108</v>
      </c>
      <c r="F27" t="s">
        <v>123</v>
      </c>
      <c r="G27" t="s">
        <v>124</v>
      </c>
      <c r="H27" t="s">
        <v>125</v>
      </c>
      <c r="I27" t="s">
        <v>126</v>
      </c>
      <c r="J27" t="s">
        <v>126</v>
      </c>
      <c r="K27" t="s">
        <v>127</v>
      </c>
      <c r="L27">
        <v>50</v>
      </c>
      <c r="M27">
        <v>937563</v>
      </c>
      <c r="N27">
        <v>6</v>
      </c>
      <c r="O27">
        <v>1</v>
      </c>
      <c r="P27" t="s">
        <v>128</v>
      </c>
      <c r="Q27" t="s">
        <v>129</v>
      </c>
      <c r="R27">
        <v>3</v>
      </c>
      <c r="T27">
        <v>11</v>
      </c>
      <c r="U27">
        <v>16</v>
      </c>
      <c r="V27">
        <v>2</v>
      </c>
      <c r="W27">
        <v>0</v>
      </c>
      <c r="X27">
        <v>2</v>
      </c>
      <c r="Y27">
        <v>0</v>
      </c>
      <c r="Z27">
        <v>13</v>
      </c>
      <c r="AA27">
        <v>18</v>
      </c>
      <c r="AB27">
        <v>50</v>
      </c>
      <c r="AC27">
        <v>25</v>
      </c>
      <c r="AD27">
        <v>2</v>
      </c>
      <c r="AE27">
        <v>0</v>
      </c>
      <c r="AF27">
        <v>27</v>
      </c>
      <c r="AG27">
        <v>0</v>
      </c>
      <c r="AH27">
        <v>25</v>
      </c>
      <c r="AI27">
        <v>23</v>
      </c>
      <c r="AJ27">
        <v>25</v>
      </c>
      <c r="AK27">
        <v>25</v>
      </c>
      <c r="AL27">
        <v>0</v>
      </c>
      <c r="AM27">
        <v>0.12</v>
      </c>
      <c r="AN27">
        <v>2.2727272727272729</v>
      </c>
      <c r="AO27">
        <v>0</v>
      </c>
      <c r="AP27" t="s">
        <v>130</v>
      </c>
      <c r="AQ27" t="s">
        <v>131</v>
      </c>
      <c r="AR27" t="s">
        <v>194</v>
      </c>
      <c r="AS27">
        <v>1721</v>
      </c>
      <c r="AT27">
        <v>1719</v>
      </c>
      <c r="AU27">
        <v>0</v>
      </c>
      <c r="AV27">
        <v>0</v>
      </c>
      <c r="AW27">
        <v>3.44</v>
      </c>
      <c r="AX27">
        <v>0.1376</v>
      </c>
      <c r="AY27">
        <v>3.7151999999999998</v>
      </c>
      <c r="AZ27" t="s">
        <v>135</v>
      </c>
      <c r="BA27">
        <v>2.2848000000000002</v>
      </c>
      <c r="BB27">
        <v>16.604651162790699</v>
      </c>
      <c r="BC27" t="s">
        <v>133</v>
      </c>
      <c r="BD27">
        <v>0</v>
      </c>
      <c r="BE27" t="s">
        <v>133</v>
      </c>
      <c r="BF2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3.44</v>
      </c>
    </row>
    <row r="28" spans="1:58" x14ac:dyDescent="0.25">
      <c r="A28" t="s">
        <v>220</v>
      </c>
      <c r="B28" t="s">
        <v>19</v>
      </c>
      <c r="C28">
        <v>1</v>
      </c>
      <c r="D28">
        <v>27</v>
      </c>
      <c r="E28" t="s">
        <v>2108</v>
      </c>
      <c r="F28" t="s">
        <v>123</v>
      </c>
      <c r="G28" t="s">
        <v>124</v>
      </c>
      <c r="H28" t="s">
        <v>125</v>
      </c>
      <c r="I28" t="s">
        <v>126</v>
      </c>
      <c r="J28" t="s">
        <v>126</v>
      </c>
      <c r="K28" t="s">
        <v>127</v>
      </c>
      <c r="L28">
        <v>50</v>
      </c>
      <c r="M28">
        <v>937565</v>
      </c>
      <c r="N28">
        <v>6</v>
      </c>
      <c r="O28">
        <v>1</v>
      </c>
      <c r="P28" t="s">
        <v>128</v>
      </c>
      <c r="Q28" t="s">
        <v>129</v>
      </c>
      <c r="R28">
        <v>3</v>
      </c>
      <c r="T28">
        <v>22</v>
      </c>
      <c r="U28">
        <v>27</v>
      </c>
      <c r="V28">
        <v>2</v>
      </c>
      <c r="W28">
        <v>0</v>
      </c>
      <c r="X28">
        <v>2</v>
      </c>
      <c r="Y28">
        <v>2</v>
      </c>
      <c r="Z28">
        <v>26</v>
      </c>
      <c r="AA28">
        <v>31</v>
      </c>
      <c r="AB28">
        <v>50</v>
      </c>
      <c r="AC28">
        <v>35</v>
      </c>
      <c r="AD28">
        <v>3</v>
      </c>
      <c r="AE28">
        <v>2</v>
      </c>
      <c r="AF28">
        <v>40</v>
      </c>
      <c r="AG28">
        <v>0</v>
      </c>
      <c r="AH28">
        <v>15</v>
      </c>
      <c r="AI28">
        <v>10</v>
      </c>
      <c r="AJ28">
        <v>13</v>
      </c>
      <c r="AK28">
        <v>15</v>
      </c>
      <c r="AL28">
        <v>0</v>
      </c>
      <c r="AM28">
        <v>0.12</v>
      </c>
      <c r="AN28">
        <v>1.1818181818181819</v>
      </c>
      <c r="AO28">
        <v>0</v>
      </c>
      <c r="AP28" t="s">
        <v>130</v>
      </c>
      <c r="AQ28" t="s">
        <v>131</v>
      </c>
      <c r="AR28" t="s">
        <v>194</v>
      </c>
      <c r="AS28">
        <v>2980</v>
      </c>
      <c r="AT28">
        <v>2983</v>
      </c>
      <c r="AU28">
        <v>0</v>
      </c>
      <c r="AV28">
        <v>0</v>
      </c>
      <c r="AW28">
        <v>5.9630000000000001</v>
      </c>
      <c r="AX28">
        <v>0.17037142857142856</v>
      </c>
      <c r="AY28">
        <v>6.8148571428571429</v>
      </c>
      <c r="AZ28" t="s">
        <v>135</v>
      </c>
      <c r="BA28">
        <v>-0.81485714285714295</v>
      </c>
      <c r="BB28">
        <v>-4.7828274358544363</v>
      </c>
      <c r="BC28" t="s">
        <v>133</v>
      </c>
      <c r="BD28">
        <v>0</v>
      </c>
      <c r="BE28" t="s">
        <v>133</v>
      </c>
      <c r="BF2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5.9630000000000001</v>
      </c>
    </row>
    <row r="29" spans="1:58" x14ac:dyDescent="0.25">
      <c r="A29" t="s">
        <v>221</v>
      </c>
      <c r="B29" t="s">
        <v>19</v>
      </c>
      <c r="C29">
        <v>1</v>
      </c>
      <c r="D29">
        <v>28</v>
      </c>
      <c r="E29" t="s">
        <v>2108</v>
      </c>
      <c r="F29" t="s">
        <v>123</v>
      </c>
      <c r="G29" t="s">
        <v>124</v>
      </c>
      <c r="H29" t="s">
        <v>136</v>
      </c>
      <c r="I29" t="s">
        <v>137</v>
      </c>
      <c r="J29" t="s">
        <v>138</v>
      </c>
      <c r="K29" t="s">
        <v>127</v>
      </c>
      <c r="L29">
        <v>50</v>
      </c>
      <c r="M29">
        <v>937567</v>
      </c>
      <c r="N29">
        <v>5</v>
      </c>
      <c r="O29">
        <v>1</v>
      </c>
      <c r="P29" t="s">
        <v>128</v>
      </c>
      <c r="Q29" t="s">
        <v>129</v>
      </c>
      <c r="R29">
        <v>3</v>
      </c>
      <c r="T29">
        <v>0</v>
      </c>
      <c r="U29">
        <v>4</v>
      </c>
      <c r="V29">
        <v>0</v>
      </c>
      <c r="W29">
        <v>0</v>
      </c>
      <c r="X29">
        <v>0</v>
      </c>
      <c r="Y29">
        <v>0</v>
      </c>
      <c r="Z29">
        <v>0</v>
      </c>
      <c r="AA29">
        <v>4</v>
      </c>
      <c r="AB29">
        <v>50</v>
      </c>
      <c r="AC29">
        <v>4</v>
      </c>
      <c r="AD29">
        <v>0</v>
      </c>
      <c r="AE29">
        <v>0</v>
      </c>
      <c r="AF29">
        <v>4</v>
      </c>
      <c r="AG29">
        <v>0</v>
      </c>
      <c r="AH29">
        <v>46</v>
      </c>
      <c r="AI29">
        <v>46</v>
      </c>
      <c r="AJ29">
        <v>46</v>
      </c>
      <c r="AK29">
        <v>46</v>
      </c>
      <c r="AL29">
        <v>0</v>
      </c>
      <c r="AM29">
        <v>0.1</v>
      </c>
      <c r="AN29">
        <v>4.1818181818181817</v>
      </c>
      <c r="AO29">
        <v>0</v>
      </c>
      <c r="AP29" t="s">
        <v>139</v>
      </c>
      <c r="AQ29" t="s">
        <v>131</v>
      </c>
      <c r="AR29" t="s">
        <v>194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 t="s">
        <v>134</v>
      </c>
      <c r="BA29">
        <v>5</v>
      </c>
      <c r="BB29">
        <v>0</v>
      </c>
      <c r="BC29" t="s">
        <v>133</v>
      </c>
      <c r="BD29">
        <v>0</v>
      </c>
      <c r="BE29" t="s">
        <v>133</v>
      </c>
      <c r="BF2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30" spans="1:58" x14ac:dyDescent="0.25">
      <c r="A30" t="s">
        <v>222</v>
      </c>
      <c r="B30" t="s">
        <v>19</v>
      </c>
      <c r="C30">
        <v>1</v>
      </c>
      <c r="D30">
        <v>29</v>
      </c>
      <c r="E30" t="s">
        <v>2108</v>
      </c>
      <c r="F30" t="s">
        <v>123</v>
      </c>
      <c r="G30" t="s">
        <v>124</v>
      </c>
      <c r="H30" t="s">
        <v>125</v>
      </c>
      <c r="I30" t="s">
        <v>126</v>
      </c>
      <c r="J30" t="s">
        <v>126</v>
      </c>
      <c r="K30" t="s">
        <v>127</v>
      </c>
      <c r="L30">
        <v>50</v>
      </c>
      <c r="M30">
        <v>937569</v>
      </c>
      <c r="N30">
        <v>6</v>
      </c>
      <c r="O30">
        <v>1</v>
      </c>
      <c r="P30" t="s">
        <v>128</v>
      </c>
      <c r="Q30" t="s">
        <v>129</v>
      </c>
      <c r="R30">
        <v>3</v>
      </c>
      <c r="T30">
        <v>14</v>
      </c>
      <c r="U30">
        <v>19</v>
      </c>
      <c r="V30">
        <v>0</v>
      </c>
      <c r="W30">
        <v>0</v>
      </c>
      <c r="X30">
        <v>0</v>
      </c>
      <c r="Y30">
        <v>4</v>
      </c>
      <c r="Z30">
        <v>18</v>
      </c>
      <c r="AA30">
        <v>23</v>
      </c>
      <c r="AB30">
        <v>50</v>
      </c>
      <c r="AC30">
        <v>22</v>
      </c>
      <c r="AD30">
        <v>0</v>
      </c>
      <c r="AE30">
        <v>8</v>
      </c>
      <c r="AF30">
        <v>30</v>
      </c>
      <c r="AG30">
        <v>0</v>
      </c>
      <c r="AH30">
        <v>28</v>
      </c>
      <c r="AI30">
        <v>20</v>
      </c>
      <c r="AJ30">
        <v>20</v>
      </c>
      <c r="AK30">
        <v>28</v>
      </c>
      <c r="AL30">
        <v>0</v>
      </c>
      <c r="AM30">
        <v>0.12</v>
      </c>
      <c r="AN30">
        <v>1.8181818181818183</v>
      </c>
      <c r="AO30">
        <v>0</v>
      </c>
      <c r="AP30" t="s">
        <v>130</v>
      </c>
      <c r="AQ30" t="s">
        <v>131</v>
      </c>
      <c r="AR30" t="s">
        <v>194</v>
      </c>
      <c r="AS30">
        <v>1705</v>
      </c>
      <c r="AT30">
        <v>1994</v>
      </c>
      <c r="AU30">
        <v>0</v>
      </c>
      <c r="AV30">
        <v>0</v>
      </c>
      <c r="AW30">
        <v>3.6989999999999998</v>
      </c>
      <c r="AX30">
        <v>0.16813636363636364</v>
      </c>
      <c r="AY30">
        <v>5.044090909090909</v>
      </c>
      <c r="AZ30" t="s">
        <v>135</v>
      </c>
      <c r="BA30">
        <v>0.95590909090909104</v>
      </c>
      <c r="BB30">
        <v>5.6853203568532047</v>
      </c>
      <c r="BC30" t="s">
        <v>133</v>
      </c>
      <c r="BD30">
        <v>0</v>
      </c>
      <c r="BE30" t="s">
        <v>133</v>
      </c>
      <c r="BF3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3.6989999999999998</v>
      </c>
    </row>
    <row r="31" spans="1:58" x14ac:dyDescent="0.25">
      <c r="A31" t="s">
        <v>223</v>
      </c>
      <c r="B31" t="s">
        <v>19</v>
      </c>
      <c r="C31">
        <v>1</v>
      </c>
      <c r="D31">
        <v>30</v>
      </c>
      <c r="E31" t="s">
        <v>2108</v>
      </c>
      <c r="F31" t="s">
        <v>123</v>
      </c>
      <c r="G31" t="s">
        <v>124</v>
      </c>
      <c r="H31" t="s">
        <v>125</v>
      </c>
      <c r="I31" t="s">
        <v>126</v>
      </c>
      <c r="J31" t="s">
        <v>126</v>
      </c>
      <c r="K31" t="s">
        <v>127</v>
      </c>
      <c r="L31">
        <v>50</v>
      </c>
      <c r="M31">
        <v>937571</v>
      </c>
      <c r="N31">
        <v>6</v>
      </c>
      <c r="O31">
        <v>1</v>
      </c>
      <c r="P31" t="s">
        <v>128</v>
      </c>
      <c r="Q31" t="s">
        <v>129</v>
      </c>
      <c r="R31">
        <v>3</v>
      </c>
      <c r="T31">
        <v>8</v>
      </c>
      <c r="U31">
        <v>13</v>
      </c>
      <c r="V31">
        <v>0</v>
      </c>
      <c r="W31">
        <v>0</v>
      </c>
      <c r="X31">
        <v>0</v>
      </c>
      <c r="Y31">
        <v>6</v>
      </c>
      <c r="Z31">
        <v>14</v>
      </c>
      <c r="AA31">
        <v>19</v>
      </c>
      <c r="AB31">
        <v>50</v>
      </c>
      <c r="AC31">
        <v>16</v>
      </c>
      <c r="AD31">
        <v>0</v>
      </c>
      <c r="AE31">
        <v>10</v>
      </c>
      <c r="AF31">
        <v>26</v>
      </c>
      <c r="AG31">
        <v>0</v>
      </c>
      <c r="AH31">
        <v>34</v>
      </c>
      <c r="AI31">
        <v>24</v>
      </c>
      <c r="AJ31">
        <v>24</v>
      </c>
      <c r="AK31">
        <v>34</v>
      </c>
      <c r="AL31">
        <v>0</v>
      </c>
      <c r="AM31">
        <v>0.12</v>
      </c>
      <c r="AN31">
        <v>2.1818181818181817</v>
      </c>
      <c r="AO31">
        <v>0</v>
      </c>
      <c r="AP31" t="s">
        <v>130</v>
      </c>
      <c r="AQ31" t="s">
        <v>131</v>
      </c>
      <c r="AR31" t="s">
        <v>194</v>
      </c>
      <c r="AS31">
        <v>1158</v>
      </c>
      <c r="AT31">
        <v>1153</v>
      </c>
      <c r="AU31">
        <v>0</v>
      </c>
      <c r="AV31">
        <v>0</v>
      </c>
      <c r="AW31">
        <v>2.3109999999999999</v>
      </c>
      <c r="AX31">
        <v>0.1444375</v>
      </c>
      <c r="AY31">
        <v>3.7553749999999999</v>
      </c>
      <c r="AZ31" t="s">
        <v>135</v>
      </c>
      <c r="BA31">
        <v>2.2446250000000001</v>
      </c>
      <c r="BB31">
        <v>15.540458675897881</v>
      </c>
      <c r="BC31" t="s">
        <v>133</v>
      </c>
      <c r="BD31">
        <v>0</v>
      </c>
      <c r="BE31" t="s">
        <v>133</v>
      </c>
      <c r="BF3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2.3109999999999999</v>
      </c>
    </row>
    <row r="32" spans="1:58" x14ac:dyDescent="0.25">
      <c r="A32" t="s">
        <v>224</v>
      </c>
      <c r="B32" t="s">
        <v>19</v>
      </c>
      <c r="C32">
        <v>1</v>
      </c>
      <c r="D32">
        <v>31</v>
      </c>
      <c r="E32" t="s">
        <v>2108</v>
      </c>
      <c r="F32" t="s">
        <v>123</v>
      </c>
      <c r="G32" t="s">
        <v>124</v>
      </c>
      <c r="H32" t="s">
        <v>125</v>
      </c>
      <c r="I32" t="s">
        <v>126</v>
      </c>
      <c r="J32" t="s">
        <v>126</v>
      </c>
      <c r="K32" t="s">
        <v>127</v>
      </c>
      <c r="L32">
        <v>50</v>
      </c>
      <c r="M32">
        <v>937573</v>
      </c>
      <c r="N32">
        <v>6</v>
      </c>
      <c r="O32">
        <v>1</v>
      </c>
      <c r="P32" t="s">
        <v>128</v>
      </c>
      <c r="Q32" t="s">
        <v>129</v>
      </c>
      <c r="R32">
        <v>3</v>
      </c>
      <c r="T32">
        <v>18</v>
      </c>
      <c r="U32">
        <v>23</v>
      </c>
      <c r="V32">
        <v>1</v>
      </c>
      <c r="W32">
        <v>0</v>
      </c>
      <c r="X32">
        <v>1</v>
      </c>
      <c r="Y32">
        <v>0</v>
      </c>
      <c r="Z32">
        <v>19</v>
      </c>
      <c r="AA32">
        <v>24</v>
      </c>
      <c r="AB32">
        <v>50</v>
      </c>
      <c r="AC32">
        <v>31</v>
      </c>
      <c r="AD32">
        <v>1</v>
      </c>
      <c r="AE32">
        <v>0</v>
      </c>
      <c r="AF32">
        <v>32</v>
      </c>
      <c r="AG32">
        <v>0</v>
      </c>
      <c r="AH32">
        <v>19</v>
      </c>
      <c r="AI32">
        <v>18</v>
      </c>
      <c r="AJ32">
        <v>19</v>
      </c>
      <c r="AK32">
        <v>19</v>
      </c>
      <c r="AL32">
        <v>0</v>
      </c>
      <c r="AM32">
        <v>0.12</v>
      </c>
      <c r="AN32">
        <v>1.7272727272727273</v>
      </c>
      <c r="AO32">
        <v>0</v>
      </c>
      <c r="AP32" t="s">
        <v>130</v>
      </c>
      <c r="AQ32" t="s">
        <v>131</v>
      </c>
      <c r="AR32" t="s">
        <v>194</v>
      </c>
      <c r="AS32">
        <v>2584</v>
      </c>
      <c r="AT32">
        <v>2418</v>
      </c>
      <c r="AU32">
        <v>0</v>
      </c>
      <c r="AV32">
        <v>0</v>
      </c>
      <c r="AW32">
        <v>5.0019999999999998</v>
      </c>
      <c r="AX32">
        <v>0.1613548387096774</v>
      </c>
      <c r="AY32">
        <v>5.1633548387096768</v>
      </c>
      <c r="AZ32" t="s">
        <v>135</v>
      </c>
      <c r="BA32">
        <v>0.83664516129032318</v>
      </c>
      <c r="BB32">
        <v>5.185125949620156</v>
      </c>
      <c r="BC32" t="s">
        <v>133</v>
      </c>
      <c r="BD32">
        <v>0</v>
      </c>
      <c r="BE32" t="s">
        <v>133</v>
      </c>
      <c r="BF3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5.0019999999999998</v>
      </c>
    </row>
    <row r="33" spans="1:58" x14ac:dyDescent="0.25">
      <c r="A33" t="s">
        <v>225</v>
      </c>
      <c r="B33" t="s">
        <v>19</v>
      </c>
      <c r="C33">
        <v>1</v>
      </c>
      <c r="D33">
        <v>32</v>
      </c>
      <c r="E33" t="s">
        <v>2108</v>
      </c>
      <c r="F33" t="s">
        <v>123</v>
      </c>
      <c r="G33" t="s">
        <v>124</v>
      </c>
      <c r="H33" t="s">
        <v>125</v>
      </c>
      <c r="I33" t="s">
        <v>126</v>
      </c>
      <c r="J33" t="s">
        <v>126</v>
      </c>
      <c r="K33" t="s">
        <v>127</v>
      </c>
      <c r="L33">
        <v>50</v>
      </c>
      <c r="M33">
        <v>937575</v>
      </c>
      <c r="N33">
        <v>6</v>
      </c>
      <c r="O33">
        <v>1</v>
      </c>
      <c r="P33" t="s">
        <v>128</v>
      </c>
      <c r="Q33" t="s">
        <v>129</v>
      </c>
      <c r="R33">
        <v>3</v>
      </c>
      <c r="T33">
        <v>12</v>
      </c>
      <c r="U33">
        <v>17</v>
      </c>
      <c r="V33">
        <v>1</v>
      </c>
      <c r="W33">
        <v>0</v>
      </c>
      <c r="X33">
        <v>1</v>
      </c>
      <c r="Y33">
        <v>4</v>
      </c>
      <c r="Z33">
        <v>17</v>
      </c>
      <c r="AA33">
        <v>22</v>
      </c>
      <c r="AB33">
        <v>50</v>
      </c>
      <c r="AC33">
        <v>21</v>
      </c>
      <c r="AD33">
        <v>1</v>
      </c>
      <c r="AE33">
        <v>5</v>
      </c>
      <c r="AF33">
        <v>27</v>
      </c>
      <c r="AG33">
        <v>0</v>
      </c>
      <c r="AH33">
        <v>29</v>
      </c>
      <c r="AI33">
        <v>23</v>
      </c>
      <c r="AJ33">
        <v>24</v>
      </c>
      <c r="AK33">
        <v>29</v>
      </c>
      <c r="AL33">
        <v>0</v>
      </c>
      <c r="AM33">
        <v>0.12</v>
      </c>
      <c r="AN33">
        <v>2.1818181818181817</v>
      </c>
      <c r="AO33">
        <v>0</v>
      </c>
      <c r="AP33" t="s">
        <v>130</v>
      </c>
      <c r="AQ33" t="s">
        <v>131</v>
      </c>
      <c r="AR33" t="s">
        <v>194</v>
      </c>
      <c r="AS33">
        <v>1453</v>
      </c>
      <c r="AT33">
        <v>1415</v>
      </c>
      <c r="AU33">
        <v>0</v>
      </c>
      <c r="AV33">
        <v>0</v>
      </c>
      <c r="AW33">
        <v>2.8679999999999999</v>
      </c>
      <c r="AX33">
        <v>0.13657142857142857</v>
      </c>
      <c r="AY33">
        <v>3.6874285714285713</v>
      </c>
      <c r="AZ33" t="s">
        <v>135</v>
      </c>
      <c r="BA33">
        <v>2.3125714285714287</v>
      </c>
      <c r="BB33">
        <v>16.93305439330544</v>
      </c>
      <c r="BC33" t="s">
        <v>133</v>
      </c>
      <c r="BD33">
        <v>0</v>
      </c>
      <c r="BE33" t="s">
        <v>133</v>
      </c>
      <c r="BF3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2.8679999999999999</v>
      </c>
    </row>
    <row r="34" spans="1:58" x14ac:dyDescent="0.25">
      <c r="A34" t="s">
        <v>226</v>
      </c>
      <c r="B34" t="s">
        <v>19</v>
      </c>
      <c r="C34">
        <v>1</v>
      </c>
      <c r="D34">
        <v>33</v>
      </c>
      <c r="E34" t="s">
        <v>2108</v>
      </c>
      <c r="F34" t="s">
        <v>123</v>
      </c>
      <c r="G34" t="s">
        <v>124</v>
      </c>
      <c r="H34" t="s">
        <v>125</v>
      </c>
      <c r="I34" t="s">
        <v>126</v>
      </c>
      <c r="J34" t="s">
        <v>126</v>
      </c>
      <c r="K34" t="s">
        <v>127</v>
      </c>
      <c r="L34">
        <v>50</v>
      </c>
      <c r="M34">
        <v>937577</v>
      </c>
      <c r="N34">
        <v>6</v>
      </c>
      <c r="O34">
        <v>1</v>
      </c>
      <c r="P34" t="s">
        <v>128</v>
      </c>
      <c r="Q34" t="s">
        <v>129</v>
      </c>
      <c r="R34">
        <v>3</v>
      </c>
      <c r="T34">
        <v>8</v>
      </c>
      <c r="U34">
        <v>13</v>
      </c>
      <c r="V34">
        <v>1</v>
      </c>
      <c r="W34">
        <v>0</v>
      </c>
      <c r="X34">
        <v>1</v>
      </c>
      <c r="Y34">
        <v>2</v>
      </c>
      <c r="Z34">
        <v>11</v>
      </c>
      <c r="AA34">
        <v>16</v>
      </c>
      <c r="AB34">
        <v>50</v>
      </c>
      <c r="AC34">
        <v>14</v>
      </c>
      <c r="AD34">
        <v>1</v>
      </c>
      <c r="AE34">
        <v>5</v>
      </c>
      <c r="AF34">
        <v>20</v>
      </c>
      <c r="AG34">
        <v>0</v>
      </c>
      <c r="AH34">
        <v>36</v>
      </c>
      <c r="AI34">
        <v>30</v>
      </c>
      <c r="AJ34">
        <v>31</v>
      </c>
      <c r="AK34">
        <v>36</v>
      </c>
      <c r="AL34">
        <v>0</v>
      </c>
      <c r="AM34">
        <v>0.12</v>
      </c>
      <c r="AN34">
        <v>2.8181818181818183</v>
      </c>
      <c r="AO34">
        <v>0</v>
      </c>
      <c r="AP34" t="s">
        <v>130</v>
      </c>
      <c r="AQ34" t="s">
        <v>131</v>
      </c>
      <c r="AR34" t="s">
        <v>194</v>
      </c>
      <c r="AS34">
        <v>1323</v>
      </c>
      <c r="AT34">
        <v>1134</v>
      </c>
      <c r="AU34">
        <v>0</v>
      </c>
      <c r="AV34">
        <v>0</v>
      </c>
      <c r="AW34">
        <v>2.4569999999999999</v>
      </c>
      <c r="AX34">
        <v>0.17549999999999999</v>
      </c>
      <c r="AY34">
        <v>3.51</v>
      </c>
      <c r="AZ34" t="s">
        <v>135</v>
      </c>
      <c r="BA34">
        <v>2.4900000000000002</v>
      </c>
      <c r="BB34">
        <v>14.188034188034191</v>
      </c>
      <c r="BC34" t="s">
        <v>144</v>
      </c>
      <c r="BD34">
        <v>0</v>
      </c>
      <c r="BE34" t="s">
        <v>133</v>
      </c>
      <c r="BF3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2.4569999999999999</v>
      </c>
    </row>
    <row r="35" spans="1:58" x14ac:dyDescent="0.25">
      <c r="A35" t="s">
        <v>227</v>
      </c>
      <c r="B35" t="s">
        <v>19</v>
      </c>
      <c r="C35">
        <v>1</v>
      </c>
      <c r="D35">
        <v>34</v>
      </c>
      <c r="E35" t="s">
        <v>2109</v>
      </c>
      <c r="F35" t="s">
        <v>123</v>
      </c>
      <c r="G35" t="s">
        <v>124</v>
      </c>
      <c r="H35" t="s">
        <v>125</v>
      </c>
      <c r="I35" t="s">
        <v>183</v>
      </c>
      <c r="J35" t="s">
        <v>140</v>
      </c>
      <c r="K35" t="s">
        <v>127</v>
      </c>
      <c r="L35">
        <v>0</v>
      </c>
      <c r="M35">
        <v>3450464</v>
      </c>
      <c r="N35">
        <v>20</v>
      </c>
      <c r="O35">
        <v>1</v>
      </c>
      <c r="P35" t="s">
        <v>128</v>
      </c>
      <c r="Q35" t="s">
        <v>129</v>
      </c>
      <c r="R35">
        <v>4</v>
      </c>
      <c r="S35" t="s">
        <v>228</v>
      </c>
      <c r="T35">
        <v>22</v>
      </c>
      <c r="U35">
        <v>25</v>
      </c>
      <c r="V35">
        <v>0</v>
      </c>
      <c r="W35">
        <v>0</v>
      </c>
      <c r="X35">
        <v>0</v>
      </c>
      <c r="Y35">
        <v>0</v>
      </c>
      <c r="Z35">
        <v>22</v>
      </c>
      <c r="AA35">
        <v>25</v>
      </c>
      <c r="AB35">
        <v>50</v>
      </c>
      <c r="AC35">
        <v>49</v>
      </c>
      <c r="AD35">
        <v>0</v>
      </c>
      <c r="AE35">
        <v>0</v>
      </c>
      <c r="AF35">
        <v>49</v>
      </c>
      <c r="AG35">
        <v>0</v>
      </c>
      <c r="AH35">
        <v>1</v>
      </c>
      <c r="AI35">
        <v>1</v>
      </c>
      <c r="AJ35">
        <v>1</v>
      </c>
      <c r="AK35">
        <v>1</v>
      </c>
      <c r="AL35">
        <v>0</v>
      </c>
      <c r="AM35">
        <v>0.4</v>
      </c>
      <c r="AN35">
        <v>9.0909090909090912E-2</v>
      </c>
      <c r="AO35">
        <v>0</v>
      </c>
      <c r="AP35" t="s">
        <v>188</v>
      </c>
      <c r="AQ35" t="s">
        <v>131</v>
      </c>
      <c r="AR35" t="s">
        <v>229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 t="s">
        <v>134</v>
      </c>
      <c r="BA35">
        <v>20</v>
      </c>
      <c r="BB35">
        <v>0</v>
      </c>
      <c r="BC35" t="s">
        <v>132</v>
      </c>
      <c r="BD35">
        <v>0</v>
      </c>
      <c r="BE35" t="s">
        <v>133</v>
      </c>
      <c r="BF3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36" spans="1:58" x14ac:dyDescent="0.25">
      <c r="A36" t="s">
        <v>230</v>
      </c>
      <c r="B36" t="s">
        <v>19</v>
      </c>
      <c r="C36">
        <v>1</v>
      </c>
      <c r="D36">
        <v>35</v>
      </c>
      <c r="E36" t="s">
        <v>2109</v>
      </c>
      <c r="F36" t="s">
        <v>123</v>
      </c>
      <c r="G36" t="s">
        <v>124</v>
      </c>
      <c r="H36" t="s">
        <v>125</v>
      </c>
      <c r="I36" t="s">
        <v>183</v>
      </c>
      <c r="J36" t="s">
        <v>140</v>
      </c>
      <c r="K36" t="s">
        <v>127</v>
      </c>
      <c r="L36">
        <v>0</v>
      </c>
      <c r="M36">
        <v>3450466</v>
      </c>
      <c r="N36">
        <v>20</v>
      </c>
      <c r="O36">
        <v>1</v>
      </c>
      <c r="P36" t="s">
        <v>128</v>
      </c>
      <c r="Q36" t="s">
        <v>129</v>
      </c>
      <c r="R36">
        <v>4</v>
      </c>
      <c r="S36" t="s">
        <v>228</v>
      </c>
      <c r="T36">
        <v>22</v>
      </c>
      <c r="U36">
        <v>25</v>
      </c>
      <c r="V36">
        <v>0</v>
      </c>
      <c r="W36">
        <v>0</v>
      </c>
      <c r="X36">
        <v>0</v>
      </c>
      <c r="Y36">
        <v>0</v>
      </c>
      <c r="Z36">
        <v>22</v>
      </c>
      <c r="AA36">
        <v>25</v>
      </c>
      <c r="AB36">
        <v>50</v>
      </c>
      <c r="AC36">
        <v>49</v>
      </c>
      <c r="AD36">
        <v>0</v>
      </c>
      <c r="AE36">
        <v>0</v>
      </c>
      <c r="AF36">
        <v>49</v>
      </c>
      <c r="AG36">
        <v>0</v>
      </c>
      <c r="AH36">
        <v>1</v>
      </c>
      <c r="AI36">
        <v>1</v>
      </c>
      <c r="AJ36">
        <v>1</v>
      </c>
      <c r="AK36">
        <v>1</v>
      </c>
      <c r="AL36">
        <v>0</v>
      </c>
      <c r="AM36">
        <v>0.4</v>
      </c>
      <c r="AN36">
        <v>9.0909090909090912E-2</v>
      </c>
      <c r="AO36">
        <v>0</v>
      </c>
      <c r="AP36" t="s">
        <v>188</v>
      </c>
      <c r="AQ36" t="s">
        <v>131</v>
      </c>
      <c r="AR36" t="s">
        <v>229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 t="s">
        <v>147</v>
      </c>
      <c r="BA36">
        <v>20</v>
      </c>
      <c r="BB36">
        <v>0</v>
      </c>
      <c r="BC36" t="s">
        <v>133</v>
      </c>
      <c r="BD36">
        <v>0</v>
      </c>
      <c r="BE36" t="s">
        <v>133</v>
      </c>
      <c r="BF3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37" spans="1:58" x14ac:dyDescent="0.25">
      <c r="A37" t="s">
        <v>231</v>
      </c>
      <c r="B37" t="s">
        <v>19</v>
      </c>
      <c r="C37">
        <v>1</v>
      </c>
      <c r="D37">
        <v>36</v>
      </c>
      <c r="E37" t="s">
        <v>2109</v>
      </c>
      <c r="F37" t="s">
        <v>123</v>
      </c>
      <c r="G37" t="s">
        <v>124</v>
      </c>
      <c r="H37" t="s">
        <v>125</v>
      </c>
      <c r="I37" t="s">
        <v>183</v>
      </c>
      <c r="J37" t="s">
        <v>140</v>
      </c>
      <c r="K37" t="s">
        <v>127</v>
      </c>
      <c r="L37">
        <v>0</v>
      </c>
      <c r="M37">
        <v>3450468</v>
      </c>
      <c r="N37">
        <v>20</v>
      </c>
      <c r="O37">
        <v>1</v>
      </c>
      <c r="P37" t="s">
        <v>128</v>
      </c>
      <c r="Q37" t="s">
        <v>129</v>
      </c>
      <c r="R37">
        <v>4</v>
      </c>
      <c r="S37" t="s">
        <v>228</v>
      </c>
      <c r="T37">
        <v>22</v>
      </c>
      <c r="U37">
        <v>25</v>
      </c>
      <c r="V37">
        <v>0</v>
      </c>
      <c r="W37">
        <v>0</v>
      </c>
      <c r="X37">
        <v>0</v>
      </c>
      <c r="Y37">
        <v>0</v>
      </c>
      <c r="Z37">
        <v>22</v>
      </c>
      <c r="AA37">
        <v>25</v>
      </c>
      <c r="AB37">
        <v>50</v>
      </c>
      <c r="AC37">
        <v>49</v>
      </c>
      <c r="AD37">
        <v>0</v>
      </c>
      <c r="AE37">
        <v>0</v>
      </c>
      <c r="AF37">
        <v>49</v>
      </c>
      <c r="AG37">
        <v>0</v>
      </c>
      <c r="AH37">
        <v>1</v>
      </c>
      <c r="AI37">
        <v>1</v>
      </c>
      <c r="AJ37">
        <v>1</v>
      </c>
      <c r="AK37">
        <v>1</v>
      </c>
      <c r="AL37">
        <v>0</v>
      </c>
      <c r="AM37">
        <v>0.4</v>
      </c>
      <c r="AN37">
        <v>9.0909090909090912E-2</v>
      </c>
      <c r="AO37">
        <v>0</v>
      </c>
      <c r="AP37" t="s">
        <v>188</v>
      </c>
      <c r="AQ37" t="s">
        <v>131</v>
      </c>
      <c r="AR37" t="s">
        <v>229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 t="s">
        <v>147</v>
      </c>
      <c r="BA37">
        <v>20</v>
      </c>
      <c r="BB37">
        <v>0</v>
      </c>
      <c r="BC37" t="s">
        <v>133</v>
      </c>
      <c r="BD37">
        <v>0</v>
      </c>
      <c r="BE37" t="s">
        <v>133</v>
      </c>
      <c r="BF3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38" spans="1:58" x14ac:dyDescent="0.25">
      <c r="A38" t="s">
        <v>232</v>
      </c>
      <c r="B38" t="s">
        <v>19</v>
      </c>
      <c r="C38">
        <v>1</v>
      </c>
      <c r="D38">
        <v>37</v>
      </c>
      <c r="E38" t="s">
        <v>2109</v>
      </c>
      <c r="F38" t="s">
        <v>123</v>
      </c>
      <c r="G38" t="s">
        <v>124</v>
      </c>
      <c r="H38" t="s">
        <v>125</v>
      </c>
      <c r="I38" t="s">
        <v>183</v>
      </c>
      <c r="J38" t="s">
        <v>140</v>
      </c>
      <c r="K38" t="s">
        <v>127</v>
      </c>
      <c r="L38">
        <v>50</v>
      </c>
      <c r="M38">
        <v>3464314</v>
      </c>
      <c r="N38">
        <v>20</v>
      </c>
      <c r="O38">
        <v>1</v>
      </c>
      <c r="P38" t="s">
        <v>128</v>
      </c>
      <c r="Q38" t="s">
        <v>129</v>
      </c>
      <c r="R38">
        <v>4</v>
      </c>
      <c r="S38" t="s">
        <v>233</v>
      </c>
      <c r="T38">
        <v>22</v>
      </c>
      <c r="U38">
        <v>25</v>
      </c>
      <c r="V38">
        <v>0</v>
      </c>
      <c r="W38">
        <v>0</v>
      </c>
      <c r="X38">
        <v>0</v>
      </c>
      <c r="Y38">
        <v>0</v>
      </c>
      <c r="Z38">
        <v>22</v>
      </c>
      <c r="AA38">
        <v>25</v>
      </c>
      <c r="AB38">
        <v>50</v>
      </c>
      <c r="AC38">
        <v>49</v>
      </c>
      <c r="AD38">
        <v>0</v>
      </c>
      <c r="AE38">
        <v>0</v>
      </c>
      <c r="AF38">
        <v>49</v>
      </c>
      <c r="AG38">
        <v>0</v>
      </c>
      <c r="AH38">
        <v>1</v>
      </c>
      <c r="AI38">
        <v>1</v>
      </c>
      <c r="AJ38">
        <v>1</v>
      </c>
      <c r="AK38">
        <v>1</v>
      </c>
      <c r="AL38">
        <v>0</v>
      </c>
      <c r="AM38">
        <v>0.4</v>
      </c>
      <c r="AN38">
        <v>9.0909090909090912E-2</v>
      </c>
      <c r="AO38">
        <v>0</v>
      </c>
      <c r="AP38" t="s">
        <v>188</v>
      </c>
      <c r="AQ38" t="s">
        <v>131</v>
      </c>
      <c r="AR38" t="s">
        <v>229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 t="s">
        <v>147</v>
      </c>
      <c r="BA38">
        <v>20</v>
      </c>
      <c r="BB38">
        <v>0</v>
      </c>
      <c r="BC38" t="s">
        <v>133</v>
      </c>
      <c r="BD38">
        <v>0</v>
      </c>
      <c r="BE38" t="s">
        <v>133</v>
      </c>
      <c r="BF3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39" spans="1:58" x14ac:dyDescent="0.25">
      <c r="A39" t="s">
        <v>234</v>
      </c>
      <c r="B39" t="s">
        <v>19</v>
      </c>
      <c r="C39">
        <v>1</v>
      </c>
      <c r="D39">
        <v>38</v>
      </c>
      <c r="E39" t="s">
        <v>2109</v>
      </c>
      <c r="F39" t="s">
        <v>123</v>
      </c>
      <c r="G39" t="s">
        <v>124</v>
      </c>
      <c r="H39" t="s">
        <v>125</v>
      </c>
      <c r="I39" t="s">
        <v>154</v>
      </c>
      <c r="J39" t="s">
        <v>154</v>
      </c>
      <c r="K39" t="s">
        <v>151</v>
      </c>
      <c r="L39">
        <v>50</v>
      </c>
      <c r="M39">
        <v>937587</v>
      </c>
      <c r="N39">
        <v>0</v>
      </c>
      <c r="O39">
        <v>1</v>
      </c>
      <c r="P39" t="s">
        <v>128</v>
      </c>
      <c r="Q39" t="s">
        <v>129</v>
      </c>
      <c r="R39">
        <v>4</v>
      </c>
      <c r="S39" t="s">
        <v>189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50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50</v>
      </c>
      <c r="AJ39">
        <v>50</v>
      </c>
      <c r="AK39">
        <v>50</v>
      </c>
      <c r="AL39">
        <v>50</v>
      </c>
      <c r="AM39">
        <v>0</v>
      </c>
      <c r="AN39">
        <v>4.5454545454545459</v>
      </c>
      <c r="AO39">
        <v>0</v>
      </c>
      <c r="AP39" t="s">
        <v>172</v>
      </c>
      <c r="AQ39" t="s">
        <v>155</v>
      </c>
      <c r="AR39" t="s">
        <v>229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 t="s">
        <v>147</v>
      </c>
      <c r="BA39">
        <v>0</v>
      </c>
      <c r="BB39">
        <v>0</v>
      </c>
      <c r="BC39" t="s">
        <v>133</v>
      </c>
      <c r="BD39">
        <v>1</v>
      </c>
      <c r="BE39" t="s">
        <v>133</v>
      </c>
      <c r="BF3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0" spans="1:58" x14ac:dyDescent="0.25">
      <c r="A40" t="s">
        <v>235</v>
      </c>
      <c r="B40" t="s">
        <v>19</v>
      </c>
      <c r="C40">
        <v>1</v>
      </c>
      <c r="D40">
        <v>39</v>
      </c>
      <c r="E40" t="s">
        <v>2109</v>
      </c>
      <c r="F40" t="s">
        <v>123</v>
      </c>
      <c r="G40" t="s">
        <v>124</v>
      </c>
      <c r="H40" t="s">
        <v>125</v>
      </c>
      <c r="I40" t="s">
        <v>154</v>
      </c>
      <c r="J40" t="s">
        <v>154</v>
      </c>
      <c r="K40" t="s">
        <v>151</v>
      </c>
      <c r="L40">
        <v>50</v>
      </c>
      <c r="M40">
        <v>937589</v>
      </c>
      <c r="N40">
        <v>0</v>
      </c>
      <c r="O40">
        <v>1</v>
      </c>
      <c r="P40" t="s">
        <v>128</v>
      </c>
      <c r="Q40" t="s">
        <v>129</v>
      </c>
      <c r="R40">
        <v>4</v>
      </c>
      <c r="S40" t="s">
        <v>189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50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50</v>
      </c>
      <c r="AJ40">
        <v>50</v>
      </c>
      <c r="AK40">
        <v>50</v>
      </c>
      <c r="AL40">
        <v>50</v>
      </c>
      <c r="AM40">
        <v>0</v>
      </c>
      <c r="AN40">
        <v>4.5454545454545459</v>
      </c>
      <c r="AO40">
        <v>0</v>
      </c>
      <c r="AP40" t="s">
        <v>172</v>
      </c>
      <c r="AQ40" t="s">
        <v>155</v>
      </c>
      <c r="AR40" t="s">
        <v>229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 t="s">
        <v>147</v>
      </c>
      <c r="BA40">
        <v>0</v>
      </c>
      <c r="BB40">
        <v>0</v>
      </c>
      <c r="BC40" t="s">
        <v>133</v>
      </c>
      <c r="BD40">
        <v>2</v>
      </c>
      <c r="BE40" t="s">
        <v>133</v>
      </c>
      <c r="BF4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1" spans="1:58" x14ac:dyDescent="0.25">
      <c r="A41" t="s">
        <v>236</v>
      </c>
      <c r="B41" t="s">
        <v>19</v>
      </c>
      <c r="C41">
        <v>1</v>
      </c>
      <c r="D41">
        <v>40</v>
      </c>
      <c r="E41" t="s">
        <v>2109</v>
      </c>
      <c r="F41" t="s">
        <v>123</v>
      </c>
      <c r="G41" t="s">
        <v>124</v>
      </c>
      <c r="H41" t="s">
        <v>125</v>
      </c>
      <c r="I41" t="s">
        <v>154</v>
      </c>
      <c r="J41" t="s">
        <v>154</v>
      </c>
      <c r="K41" t="s">
        <v>151</v>
      </c>
      <c r="L41">
        <v>50</v>
      </c>
      <c r="M41">
        <v>937591</v>
      </c>
      <c r="N41">
        <v>0</v>
      </c>
      <c r="O41">
        <v>1</v>
      </c>
      <c r="P41" t="s">
        <v>128</v>
      </c>
      <c r="Q41" t="s">
        <v>129</v>
      </c>
      <c r="R41">
        <v>4</v>
      </c>
      <c r="S41" t="s">
        <v>189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50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50</v>
      </c>
      <c r="AJ41">
        <v>50</v>
      </c>
      <c r="AK41">
        <v>50</v>
      </c>
      <c r="AL41">
        <v>50</v>
      </c>
      <c r="AM41">
        <v>0</v>
      </c>
      <c r="AN41">
        <v>4.5454545454545459</v>
      </c>
      <c r="AO41">
        <v>0</v>
      </c>
      <c r="AP41" t="s">
        <v>172</v>
      </c>
      <c r="AQ41" t="s">
        <v>155</v>
      </c>
      <c r="AR41" t="s">
        <v>229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 t="s">
        <v>147</v>
      </c>
      <c r="BA41">
        <v>0</v>
      </c>
      <c r="BB41">
        <v>0</v>
      </c>
      <c r="BC41" t="s">
        <v>133</v>
      </c>
      <c r="BD41">
        <v>3</v>
      </c>
      <c r="BE41" t="s">
        <v>133</v>
      </c>
      <c r="BF4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2" spans="1:58" x14ac:dyDescent="0.25">
      <c r="A42" t="s">
        <v>237</v>
      </c>
      <c r="B42" t="s">
        <v>19</v>
      </c>
      <c r="C42">
        <v>1</v>
      </c>
      <c r="D42">
        <v>41</v>
      </c>
      <c r="E42" t="s">
        <v>2109</v>
      </c>
      <c r="F42" t="s">
        <v>123</v>
      </c>
      <c r="G42" t="s">
        <v>124</v>
      </c>
      <c r="H42" t="s">
        <v>125</v>
      </c>
      <c r="I42" t="s">
        <v>154</v>
      </c>
      <c r="J42" t="s">
        <v>154</v>
      </c>
      <c r="K42" t="s">
        <v>151</v>
      </c>
      <c r="L42">
        <v>50</v>
      </c>
      <c r="M42">
        <v>937593</v>
      </c>
      <c r="N42">
        <v>0</v>
      </c>
      <c r="O42">
        <v>1</v>
      </c>
      <c r="P42" t="s">
        <v>128</v>
      </c>
      <c r="Q42" t="s">
        <v>129</v>
      </c>
      <c r="R42">
        <v>4</v>
      </c>
      <c r="S42" t="s">
        <v>189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50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50</v>
      </c>
      <c r="AJ42">
        <v>50</v>
      </c>
      <c r="AK42">
        <v>50</v>
      </c>
      <c r="AL42">
        <v>50</v>
      </c>
      <c r="AM42">
        <v>0</v>
      </c>
      <c r="AN42">
        <v>4.5454545454545459</v>
      </c>
      <c r="AO42">
        <v>0</v>
      </c>
      <c r="AP42" t="s">
        <v>172</v>
      </c>
      <c r="AQ42" t="s">
        <v>155</v>
      </c>
      <c r="AR42" t="s">
        <v>229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 t="s">
        <v>147</v>
      </c>
      <c r="BA42">
        <v>0</v>
      </c>
      <c r="BB42">
        <v>0</v>
      </c>
      <c r="BC42" t="s">
        <v>133</v>
      </c>
      <c r="BD42">
        <v>4</v>
      </c>
      <c r="BE42" t="s">
        <v>133</v>
      </c>
      <c r="BF4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3" spans="1:58" x14ac:dyDescent="0.25">
      <c r="A43" t="s">
        <v>238</v>
      </c>
      <c r="B43" t="s">
        <v>19</v>
      </c>
      <c r="C43">
        <v>1</v>
      </c>
      <c r="D43">
        <v>42</v>
      </c>
      <c r="E43" t="s">
        <v>2109</v>
      </c>
      <c r="F43" t="s">
        <v>123</v>
      </c>
      <c r="G43" t="s">
        <v>124</v>
      </c>
      <c r="H43" t="s">
        <v>125</v>
      </c>
      <c r="I43" t="s">
        <v>154</v>
      </c>
      <c r="J43" t="s">
        <v>154</v>
      </c>
      <c r="K43" t="s">
        <v>151</v>
      </c>
      <c r="L43">
        <v>50</v>
      </c>
      <c r="M43">
        <v>937595</v>
      </c>
      <c r="N43">
        <v>0</v>
      </c>
      <c r="O43">
        <v>1</v>
      </c>
      <c r="P43" t="s">
        <v>128</v>
      </c>
      <c r="Q43" t="s">
        <v>129</v>
      </c>
      <c r="R43">
        <v>4</v>
      </c>
      <c r="S43" t="s">
        <v>189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50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50</v>
      </c>
      <c r="AJ43">
        <v>50</v>
      </c>
      <c r="AK43">
        <v>50</v>
      </c>
      <c r="AL43">
        <v>50</v>
      </c>
      <c r="AM43">
        <v>0</v>
      </c>
      <c r="AN43">
        <v>4.5454545454545459</v>
      </c>
      <c r="AO43">
        <v>0</v>
      </c>
      <c r="AP43" t="s">
        <v>172</v>
      </c>
      <c r="AQ43" t="s">
        <v>155</v>
      </c>
      <c r="AR43" t="s">
        <v>229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 t="s">
        <v>147</v>
      </c>
      <c r="BA43">
        <v>0</v>
      </c>
      <c r="BB43">
        <v>0</v>
      </c>
      <c r="BC43" t="s">
        <v>133</v>
      </c>
      <c r="BD43">
        <v>5</v>
      </c>
      <c r="BE43" t="s">
        <v>133</v>
      </c>
      <c r="BF4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4" spans="1:58" x14ac:dyDescent="0.25">
      <c r="A44" t="s">
        <v>239</v>
      </c>
      <c r="B44" t="s">
        <v>19</v>
      </c>
      <c r="C44">
        <v>1</v>
      </c>
      <c r="D44">
        <v>43</v>
      </c>
      <c r="E44" t="s">
        <v>2109</v>
      </c>
      <c r="F44" t="s">
        <v>123</v>
      </c>
      <c r="G44" t="s">
        <v>124</v>
      </c>
      <c r="H44" t="s">
        <v>125</v>
      </c>
      <c r="I44" t="s">
        <v>154</v>
      </c>
      <c r="J44" t="s">
        <v>154</v>
      </c>
      <c r="K44" t="s">
        <v>151</v>
      </c>
      <c r="L44">
        <v>50</v>
      </c>
      <c r="M44">
        <v>937597</v>
      </c>
      <c r="N44">
        <v>0</v>
      </c>
      <c r="O44">
        <v>1</v>
      </c>
      <c r="P44" t="s">
        <v>128</v>
      </c>
      <c r="Q44" t="s">
        <v>129</v>
      </c>
      <c r="R44">
        <v>4</v>
      </c>
      <c r="S44" t="s">
        <v>189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50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50</v>
      </c>
      <c r="AJ44">
        <v>50</v>
      </c>
      <c r="AK44">
        <v>50</v>
      </c>
      <c r="AL44">
        <v>50</v>
      </c>
      <c r="AM44">
        <v>0</v>
      </c>
      <c r="AN44">
        <v>4.5454545454545459</v>
      </c>
      <c r="AO44">
        <v>0</v>
      </c>
      <c r="AP44" t="s">
        <v>172</v>
      </c>
      <c r="AQ44" t="s">
        <v>155</v>
      </c>
      <c r="AR44" t="s">
        <v>229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 t="s">
        <v>147</v>
      </c>
      <c r="BA44">
        <v>0</v>
      </c>
      <c r="BB44">
        <v>0</v>
      </c>
      <c r="BC44" t="s">
        <v>133</v>
      </c>
      <c r="BD44">
        <v>6</v>
      </c>
      <c r="BE44" t="s">
        <v>133</v>
      </c>
      <c r="BF4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5" spans="1:58" x14ac:dyDescent="0.25">
      <c r="A45" t="s">
        <v>240</v>
      </c>
      <c r="B45" t="s">
        <v>19</v>
      </c>
      <c r="C45">
        <v>1</v>
      </c>
      <c r="D45">
        <v>44</v>
      </c>
      <c r="E45" t="s">
        <v>2109</v>
      </c>
      <c r="F45" t="s">
        <v>123</v>
      </c>
      <c r="G45" t="s">
        <v>124</v>
      </c>
      <c r="H45" t="s">
        <v>125</v>
      </c>
      <c r="I45" t="s">
        <v>154</v>
      </c>
      <c r="J45" t="s">
        <v>154</v>
      </c>
      <c r="K45" t="s">
        <v>151</v>
      </c>
      <c r="L45">
        <v>50</v>
      </c>
      <c r="M45">
        <v>937599</v>
      </c>
      <c r="N45">
        <v>0</v>
      </c>
      <c r="O45">
        <v>1</v>
      </c>
      <c r="P45" t="s">
        <v>128</v>
      </c>
      <c r="Q45" t="s">
        <v>129</v>
      </c>
      <c r="R45">
        <v>4</v>
      </c>
      <c r="S45" t="s">
        <v>189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50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50</v>
      </c>
      <c r="AJ45">
        <v>50</v>
      </c>
      <c r="AK45">
        <v>50</v>
      </c>
      <c r="AL45">
        <v>50</v>
      </c>
      <c r="AM45">
        <v>0</v>
      </c>
      <c r="AN45">
        <v>4.5454545454545459</v>
      </c>
      <c r="AO45">
        <v>0</v>
      </c>
      <c r="AP45" t="s">
        <v>172</v>
      </c>
      <c r="AQ45" t="s">
        <v>155</v>
      </c>
      <c r="AR45" t="s">
        <v>229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 t="s">
        <v>147</v>
      </c>
      <c r="BA45">
        <v>0</v>
      </c>
      <c r="BB45">
        <v>0</v>
      </c>
      <c r="BC45" t="s">
        <v>144</v>
      </c>
      <c r="BD45">
        <v>7</v>
      </c>
      <c r="BE45" t="s">
        <v>133</v>
      </c>
      <c r="BF4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6" spans="1:58" x14ac:dyDescent="0.25">
      <c r="A46" t="s">
        <v>241</v>
      </c>
      <c r="B46" t="s">
        <v>19</v>
      </c>
      <c r="C46">
        <v>1</v>
      </c>
      <c r="D46">
        <v>45</v>
      </c>
      <c r="E46" t="s">
        <v>2108</v>
      </c>
      <c r="F46" t="s">
        <v>123</v>
      </c>
      <c r="G46" t="s">
        <v>124</v>
      </c>
      <c r="H46" t="s">
        <v>125</v>
      </c>
      <c r="I46" t="s">
        <v>126</v>
      </c>
      <c r="J46" t="s">
        <v>126</v>
      </c>
      <c r="K46" t="s">
        <v>127</v>
      </c>
      <c r="L46">
        <v>50</v>
      </c>
      <c r="M46">
        <v>937601</v>
      </c>
      <c r="N46">
        <v>6</v>
      </c>
      <c r="O46">
        <v>1</v>
      </c>
      <c r="P46" t="s">
        <v>128</v>
      </c>
      <c r="Q46" t="s">
        <v>129</v>
      </c>
      <c r="R46">
        <v>5</v>
      </c>
      <c r="T46">
        <v>12</v>
      </c>
      <c r="U46">
        <v>17</v>
      </c>
      <c r="V46">
        <v>3</v>
      </c>
      <c r="W46">
        <v>0</v>
      </c>
      <c r="X46">
        <v>3</v>
      </c>
      <c r="Y46">
        <v>3</v>
      </c>
      <c r="Z46">
        <v>18</v>
      </c>
      <c r="AA46">
        <v>23</v>
      </c>
      <c r="AB46">
        <v>50</v>
      </c>
      <c r="AC46">
        <v>28</v>
      </c>
      <c r="AD46">
        <v>3</v>
      </c>
      <c r="AE46">
        <v>4</v>
      </c>
      <c r="AF46">
        <v>35</v>
      </c>
      <c r="AG46">
        <v>0</v>
      </c>
      <c r="AH46">
        <v>22</v>
      </c>
      <c r="AI46">
        <v>15</v>
      </c>
      <c r="AJ46">
        <v>18</v>
      </c>
      <c r="AK46">
        <v>22</v>
      </c>
      <c r="AL46">
        <v>0</v>
      </c>
      <c r="AM46">
        <v>0.12</v>
      </c>
      <c r="AN46">
        <v>1.6363636363636365</v>
      </c>
      <c r="AO46">
        <v>0</v>
      </c>
      <c r="AP46" t="s">
        <v>130</v>
      </c>
      <c r="AQ46" t="s">
        <v>131</v>
      </c>
      <c r="AR46" t="s">
        <v>194</v>
      </c>
      <c r="AS46">
        <v>1831</v>
      </c>
      <c r="AT46">
        <v>1681</v>
      </c>
      <c r="AU46">
        <v>0</v>
      </c>
      <c r="AV46">
        <v>0</v>
      </c>
      <c r="AW46">
        <v>3.512</v>
      </c>
      <c r="AX46">
        <v>0.12542857142857142</v>
      </c>
      <c r="AY46">
        <v>4.3899999999999997</v>
      </c>
      <c r="AZ46" t="s">
        <v>135</v>
      </c>
      <c r="BA46">
        <v>1.6100000000000003</v>
      </c>
      <c r="BB46">
        <v>12.835990888382693</v>
      </c>
      <c r="BC46" t="s">
        <v>132</v>
      </c>
      <c r="BD46">
        <v>0</v>
      </c>
      <c r="BE46" t="s">
        <v>133</v>
      </c>
      <c r="BF4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3.512</v>
      </c>
    </row>
    <row r="47" spans="1:58" x14ac:dyDescent="0.25">
      <c r="A47" t="s">
        <v>242</v>
      </c>
      <c r="B47" t="s">
        <v>19</v>
      </c>
      <c r="C47">
        <v>1</v>
      </c>
      <c r="D47">
        <v>46</v>
      </c>
      <c r="E47" t="s">
        <v>2108</v>
      </c>
      <c r="F47" t="s">
        <v>123</v>
      </c>
      <c r="G47" t="s">
        <v>124</v>
      </c>
      <c r="H47" t="s">
        <v>125</v>
      </c>
      <c r="I47" t="s">
        <v>126</v>
      </c>
      <c r="J47" t="s">
        <v>126</v>
      </c>
      <c r="K47" t="s">
        <v>127</v>
      </c>
      <c r="L47">
        <v>50</v>
      </c>
      <c r="M47">
        <v>937603</v>
      </c>
      <c r="N47">
        <v>6</v>
      </c>
      <c r="O47">
        <v>1</v>
      </c>
      <c r="P47" t="s">
        <v>128</v>
      </c>
      <c r="Q47" t="s">
        <v>129</v>
      </c>
      <c r="R47">
        <v>5</v>
      </c>
      <c r="T47">
        <v>19</v>
      </c>
      <c r="U47">
        <v>24</v>
      </c>
      <c r="V47">
        <v>2</v>
      </c>
      <c r="W47">
        <v>0</v>
      </c>
      <c r="X47">
        <v>2</v>
      </c>
      <c r="Y47">
        <v>1</v>
      </c>
      <c r="Z47">
        <v>22</v>
      </c>
      <c r="AA47">
        <v>27</v>
      </c>
      <c r="AB47">
        <v>50</v>
      </c>
      <c r="AC47">
        <v>29</v>
      </c>
      <c r="AD47">
        <v>2</v>
      </c>
      <c r="AE47">
        <v>1</v>
      </c>
      <c r="AF47">
        <v>32</v>
      </c>
      <c r="AG47">
        <v>0</v>
      </c>
      <c r="AH47">
        <v>21</v>
      </c>
      <c r="AI47">
        <v>18</v>
      </c>
      <c r="AJ47">
        <v>20</v>
      </c>
      <c r="AK47">
        <v>21</v>
      </c>
      <c r="AL47">
        <v>0</v>
      </c>
      <c r="AM47">
        <v>0.12</v>
      </c>
      <c r="AN47">
        <v>1.8181818181818183</v>
      </c>
      <c r="AO47">
        <v>0</v>
      </c>
      <c r="AP47" t="s">
        <v>130</v>
      </c>
      <c r="AQ47" t="s">
        <v>131</v>
      </c>
      <c r="AR47" t="s">
        <v>194</v>
      </c>
      <c r="AS47">
        <v>2048</v>
      </c>
      <c r="AT47">
        <v>2816</v>
      </c>
      <c r="AU47">
        <v>0</v>
      </c>
      <c r="AV47">
        <v>0</v>
      </c>
      <c r="AW47">
        <v>4.8639999999999999</v>
      </c>
      <c r="AX47">
        <v>0.16772413793103447</v>
      </c>
      <c r="AY47">
        <v>5.3671724137931029</v>
      </c>
      <c r="AZ47" t="s">
        <v>135</v>
      </c>
      <c r="BA47">
        <v>0.63282758620689705</v>
      </c>
      <c r="BB47">
        <v>3.773026315789477</v>
      </c>
      <c r="BC47" t="s">
        <v>133</v>
      </c>
      <c r="BD47">
        <v>0</v>
      </c>
      <c r="BE47" t="s">
        <v>133</v>
      </c>
      <c r="BF4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4.8639999999999999</v>
      </c>
    </row>
    <row r="48" spans="1:58" x14ac:dyDescent="0.25">
      <c r="A48" t="s">
        <v>243</v>
      </c>
      <c r="B48" t="s">
        <v>19</v>
      </c>
      <c r="C48">
        <v>1</v>
      </c>
      <c r="D48">
        <v>47</v>
      </c>
      <c r="E48" t="s">
        <v>2108</v>
      </c>
      <c r="F48" t="s">
        <v>123</v>
      </c>
      <c r="G48" t="s">
        <v>124</v>
      </c>
      <c r="H48" t="s">
        <v>125</v>
      </c>
      <c r="I48" t="s">
        <v>126</v>
      </c>
      <c r="J48" t="s">
        <v>126</v>
      </c>
      <c r="K48" t="s">
        <v>127</v>
      </c>
      <c r="L48">
        <v>50</v>
      </c>
      <c r="M48">
        <v>937605</v>
      </c>
      <c r="N48">
        <v>6</v>
      </c>
      <c r="O48">
        <v>1</v>
      </c>
      <c r="P48" t="s">
        <v>128</v>
      </c>
      <c r="Q48" t="s">
        <v>129</v>
      </c>
      <c r="R48">
        <v>5</v>
      </c>
      <c r="T48">
        <v>13</v>
      </c>
      <c r="U48">
        <v>18</v>
      </c>
      <c r="V48">
        <v>3</v>
      </c>
      <c r="W48">
        <v>0</v>
      </c>
      <c r="X48">
        <v>3</v>
      </c>
      <c r="Y48">
        <v>4</v>
      </c>
      <c r="Z48">
        <v>20</v>
      </c>
      <c r="AA48">
        <v>25</v>
      </c>
      <c r="AB48">
        <v>50</v>
      </c>
      <c r="AC48">
        <v>24</v>
      </c>
      <c r="AD48">
        <v>4</v>
      </c>
      <c r="AE48">
        <v>4</v>
      </c>
      <c r="AF48">
        <v>32</v>
      </c>
      <c r="AG48">
        <v>0</v>
      </c>
      <c r="AH48">
        <v>26</v>
      </c>
      <c r="AI48">
        <v>18</v>
      </c>
      <c r="AJ48">
        <v>22</v>
      </c>
      <c r="AK48">
        <v>26</v>
      </c>
      <c r="AL48">
        <v>0</v>
      </c>
      <c r="AM48">
        <v>0.12</v>
      </c>
      <c r="AN48">
        <v>2</v>
      </c>
      <c r="AO48">
        <v>0</v>
      </c>
      <c r="AP48" t="s">
        <v>130</v>
      </c>
      <c r="AQ48" t="s">
        <v>131</v>
      </c>
      <c r="AR48" t="s">
        <v>194</v>
      </c>
      <c r="AS48">
        <v>1707</v>
      </c>
      <c r="AT48">
        <v>1887</v>
      </c>
      <c r="AU48">
        <v>0</v>
      </c>
      <c r="AV48">
        <v>0</v>
      </c>
      <c r="AW48">
        <v>3.5939999999999999</v>
      </c>
      <c r="AX48">
        <v>0.14974999999999999</v>
      </c>
      <c r="AY48">
        <v>4.7919999999999998</v>
      </c>
      <c r="AZ48" t="s">
        <v>135</v>
      </c>
      <c r="BA48">
        <v>1.2080000000000002</v>
      </c>
      <c r="BB48">
        <v>8.0667779632721217</v>
      </c>
      <c r="BC48" t="s">
        <v>133</v>
      </c>
      <c r="BD48">
        <v>0</v>
      </c>
      <c r="BE48" t="s">
        <v>133</v>
      </c>
      <c r="BF4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3.5939999999999999</v>
      </c>
    </row>
    <row r="49" spans="1:58" x14ac:dyDescent="0.25">
      <c r="A49" t="s">
        <v>244</v>
      </c>
      <c r="B49" t="s">
        <v>19</v>
      </c>
      <c r="C49">
        <v>1</v>
      </c>
      <c r="D49">
        <v>48</v>
      </c>
      <c r="E49" t="s">
        <v>2108</v>
      </c>
      <c r="F49" t="s">
        <v>123</v>
      </c>
      <c r="G49" t="s">
        <v>124</v>
      </c>
      <c r="H49" t="s">
        <v>125</v>
      </c>
      <c r="I49" t="s">
        <v>126</v>
      </c>
      <c r="J49" t="s">
        <v>126</v>
      </c>
      <c r="K49" t="s">
        <v>127</v>
      </c>
      <c r="L49">
        <v>50</v>
      </c>
      <c r="M49">
        <v>937607</v>
      </c>
      <c r="N49">
        <v>6</v>
      </c>
      <c r="O49">
        <v>1</v>
      </c>
      <c r="P49" t="s">
        <v>128</v>
      </c>
      <c r="Q49" t="s">
        <v>129</v>
      </c>
      <c r="R49">
        <v>5</v>
      </c>
      <c r="T49">
        <v>10</v>
      </c>
      <c r="U49">
        <v>15</v>
      </c>
      <c r="V49">
        <v>1</v>
      </c>
      <c r="W49">
        <v>0</v>
      </c>
      <c r="X49">
        <v>1</v>
      </c>
      <c r="Y49">
        <v>5</v>
      </c>
      <c r="Z49">
        <v>16</v>
      </c>
      <c r="AA49">
        <v>21</v>
      </c>
      <c r="AB49">
        <v>50</v>
      </c>
      <c r="AC49">
        <v>21</v>
      </c>
      <c r="AD49">
        <v>4</v>
      </c>
      <c r="AE49">
        <v>5</v>
      </c>
      <c r="AF49">
        <v>30</v>
      </c>
      <c r="AG49">
        <v>0</v>
      </c>
      <c r="AH49">
        <v>29</v>
      </c>
      <c r="AI49">
        <v>20</v>
      </c>
      <c r="AJ49">
        <v>24</v>
      </c>
      <c r="AK49">
        <v>29</v>
      </c>
      <c r="AL49">
        <v>0</v>
      </c>
      <c r="AM49">
        <v>0.12</v>
      </c>
      <c r="AN49">
        <v>2.1818181818181817</v>
      </c>
      <c r="AO49">
        <v>0</v>
      </c>
      <c r="AP49" t="s">
        <v>130</v>
      </c>
      <c r="AQ49" t="s">
        <v>131</v>
      </c>
      <c r="AR49" t="s">
        <v>194</v>
      </c>
      <c r="AS49">
        <v>1641</v>
      </c>
      <c r="AT49">
        <v>1530</v>
      </c>
      <c r="AU49">
        <v>0</v>
      </c>
      <c r="AV49">
        <v>0</v>
      </c>
      <c r="AW49">
        <v>3.1709999999999998</v>
      </c>
      <c r="AX49">
        <v>0.151</v>
      </c>
      <c r="AY49">
        <v>4.53</v>
      </c>
      <c r="AZ49" t="s">
        <v>135</v>
      </c>
      <c r="BA49">
        <v>1.4699999999999998</v>
      </c>
      <c r="BB49">
        <v>9.735099337748343</v>
      </c>
      <c r="BC49" t="s">
        <v>133</v>
      </c>
      <c r="BD49">
        <v>0</v>
      </c>
      <c r="BE49" t="s">
        <v>133</v>
      </c>
      <c r="BF4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3.1709999999999998</v>
      </c>
    </row>
    <row r="50" spans="1:58" x14ac:dyDescent="0.25">
      <c r="A50" t="s">
        <v>245</v>
      </c>
      <c r="B50" t="s">
        <v>19</v>
      </c>
      <c r="C50">
        <v>1</v>
      </c>
      <c r="D50">
        <v>49</v>
      </c>
      <c r="E50" t="s">
        <v>2108</v>
      </c>
      <c r="F50" t="s">
        <v>123</v>
      </c>
      <c r="G50" t="s">
        <v>124</v>
      </c>
      <c r="H50" t="s">
        <v>125</v>
      </c>
      <c r="I50" t="s">
        <v>126</v>
      </c>
      <c r="J50" t="s">
        <v>126</v>
      </c>
      <c r="K50" t="s">
        <v>127</v>
      </c>
      <c r="L50">
        <v>50</v>
      </c>
      <c r="M50">
        <v>937609</v>
      </c>
      <c r="N50">
        <v>6</v>
      </c>
      <c r="O50">
        <v>1</v>
      </c>
      <c r="P50" t="s">
        <v>128</v>
      </c>
      <c r="Q50" t="s">
        <v>129</v>
      </c>
      <c r="R50">
        <v>5</v>
      </c>
      <c r="T50">
        <v>10</v>
      </c>
      <c r="U50">
        <v>15</v>
      </c>
      <c r="V50">
        <v>1</v>
      </c>
      <c r="W50">
        <v>0</v>
      </c>
      <c r="X50">
        <v>1</v>
      </c>
      <c r="Y50">
        <v>6</v>
      </c>
      <c r="Z50">
        <v>17</v>
      </c>
      <c r="AA50">
        <v>22</v>
      </c>
      <c r="AB50">
        <v>50</v>
      </c>
      <c r="AC50">
        <v>18</v>
      </c>
      <c r="AD50">
        <v>1</v>
      </c>
      <c r="AE50">
        <v>10</v>
      </c>
      <c r="AF50">
        <v>29</v>
      </c>
      <c r="AG50">
        <v>0</v>
      </c>
      <c r="AH50">
        <v>32</v>
      </c>
      <c r="AI50">
        <v>21</v>
      </c>
      <c r="AJ50">
        <v>22</v>
      </c>
      <c r="AK50">
        <v>32</v>
      </c>
      <c r="AL50">
        <v>0</v>
      </c>
      <c r="AM50">
        <v>0.12</v>
      </c>
      <c r="AN50">
        <v>2</v>
      </c>
      <c r="AO50">
        <v>0</v>
      </c>
      <c r="AP50" t="s">
        <v>130</v>
      </c>
      <c r="AQ50" t="s">
        <v>131</v>
      </c>
      <c r="AR50" t="s">
        <v>194</v>
      </c>
      <c r="AS50">
        <v>1431</v>
      </c>
      <c r="AT50">
        <v>1438</v>
      </c>
      <c r="AU50">
        <v>0</v>
      </c>
      <c r="AV50">
        <v>0</v>
      </c>
      <c r="AW50">
        <v>2.8690000000000002</v>
      </c>
      <c r="AX50">
        <v>0.15938888888888891</v>
      </c>
      <c r="AY50">
        <v>4.6222777777777786</v>
      </c>
      <c r="AZ50" t="s">
        <v>135</v>
      </c>
      <c r="BA50">
        <v>1.3777222222222214</v>
      </c>
      <c r="BB50">
        <v>8.6437783199721085</v>
      </c>
      <c r="BC50" t="s">
        <v>133</v>
      </c>
      <c r="BD50">
        <v>0</v>
      </c>
      <c r="BE50" t="s">
        <v>133</v>
      </c>
      <c r="BF5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2.8690000000000002</v>
      </c>
    </row>
    <row r="51" spans="1:58" x14ac:dyDescent="0.25">
      <c r="A51" t="s">
        <v>246</v>
      </c>
      <c r="B51" t="s">
        <v>19</v>
      </c>
      <c r="C51">
        <v>1</v>
      </c>
      <c r="D51">
        <v>50</v>
      </c>
      <c r="E51" t="s">
        <v>2108</v>
      </c>
      <c r="F51" t="s">
        <v>123</v>
      </c>
      <c r="G51" t="s">
        <v>124</v>
      </c>
      <c r="H51" t="s">
        <v>136</v>
      </c>
      <c r="I51" t="s">
        <v>137</v>
      </c>
      <c r="J51" t="s">
        <v>138</v>
      </c>
      <c r="K51" t="s">
        <v>127</v>
      </c>
      <c r="L51">
        <v>50</v>
      </c>
      <c r="M51">
        <v>937611</v>
      </c>
      <c r="N51">
        <v>5</v>
      </c>
      <c r="O51">
        <v>1</v>
      </c>
      <c r="P51" t="s">
        <v>128</v>
      </c>
      <c r="Q51" t="s">
        <v>129</v>
      </c>
      <c r="R51">
        <v>5</v>
      </c>
      <c r="T51">
        <v>0</v>
      </c>
      <c r="U51">
        <v>4</v>
      </c>
      <c r="V51">
        <v>0</v>
      </c>
      <c r="W51">
        <v>0</v>
      </c>
      <c r="X51">
        <v>0</v>
      </c>
      <c r="Y51">
        <v>0</v>
      </c>
      <c r="Z51">
        <v>0</v>
      </c>
      <c r="AA51">
        <v>4</v>
      </c>
      <c r="AB51">
        <v>50</v>
      </c>
      <c r="AC51">
        <v>4</v>
      </c>
      <c r="AD51">
        <v>0</v>
      </c>
      <c r="AE51">
        <v>0</v>
      </c>
      <c r="AF51">
        <v>4</v>
      </c>
      <c r="AG51">
        <v>0</v>
      </c>
      <c r="AH51">
        <v>46</v>
      </c>
      <c r="AI51">
        <v>46</v>
      </c>
      <c r="AJ51">
        <v>46</v>
      </c>
      <c r="AK51">
        <v>46</v>
      </c>
      <c r="AL51">
        <v>0</v>
      </c>
      <c r="AM51">
        <v>0.1</v>
      </c>
      <c r="AN51">
        <v>4.1818181818181817</v>
      </c>
      <c r="AO51">
        <v>0</v>
      </c>
      <c r="AP51" t="s">
        <v>139</v>
      </c>
      <c r="AQ51" t="s">
        <v>131</v>
      </c>
      <c r="AR51" t="s">
        <v>194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 t="s">
        <v>134</v>
      </c>
      <c r="BA51">
        <v>5</v>
      </c>
      <c r="BB51">
        <v>0</v>
      </c>
      <c r="BC51" t="s">
        <v>133</v>
      </c>
      <c r="BD51">
        <v>0</v>
      </c>
      <c r="BE51" t="s">
        <v>133</v>
      </c>
      <c r="BF5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2" spans="1:58" x14ac:dyDescent="0.25">
      <c r="A52" t="s">
        <v>247</v>
      </c>
      <c r="B52" t="s">
        <v>19</v>
      </c>
      <c r="C52">
        <v>1</v>
      </c>
      <c r="D52">
        <v>51</v>
      </c>
      <c r="E52" t="s">
        <v>2108</v>
      </c>
      <c r="F52" t="s">
        <v>123</v>
      </c>
      <c r="G52" t="s">
        <v>124</v>
      </c>
      <c r="H52" t="s">
        <v>125</v>
      </c>
      <c r="I52" t="s">
        <v>126</v>
      </c>
      <c r="J52" t="s">
        <v>126</v>
      </c>
      <c r="K52" t="s">
        <v>127</v>
      </c>
      <c r="L52">
        <v>50</v>
      </c>
      <c r="M52">
        <v>937613</v>
      </c>
      <c r="N52">
        <v>6</v>
      </c>
      <c r="O52">
        <v>1</v>
      </c>
      <c r="P52" t="s">
        <v>128</v>
      </c>
      <c r="Q52" t="s">
        <v>129</v>
      </c>
      <c r="R52">
        <v>5</v>
      </c>
      <c r="T52">
        <v>12</v>
      </c>
      <c r="U52">
        <v>17</v>
      </c>
      <c r="V52">
        <v>3</v>
      </c>
      <c r="W52">
        <v>0</v>
      </c>
      <c r="X52">
        <v>3</v>
      </c>
      <c r="Y52">
        <v>2</v>
      </c>
      <c r="Z52">
        <v>17</v>
      </c>
      <c r="AA52">
        <v>22</v>
      </c>
      <c r="AB52">
        <v>50</v>
      </c>
      <c r="AC52">
        <v>20</v>
      </c>
      <c r="AD52">
        <v>5</v>
      </c>
      <c r="AE52">
        <v>2</v>
      </c>
      <c r="AF52">
        <v>27</v>
      </c>
      <c r="AG52">
        <v>0</v>
      </c>
      <c r="AH52">
        <v>30</v>
      </c>
      <c r="AI52">
        <v>23</v>
      </c>
      <c r="AJ52">
        <v>28</v>
      </c>
      <c r="AK52">
        <v>30</v>
      </c>
      <c r="AL52">
        <v>0</v>
      </c>
      <c r="AM52">
        <v>0.12</v>
      </c>
      <c r="AN52">
        <v>2.5454545454545454</v>
      </c>
      <c r="AO52">
        <v>0</v>
      </c>
      <c r="AP52" t="s">
        <v>130</v>
      </c>
      <c r="AQ52" t="s">
        <v>131</v>
      </c>
      <c r="AR52" t="s">
        <v>194</v>
      </c>
      <c r="AS52">
        <v>1614</v>
      </c>
      <c r="AT52">
        <v>1644</v>
      </c>
      <c r="AU52">
        <v>0</v>
      </c>
      <c r="AV52">
        <v>0</v>
      </c>
      <c r="AW52">
        <v>3.258</v>
      </c>
      <c r="AX52">
        <v>0.16289999999999999</v>
      </c>
      <c r="AY52">
        <v>4.3982999999999999</v>
      </c>
      <c r="AZ52" t="s">
        <v>135</v>
      </c>
      <c r="BA52">
        <v>1.6017000000000001</v>
      </c>
      <c r="BB52">
        <v>9.8324125230202597</v>
      </c>
      <c r="BC52" t="s">
        <v>133</v>
      </c>
      <c r="BD52">
        <v>0</v>
      </c>
      <c r="BE52" t="s">
        <v>133</v>
      </c>
      <c r="BF5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3.258</v>
      </c>
    </row>
    <row r="53" spans="1:58" x14ac:dyDescent="0.25">
      <c r="A53" t="s">
        <v>248</v>
      </c>
      <c r="B53" t="s">
        <v>19</v>
      </c>
      <c r="C53">
        <v>1</v>
      </c>
      <c r="D53">
        <v>52</v>
      </c>
      <c r="E53" t="s">
        <v>2108</v>
      </c>
      <c r="F53" t="s">
        <v>123</v>
      </c>
      <c r="G53" t="s">
        <v>124</v>
      </c>
      <c r="H53" t="s">
        <v>125</v>
      </c>
      <c r="I53" t="s">
        <v>126</v>
      </c>
      <c r="J53" t="s">
        <v>126</v>
      </c>
      <c r="K53" t="s">
        <v>127</v>
      </c>
      <c r="L53">
        <v>50</v>
      </c>
      <c r="M53">
        <v>937615</v>
      </c>
      <c r="N53">
        <v>6</v>
      </c>
      <c r="O53">
        <v>1</v>
      </c>
      <c r="P53" t="s">
        <v>128</v>
      </c>
      <c r="Q53" t="s">
        <v>129</v>
      </c>
      <c r="R53">
        <v>5</v>
      </c>
      <c r="T53">
        <v>16</v>
      </c>
      <c r="U53">
        <v>21</v>
      </c>
      <c r="V53">
        <v>1</v>
      </c>
      <c r="W53">
        <v>0</v>
      </c>
      <c r="X53">
        <v>1</v>
      </c>
      <c r="Y53">
        <v>3</v>
      </c>
      <c r="Z53">
        <v>20</v>
      </c>
      <c r="AA53">
        <v>25</v>
      </c>
      <c r="AB53">
        <v>50</v>
      </c>
      <c r="AC53">
        <v>26</v>
      </c>
      <c r="AD53">
        <v>4</v>
      </c>
      <c r="AE53">
        <v>3</v>
      </c>
      <c r="AF53">
        <v>33</v>
      </c>
      <c r="AG53">
        <v>0</v>
      </c>
      <c r="AH53">
        <v>24</v>
      </c>
      <c r="AI53">
        <v>17</v>
      </c>
      <c r="AJ53">
        <v>21</v>
      </c>
      <c r="AK53">
        <v>24</v>
      </c>
      <c r="AL53">
        <v>0</v>
      </c>
      <c r="AM53">
        <v>0.12</v>
      </c>
      <c r="AN53">
        <v>1.9090909090909092</v>
      </c>
      <c r="AO53">
        <v>0</v>
      </c>
      <c r="AP53" t="s">
        <v>130</v>
      </c>
      <c r="AQ53" t="s">
        <v>131</v>
      </c>
      <c r="AR53" t="s">
        <v>194</v>
      </c>
      <c r="AS53">
        <v>2282</v>
      </c>
      <c r="AT53">
        <v>2191</v>
      </c>
      <c r="AU53">
        <v>0</v>
      </c>
      <c r="AV53">
        <v>0</v>
      </c>
      <c r="AW53">
        <v>4.4729999999999999</v>
      </c>
      <c r="AX53">
        <v>0.17203846153846153</v>
      </c>
      <c r="AY53">
        <v>5.6772692307692303</v>
      </c>
      <c r="AZ53" t="s">
        <v>135</v>
      </c>
      <c r="BA53">
        <v>0.32273076923076971</v>
      </c>
      <c r="BB53">
        <v>1.8759221998658646</v>
      </c>
      <c r="BC53" t="s">
        <v>133</v>
      </c>
      <c r="BD53">
        <v>0</v>
      </c>
      <c r="BE53" t="s">
        <v>133</v>
      </c>
      <c r="BF5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4.4729999999999999</v>
      </c>
    </row>
    <row r="54" spans="1:58" x14ac:dyDescent="0.25">
      <c r="A54" t="s">
        <v>249</v>
      </c>
      <c r="B54" t="s">
        <v>19</v>
      </c>
      <c r="C54">
        <v>1</v>
      </c>
      <c r="D54">
        <v>53</v>
      </c>
      <c r="E54" t="s">
        <v>2108</v>
      </c>
      <c r="F54" t="s">
        <v>123</v>
      </c>
      <c r="G54" t="s">
        <v>124</v>
      </c>
      <c r="H54" t="s">
        <v>125</v>
      </c>
      <c r="I54" t="s">
        <v>126</v>
      </c>
      <c r="J54" t="s">
        <v>126</v>
      </c>
      <c r="K54" t="s">
        <v>127</v>
      </c>
      <c r="L54">
        <v>50</v>
      </c>
      <c r="M54">
        <v>937617</v>
      </c>
      <c r="N54">
        <v>6</v>
      </c>
      <c r="O54">
        <v>1</v>
      </c>
      <c r="P54" t="s">
        <v>128</v>
      </c>
      <c r="Q54" t="s">
        <v>129</v>
      </c>
      <c r="R54">
        <v>5</v>
      </c>
      <c r="T54">
        <v>12</v>
      </c>
      <c r="U54">
        <v>17</v>
      </c>
      <c r="V54">
        <v>3</v>
      </c>
      <c r="W54">
        <v>0</v>
      </c>
      <c r="X54">
        <v>3</v>
      </c>
      <c r="Y54">
        <v>2</v>
      </c>
      <c r="Z54">
        <v>17</v>
      </c>
      <c r="AA54">
        <v>22</v>
      </c>
      <c r="AB54">
        <v>50</v>
      </c>
      <c r="AC54">
        <v>24</v>
      </c>
      <c r="AD54">
        <v>7</v>
      </c>
      <c r="AE54">
        <v>2</v>
      </c>
      <c r="AF54">
        <v>33</v>
      </c>
      <c r="AG54">
        <v>0</v>
      </c>
      <c r="AH54">
        <v>26</v>
      </c>
      <c r="AI54">
        <v>17</v>
      </c>
      <c r="AJ54">
        <v>24</v>
      </c>
      <c r="AK54">
        <v>26</v>
      </c>
      <c r="AL54">
        <v>0</v>
      </c>
      <c r="AM54">
        <v>0.12</v>
      </c>
      <c r="AN54">
        <v>2.1818181818181817</v>
      </c>
      <c r="AO54">
        <v>0</v>
      </c>
      <c r="AP54" t="s">
        <v>130</v>
      </c>
      <c r="AQ54" t="s">
        <v>131</v>
      </c>
      <c r="AR54" t="s">
        <v>194</v>
      </c>
      <c r="AS54">
        <v>1916</v>
      </c>
      <c r="AT54">
        <v>1855</v>
      </c>
      <c r="AU54">
        <v>0</v>
      </c>
      <c r="AV54">
        <v>0</v>
      </c>
      <c r="AW54">
        <v>3.7709999999999999</v>
      </c>
      <c r="AX54">
        <v>0.15712499999999999</v>
      </c>
      <c r="AY54">
        <v>5.1851249999999993</v>
      </c>
      <c r="AZ54" t="s">
        <v>135</v>
      </c>
      <c r="BA54">
        <v>0.81487500000000068</v>
      </c>
      <c r="BB54">
        <v>5.1861575178997663</v>
      </c>
      <c r="BC54" t="s">
        <v>133</v>
      </c>
      <c r="BD54">
        <v>0</v>
      </c>
      <c r="BE54" t="s">
        <v>133</v>
      </c>
      <c r="BF5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3.7709999999999999</v>
      </c>
    </row>
    <row r="55" spans="1:58" x14ac:dyDescent="0.25">
      <c r="A55" t="s">
        <v>250</v>
      </c>
      <c r="B55" t="s">
        <v>19</v>
      </c>
      <c r="C55">
        <v>1</v>
      </c>
      <c r="D55">
        <v>54</v>
      </c>
      <c r="E55" t="s">
        <v>2108</v>
      </c>
      <c r="F55" t="s">
        <v>123</v>
      </c>
      <c r="G55" t="s">
        <v>124</v>
      </c>
      <c r="H55" t="s">
        <v>125</v>
      </c>
      <c r="I55" t="s">
        <v>126</v>
      </c>
      <c r="J55" t="s">
        <v>126</v>
      </c>
      <c r="K55" t="s">
        <v>127</v>
      </c>
      <c r="L55">
        <v>50</v>
      </c>
      <c r="M55">
        <v>937619</v>
      </c>
      <c r="N55">
        <v>6</v>
      </c>
      <c r="O55">
        <v>1</v>
      </c>
      <c r="P55" t="s">
        <v>128</v>
      </c>
      <c r="Q55" t="s">
        <v>129</v>
      </c>
      <c r="R55">
        <v>5</v>
      </c>
      <c r="T55">
        <v>19</v>
      </c>
      <c r="U55">
        <v>24</v>
      </c>
      <c r="V55">
        <v>2</v>
      </c>
      <c r="W55">
        <v>0</v>
      </c>
      <c r="X55">
        <v>2</v>
      </c>
      <c r="Y55">
        <v>1</v>
      </c>
      <c r="Z55">
        <v>22</v>
      </c>
      <c r="AA55">
        <v>27</v>
      </c>
      <c r="AB55">
        <v>50</v>
      </c>
      <c r="AC55">
        <v>26</v>
      </c>
      <c r="AD55">
        <v>3</v>
      </c>
      <c r="AE55">
        <v>1</v>
      </c>
      <c r="AF55">
        <v>30</v>
      </c>
      <c r="AG55">
        <v>0</v>
      </c>
      <c r="AH55">
        <v>24</v>
      </c>
      <c r="AI55">
        <v>20</v>
      </c>
      <c r="AJ55">
        <v>23</v>
      </c>
      <c r="AK55">
        <v>24</v>
      </c>
      <c r="AL55">
        <v>0</v>
      </c>
      <c r="AM55">
        <v>0.12</v>
      </c>
      <c r="AN55">
        <v>2.0909090909090908</v>
      </c>
      <c r="AO55">
        <v>0</v>
      </c>
      <c r="AP55" t="s">
        <v>130</v>
      </c>
      <c r="AQ55" t="s">
        <v>131</v>
      </c>
      <c r="AR55" t="s">
        <v>194</v>
      </c>
      <c r="AS55">
        <v>2520</v>
      </c>
      <c r="AT55">
        <v>2491</v>
      </c>
      <c r="AU55">
        <v>0</v>
      </c>
      <c r="AV55">
        <v>0</v>
      </c>
      <c r="AW55">
        <v>5.0110000000000001</v>
      </c>
      <c r="AX55">
        <v>0.19273076923076923</v>
      </c>
      <c r="AY55">
        <v>5.7819230769230767</v>
      </c>
      <c r="AZ55" t="s">
        <v>135</v>
      </c>
      <c r="BA55">
        <v>0.21807692307692328</v>
      </c>
      <c r="BB55">
        <v>1.1315106765116754</v>
      </c>
      <c r="BC55" t="s">
        <v>133</v>
      </c>
      <c r="BD55">
        <v>0</v>
      </c>
      <c r="BE55" t="s">
        <v>133</v>
      </c>
      <c r="BF5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5.0110000000000001</v>
      </c>
    </row>
    <row r="56" spans="1:58" x14ac:dyDescent="0.25">
      <c r="A56" t="s">
        <v>251</v>
      </c>
      <c r="B56" t="s">
        <v>19</v>
      </c>
      <c r="C56">
        <v>1</v>
      </c>
      <c r="D56">
        <v>55</v>
      </c>
      <c r="E56" t="s">
        <v>2108</v>
      </c>
      <c r="F56" t="s">
        <v>123</v>
      </c>
      <c r="G56" t="s">
        <v>124</v>
      </c>
      <c r="H56" t="s">
        <v>125</v>
      </c>
      <c r="I56" t="s">
        <v>126</v>
      </c>
      <c r="J56" t="s">
        <v>126</v>
      </c>
      <c r="K56" t="s">
        <v>127</v>
      </c>
      <c r="L56">
        <v>50</v>
      </c>
      <c r="M56">
        <v>937621</v>
      </c>
      <c r="N56">
        <v>6</v>
      </c>
      <c r="O56">
        <v>1</v>
      </c>
      <c r="P56" t="s">
        <v>128</v>
      </c>
      <c r="Q56" t="s">
        <v>129</v>
      </c>
      <c r="R56">
        <v>5</v>
      </c>
      <c r="T56">
        <v>14</v>
      </c>
      <c r="U56">
        <v>19</v>
      </c>
      <c r="V56">
        <v>2</v>
      </c>
      <c r="W56">
        <v>0</v>
      </c>
      <c r="X56">
        <v>2</v>
      </c>
      <c r="Y56">
        <v>0</v>
      </c>
      <c r="Z56">
        <v>16</v>
      </c>
      <c r="AA56">
        <v>21</v>
      </c>
      <c r="AB56">
        <v>50</v>
      </c>
      <c r="AC56">
        <v>24</v>
      </c>
      <c r="AD56">
        <v>3</v>
      </c>
      <c r="AE56">
        <v>0</v>
      </c>
      <c r="AF56">
        <v>27</v>
      </c>
      <c r="AG56">
        <v>0</v>
      </c>
      <c r="AH56">
        <v>26</v>
      </c>
      <c r="AI56">
        <v>23</v>
      </c>
      <c r="AJ56">
        <v>26</v>
      </c>
      <c r="AK56">
        <v>26</v>
      </c>
      <c r="AL56">
        <v>0</v>
      </c>
      <c r="AM56">
        <v>0.12</v>
      </c>
      <c r="AN56">
        <v>2.3636363636363638</v>
      </c>
      <c r="AO56">
        <v>0</v>
      </c>
      <c r="AP56" t="s">
        <v>130</v>
      </c>
      <c r="AQ56" t="s">
        <v>131</v>
      </c>
      <c r="AR56" t="s">
        <v>194</v>
      </c>
      <c r="AS56">
        <v>1412</v>
      </c>
      <c r="AT56">
        <v>1386</v>
      </c>
      <c r="AU56">
        <v>0</v>
      </c>
      <c r="AV56">
        <v>0</v>
      </c>
      <c r="AW56">
        <v>2.798</v>
      </c>
      <c r="AX56">
        <v>0.11658333333333333</v>
      </c>
      <c r="AY56">
        <v>3.1477499999999998</v>
      </c>
      <c r="AZ56" t="s">
        <v>135</v>
      </c>
      <c r="BA56">
        <v>2.8522500000000002</v>
      </c>
      <c r="BB56">
        <v>24.465332380271626</v>
      </c>
      <c r="BC56" t="s">
        <v>144</v>
      </c>
      <c r="BD56">
        <v>0</v>
      </c>
      <c r="BE56" t="s">
        <v>133</v>
      </c>
      <c r="BF5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2.798</v>
      </c>
    </row>
    <row r="57" spans="1:58" x14ac:dyDescent="0.25">
      <c r="A57" t="s">
        <v>252</v>
      </c>
      <c r="B57" t="s">
        <v>19</v>
      </c>
      <c r="C57">
        <v>1</v>
      </c>
      <c r="D57">
        <v>56</v>
      </c>
      <c r="E57" t="s">
        <v>2108</v>
      </c>
      <c r="F57" t="s">
        <v>123</v>
      </c>
      <c r="G57" t="s">
        <v>124</v>
      </c>
      <c r="H57" t="s">
        <v>125</v>
      </c>
      <c r="I57" t="s">
        <v>126</v>
      </c>
      <c r="J57" t="s">
        <v>126</v>
      </c>
      <c r="K57" t="s">
        <v>127</v>
      </c>
      <c r="L57">
        <v>50</v>
      </c>
      <c r="M57">
        <v>937623</v>
      </c>
      <c r="N57">
        <v>6</v>
      </c>
      <c r="O57">
        <v>1</v>
      </c>
      <c r="P57" t="s">
        <v>128</v>
      </c>
      <c r="Q57" t="s">
        <v>129</v>
      </c>
      <c r="R57">
        <v>6</v>
      </c>
      <c r="T57">
        <v>12</v>
      </c>
      <c r="U57">
        <v>17</v>
      </c>
      <c r="V57">
        <v>0</v>
      </c>
      <c r="W57">
        <v>0</v>
      </c>
      <c r="X57">
        <v>0</v>
      </c>
      <c r="Y57">
        <v>0</v>
      </c>
      <c r="Z57">
        <v>12</v>
      </c>
      <c r="AA57">
        <v>17</v>
      </c>
      <c r="AB57">
        <v>50</v>
      </c>
      <c r="AC57">
        <v>21</v>
      </c>
      <c r="AD57">
        <v>0</v>
      </c>
      <c r="AE57">
        <v>0</v>
      </c>
      <c r="AF57">
        <v>21</v>
      </c>
      <c r="AG57">
        <v>0</v>
      </c>
      <c r="AH57">
        <v>29</v>
      </c>
      <c r="AI57">
        <v>29</v>
      </c>
      <c r="AJ57">
        <v>29</v>
      </c>
      <c r="AK57">
        <v>29</v>
      </c>
      <c r="AL57">
        <v>0</v>
      </c>
      <c r="AM57">
        <v>0.12</v>
      </c>
      <c r="AN57">
        <v>2.6363636363636362</v>
      </c>
      <c r="AO57">
        <v>0</v>
      </c>
      <c r="AP57" t="s">
        <v>130</v>
      </c>
      <c r="AQ57" t="s">
        <v>131</v>
      </c>
      <c r="AR57" t="s">
        <v>194</v>
      </c>
      <c r="AS57">
        <v>1413</v>
      </c>
      <c r="AT57">
        <v>1286</v>
      </c>
      <c r="AU57">
        <v>0</v>
      </c>
      <c r="AV57">
        <v>0</v>
      </c>
      <c r="AW57">
        <v>2.6989999999999998</v>
      </c>
      <c r="AX57">
        <v>0.12852380952380951</v>
      </c>
      <c r="AY57">
        <v>2.6989999999999998</v>
      </c>
      <c r="AZ57" t="s">
        <v>135</v>
      </c>
      <c r="BA57">
        <v>3.3010000000000002</v>
      </c>
      <c r="BB57">
        <v>25.683957021118935</v>
      </c>
      <c r="BC57" t="s">
        <v>132</v>
      </c>
      <c r="BD57">
        <v>0</v>
      </c>
      <c r="BE57" t="s">
        <v>133</v>
      </c>
      <c r="BF5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2.6989999999999998</v>
      </c>
    </row>
    <row r="58" spans="1:58" x14ac:dyDescent="0.25">
      <c r="A58" t="s">
        <v>253</v>
      </c>
      <c r="B58" t="s">
        <v>19</v>
      </c>
      <c r="C58">
        <v>1</v>
      </c>
      <c r="D58">
        <v>57</v>
      </c>
      <c r="E58" t="s">
        <v>2108</v>
      </c>
      <c r="F58" t="s">
        <v>123</v>
      </c>
      <c r="G58" t="s">
        <v>124</v>
      </c>
      <c r="H58" t="s">
        <v>125</v>
      </c>
      <c r="I58" t="s">
        <v>126</v>
      </c>
      <c r="J58" t="s">
        <v>126</v>
      </c>
      <c r="K58" t="s">
        <v>127</v>
      </c>
      <c r="L58">
        <v>50</v>
      </c>
      <c r="M58">
        <v>937625</v>
      </c>
      <c r="N58">
        <v>6</v>
      </c>
      <c r="O58">
        <v>1</v>
      </c>
      <c r="P58" t="s">
        <v>128</v>
      </c>
      <c r="Q58" t="s">
        <v>129</v>
      </c>
      <c r="R58">
        <v>6</v>
      </c>
      <c r="T58">
        <v>15</v>
      </c>
      <c r="U58">
        <v>20</v>
      </c>
      <c r="V58">
        <v>2</v>
      </c>
      <c r="W58">
        <v>0</v>
      </c>
      <c r="X58">
        <v>2</v>
      </c>
      <c r="Y58">
        <v>1</v>
      </c>
      <c r="Z58">
        <v>18</v>
      </c>
      <c r="AA58">
        <v>23</v>
      </c>
      <c r="AB58">
        <v>50</v>
      </c>
      <c r="AC58">
        <v>28</v>
      </c>
      <c r="AD58">
        <v>3</v>
      </c>
      <c r="AE58">
        <v>1</v>
      </c>
      <c r="AF58">
        <v>32</v>
      </c>
      <c r="AG58">
        <v>0</v>
      </c>
      <c r="AH58">
        <v>22</v>
      </c>
      <c r="AI58">
        <v>18</v>
      </c>
      <c r="AJ58">
        <v>21</v>
      </c>
      <c r="AK58">
        <v>22</v>
      </c>
      <c r="AL58">
        <v>0</v>
      </c>
      <c r="AM58">
        <v>0.12</v>
      </c>
      <c r="AN58">
        <v>1.9090909090909092</v>
      </c>
      <c r="AO58">
        <v>0</v>
      </c>
      <c r="AP58" t="s">
        <v>130</v>
      </c>
      <c r="AQ58" t="s">
        <v>131</v>
      </c>
      <c r="AR58" t="s">
        <v>194</v>
      </c>
      <c r="AS58">
        <v>2639</v>
      </c>
      <c r="AT58">
        <v>2709</v>
      </c>
      <c r="AU58">
        <v>0</v>
      </c>
      <c r="AV58">
        <v>0</v>
      </c>
      <c r="AW58">
        <v>5.3479999999999999</v>
      </c>
      <c r="AX58">
        <v>0.191</v>
      </c>
      <c r="AY58">
        <v>6.1120000000000001</v>
      </c>
      <c r="AZ58" t="s">
        <v>135</v>
      </c>
      <c r="BA58">
        <v>-0.1120000000000001</v>
      </c>
      <c r="BB58">
        <v>-0.58638743455497433</v>
      </c>
      <c r="BC58" t="s">
        <v>133</v>
      </c>
      <c r="BD58">
        <v>0</v>
      </c>
      <c r="BE58" t="s">
        <v>133</v>
      </c>
      <c r="BF5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5.3479999999999999</v>
      </c>
    </row>
    <row r="59" spans="1:58" x14ac:dyDescent="0.25">
      <c r="A59" t="s">
        <v>254</v>
      </c>
      <c r="B59" t="s">
        <v>19</v>
      </c>
      <c r="C59">
        <v>1</v>
      </c>
      <c r="D59">
        <v>58</v>
      </c>
      <c r="E59" t="s">
        <v>2108</v>
      </c>
      <c r="F59" t="s">
        <v>123</v>
      </c>
      <c r="G59" t="s">
        <v>124</v>
      </c>
      <c r="H59" t="s">
        <v>125</v>
      </c>
      <c r="I59" t="s">
        <v>126</v>
      </c>
      <c r="J59" t="s">
        <v>126</v>
      </c>
      <c r="K59" t="s">
        <v>127</v>
      </c>
      <c r="L59">
        <v>50</v>
      </c>
      <c r="M59">
        <v>937627</v>
      </c>
      <c r="N59">
        <v>6</v>
      </c>
      <c r="O59">
        <v>1</v>
      </c>
      <c r="P59" t="s">
        <v>128</v>
      </c>
      <c r="Q59" t="s">
        <v>129</v>
      </c>
      <c r="R59">
        <v>6</v>
      </c>
      <c r="T59">
        <v>10</v>
      </c>
      <c r="U59">
        <v>15</v>
      </c>
      <c r="V59">
        <v>3</v>
      </c>
      <c r="W59">
        <v>0</v>
      </c>
      <c r="X59">
        <v>3</v>
      </c>
      <c r="Y59">
        <v>2</v>
      </c>
      <c r="Z59">
        <v>15</v>
      </c>
      <c r="AA59">
        <v>20</v>
      </c>
      <c r="AB59">
        <v>50</v>
      </c>
      <c r="AC59">
        <v>17</v>
      </c>
      <c r="AD59">
        <v>4</v>
      </c>
      <c r="AE59">
        <v>5</v>
      </c>
      <c r="AF59">
        <v>26</v>
      </c>
      <c r="AG59">
        <v>0</v>
      </c>
      <c r="AH59">
        <v>33</v>
      </c>
      <c r="AI59">
        <v>24</v>
      </c>
      <c r="AJ59">
        <v>28</v>
      </c>
      <c r="AK59">
        <v>33</v>
      </c>
      <c r="AL59">
        <v>0</v>
      </c>
      <c r="AM59">
        <v>0.12</v>
      </c>
      <c r="AN59">
        <v>2.5454545454545454</v>
      </c>
      <c r="AO59">
        <v>0</v>
      </c>
      <c r="AP59" t="s">
        <v>130</v>
      </c>
      <c r="AQ59" t="s">
        <v>131</v>
      </c>
      <c r="AR59" t="s">
        <v>194</v>
      </c>
      <c r="AS59">
        <v>1197</v>
      </c>
      <c r="AT59">
        <v>1215</v>
      </c>
      <c r="AU59">
        <v>0</v>
      </c>
      <c r="AV59">
        <v>0</v>
      </c>
      <c r="AW59">
        <v>2.4119999999999999</v>
      </c>
      <c r="AX59">
        <v>0.14188235294117646</v>
      </c>
      <c r="AY59">
        <v>3.6889411764705882</v>
      </c>
      <c r="AZ59" t="s">
        <v>135</v>
      </c>
      <c r="BA59">
        <v>2.3110588235294118</v>
      </c>
      <c r="BB59">
        <v>16.28855721393035</v>
      </c>
      <c r="BC59" t="s">
        <v>133</v>
      </c>
      <c r="BD59">
        <v>0</v>
      </c>
      <c r="BE59" t="s">
        <v>133</v>
      </c>
      <c r="BF5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2.4119999999999999</v>
      </c>
    </row>
    <row r="60" spans="1:58" x14ac:dyDescent="0.25">
      <c r="A60" t="s">
        <v>255</v>
      </c>
      <c r="B60" t="s">
        <v>19</v>
      </c>
      <c r="C60">
        <v>1</v>
      </c>
      <c r="D60">
        <v>59</v>
      </c>
      <c r="E60" t="s">
        <v>2108</v>
      </c>
      <c r="F60" t="s">
        <v>123</v>
      </c>
      <c r="G60" t="s">
        <v>124</v>
      </c>
      <c r="H60" t="s">
        <v>125</v>
      </c>
      <c r="I60" t="s">
        <v>126</v>
      </c>
      <c r="J60" t="s">
        <v>126</v>
      </c>
      <c r="K60" t="s">
        <v>127</v>
      </c>
      <c r="L60">
        <v>50</v>
      </c>
      <c r="M60">
        <v>937629</v>
      </c>
      <c r="N60">
        <v>6</v>
      </c>
      <c r="O60">
        <v>1</v>
      </c>
      <c r="P60" t="s">
        <v>128</v>
      </c>
      <c r="Q60" t="s">
        <v>129</v>
      </c>
      <c r="R60">
        <v>6</v>
      </c>
      <c r="T60">
        <v>13</v>
      </c>
      <c r="U60">
        <v>18</v>
      </c>
      <c r="V60">
        <v>1</v>
      </c>
      <c r="W60">
        <v>0</v>
      </c>
      <c r="X60">
        <v>1</v>
      </c>
      <c r="Y60">
        <v>1</v>
      </c>
      <c r="Z60">
        <v>15</v>
      </c>
      <c r="AA60">
        <v>20</v>
      </c>
      <c r="AB60">
        <v>50</v>
      </c>
      <c r="AC60">
        <v>23</v>
      </c>
      <c r="AD60">
        <v>2</v>
      </c>
      <c r="AE60">
        <v>4</v>
      </c>
      <c r="AF60">
        <v>29</v>
      </c>
      <c r="AG60">
        <v>0</v>
      </c>
      <c r="AH60">
        <v>27</v>
      </c>
      <c r="AI60">
        <v>21</v>
      </c>
      <c r="AJ60">
        <v>23</v>
      </c>
      <c r="AK60">
        <v>27</v>
      </c>
      <c r="AL60">
        <v>0</v>
      </c>
      <c r="AM60">
        <v>0.12</v>
      </c>
      <c r="AN60">
        <v>2.0909090909090908</v>
      </c>
      <c r="AO60">
        <v>0</v>
      </c>
      <c r="AP60" t="s">
        <v>130</v>
      </c>
      <c r="AQ60" t="s">
        <v>131</v>
      </c>
      <c r="AR60" t="s">
        <v>194</v>
      </c>
      <c r="AS60">
        <v>1685</v>
      </c>
      <c r="AT60">
        <v>1687</v>
      </c>
      <c r="AU60">
        <v>0</v>
      </c>
      <c r="AV60">
        <v>0</v>
      </c>
      <c r="AW60">
        <v>3.3719999999999999</v>
      </c>
      <c r="AX60">
        <v>0.14660869565217391</v>
      </c>
      <c r="AY60">
        <v>4.2516521739130431</v>
      </c>
      <c r="AZ60" t="s">
        <v>135</v>
      </c>
      <c r="BA60">
        <v>1.7483478260869569</v>
      </c>
      <c r="BB60">
        <v>11.925266903914594</v>
      </c>
      <c r="BC60" t="s">
        <v>133</v>
      </c>
      <c r="BD60">
        <v>0</v>
      </c>
      <c r="BE60" t="s">
        <v>133</v>
      </c>
      <c r="BF6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3.3719999999999999</v>
      </c>
    </row>
    <row r="61" spans="1:58" x14ac:dyDescent="0.25">
      <c r="A61" t="s">
        <v>256</v>
      </c>
      <c r="B61" t="s">
        <v>19</v>
      </c>
      <c r="C61">
        <v>1</v>
      </c>
      <c r="D61">
        <v>60</v>
      </c>
      <c r="E61" t="s">
        <v>2108</v>
      </c>
      <c r="F61" t="s">
        <v>123</v>
      </c>
      <c r="G61" t="s">
        <v>124</v>
      </c>
      <c r="H61" t="s">
        <v>125</v>
      </c>
      <c r="I61" t="s">
        <v>126</v>
      </c>
      <c r="J61" t="s">
        <v>126</v>
      </c>
      <c r="K61" t="s">
        <v>127</v>
      </c>
      <c r="L61">
        <v>50</v>
      </c>
      <c r="M61">
        <v>937631</v>
      </c>
      <c r="N61">
        <v>6</v>
      </c>
      <c r="O61">
        <v>1</v>
      </c>
      <c r="P61" t="s">
        <v>128</v>
      </c>
      <c r="Q61" t="s">
        <v>129</v>
      </c>
      <c r="R61">
        <v>6</v>
      </c>
      <c r="T61">
        <v>13</v>
      </c>
      <c r="U61">
        <v>18</v>
      </c>
      <c r="V61">
        <v>1</v>
      </c>
      <c r="W61">
        <v>0</v>
      </c>
      <c r="X61">
        <v>1</v>
      </c>
      <c r="Y61">
        <v>1</v>
      </c>
      <c r="Z61">
        <v>15</v>
      </c>
      <c r="AA61">
        <v>20</v>
      </c>
      <c r="AB61">
        <v>50</v>
      </c>
      <c r="AC61">
        <v>20</v>
      </c>
      <c r="AD61">
        <v>1</v>
      </c>
      <c r="AE61">
        <v>2</v>
      </c>
      <c r="AF61">
        <v>23</v>
      </c>
      <c r="AG61">
        <v>0</v>
      </c>
      <c r="AH61">
        <v>30</v>
      </c>
      <c r="AI61">
        <v>27</v>
      </c>
      <c r="AJ61">
        <v>28</v>
      </c>
      <c r="AK61">
        <v>30</v>
      </c>
      <c r="AL61">
        <v>0</v>
      </c>
      <c r="AM61">
        <v>0.12</v>
      </c>
      <c r="AN61">
        <v>2.5454545454545454</v>
      </c>
      <c r="AO61">
        <v>0</v>
      </c>
      <c r="AP61" t="s">
        <v>130</v>
      </c>
      <c r="AQ61" t="s">
        <v>131</v>
      </c>
      <c r="AR61" t="s">
        <v>194</v>
      </c>
      <c r="AS61">
        <v>1658</v>
      </c>
      <c r="AT61">
        <v>1687</v>
      </c>
      <c r="AU61">
        <v>0</v>
      </c>
      <c r="AV61">
        <v>0</v>
      </c>
      <c r="AW61">
        <v>3.3450000000000002</v>
      </c>
      <c r="AX61">
        <v>0.16725000000000001</v>
      </c>
      <c r="AY61">
        <v>3.8467500000000001</v>
      </c>
      <c r="AZ61" t="s">
        <v>135</v>
      </c>
      <c r="BA61">
        <v>2.1532499999999999</v>
      </c>
      <c r="BB61">
        <v>12.874439461883407</v>
      </c>
      <c r="BC61" t="s">
        <v>133</v>
      </c>
      <c r="BD61">
        <v>0</v>
      </c>
      <c r="BE61" t="s">
        <v>133</v>
      </c>
      <c r="BF6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3.3450000000000002</v>
      </c>
    </row>
    <row r="62" spans="1:58" x14ac:dyDescent="0.25">
      <c r="A62" t="s">
        <v>257</v>
      </c>
      <c r="B62" t="s">
        <v>19</v>
      </c>
      <c r="C62">
        <v>1</v>
      </c>
      <c r="D62">
        <v>61</v>
      </c>
      <c r="E62" t="s">
        <v>2108</v>
      </c>
      <c r="F62" t="s">
        <v>123</v>
      </c>
      <c r="G62" t="s">
        <v>124</v>
      </c>
      <c r="H62" t="s">
        <v>136</v>
      </c>
      <c r="I62" t="s">
        <v>137</v>
      </c>
      <c r="J62" t="s">
        <v>138</v>
      </c>
      <c r="K62" t="s">
        <v>127</v>
      </c>
      <c r="L62">
        <v>50</v>
      </c>
      <c r="M62">
        <v>937633</v>
      </c>
      <c r="N62">
        <v>5</v>
      </c>
      <c r="O62">
        <v>1</v>
      </c>
      <c r="P62" t="s">
        <v>128</v>
      </c>
      <c r="Q62" t="s">
        <v>129</v>
      </c>
      <c r="R62">
        <v>6</v>
      </c>
      <c r="T62">
        <v>0</v>
      </c>
      <c r="U62">
        <v>4</v>
      </c>
      <c r="V62">
        <v>0</v>
      </c>
      <c r="W62">
        <v>0</v>
      </c>
      <c r="X62">
        <v>0</v>
      </c>
      <c r="Y62">
        <v>0</v>
      </c>
      <c r="Z62">
        <v>0</v>
      </c>
      <c r="AA62">
        <v>4</v>
      </c>
      <c r="AB62">
        <v>50</v>
      </c>
      <c r="AC62">
        <v>4</v>
      </c>
      <c r="AD62">
        <v>0</v>
      </c>
      <c r="AE62">
        <v>0</v>
      </c>
      <c r="AF62">
        <v>4</v>
      </c>
      <c r="AG62">
        <v>0</v>
      </c>
      <c r="AH62">
        <v>46</v>
      </c>
      <c r="AI62">
        <v>46</v>
      </c>
      <c r="AJ62">
        <v>46</v>
      </c>
      <c r="AK62">
        <v>46</v>
      </c>
      <c r="AL62">
        <v>0</v>
      </c>
      <c r="AM62">
        <v>0.1</v>
      </c>
      <c r="AN62">
        <v>4.1818181818181817</v>
      </c>
      <c r="AO62">
        <v>0</v>
      </c>
      <c r="AP62" t="s">
        <v>139</v>
      </c>
      <c r="AQ62" t="s">
        <v>131</v>
      </c>
      <c r="AR62" t="s">
        <v>194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 t="s">
        <v>134</v>
      </c>
      <c r="BA62">
        <v>5</v>
      </c>
      <c r="BB62">
        <v>0</v>
      </c>
      <c r="BC62" t="s">
        <v>133</v>
      </c>
      <c r="BD62">
        <v>0</v>
      </c>
      <c r="BE62" t="s">
        <v>133</v>
      </c>
      <c r="BF6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3" spans="1:58" x14ac:dyDescent="0.25">
      <c r="A63" t="s">
        <v>258</v>
      </c>
      <c r="B63" t="s">
        <v>19</v>
      </c>
      <c r="C63">
        <v>1</v>
      </c>
      <c r="D63">
        <v>62</v>
      </c>
      <c r="E63" t="s">
        <v>2108</v>
      </c>
      <c r="F63" t="s">
        <v>123</v>
      </c>
      <c r="G63" t="s">
        <v>124</v>
      </c>
      <c r="H63" t="s">
        <v>125</v>
      </c>
      <c r="I63" t="s">
        <v>126</v>
      </c>
      <c r="J63" t="s">
        <v>126</v>
      </c>
      <c r="K63" t="s">
        <v>127</v>
      </c>
      <c r="L63">
        <v>50</v>
      </c>
      <c r="M63">
        <v>937635</v>
      </c>
      <c r="N63">
        <v>6</v>
      </c>
      <c r="O63">
        <v>1</v>
      </c>
      <c r="P63" t="s">
        <v>128</v>
      </c>
      <c r="Q63" t="s">
        <v>129</v>
      </c>
      <c r="R63">
        <v>6</v>
      </c>
      <c r="T63">
        <v>7</v>
      </c>
      <c r="U63">
        <v>12</v>
      </c>
      <c r="V63">
        <v>2</v>
      </c>
      <c r="W63">
        <v>0</v>
      </c>
      <c r="X63">
        <v>2</v>
      </c>
      <c r="Y63">
        <v>3</v>
      </c>
      <c r="Z63">
        <v>12</v>
      </c>
      <c r="AA63">
        <v>17</v>
      </c>
      <c r="AB63">
        <v>50</v>
      </c>
      <c r="AC63">
        <v>14</v>
      </c>
      <c r="AD63">
        <v>3</v>
      </c>
      <c r="AE63">
        <v>3</v>
      </c>
      <c r="AF63">
        <v>20</v>
      </c>
      <c r="AG63">
        <v>0</v>
      </c>
      <c r="AH63">
        <v>36</v>
      </c>
      <c r="AI63">
        <v>30</v>
      </c>
      <c r="AJ63">
        <v>33</v>
      </c>
      <c r="AK63">
        <v>36</v>
      </c>
      <c r="AL63">
        <v>0</v>
      </c>
      <c r="AM63">
        <v>0.12</v>
      </c>
      <c r="AN63">
        <v>3</v>
      </c>
      <c r="AO63">
        <v>0</v>
      </c>
      <c r="AP63" t="s">
        <v>130</v>
      </c>
      <c r="AQ63" t="s">
        <v>131</v>
      </c>
      <c r="AR63" t="s">
        <v>194</v>
      </c>
      <c r="AS63">
        <v>1184</v>
      </c>
      <c r="AT63">
        <v>1125</v>
      </c>
      <c r="AU63">
        <v>0</v>
      </c>
      <c r="AV63">
        <v>0</v>
      </c>
      <c r="AW63">
        <v>2.3090000000000002</v>
      </c>
      <c r="AX63">
        <v>0.16492857142857145</v>
      </c>
      <c r="AY63">
        <v>3.2985714285714289</v>
      </c>
      <c r="AZ63" t="s">
        <v>135</v>
      </c>
      <c r="BA63">
        <v>2.7014285714285711</v>
      </c>
      <c r="BB63">
        <v>16.379385015158071</v>
      </c>
      <c r="BC63" t="s">
        <v>133</v>
      </c>
      <c r="BD63">
        <v>0</v>
      </c>
      <c r="BE63" t="s">
        <v>133</v>
      </c>
      <c r="BF6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2.3090000000000002</v>
      </c>
    </row>
    <row r="64" spans="1:58" x14ac:dyDescent="0.25">
      <c r="A64" t="s">
        <v>259</v>
      </c>
      <c r="B64" t="s">
        <v>19</v>
      </c>
      <c r="C64">
        <v>1</v>
      </c>
      <c r="D64">
        <v>63</v>
      </c>
      <c r="E64" t="s">
        <v>2108</v>
      </c>
      <c r="F64" t="s">
        <v>123</v>
      </c>
      <c r="G64" t="s">
        <v>124</v>
      </c>
      <c r="H64" t="s">
        <v>125</v>
      </c>
      <c r="I64" t="s">
        <v>126</v>
      </c>
      <c r="J64" t="s">
        <v>126</v>
      </c>
      <c r="K64" t="s">
        <v>127</v>
      </c>
      <c r="L64">
        <v>50</v>
      </c>
      <c r="M64">
        <v>937637</v>
      </c>
      <c r="N64">
        <v>6</v>
      </c>
      <c r="O64">
        <v>1</v>
      </c>
      <c r="P64" t="s">
        <v>128</v>
      </c>
      <c r="Q64" t="s">
        <v>129</v>
      </c>
      <c r="R64">
        <v>6</v>
      </c>
      <c r="S64" t="s">
        <v>260</v>
      </c>
      <c r="T64">
        <v>35</v>
      </c>
      <c r="U64">
        <v>40</v>
      </c>
      <c r="V64">
        <v>0</v>
      </c>
      <c r="W64">
        <v>0</v>
      </c>
      <c r="X64">
        <v>0</v>
      </c>
      <c r="Y64">
        <v>0</v>
      </c>
      <c r="Z64">
        <v>35</v>
      </c>
      <c r="AA64">
        <v>40</v>
      </c>
      <c r="AB64">
        <v>50</v>
      </c>
      <c r="AC64">
        <v>40</v>
      </c>
      <c r="AD64">
        <v>0</v>
      </c>
      <c r="AE64">
        <v>0</v>
      </c>
      <c r="AF64">
        <v>40</v>
      </c>
      <c r="AG64">
        <v>0</v>
      </c>
      <c r="AH64">
        <v>10</v>
      </c>
      <c r="AI64">
        <v>10</v>
      </c>
      <c r="AJ64">
        <v>10</v>
      </c>
      <c r="AK64">
        <v>10</v>
      </c>
      <c r="AL64">
        <v>0</v>
      </c>
      <c r="AM64">
        <v>0.12</v>
      </c>
      <c r="AN64">
        <v>0.90909090909090917</v>
      </c>
      <c r="AO64">
        <v>0</v>
      </c>
      <c r="AP64" t="s">
        <v>130</v>
      </c>
      <c r="AQ64" t="s">
        <v>131</v>
      </c>
      <c r="AR64" t="s">
        <v>194</v>
      </c>
      <c r="AS64">
        <v>3238</v>
      </c>
      <c r="AT64">
        <v>3387</v>
      </c>
      <c r="AU64">
        <v>0</v>
      </c>
      <c r="AV64">
        <v>0</v>
      </c>
      <c r="AW64">
        <v>6.625</v>
      </c>
      <c r="AX64">
        <v>0.16562499999999999</v>
      </c>
      <c r="AY64">
        <v>6.625</v>
      </c>
      <c r="AZ64" t="s">
        <v>135</v>
      </c>
      <c r="BA64">
        <v>-0.625</v>
      </c>
      <c r="BB64">
        <v>-3.7735849056603774</v>
      </c>
      <c r="BC64" t="s">
        <v>133</v>
      </c>
      <c r="BD64">
        <v>0</v>
      </c>
      <c r="BE64" t="s">
        <v>133</v>
      </c>
      <c r="BF6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6.625</v>
      </c>
    </row>
    <row r="65" spans="1:58" x14ac:dyDescent="0.25">
      <c r="A65" t="s">
        <v>261</v>
      </c>
      <c r="B65" t="s">
        <v>19</v>
      </c>
      <c r="C65">
        <v>1</v>
      </c>
      <c r="D65">
        <v>64</v>
      </c>
      <c r="E65" t="s">
        <v>2108</v>
      </c>
      <c r="F65" t="s">
        <v>123</v>
      </c>
      <c r="G65" t="s">
        <v>124</v>
      </c>
      <c r="H65" t="s">
        <v>125</v>
      </c>
      <c r="I65" t="s">
        <v>126</v>
      </c>
      <c r="J65" t="s">
        <v>126</v>
      </c>
      <c r="K65" t="s">
        <v>127</v>
      </c>
      <c r="L65">
        <v>50</v>
      </c>
      <c r="M65">
        <v>937639</v>
      </c>
      <c r="N65">
        <v>6</v>
      </c>
      <c r="O65">
        <v>1</v>
      </c>
      <c r="P65" t="s">
        <v>128</v>
      </c>
      <c r="Q65" t="s">
        <v>129</v>
      </c>
      <c r="R65">
        <v>6</v>
      </c>
      <c r="S65" t="s">
        <v>260</v>
      </c>
      <c r="T65">
        <v>13</v>
      </c>
      <c r="U65">
        <v>18</v>
      </c>
      <c r="V65">
        <v>0</v>
      </c>
      <c r="W65">
        <v>0</v>
      </c>
      <c r="X65">
        <v>0</v>
      </c>
      <c r="Y65">
        <v>1</v>
      </c>
      <c r="Z65">
        <v>14</v>
      </c>
      <c r="AA65">
        <v>19</v>
      </c>
      <c r="AB65">
        <v>50</v>
      </c>
      <c r="AC65">
        <v>18</v>
      </c>
      <c r="AD65">
        <v>0</v>
      </c>
      <c r="AE65">
        <v>4</v>
      </c>
      <c r="AF65">
        <v>22</v>
      </c>
      <c r="AG65">
        <v>0</v>
      </c>
      <c r="AH65">
        <v>32</v>
      </c>
      <c r="AI65">
        <v>28</v>
      </c>
      <c r="AJ65">
        <v>28</v>
      </c>
      <c r="AK65">
        <v>32</v>
      </c>
      <c r="AL65">
        <v>0</v>
      </c>
      <c r="AM65">
        <v>0.12</v>
      </c>
      <c r="AN65">
        <v>2.5454545454545454</v>
      </c>
      <c r="AO65">
        <v>0</v>
      </c>
      <c r="AP65" t="s">
        <v>130</v>
      </c>
      <c r="AQ65" t="s">
        <v>131</v>
      </c>
      <c r="AR65" t="s">
        <v>194</v>
      </c>
      <c r="AS65">
        <v>1315</v>
      </c>
      <c r="AT65">
        <v>1380</v>
      </c>
      <c r="AU65">
        <v>0</v>
      </c>
      <c r="AV65">
        <v>0</v>
      </c>
      <c r="AW65">
        <v>2.6949999999999998</v>
      </c>
      <c r="AX65">
        <v>0.1497222222222222</v>
      </c>
      <c r="AY65">
        <v>3.2938888888888886</v>
      </c>
      <c r="AZ65" t="s">
        <v>135</v>
      </c>
      <c r="BA65">
        <v>2.7061111111111114</v>
      </c>
      <c r="BB65">
        <v>18.074211502782937</v>
      </c>
      <c r="BC65" t="s">
        <v>133</v>
      </c>
      <c r="BD65">
        <v>0</v>
      </c>
      <c r="BE65" t="s">
        <v>133</v>
      </c>
      <c r="BF6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2.6949999999999998</v>
      </c>
    </row>
    <row r="66" spans="1:58" x14ac:dyDescent="0.25">
      <c r="A66" t="s">
        <v>262</v>
      </c>
      <c r="B66" t="s">
        <v>19</v>
      </c>
      <c r="C66">
        <v>1</v>
      </c>
      <c r="D66">
        <v>65</v>
      </c>
      <c r="E66" t="s">
        <v>2108</v>
      </c>
      <c r="F66" t="s">
        <v>123</v>
      </c>
      <c r="G66" t="s">
        <v>124</v>
      </c>
      <c r="H66" t="s">
        <v>125</v>
      </c>
      <c r="I66" t="s">
        <v>126</v>
      </c>
      <c r="J66" t="s">
        <v>126</v>
      </c>
      <c r="K66" t="s">
        <v>127</v>
      </c>
      <c r="L66">
        <v>50</v>
      </c>
      <c r="M66">
        <v>937641</v>
      </c>
      <c r="N66">
        <v>6</v>
      </c>
      <c r="O66">
        <v>1</v>
      </c>
      <c r="P66" t="s">
        <v>128</v>
      </c>
      <c r="Q66" t="s">
        <v>129</v>
      </c>
      <c r="R66">
        <v>6</v>
      </c>
      <c r="T66">
        <v>0</v>
      </c>
      <c r="U66">
        <v>5</v>
      </c>
      <c r="V66">
        <v>0</v>
      </c>
      <c r="W66">
        <v>0</v>
      </c>
      <c r="X66">
        <v>0</v>
      </c>
      <c r="Y66">
        <v>0</v>
      </c>
      <c r="Z66">
        <v>0</v>
      </c>
      <c r="AA66">
        <v>5</v>
      </c>
      <c r="AB66">
        <v>50</v>
      </c>
      <c r="AC66">
        <v>5</v>
      </c>
      <c r="AD66">
        <v>0</v>
      </c>
      <c r="AE66">
        <v>0</v>
      </c>
      <c r="AF66">
        <v>5</v>
      </c>
      <c r="AG66">
        <v>0</v>
      </c>
      <c r="AH66">
        <v>45</v>
      </c>
      <c r="AI66">
        <v>45</v>
      </c>
      <c r="AJ66">
        <v>45</v>
      </c>
      <c r="AK66">
        <v>45</v>
      </c>
      <c r="AL66">
        <v>0</v>
      </c>
      <c r="AM66">
        <v>0.12</v>
      </c>
      <c r="AN66">
        <v>4.0909090909090908</v>
      </c>
      <c r="AO66">
        <v>0</v>
      </c>
      <c r="AP66" t="s">
        <v>130</v>
      </c>
      <c r="AQ66" t="s">
        <v>131</v>
      </c>
      <c r="AR66" t="s">
        <v>194</v>
      </c>
      <c r="AS66">
        <v>181</v>
      </c>
      <c r="AT66">
        <v>176</v>
      </c>
      <c r="AU66">
        <v>0</v>
      </c>
      <c r="AV66">
        <v>0</v>
      </c>
      <c r="AW66">
        <v>0.35699999999999998</v>
      </c>
      <c r="AX66">
        <v>7.1399999999999991E-2</v>
      </c>
      <c r="AY66">
        <v>0.35699999999999998</v>
      </c>
      <c r="AZ66" t="s">
        <v>135</v>
      </c>
      <c r="BA66">
        <v>5.6429999999999998</v>
      </c>
      <c r="BB66">
        <v>79.033613445378151</v>
      </c>
      <c r="BC66" t="s">
        <v>133</v>
      </c>
      <c r="BD66">
        <v>1</v>
      </c>
      <c r="BE66" t="s">
        <v>133</v>
      </c>
      <c r="BF6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0.35699999999999998</v>
      </c>
    </row>
    <row r="67" spans="1:58" x14ac:dyDescent="0.25">
      <c r="A67" t="s">
        <v>263</v>
      </c>
      <c r="B67" t="s">
        <v>19</v>
      </c>
      <c r="C67">
        <v>1</v>
      </c>
      <c r="D67">
        <v>66</v>
      </c>
      <c r="E67" t="s">
        <v>2108</v>
      </c>
      <c r="F67" t="s">
        <v>123</v>
      </c>
      <c r="G67" t="s">
        <v>124</v>
      </c>
      <c r="H67" t="s">
        <v>125</v>
      </c>
      <c r="I67" t="s">
        <v>126</v>
      </c>
      <c r="J67" t="s">
        <v>126</v>
      </c>
      <c r="K67" t="s">
        <v>127</v>
      </c>
      <c r="L67">
        <v>50</v>
      </c>
      <c r="M67">
        <v>937643</v>
      </c>
      <c r="N67">
        <v>6</v>
      </c>
      <c r="O67">
        <v>1</v>
      </c>
      <c r="P67" t="s">
        <v>128</v>
      </c>
      <c r="Q67" t="s">
        <v>129</v>
      </c>
      <c r="R67">
        <v>6</v>
      </c>
      <c r="T67">
        <v>0</v>
      </c>
      <c r="U67">
        <v>5</v>
      </c>
      <c r="V67">
        <v>0</v>
      </c>
      <c r="W67">
        <v>0</v>
      </c>
      <c r="X67">
        <v>0</v>
      </c>
      <c r="Y67">
        <v>0</v>
      </c>
      <c r="Z67">
        <v>0</v>
      </c>
      <c r="AA67">
        <v>5</v>
      </c>
      <c r="AB67">
        <v>50</v>
      </c>
      <c r="AC67">
        <v>5</v>
      </c>
      <c r="AD67">
        <v>0</v>
      </c>
      <c r="AE67">
        <v>0</v>
      </c>
      <c r="AF67">
        <v>5</v>
      </c>
      <c r="AG67">
        <v>0</v>
      </c>
      <c r="AH67">
        <v>45</v>
      </c>
      <c r="AI67">
        <v>45</v>
      </c>
      <c r="AJ67">
        <v>45</v>
      </c>
      <c r="AK67">
        <v>45</v>
      </c>
      <c r="AL67">
        <v>0</v>
      </c>
      <c r="AM67">
        <v>0.12</v>
      </c>
      <c r="AN67">
        <v>4.0909090909090908</v>
      </c>
      <c r="AO67">
        <v>0</v>
      </c>
      <c r="AP67" t="s">
        <v>130</v>
      </c>
      <c r="AQ67" t="s">
        <v>131</v>
      </c>
      <c r="AR67" t="s">
        <v>194</v>
      </c>
      <c r="AS67">
        <v>197</v>
      </c>
      <c r="AT67">
        <v>166</v>
      </c>
      <c r="AU67">
        <v>0</v>
      </c>
      <c r="AV67">
        <v>0</v>
      </c>
      <c r="AW67">
        <v>0.36299999999999999</v>
      </c>
      <c r="AX67">
        <v>7.2599999999999998E-2</v>
      </c>
      <c r="AY67">
        <v>0.36299999999999999</v>
      </c>
      <c r="AZ67" t="s">
        <v>135</v>
      </c>
      <c r="BA67">
        <v>5.6370000000000005</v>
      </c>
      <c r="BB67">
        <v>77.644628099173559</v>
      </c>
      <c r="BC67" t="s">
        <v>144</v>
      </c>
      <c r="BD67">
        <v>2</v>
      </c>
      <c r="BE67" t="s">
        <v>133</v>
      </c>
      <c r="BF6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0.36299999999999999</v>
      </c>
    </row>
    <row r="68" spans="1:58" x14ac:dyDescent="0.25">
      <c r="A68" t="s">
        <v>264</v>
      </c>
      <c r="B68" t="s">
        <v>19</v>
      </c>
      <c r="C68">
        <v>1</v>
      </c>
      <c r="D68">
        <v>67</v>
      </c>
      <c r="E68" t="s">
        <v>2108</v>
      </c>
      <c r="F68" t="s">
        <v>123</v>
      </c>
      <c r="G68" t="s">
        <v>124</v>
      </c>
      <c r="H68" t="s">
        <v>136</v>
      </c>
      <c r="I68" t="s">
        <v>137</v>
      </c>
      <c r="J68" t="s">
        <v>165</v>
      </c>
      <c r="K68" t="s">
        <v>127</v>
      </c>
      <c r="L68">
        <v>50</v>
      </c>
      <c r="M68">
        <v>937645</v>
      </c>
      <c r="N68">
        <v>0</v>
      </c>
      <c r="O68">
        <v>1</v>
      </c>
      <c r="P68" t="s">
        <v>128</v>
      </c>
      <c r="Q68" t="s">
        <v>129</v>
      </c>
      <c r="R68">
        <v>7</v>
      </c>
      <c r="T68">
        <v>0</v>
      </c>
      <c r="U68">
        <v>2</v>
      </c>
      <c r="V68">
        <v>2</v>
      </c>
      <c r="W68">
        <v>0</v>
      </c>
      <c r="X68">
        <v>2</v>
      </c>
      <c r="Y68">
        <v>29</v>
      </c>
      <c r="Z68">
        <v>0</v>
      </c>
      <c r="AA68">
        <v>33</v>
      </c>
      <c r="AB68">
        <v>50</v>
      </c>
      <c r="AC68">
        <v>2</v>
      </c>
      <c r="AD68">
        <v>4</v>
      </c>
      <c r="AE68">
        <v>29</v>
      </c>
      <c r="AF68">
        <v>35</v>
      </c>
      <c r="AG68">
        <v>0</v>
      </c>
      <c r="AH68">
        <v>48</v>
      </c>
      <c r="AI68">
        <v>15</v>
      </c>
      <c r="AJ68">
        <v>19</v>
      </c>
      <c r="AK68">
        <v>48</v>
      </c>
      <c r="AL68">
        <v>0</v>
      </c>
      <c r="AM68">
        <v>0</v>
      </c>
      <c r="AN68">
        <v>1.7272727272727273</v>
      </c>
      <c r="AO68">
        <v>0</v>
      </c>
      <c r="AP68" t="s">
        <v>139</v>
      </c>
      <c r="AQ68" t="s">
        <v>131</v>
      </c>
      <c r="AR68" t="s">
        <v>194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 t="s">
        <v>147</v>
      </c>
      <c r="BA68">
        <v>0</v>
      </c>
      <c r="BB68">
        <v>0</v>
      </c>
      <c r="BC68" t="s">
        <v>132</v>
      </c>
      <c r="BD68">
        <v>0</v>
      </c>
      <c r="BE68" t="s">
        <v>133</v>
      </c>
      <c r="BF6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9" spans="1:58" x14ac:dyDescent="0.25">
      <c r="A69" t="s">
        <v>265</v>
      </c>
      <c r="B69" t="s">
        <v>19</v>
      </c>
      <c r="C69">
        <v>1</v>
      </c>
      <c r="D69">
        <v>68</v>
      </c>
      <c r="E69" t="s">
        <v>2108</v>
      </c>
      <c r="F69" t="s">
        <v>123</v>
      </c>
      <c r="G69" t="s">
        <v>124</v>
      </c>
      <c r="H69" t="s">
        <v>125</v>
      </c>
      <c r="I69" t="s">
        <v>154</v>
      </c>
      <c r="J69" t="s">
        <v>154</v>
      </c>
      <c r="K69" t="s">
        <v>166</v>
      </c>
      <c r="L69">
        <v>50</v>
      </c>
      <c r="M69">
        <v>937647</v>
      </c>
      <c r="N69">
        <v>0</v>
      </c>
      <c r="O69">
        <v>1</v>
      </c>
      <c r="P69" t="s">
        <v>128</v>
      </c>
      <c r="Q69" t="s">
        <v>129</v>
      </c>
      <c r="R69">
        <v>7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50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50</v>
      </c>
      <c r="AI69">
        <v>50</v>
      </c>
      <c r="AJ69">
        <v>50</v>
      </c>
      <c r="AK69">
        <v>50</v>
      </c>
      <c r="AL69">
        <v>0</v>
      </c>
      <c r="AM69">
        <v>0</v>
      </c>
      <c r="AN69">
        <v>4.5454545454545459</v>
      </c>
      <c r="AO69">
        <v>0</v>
      </c>
      <c r="AP69" t="s">
        <v>167</v>
      </c>
      <c r="AQ69" t="s">
        <v>155</v>
      </c>
      <c r="AR69" t="s">
        <v>194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 t="s">
        <v>135</v>
      </c>
      <c r="BA69">
        <v>0</v>
      </c>
      <c r="BB69">
        <v>0</v>
      </c>
      <c r="BC69" t="s">
        <v>133</v>
      </c>
      <c r="BD69">
        <v>1</v>
      </c>
      <c r="BE69" t="s">
        <v>133</v>
      </c>
      <c r="BF6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0" spans="1:58" x14ac:dyDescent="0.25">
      <c r="A70" t="s">
        <v>266</v>
      </c>
      <c r="B70" t="s">
        <v>19</v>
      </c>
      <c r="C70">
        <v>1</v>
      </c>
      <c r="D70">
        <v>69</v>
      </c>
      <c r="E70" t="s">
        <v>2108</v>
      </c>
      <c r="F70" t="s">
        <v>123</v>
      </c>
      <c r="G70" t="s">
        <v>124</v>
      </c>
      <c r="H70" t="s">
        <v>125</v>
      </c>
      <c r="I70" t="s">
        <v>154</v>
      </c>
      <c r="J70" t="s">
        <v>154</v>
      </c>
      <c r="K70" t="s">
        <v>166</v>
      </c>
      <c r="L70">
        <v>50</v>
      </c>
      <c r="M70">
        <v>937649</v>
      </c>
      <c r="N70">
        <v>0</v>
      </c>
      <c r="O70">
        <v>1</v>
      </c>
      <c r="P70" t="s">
        <v>128</v>
      </c>
      <c r="Q70" t="s">
        <v>129</v>
      </c>
      <c r="R70">
        <v>7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50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50</v>
      </c>
      <c r="AI70">
        <v>50</v>
      </c>
      <c r="AJ70">
        <v>50</v>
      </c>
      <c r="AK70">
        <v>50</v>
      </c>
      <c r="AL70">
        <v>0</v>
      </c>
      <c r="AM70">
        <v>0</v>
      </c>
      <c r="AN70">
        <v>4.5454545454545459</v>
      </c>
      <c r="AO70">
        <v>0</v>
      </c>
      <c r="AP70" t="s">
        <v>167</v>
      </c>
      <c r="AQ70" t="s">
        <v>155</v>
      </c>
      <c r="AR70" t="s">
        <v>194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 t="s">
        <v>135</v>
      </c>
      <c r="BA70">
        <v>0</v>
      </c>
      <c r="BB70">
        <v>0</v>
      </c>
      <c r="BC70" t="s">
        <v>133</v>
      </c>
      <c r="BD70">
        <v>2</v>
      </c>
      <c r="BE70" t="s">
        <v>133</v>
      </c>
      <c r="BF7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1" spans="1:58" x14ac:dyDescent="0.25">
      <c r="A71" t="s">
        <v>267</v>
      </c>
      <c r="B71" t="s">
        <v>19</v>
      </c>
      <c r="C71">
        <v>1</v>
      </c>
      <c r="D71">
        <v>70</v>
      </c>
      <c r="E71" t="s">
        <v>2108</v>
      </c>
      <c r="F71" t="s">
        <v>123</v>
      </c>
      <c r="G71" t="s">
        <v>124</v>
      </c>
      <c r="H71" t="s">
        <v>125</v>
      </c>
      <c r="I71" t="s">
        <v>154</v>
      </c>
      <c r="J71" t="s">
        <v>154</v>
      </c>
      <c r="K71" t="s">
        <v>166</v>
      </c>
      <c r="L71">
        <v>50</v>
      </c>
      <c r="M71">
        <v>937651</v>
      </c>
      <c r="N71">
        <v>0</v>
      </c>
      <c r="O71">
        <v>1</v>
      </c>
      <c r="P71" t="s">
        <v>128</v>
      </c>
      <c r="Q71" t="s">
        <v>129</v>
      </c>
      <c r="R71">
        <v>7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50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50</v>
      </c>
      <c r="AI71">
        <v>50</v>
      </c>
      <c r="AJ71">
        <v>50</v>
      </c>
      <c r="AK71">
        <v>50</v>
      </c>
      <c r="AL71">
        <v>0</v>
      </c>
      <c r="AM71">
        <v>0</v>
      </c>
      <c r="AN71">
        <v>4.5454545454545459</v>
      </c>
      <c r="AO71">
        <v>0</v>
      </c>
      <c r="AP71" t="s">
        <v>167</v>
      </c>
      <c r="AQ71" t="s">
        <v>155</v>
      </c>
      <c r="AR71" t="s">
        <v>194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 t="s">
        <v>135</v>
      </c>
      <c r="BA71">
        <v>0</v>
      </c>
      <c r="BB71">
        <v>0</v>
      </c>
      <c r="BC71" t="s">
        <v>133</v>
      </c>
      <c r="BD71">
        <v>3</v>
      </c>
      <c r="BE71" t="s">
        <v>133</v>
      </c>
      <c r="BF7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2" spans="1:58" x14ac:dyDescent="0.25">
      <c r="A72" t="s">
        <v>268</v>
      </c>
      <c r="B72" t="s">
        <v>19</v>
      </c>
      <c r="C72">
        <v>1</v>
      </c>
      <c r="D72">
        <v>71</v>
      </c>
      <c r="E72" t="s">
        <v>2108</v>
      </c>
      <c r="F72" t="s">
        <v>123</v>
      </c>
      <c r="G72" t="s">
        <v>124</v>
      </c>
      <c r="H72" t="s">
        <v>125</v>
      </c>
      <c r="I72" t="s">
        <v>154</v>
      </c>
      <c r="J72" t="s">
        <v>154</v>
      </c>
      <c r="K72" t="s">
        <v>166</v>
      </c>
      <c r="L72">
        <v>50</v>
      </c>
      <c r="M72">
        <v>937653</v>
      </c>
      <c r="N72">
        <v>0</v>
      </c>
      <c r="O72">
        <v>1</v>
      </c>
      <c r="P72" t="s">
        <v>128</v>
      </c>
      <c r="Q72" t="s">
        <v>129</v>
      </c>
      <c r="R72">
        <v>7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50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50</v>
      </c>
      <c r="AI72">
        <v>50</v>
      </c>
      <c r="AJ72">
        <v>50</v>
      </c>
      <c r="AK72">
        <v>50</v>
      </c>
      <c r="AL72">
        <v>0</v>
      </c>
      <c r="AM72">
        <v>0</v>
      </c>
      <c r="AN72">
        <v>4.5454545454545459</v>
      </c>
      <c r="AO72">
        <v>0</v>
      </c>
      <c r="AP72" t="s">
        <v>167</v>
      </c>
      <c r="AQ72" t="s">
        <v>155</v>
      </c>
      <c r="AR72" t="s">
        <v>194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 t="s">
        <v>135</v>
      </c>
      <c r="BA72">
        <v>0</v>
      </c>
      <c r="BB72">
        <v>0</v>
      </c>
      <c r="BC72" t="s">
        <v>133</v>
      </c>
      <c r="BD72">
        <v>4</v>
      </c>
      <c r="BE72" t="s">
        <v>133</v>
      </c>
      <c r="BF7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3" spans="1:58" x14ac:dyDescent="0.25">
      <c r="A73" t="s">
        <v>269</v>
      </c>
      <c r="B73" t="s">
        <v>19</v>
      </c>
      <c r="C73">
        <v>1</v>
      </c>
      <c r="D73">
        <v>72</v>
      </c>
      <c r="E73" t="s">
        <v>2108</v>
      </c>
      <c r="F73" t="s">
        <v>123</v>
      </c>
      <c r="G73" t="s">
        <v>124</v>
      </c>
      <c r="H73" t="s">
        <v>125</v>
      </c>
      <c r="I73" t="s">
        <v>154</v>
      </c>
      <c r="J73" t="s">
        <v>154</v>
      </c>
      <c r="K73" t="s">
        <v>166</v>
      </c>
      <c r="L73">
        <v>50</v>
      </c>
      <c r="M73">
        <v>937655</v>
      </c>
      <c r="N73">
        <v>0</v>
      </c>
      <c r="O73">
        <v>1</v>
      </c>
      <c r="P73" t="s">
        <v>128</v>
      </c>
      <c r="Q73" t="s">
        <v>129</v>
      </c>
      <c r="R73">
        <v>7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50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50</v>
      </c>
      <c r="AI73">
        <v>50</v>
      </c>
      <c r="AJ73">
        <v>50</v>
      </c>
      <c r="AK73">
        <v>50</v>
      </c>
      <c r="AL73">
        <v>0</v>
      </c>
      <c r="AM73">
        <v>0</v>
      </c>
      <c r="AN73">
        <v>4.5454545454545459</v>
      </c>
      <c r="AO73">
        <v>0</v>
      </c>
      <c r="AP73" t="s">
        <v>167</v>
      </c>
      <c r="AQ73" t="s">
        <v>155</v>
      </c>
      <c r="AR73" t="s">
        <v>194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 t="s">
        <v>135</v>
      </c>
      <c r="BA73">
        <v>0</v>
      </c>
      <c r="BB73">
        <v>0</v>
      </c>
      <c r="BC73" t="s">
        <v>133</v>
      </c>
      <c r="BD73">
        <v>5</v>
      </c>
      <c r="BE73" t="s">
        <v>133</v>
      </c>
      <c r="BF7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4" spans="1:58" x14ac:dyDescent="0.25">
      <c r="A74" t="s">
        <v>270</v>
      </c>
      <c r="B74" t="s">
        <v>19</v>
      </c>
      <c r="C74">
        <v>1</v>
      </c>
      <c r="D74">
        <v>73</v>
      </c>
      <c r="E74" t="s">
        <v>2108</v>
      </c>
      <c r="F74" t="s">
        <v>123</v>
      </c>
      <c r="G74" t="s">
        <v>124</v>
      </c>
      <c r="H74" t="s">
        <v>125</v>
      </c>
      <c r="I74" t="s">
        <v>154</v>
      </c>
      <c r="J74" t="s">
        <v>154</v>
      </c>
      <c r="K74" t="s">
        <v>166</v>
      </c>
      <c r="L74">
        <v>50</v>
      </c>
      <c r="M74">
        <v>937657</v>
      </c>
      <c r="N74">
        <v>0</v>
      </c>
      <c r="O74">
        <v>1</v>
      </c>
      <c r="P74" t="s">
        <v>128</v>
      </c>
      <c r="Q74" t="s">
        <v>129</v>
      </c>
      <c r="R74">
        <v>7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50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50</v>
      </c>
      <c r="AI74">
        <v>50</v>
      </c>
      <c r="AJ74">
        <v>50</v>
      </c>
      <c r="AK74">
        <v>50</v>
      </c>
      <c r="AL74">
        <v>0</v>
      </c>
      <c r="AM74">
        <v>0</v>
      </c>
      <c r="AN74">
        <v>4.5454545454545459</v>
      </c>
      <c r="AO74">
        <v>0</v>
      </c>
      <c r="AP74" t="s">
        <v>167</v>
      </c>
      <c r="AQ74" t="s">
        <v>155</v>
      </c>
      <c r="AR74" t="s">
        <v>194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 t="s">
        <v>135</v>
      </c>
      <c r="BA74">
        <v>0</v>
      </c>
      <c r="BB74">
        <v>0</v>
      </c>
      <c r="BC74" t="s">
        <v>133</v>
      </c>
      <c r="BD74">
        <v>6</v>
      </c>
      <c r="BE74" t="s">
        <v>133</v>
      </c>
      <c r="BF7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5" spans="1:58" x14ac:dyDescent="0.25">
      <c r="A75" t="s">
        <v>271</v>
      </c>
      <c r="B75" t="s">
        <v>19</v>
      </c>
      <c r="C75">
        <v>1</v>
      </c>
      <c r="D75">
        <v>74</v>
      </c>
      <c r="E75" t="s">
        <v>2109</v>
      </c>
      <c r="F75" t="s">
        <v>123</v>
      </c>
      <c r="G75" t="s">
        <v>124</v>
      </c>
      <c r="H75" t="s">
        <v>125</v>
      </c>
      <c r="I75" t="s">
        <v>183</v>
      </c>
      <c r="J75" t="s">
        <v>190</v>
      </c>
      <c r="K75" t="s">
        <v>166</v>
      </c>
      <c r="L75">
        <v>50</v>
      </c>
      <c r="M75">
        <v>937659</v>
      </c>
      <c r="N75">
        <v>20</v>
      </c>
      <c r="O75">
        <v>1</v>
      </c>
      <c r="P75" t="s">
        <v>128</v>
      </c>
      <c r="Q75" t="s">
        <v>129</v>
      </c>
      <c r="R75">
        <v>7</v>
      </c>
      <c r="S75" t="s">
        <v>272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50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50</v>
      </c>
      <c r="AI75">
        <v>50</v>
      </c>
      <c r="AJ75">
        <v>50</v>
      </c>
      <c r="AK75">
        <v>50</v>
      </c>
      <c r="AL75">
        <v>0</v>
      </c>
      <c r="AM75">
        <v>0.4</v>
      </c>
      <c r="AN75">
        <v>4.5454545454545459</v>
      </c>
      <c r="AO75">
        <v>0</v>
      </c>
      <c r="AP75" t="s">
        <v>184</v>
      </c>
      <c r="AQ75" t="s">
        <v>155</v>
      </c>
      <c r="AR75" t="s">
        <v>229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 t="s">
        <v>135</v>
      </c>
      <c r="BA75">
        <v>20</v>
      </c>
      <c r="BB75">
        <v>0</v>
      </c>
      <c r="BC75" t="s">
        <v>133</v>
      </c>
      <c r="BD75">
        <v>0</v>
      </c>
      <c r="BE75" t="s">
        <v>133</v>
      </c>
      <c r="BF7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6" spans="1:58" x14ac:dyDescent="0.25">
      <c r="A76" t="s">
        <v>273</v>
      </c>
      <c r="B76" t="s">
        <v>19</v>
      </c>
      <c r="C76">
        <v>1</v>
      </c>
      <c r="D76">
        <v>75</v>
      </c>
      <c r="E76" t="s">
        <v>2109</v>
      </c>
      <c r="F76" t="s">
        <v>123</v>
      </c>
      <c r="G76" t="s">
        <v>124</v>
      </c>
      <c r="H76" t="s">
        <v>125</v>
      </c>
      <c r="I76" t="s">
        <v>183</v>
      </c>
      <c r="J76" t="s">
        <v>190</v>
      </c>
      <c r="K76" t="s">
        <v>166</v>
      </c>
      <c r="L76">
        <v>50</v>
      </c>
      <c r="M76">
        <v>937661</v>
      </c>
      <c r="N76">
        <v>20</v>
      </c>
      <c r="O76">
        <v>1</v>
      </c>
      <c r="P76" t="s">
        <v>128</v>
      </c>
      <c r="Q76" t="s">
        <v>129</v>
      </c>
      <c r="R76">
        <v>7</v>
      </c>
      <c r="S76" t="s">
        <v>274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50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50</v>
      </c>
      <c r="AI76">
        <v>50</v>
      </c>
      <c r="AJ76">
        <v>50</v>
      </c>
      <c r="AK76">
        <v>50</v>
      </c>
      <c r="AL76">
        <v>0</v>
      </c>
      <c r="AM76">
        <v>0.4</v>
      </c>
      <c r="AN76">
        <v>4.5454545454545459</v>
      </c>
      <c r="AO76">
        <v>0</v>
      </c>
      <c r="AP76" t="s">
        <v>184</v>
      </c>
      <c r="AQ76" t="s">
        <v>155</v>
      </c>
      <c r="AR76" t="s">
        <v>229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 t="s">
        <v>135</v>
      </c>
      <c r="BA76">
        <v>20</v>
      </c>
      <c r="BB76">
        <v>0</v>
      </c>
      <c r="BC76" t="s">
        <v>133</v>
      </c>
      <c r="BD76">
        <v>0</v>
      </c>
      <c r="BE76" t="s">
        <v>133</v>
      </c>
      <c r="BF7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7" spans="1:58" x14ac:dyDescent="0.25">
      <c r="A77" t="s">
        <v>275</v>
      </c>
      <c r="B77" t="s">
        <v>19</v>
      </c>
      <c r="C77">
        <v>1</v>
      </c>
      <c r="D77">
        <v>76</v>
      </c>
      <c r="E77" t="s">
        <v>2109</v>
      </c>
      <c r="F77" t="s">
        <v>123</v>
      </c>
      <c r="G77" t="s">
        <v>124</v>
      </c>
      <c r="H77" t="s">
        <v>125</v>
      </c>
      <c r="I77" t="s">
        <v>183</v>
      </c>
      <c r="J77" t="s">
        <v>190</v>
      </c>
      <c r="K77" t="s">
        <v>166</v>
      </c>
      <c r="L77">
        <v>50</v>
      </c>
      <c r="M77">
        <v>937663</v>
      </c>
      <c r="N77">
        <v>20</v>
      </c>
      <c r="O77">
        <v>1</v>
      </c>
      <c r="P77" t="s">
        <v>128</v>
      </c>
      <c r="Q77" t="s">
        <v>129</v>
      </c>
      <c r="R77">
        <v>7</v>
      </c>
      <c r="S77" t="s">
        <v>276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50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50</v>
      </c>
      <c r="AI77">
        <v>50</v>
      </c>
      <c r="AJ77">
        <v>50</v>
      </c>
      <c r="AK77">
        <v>50</v>
      </c>
      <c r="AL77">
        <v>0</v>
      </c>
      <c r="AM77">
        <v>0.4</v>
      </c>
      <c r="AN77">
        <v>4.5454545454545459</v>
      </c>
      <c r="AO77">
        <v>0</v>
      </c>
      <c r="AP77" t="s">
        <v>184</v>
      </c>
      <c r="AQ77" t="s">
        <v>155</v>
      </c>
      <c r="AR77" t="s">
        <v>229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 t="s">
        <v>135</v>
      </c>
      <c r="BA77">
        <v>20</v>
      </c>
      <c r="BB77">
        <v>0</v>
      </c>
      <c r="BC77" t="s">
        <v>133</v>
      </c>
      <c r="BD77">
        <v>0</v>
      </c>
      <c r="BE77" t="s">
        <v>133</v>
      </c>
      <c r="BF7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8" spans="1:58" x14ac:dyDescent="0.25">
      <c r="A78" t="s">
        <v>277</v>
      </c>
      <c r="B78" t="s">
        <v>19</v>
      </c>
      <c r="C78">
        <v>1</v>
      </c>
      <c r="D78">
        <v>77</v>
      </c>
      <c r="E78" t="s">
        <v>2109</v>
      </c>
      <c r="F78" t="s">
        <v>123</v>
      </c>
      <c r="G78" t="s">
        <v>124</v>
      </c>
      <c r="H78" t="s">
        <v>125</v>
      </c>
      <c r="I78" t="s">
        <v>183</v>
      </c>
      <c r="J78" t="s">
        <v>190</v>
      </c>
      <c r="K78" t="s">
        <v>166</v>
      </c>
      <c r="L78">
        <v>50</v>
      </c>
      <c r="M78">
        <v>937665</v>
      </c>
      <c r="N78">
        <v>20</v>
      </c>
      <c r="O78">
        <v>1</v>
      </c>
      <c r="P78" t="s">
        <v>128</v>
      </c>
      <c r="Q78" t="s">
        <v>129</v>
      </c>
      <c r="R78">
        <v>7</v>
      </c>
      <c r="S78" t="s">
        <v>278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50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50</v>
      </c>
      <c r="AI78">
        <v>50</v>
      </c>
      <c r="AJ78">
        <v>50</v>
      </c>
      <c r="AK78">
        <v>50</v>
      </c>
      <c r="AL78">
        <v>0</v>
      </c>
      <c r="AM78">
        <v>0.4</v>
      </c>
      <c r="AN78">
        <v>4.5454545454545459</v>
      </c>
      <c r="AO78">
        <v>0</v>
      </c>
      <c r="AP78" t="s">
        <v>184</v>
      </c>
      <c r="AQ78" t="s">
        <v>155</v>
      </c>
      <c r="AR78" t="s">
        <v>229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 t="s">
        <v>135</v>
      </c>
      <c r="BA78">
        <v>20</v>
      </c>
      <c r="BB78">
        <v>0</v>
      </c>
      <c r="BC78" t="s">
        <v>144</v>
      </c>
      <c r="BD78">
        <v>0</v>
      </c>
      <c r="BE78" t="s">
        <v>133</v>
      </c>
      <c r="BF7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9" spans="1:58" x14ac:dyDescent="0.25">
      <c r="A79" t="s">
        <v>279</v>
      </c>
      <c r="B79" t="s">
        <v>19</v>
      </c>
      <c r="C79">
        <v>1</v>
      </c>
      <c r="D79">
        <v>78</v>
      </c>
      <c r="E79" t="s">
        <v>2109</v>
      </c>
      <c r="F79" t="s">
        <v>123</v>
      </c>
      <c r="G79" t="s">
        <v>124</v>
      </c>
      <c r="H79" t="s">
        <v>125</v>
      </c>
      <c r="I79" t="s">
        <v>183</v>
      </c>
      <c r="J79" t="s">
        <v>140</v>
      </c>
      <c r="K79" t="s">
        <v>127</v>
      </c>
      <c r="L79">
        <v>50</v>
      </c>
      <c r="M79">
        <v>3442634</v>
      </c>
      <c r="N79">
        <v>20</v>
      </c>
      <c r="O79">
        <v>1</v>
      </c>
      <c r="P79" t="s">
        <v>128</v>
      </c>
      <c r="Q79" t="s">
        <v>129</v>
      </c>
      <c r="R79">
        <v>8</v>
      </c>
      <c r="S79" t="s">
        <v>280</v>
      </c>
      <c r="T79">
        <v>22</v>
      </c>
      <c r="U79">
        <v>25</v>
      </c>
      <c r="V79">
        <v>0</v>
      </c>
      <c r="W79">
        <v>0</v>
      </c>
      <c r="X79">
        <v>0</v>
      </c>
      <c r="Y79">
        <v>0</v>
      </c>
      <c r="Z79">
        <v>22</v>
      </c>
      <c r="AA79">
        <v>25</v>
      </c>
      <c r="AB79">
        <v>50</v>
      </c>
      <c r="AC79">
        <v>49</v>
      </c>
      <c r="AD79">
        <v>0</v>
      </c>
      <c r="AE79">
        <v>0</v>
      </c>
      <c r="AF79">
        <v>49</v>
      </c>
      <c r="AG79">
        <v>0</v>
      </c>
      <c r="AH79">
        <v>1</v>
      </c>
      <c r="AI79">
        <v>1</v>
      </c>
      <c r="AJ79">
        <v>1</v>
      </c>
      <c r="AK79">
        <v>1</v>
      </c>
      <c r="AL79">
        <v>0</v>
      </c>
      <c r="AM79">
        <v>0.4</v>
      </c>
      <c r="AN79">
        <v>9.0909090909090912E-2</v>
      </c>
      <c r="AO79">
        <v>0</v>
      </c>
      <c r="AP79" t="s">
        <v>188</v>
      </c>
      <c r="AQ79" t="s">
        <v>131</v>
      </c>
      <c r="AR79" t="s">
        <v>229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 t="s">
        <v>147</v>
      </c>
      <c r="BA79">
        <v>20</v>
      </c>
      <c r="BB79">
        <v>0</v>
      </c>
      <c r="BC79" t="s">
        <v>132</v>
      </c>
      <c r="BD79">
        <v>0</v>
      </c>
      <c r="BE79" t="s">
        <v>133</v>
      </c>
      <c r="BF7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0" spans="1:58" x14ac:dyDescent="0.25">
      <c r="A80" t="s">
        <v>281</v>
      </c>
      <c r="B80" t="s">
        <v>19</v>
      </c>
      <c r="C80">
        <v>1</v>
      </c>
      <c r="D80">
        <v>79</v>
      </c>
      <c r="E80" t="s">
        <v>2109</v>
      </c>
      <c r="F80" t="s">
        <v>123</v>
      </c>
      <c r="G80" t="s">
        <v>124</v>
      </c>
      <c r="H80" t="s">
        <v>125</v>
      </c>
      <c r="I80" t="s">
        <v>183</v>
      </c>
      <c r="J80" t="s">
        <v>140</v>
      </c>
      <c r="K80" t="s">
        <v>127</v>
      </c>
      <c r="L80">
        <v>50</v>
      </c>
      <c r="M80">
        <v>3442636</v>
      </c>
      <c r="N80">
        <v>20</v>
      </c>
      <c r="O80">
        <v>1</v>
      </c>
      <c r="P80" t="s">
        <v>128</v>
      </c>
      <c r="Q80" t="s">
        <v>129</v>
      </c>
      <c r="R80">
        <v>8</v>
      </c>
      <c r="S80" t="s">
        <v>280</v>
      </c>
      <c r="T80">
        <v>20</v>
      </c>
      <c r="U80">
        <v>23</v>
      </c>
      <c r="V80">
        <v>2</v>
      </c>
      <c r="W80">
        <v>0</v>
      </c>
      <c r="X80">
        <v>2</v>
      </c>
      <c r="Y80">
        <v>0</v>
      </c>
      <c r="Z80">
        <v>22</v>
      </c>
      <c r="AA80">
        <v>25</v>
      </c>
      <c r="AB80">
        <v>50</v>
      </c>
      <c r="AC80">
        <v>45</v>
      </c>
      <c r="AD80">
        <v>4</v>
      </c>
      <c r="AE80">
        <v>0</v>
      </c>
      <c r="AF80">
        <v>49</v>
      </c>
      <c r="AG80">
        <v>0</v>
      </c>
      <c r="AH80">
        <v>5</v>
      </c>
      <c r="AI80">
        <v>1</v>
      </c>
      <c r="AJ80">
        <v>5</v>
      </c>
      <c r="AK80">
        <v>5</v>
      </c>
      <c r="AL80">
        <v>0</v>
      </c>
      <c r="AM80">
        <v>0.4</v>
      </c>
      <c r="AN80">
        <v>0.45454545454545459</v>
      </c>
      <c r="AO80">
        <v>0</v>
      </c>
      <c r="AP80" t="s">
        <v>188</v>
      </c>
      <c r="AQ80" t="s">
        <v>131</v>
      </c>
      <c r="AR80" t="s">
        <v>229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 t="s">
        <v>147</v>
      </c>
      <c r="BA80">
        <v>20</v>
      </c>
      <c r="BB80">
        <v>0</v>
      </c>
      <c r="BC80" t="s">
        <v>133</v>
      </c>
      <c r="BD80">
        <v>0</v>
      </c>
      <c r="BE80" t="s">
        <v>133</v>
      </c>
      <c r="BF8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1" spans="1:58" x14ac:dyDescent="0.25">
      <c r="A81" t="s">
        <v>282</v>
      </c>
      <c r="B81" t="s">
        <v>19</v>
      </c>
      <c r="C81">
        <v>1</v>
      </c>
      <c r="D81">
        <v>80</v>
      </c>
      <c r="E81" t="s">
        <v>2109</v>
      </c>
      <c r="F81" t="s">
        <v>123</v>
      </c>
      <c r="G81" t="s">
        <v>124</v>
      </c>
      <c r="H81" t="s">
        <v>125</v>
      </c>
      <c r="I81" t="s">
        <v>183</v>
      </c>
      <c r="J81" t="s">
        <v>140</v>
      </c>
      <c r="K81" t="s">
        <v>127</v>
      </c>
      <c r="L81">
        <v>50</v>
      </c>
      <c r="M81">
        <v>3442638</v>
      </c>
      <c r="N81">
        <v>20</v>
      </c>
      <c r="O81">
        <v>1</v>
      </c>
      <c r="P81" t="s">
        <v>128</v>
      </c>
      <c r="Q81" t="s">
        <v>129</v>
      </c>
      <c r="R81">
        <v>8</v>
      </c>
      <c r="S81" t="s">
        <v>280</v>
      </c>
      <c r="T81">
        <v>22</v>
      </c>
      <c r="U81">
        <v>25</v>
      </c>
      <c r="V81">
        <v>0</v>
      </c>
      <c r="W81">
        <v>0</v>
      </c>
      <c r="X81">
        <v>0</v>
      </c>
      <c r="Y81">
        <v>0</v>
      </c>
      <c r="Z81">
        <v>22</v>
      </c>
      <c r="AA81">
        <v>25</v>
      </c>
      <c r="AB81">
        <v>50</v>
      </c>
      <c r="AC81">
        <v>49</v>
      </c>
      <c r="AD81">
        <v>0</v>
      </c>
      <c r="AE81">
        <v>0</v>
      </c>
      <c r="AF81">
        <v>49</v>
      </c>
      <c r="AG81">
        <v>0</v>
      </c>
      <c r="AH81">
        <v>1</v>
      </c>
      <c r="AI81">
        <v>1</v>
      </c>
      <c r="AJ81">
        <v>1</v>
      </c>
      <c r="AK81">
        <v>1</v>
      </c>
      <c r="AL81">
        <v>0</v>
      </c>
      <c r="AM81">
        <v>0.4</v>
      </c>
      <c r="AN81">
        <v>9.0909090909090912E-2</v>
      </c>
      <c r="AO81">
        <v>0</v>
      </c>
      <c r="AP81" t="s">
        <v>188</v>
      </c>
      <c r="AQ81" t="s">
        <v>131</v>
      </c>
      <c r="AR81" t="s">
        <v>229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 t="s">
        <v>147</v>
      </c>
      <c r="BA81">
        <v>20</v>
      </c>
      <c r="BB81">
        <v>0</v>
      </c>
      <c r="BC81" t="s">
        <v>133</v>
      </c>
      <c r="BD81">
        <v>0</v>
      </c>
      <c r="BE81" t="s">
        <v>133</v>
      </c>
      <c r="BF8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2" spans="1:58" x14ac:dyDescent="0.25">
      <c r="A82" t="s">
        <v>283</v>
      </c>
      <c r="B82" t="s">
        <v>19</v>
      </c>
      <c r="C82">
        <v>1</v>
      </c>
      <c r="D82">
        <v>81</v>
      </c>
      <c r="E82" t="s">
        <v>2109</v>
      </c>
      <c r="F82" t="s">
        <v>123</v>
      </c>
      <c r="G82" t="s">
        <v>124</v>
      </c>
      <c r="H82" t="s">
        <v>125</v>
      </c>
      <c r="I82" t="s">
        <v>183</v>
      </c>
      <c r="J82" t="s">
        <v>140</v>
      </c>
      <c r="K82" t="s">
        <v>127</v>
      </c>
      <c r="L82">
        <v>50</v>
      </c>
      <c r="M82">
        <v>3442640</v>
      </c>
      <c r="N82">
        <v>20</v>
      </c>
      <c r="O82">
        <v>1</v>
      </c>
      <c r="P82" t="s">
        <v>128</v>
      </c>
      <c r="Q82" t="s">
        <v>129</v>
      </c>
      <c r="R82">
        <v>8</v>
      </c>
      <c r="S82" t="s">
        <v>280</v>
      </c>
      <c r="T82">
        <v>21</v>
      </c>
      <c r="U82">
        <v>24</v>
      </c>
      <c r="V82">
        <v>1</v>
      </c>
      <c r="W82">
        <v>0</v>
      </c>
      <c r="X82">
        <v>1</v>
      </c>
      <c r="Y82">
        <v>0</v>
      </c>
      <c r="Z82">
        <v>22</v>
      </c>
      <c r="AA82">
        <v>25</v>
      </c>
      <c r="AB82">
        <v>50</v>
      </c>
      <c r="AC82">
        <v>47</v>
      </c>
      <c r="AD82">
        <v>2</v>
      </c>
      <c r="AE82">
        <v>0</v>
      </c>
      <c r="AF82">
        <v>49</v>
      </c>
      <c r="AG82">
        <v>0</v>
      </c>
      <c r="AH82">
        <v>3</v>
      </c>
      <c r="AI82">
        <v>1</v>
      </c>
      <c r="AJ82">
        <v>3</v>
      </c>
      <c r="AK82">
        <v>3</v>
      </c>
      <c r="AL82">
        <v>0</v>
      </c>
      <c r="AM82">
        <v>0.4</v>
      </c>
      <c r="AN82">
        <v>0.27272727272727271</v>
      </c>
      <c r="AO82">
        <v>0</v>
      </c>
      <c r="AP82" t="s">
        <v>188</v>
      </c>
      <c r="AQ82" t="s">
        <v>131</v>
      </c>
      <c r="AR82" t="s">
        <v>229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 t="s">
        <v>147</v>
      </c>
      <c r="BA82">
        <v>20</v>
      </c>
      <c r="BB82">
        <v>0</v>
      </c>
      <c r="BC82" t="s">
        <v>133</v>
      </c>
      <c r="BD82">
        <v>0</v>
      </c>
      <c r="BE82" t="s">
        <v>133</v>
      </c>
      <c r="BF8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3" spans="1:58" x14ac:dyDescent="0.25">
      <c r="A83" t="s">
        <v>284</v>
      </c>
      <c r="B83" t="s">
        <v>19</v>
      </c>
      <c r="C83">
        <v>1</v>
      </c>
      <c r="D83">
        <v>82</v>
      </c>
      <c r="E83" t="s">
        <v>2109</v>
      </c>
      <c r="F83" t="s">
        <v>123</v>
      </c>
      <c r="G83" t="s">
        <v>124</v>
      </c>
      <c r="H83" t="s">
        <v>125</v>
      </c>
      <c r="I83" t="s">
        <v>154</v>
      </c>
      <c r="J83" t="s">
        <v>154</v>
      </c>
      <c r="K83" t="s">
        <v>151</v>
      </c>
      <c r="L83">
        <v>50</v>
      </c>
      <c r="M83">
        <v>937675</v>
      </c>
      <c r="N83">
        <v>0</v>
      </c>
      <c r="O83">
        <v>1</v>
      </c>
      <c r="P83" t="s">
        <v>128</v>
      </c>
      <c r="Q83" t="s">
        <v>129</v>
      </c>
      <c r="R83">
        <v>8</v>
      </c>
      <c r="S83" t="s">
        <v>189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50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50</v>
      </c>
      <c r="AJ83">
        <v>50</v>
      </c>
      <c r="AK83">
        <v>50</v>
      </c>
      <c r="AL83">
        <v>50</v>
      </c>
      <c r="AM83">
        <v>0</v>
      </c>
      <c r="AN83">
        <v>4.5454545454545459</v>
      </c>
      <c r="AO83">
        <v>0</v>
      </c>
      <c r="AP83" t="s">
        <v>172</v>
      </c>
      <c r="AQ83" t="s">
        <v>155</v>
      </c>
      <c r="AR83" t="s">
        <v>229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 t="s">
        <v>147</v>
      </c>
      <c r="BA83">
        <v>0</v>
      </c>
      <c r="BB83">
        <v>0</v>
      </c>
      <c r="BC83" t="s">
        <v>133</v>
      </c>
      <c r="BD83">
        <v>1</v>
      </c>
      <c r="BE83" t="s">
        <v>133</v>
      </c>
      <c r="BF8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4" spans="1:58" x14ac:dyDescent="0.25">
      <c r="A84" t="s">
        <v>285</v>
      </c>
      <c r="B84" t="s">
        <v>19</v>
      </c>
      <c r="C84">
        <v>1</v>
      </c>
      <c r="D84">
        <v>83</v>
      </c>
      <c r="E84" t="s">
        <v>2109</v>
      </c>
      <c r="F84" t="s">
        <v>123</v>
      </c>
      <c r="G84" t="s">
        <v>124</v>
      </c>
      <c r="H84" t="s">
        <v>125</v>
      </c>
      <c r="I84" t="s">
        <v>154</v>
      </c>
      <c r="J84" t="s">
        <v>154</v>
      </c>
      <c r="K84" t="s">
        <v>151</v>
      </c>
      <c r="L84">
        <v>50</v>
      </c>
      <c r="M84">
        <v>937677</v>
      </c>
      <c r="N84">
        <v>0</v>
      </c>
      <c r="O84">
        <v>1</v>
      </c>
      <c r="P84" t="s">
        <v>128</v>
      </c>
      <c r="Q84" t="s">
        <v>129</v>
      </c>
      <c r="R84">
        <v>8</v>
      </c>
      <c r="S84" t="s">
        <v>189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50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50</v>
      </c>
      <c r="AJ84">
        <v>50</v>
      </c>
      <c r="AK84">
        <v>50</v>
      </c>
      <c r="AL84">
        <v>50</v>
      </c>
      <c r="AM84">
        <v>0</v>
      </c>
      <c r="AN84">
        <v>4.5454545454545459</v>
      </c>
      <c r="AO84">
        <v>0</v>
      </c>
      <c r="AP84" t="s">
        <v>172</v>
      </c>
      <c r="AQ84" t="s">
        <v>155</v>
      </c>
      <c r="AR84" t="s">
        <v>229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 t="s">
        <v>147</v>
      </c>
      <c r="BA84">
        <v>0</v>
      </c>
      <c r="BB84">
        <v>0</v>
      </c>
      <c r="BC84" t="s">
        <v>133</v>
      </c>
      <c r="BD84">
        <v>2</v>
      </c>
      <c r="BE84" t="s">
        <v>133</v>
      </c>
      <c r="BF8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5" spans="1:58" x14ac:dyDescent="0.25">
      <c r="A85" t="s">
        <v>286</v>
      </c>
      <c r="B85" t="s">
        <v>19</v>
      </c>
      <c r="C85">
        <v>1</v>
      </c>
      <c r="D85">
        <v>84</v>
      </c>
      <c r="E85" t="s">
        <v>2109</v>
      </c>
      <c r="F85" t="s">
        <v>123</v>
      </c>
      <c r="G85" t="s">
        <v>124</v>
      </c>
      <c r="H85" t="s">
        <v>125</v>
      </c>
      <c r="I85" t="s">
        <v>154</v>
      </c>
      <c r="J85" t="s">
        <v>154</v>
      </c>
      <c r="K85" t="s">
        <v>151</v>
      </c>
      <c r="L85">
        <v>50</v>
      </c>
      <c r="M85">
        <v>937679</v>
      </c>
      <c r="N85">
        <v>0</v>
      </c>
      <c r="O85">
        <v>1</v>
      </c>
      <c r="P85" t="s">
        <v>128</v>
      </c>
      <c r="Q85" t="s">
        <v>129</v>
      </c>
      <c r="R85">
        <v>8</v>
      </c>
      <c r="S85" t="s">
        <v>189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50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50</v>
      </c>
      <c r="AJ85">
        <v>50</v>
      </c>
      <c r="AK85">
        <v>50</v>
      </c>
      <c r="AL85">
        <v>50</v>
      </c>
      <c r="AM85">
        <v>0</v>
      </c>
      <c r="AN85">
        <v>4.5454545454545459</v>
      </c>
      <c r="AO85">
        <v>0</v>
      </c>
      <c r="AP85" t="s">
        <v>172</v>
      </c>
      <c r="AQ85" t="s">
        <v>155</v>
      </c>
      <c r="AR85" t="s">
        <v>229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 t="s">
        <v>147</v>
      </c>
      <c r="BA85">
        <v>0</v>
      </c>
      <c r="BB85">
        <v>0</v>
      </c>
      <c r="BC85" t="s">
        <v>133</v>
      </c>
      <c r="BD85">
        <v>3</v>
      </c>
      <c r="BE85" t="s">
        <v>133</v>
      </c>
      <c r="BF8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6" spans="1:58" x14ac:dyDescent="0.25">
      <c r="A86" t="s">
        <v>287</v>
      </c>
      <c r="B86" t="s">
        <v>19</v>
      </c>
      <c r="C86">
        <v>1</v>
      </c>
      <c r="D86">
        <v>85</v>
      </c>
      <c r="E86" t="s">
        <v>2109</v>
      </c>
      <c r="F86" t="s">
        <v>123</v>
      </c>
      <c r="G86" t="s">
        <v>124</v>
      </c>
      <c r="H86" t="s">
        <v>125</v>
      </c>
      <c r="I86" t="s">
        <v>154</v>
      </c>
      <c r="J86" t="s">
        <v>154</v>
      </c>
      <c r="K86" t="s">
        <v>151</v>
      </c>
      <c r="L86">
        <v>50</v>
      </c>
      <c r="M86">
        <v>937681</v>
      </c>
      <c r="N86">
        <v>0</v>
      </c>
      <c r="O86">
        <v>1</v>
      </c>
      <c r="P86" t="s">
        <v>128</v>
      </c>
      <c r="Q86" t="s">
        <v>129</v>
      </c>
      <c r="R86">
        <v>8</v>
      </c>
      <c r="S86" t="s">
        <v>189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50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50</v>
      </c>
      <c r="AJ86">
        <v>50</v>
      </c>
      <c r="AK86">
        <v>50</v>
      </c>
      <c r="AL86">
        <v>50</v>
      </c>
      <c r="AM86">
        <v>0</v>
      </c>
      <c r="AN86">
        <v>4.5454545454545459</v>
      </c>
      <c r="AO86">
        <v>0</v>
      </c>
      <c r="AP86" t="s">
        <v>172</v>
      </c>
      <c r="AQ86" t="s">
        <v>155</v>
      </c>
      <c r="AR86" t="s">
        <v>229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 t="s">
        <v>147</v>
      </c>
      <c r="BA86">
        <v>0</v>
      </c>
      <c r="BB86">
        <v>0</v>
      </c>
      <c r="BC86" t="s">
        <v>133</v>
      </c>
      <c r="BD86">
        <v>4</v>
      </c>
      <c r="BE86" t="s">
        <v>133</v>
      </c>
      <c r="BF8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7" spans="1:58" x14ac:dyDescent="0.25">
      <c r="A87" t="s">
        <v>288</v>
      </c>
      <c r="B87" t="s">
        <v>19</v>
      </c>
      <c r="C87">
        <v>1</v>
      </c>
      <c r="D87">
        <v>86</v>
      </c>
      <c r="E87" t="s">
        <v>2109</v>
      </c>
      <c r="F87" t="s">
        <v>123</v>
      </c>
      <c r="G87" t="s">
        <v>124</v>
      </c>
      <c r="H87" t="s">
        <v>125</v>
      </c>
      <c r="I87" t="s">
        <v>154</v>
      </c>
      <c r="J87" t="s">
        <v>154</v>
      </c>
      <c r="K87" t="s">
        <v>151</v>
      </c>
      <c r="L87">
        <v>50</v>
      </c>
      <c r="M87">
        <v>937683</v>
      </c>
      <c r="N87">
        <v>0</v>
      </c>
      <c r="O87">
        <v>1</v>
      </c>
      <c r="P87" t="s">
        <v>128</v>
      </c>
      <c r="Q87" t="s">
        <v>129</v>
      </c>
      <c r="R87">
        <v>8</v>
      </c>
      <c r="S87" t="s">
        <v>189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50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50</v>
      </c>
      <c r="AJ87">
        <v>50</v>
      </c>
      <c r="AK87">
        <v>50</v>
      </c>
      <c r="AL87">
        <v>50</v>
      </c>
      <c r="AM87">
        <v>0</v>
      </c>
      <c r="AN87">
        <v>4.5454545454545459</v>
      </c>
      <c r="AO87">
        <v>0</v>
      </c>
      <c r="AP87" t="s">
        <v>172</v>
      </c>
      <c r="AQ87" t="s">
        <v>155</v>
      </c>
      <c r="AR87" t="s">
        <v>229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 t="s">
        <v>147</v>
      </c>
      <c r="BA87">
        <v>0</v>
      </c>
      <c r="BB87">
        <v>0</v>
      </c>
      <c r="BC87" t="s">
        <v>133</v>
      </c>
      <c r="BD87">
        <v>5</v>
      </c>
      <c r="BE87" t="s">
        <v>133</v>
      </c>
      <c r="BF8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8" spans="1:58" x14ac:dyDescent="0.25">
      <c r="A88" t="s">
        <v>289</v>
      </c>
      <c r="B88" t="s">
        <v>19</v>
      </c>
      <c r="C88">
        <v>1</v>
      </c>
      <c r="D88">
        <v>87</v>
      </c>
      <c r="E88" t="s">
        <v>2109</v>
      </c>
      <c r="F88" t="s">
        <v>123</v>
      </c>
      <c r="G88" t="s">
        <v>124</v>
      </c>
      <c r="H88" t="s">
        <v>125</v>
      </c>
      <c r="I88" t="s">
        <v>154</v>
      </c>
      <c r="J88" t="s">
        <v>154</v>
      </c>
      <c r="K88" t="s">
        <v>151</v>
      </c>
      <c r="L88">
        <v>50</v>
      </c>
      <c r="M88">
        <v>937685</v>
      </c>
      <c r="N88">
        <v>0</v>
      </c>
      <c r="O88">
        <v>1</v>
      </c>
      <c r="P88" t="s">
        <v>128</v>
      </c>
      <c r="Q88" t="s">
        <v>129</v>
      </c>
      <c r="R88">
        <v>8</v>
      </c>
      <c r="S88" t="s">
        <v>189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50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50</v>
      </c>
      <c r="AJ88">
        <v>50</v>
      </c>
      <c r="AK88">
        <v>50</v>
      </c>
      <c r="AL88">
        <v>50</v>
      </c>
      <c r="AM88">
        <v>0</v>
      </c>
      <c r="AN88">
        <v>4.5454545454545459</v>
      </c>
      <c r="AO88">
        <v>0</v>
      </c>
      <c r="AP88" t="s">
        <v>172</v>
      </c>
      <c r="AQ88" t="s">
        <v>155</v>
      </c>
      <c r="AR88" t="s">
        <v>229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 t="s">
        <v>147</v>
      </c>
      <c r="BA88">
        <v>0</v>
      </c>
      <c r="BB88">
        <v>0</v>
      </c>
      <c r="BC88" t="s">
        <v>133</v>
      </c>
      <c r="BD88">
        <v>6</v>
      </c>
      <c r="BE88" t="s">
        <v>133</v>
      </c>
      <c r="BF8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9" spans="1:58" x14ac:dyDescent="0.25">
      <c r="A89" t="s">
        <v>290</v>
      </c>
      <c r="B89" t="s">
        <v>19</v>
      </c>
      <c r="C89">
        <v>1</v>
      </c>
      <c r="D89">
        <v>88</v>
      </c>
      <c r="E89" t="s">
        <v>2109</v>
      </c>
      <c r="F89" t="s">
        <v>123</v>
      </c>
      <c r="G89" t="s">
        <v>124</v>
      </c>
      <c r="H89" t="s">
        <v>125</v>
      </c>
      <c r="I89" t="s">
        <v>154</v>
      </c>
      <c r="J89" t="s">
        <v>154</v>
      </c>
      <c r="K89" t="s">
        <v>151</v>
      </c>
      <c r="L89">
        <v>50</v>
      </c>
      <c r="M89">
        <v>937687</v>
      </c>
      <c r="N89">
        <v>0</v>
      </c>
      <c r="O89">
        <v>1</v>
      </c>
      <c r="P89" t="s">
        <v>128</v>
      </c>
      <c r="Q89" t="s">
        <v>129</v>
      </c>
      <c r="R89">
        <v>8</v>
      </c>
      <c r="S89" t="s">
        <v>189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50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50</v>
      </c>
      <c r="AJ89">
        <v>50</v>
      </c>
      <c r="AK89">
        <v>50</v>
      </c>
      <c r="AL89">
        <v>50</v>
      </c>
      <c r="AM89">
        <v>0</v>
      </c>
      <c r="AN89">
        <v>4.5454545454545459</v>
      </c>
      <c r="AO89">
        <v>0</v>
      </c>
      <c r="AP89" t="s">
        <v>172</v>
      </c>
      <c r="AQ89" t="s">
        <v>155</v>
      </c>
      <c r="AR89" t="s">
        <v>229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 t="s">
        <v>147</v>
      </c>
      <c r="BA89">
        <v>0</v>
      </c>
      <c r="BB89">
        <v>0</v>
      </c>
      <c r="BC89" t="s">
        <v>144</v>
      </c>
      <c r="BD89">
        <v>7</v>
      </c>
      <c r="BE89" t="s">
        <v>133</v>
      </c>
      <c r="BF8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90" spans="1:58" x14ac:dyDescent="0.25">
      <c r="A90" t="s">
        <v>291</v>
      </c>
      <c r="B90" t="s">
        <v>19</v>
      </c>
      <c r="C90">
        <v>1</v>
      </c>
      <c r="D90">
        <v>89</v>
      </c>
      <c r="E90" t="s">
        <v>2108</v>
      </c>
      <c r="F90" t="s">
        <v>123</v>
      </c>
      <c r="G90" t="s">
        <v>124</v>
      </c>
      <c r="H90" t="s">
        <v>125</v>
      </c>
      <c r="I90" t="s">
        <v>126</v>
      </c>
      <c r="J90" t="s">
        <v>126</v>
      </c>
      <c r="K90" t="s">
        <v>127</v>
      </c>
      <c r="L90">
        <v>50</v>
      </c>
      <c r="M90">
        <v>937689</v>
      </c>
      <c r="N90">
        <v>6</v>
      </c>
      <c r="O90">
        <v>1</v>
      </c>
      <c r="P90" t="s">
        <v>128</v>
      </c>
      <c r="Q90" t="s">
        <v>129</v>
      </c>
      <c r="R90">
        <v>9</v>
      </c>
      <c r="T90">
        <v>10</v>
      </c>
      <c r="U90">
        <v>15</v>
      </c>
      <c r="V90">
        <v>3</v>
      </c>
      <c r="W90">
        <v>0</v>
      </c>
      <c r="X90">
        <v>3</v>
      </c>
      <c r="Y90">
        <v>2</v>
      </c>
      <c r="Z90">
        <v>15</v>
      </c>
      <c r="AA90">
        <v>20</v>
      </c>
      <c r="AB90">
        <v>50</v>
      </c>
      <c r="AC90">
        <v>19</v>
      </c>
      <c r="AD90">
        <v>7</v>
      </c>
      <c r="AE90">
        <v>2</v>
      </c>
      <c r="AF90">
        <v>28</v>
      </c>
      <c r="AG90">
        <v>0</v>
      </c>
      <c r="AH90">
        <v>31</v>
      </c>
      <c r="AI90">
        <v>22</v>
      </c>
      <c r="AJ90">
        <v>29</v>
      </c>
      <c r="AK90">
        <v>31</v>
      </c>
      <c r="AL90">
        <v>0</v>
      </c>
      <c r="AM90">
        <v>0.12</v>
      </c>
      <c r="AN90">
        <v>2.6363636363636362</v>
      </c>
      <c r="AO90">
        <v>0</v>
      </c>
      <c r="AP90" t="s">
        <v>130</v>
      </c>
      <c r="AQ90" t="s">
        <v>131</v>
      </c>
      <c r="AR90" t="s">
        <v>194</v>
      </c>
      <c r="AS90">
        <v>1610</v>
      </c>
      <c r="AT90">
        <v>1718</v>
      </c>
      <c r="AU90">
        <v>0</v>
      </c>
      <c r="AV90">
        <v>0</v>
      </c>
      <c r="AW90">
        <v>3.3279999999999998</v>
      </c>
      <c r="AX90">
        <v>0.1751578947368421</v>
      </c>
      <c r="AY90">
        <v>4.9044210526315783</v>
      </c>
      <c r="AZ90" t="s">
        <v>135</v>
      </c>
      <c r="BA90">
        <v>1.0955789473684217</v>
      </c>
      <c r="BB90">
        <v>6.2548076923076961</v>
      </c>
      <c r="BC90" t="s">
        <v>132</v>
      </c>
      <c r="BD90">
        <v>0</v>
      </c>
      <c r="BE90" t="s">
        <v>133</v>
      </c>
      <c r="BF9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3.3279999999999998</v>
      </c>
    </row>
    <row r="91" spans="1:58" x14ac:dyDescent="0.25">
      <c r="A91" t="s">
        <v>292</v>
      </c>
      <c r="B91" t="s">
        <v>19</v>
      </c>
      <c r="C91">
        <v>1</v>
      </c>
      <c r="D91">
        <v>90</v>
      </c>
      <c r="E91" t="s">
        <v>2108</v>
      </c>
      <c r="F91" t="s">
        <v>123</v>
      </c>
      <c r="G91" t="s">
        <v>124</v>
      </c>
      <c r="H91" t="s">
        <v>125</v>
      </c>
      <c r="I91" t="s">
        <v>126</v>
      </c>
      <c r="J91" t="s">
        <v>126</v>
      </c>
      <c r="K91" t="s">
        <v>127</v>
      </c>
      <c r="L91">
        <v>50</v>
      </c>
      <c r="M91">
        <v>937691</v>
      </c>
      <c r="N91">
        <v>6</v>
      </c>
      <c r="O91">
        <v>1</v>
      </c>
      <c r="P91" t="s">
        <v>128</v>
      </c>
      <c r="Q91" t="s">
        <v>129</v>
      </c>
      <c r="R91">
        <v>9</v>
      </c>
      <c r="T91">
        <v>12</v>
      </c>
      <c r="U91">
        <v>17</v>
      </c>
      <c r="V91">
        <v>3</v>
      </c>
      <c r="W91">
        <v>0</v>
      </c>
      <c r="X91">
        <v>3</v>
      </c>
      <c r="Y91">
        <v>0</v>
      </c>
      <c r="Z91">
        <v>15</v>
      </c>
      <c r="AA91">
        <v>20</v>
      </c>
      <c r="AB91">
        <v>50</v>
      </c>
      <c r="AC91">
        <v>24</v>
      </c>
      <c r="AD91">
        <v>4</v>
      </c>
      <c r="AE91">
        <v>0</v>
      </c>
      <c r="AF91">
        <v>28</v>
      </c>
      <c r="AG91">
        <v>0</v>
      </c>
      <c r="AH91">
        <v>26</v>
      </c>
      <c r="AI91">
        <v>22</v>
      </c>
      <c r="AJ91">
        <v>26</v>
      </c>
      <c r="AK91">
        <v>26</v>
      </c>
      <c r="AL91">
        <v>0</v>
      </c>
      <c r="AM91">
        <v>0.12</v>
      </c>
      <c r="AN91">
        <v>2.3636363636363638</v>
      </c>
      <c r="AO91">
        <v>0</v>
      </c>
      <c r="AP91" t="s">
        <v>130</v>
      </c>
      <c r="AQ91" t="s">
        <v>131</v>
      </c>
      <c r="AR91" t="s">
        <v>194</v>
      </c>
      <c r="AS91">
        <v>1858</v>
      </c>
      <c r="AT91">
        <v>1858</v>
      </c>
      <c r="AU91">
        <v>0</v>
      </c>
      <c r="AV91">
        <v>0</v>
      </c>
      <c r="AW91">
        <v>3.7160000000000002</v>
      </c>
      <c r="AX91">
        <v>0.15483333333333335</v>
      </c>
      <c r="AY91">
        <v>4.3353333333333337</v>
      </c>
      <c r="AZ91" t="s">
        <v>135</v>
      </c>
      <c r="BA91">
        <v>1.6646666666666663</v>
      </c>
      <c r="BB91">
        <v>10.751345532830998</v>
      </c>
      <c r="BC91" t="s">
        <v>133</v>
      </c>
      <c r="BD91">
        <v>0</v>
      </c>
      <c r="BE91" t="s">
        <v>133</v>
      </c>
      <c r="BF9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3.7160000000000002</v>
      </c>
    </row>
    <row r="92" spans="1:58" x14ac:dyDescent="0.25">
      <c r="A92" t="s">
        <v>293</v>
      </c>
      <c r="B92" t="s">
        <v>19</v>
      </c>
      <c r="C92">
        <v>1</v>
      </c>
      <c r="D92">
        <v>91</v>
      </c>
      <c r="E92" t="s">
        <v>2108</v>
      </c>
      <c r="F92" t="s">
        <v>123</v>
      </c>
      <c r="G92" t="s">
        <v>124</v>
      </c>
      <c r="H92" t="s">
        <v>125</v>
      </c>
      <c r="I92" t="s">
        <v>126</v>
      </c>
      <c r="J92" t="s">
        <v>126</v>
      </c>
      <c r="K92" t="s">
        <v>127</v>
      </c>
      <c r="L92">
        <v>50</v>
      </c>
      <c r="M92">
        <v>937693</v>
      </c>
      <c r="N92">
        <v>6</v>
      </c>
      <c r="O92">
        <v>1</v>
      </c>
      <c r="P92" t="s">
        <v>128</v>
      </c>
      <c r="Q92" t="s">
        <v>129</v>
      </c>
      <c r="R92">
        <v>9</v>
      </c>
      <c r="T92">
        <v>10</v>
      </c>
      <c r="U92">
        <v>15</v>
      </c>
      <c r="V92">
        <v>1</v>
      </c>
      <c r="W92">
        <v>0</v>
      </c>
      <c r="X92">
        <v>1</v>
      </c>
      <c r="Y92">
        <v>2</v>
      </c>
      <c r="Z92">
        <v>13</v>
      </c>
      <c r="AA92">
        <v>18</v>
      </c>
      <c r="AB92">
        <v>50</v>
      </c>
      <c r="AC92">
        <v>20</v>
      </c>
      <c r="AD92">
        <v>1</v>
      </c>
      <c r="AE92">
        <v>2</v>
      </c>
      <c r="AF92">
        <v>23</v>
      </c>
      <c r="AG92">
        <v>0</v>
      </c>
      <c r="AH92">
        <v>30</v>
      </c>
      <c r="AI92">
        <v>27</v>
      </c>
      <c r="AJ92">
        <v>28</v>
      </c>
      <c r="AK92">
        <v>30</v>
      </c>
      <c r="AL92">
        <v>0</v>
      </c>
      <c r="AM92">
        <v>0.12</v>
      </c>
      <c r="AN92">
        <v>2.5454545454545454</v>
      </c>
      <c r="AO92">
        <v>0</v>
      </c>
      <c r="AP92" t="s">
        <v>130</v>
      </c>
      <c r="AQ92" t="s">
        <v>131</v>
      </c>
      <c r="AR92" t="s">
        <v>194</v>
      </c>
      <c r="AS92">
        <v>1426</v>
      </c>
      <c r="AT92">
        <v>1395</v>
      </c>
      <c r="AU92">
        <v>0</v>
      </c>
      <c r="AV92">
        <v>0</v>
      </c>
      <c r="AW92">
        <v>2.8210000000000002</v>
      </c>
      <c r="AX92">
        <v>0.14105000000000001</v>
      </c>
      <c r="AY92">
        <v>3.2441500000000003</v>
      </c>
      <c r="AZ92" t="s">
        <v>135</v>
      </c>
      <c r="BA92">
        <v>2.7558499999999997</v>
      </c>
      <c r="BB92">
        <v>19.538107054236082</v>
      </c>
      <c r="BC92" t="s">
        <v>133</v>
      </c>
      <c r="BD92">
        <v>0</v>
      </c>
      <c r="BE92" t="s">
        <v>133</v>
      </c>
      <c r="BF9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2.8210000000000002</v>
      </c>
    </row>
    <row r="93" spans="1:58" x14ac:dyDescent="0.25">
      <c r="A93" t="s">
        <v>294</v>
      </c>
      <c r="B93" t="s">
        <v>19</v>
      </c>
      <c r="C93">
        <v>1</v>
      </c>
      <c r="D93">
        <v>92</v>
      </c>
      <c r="E93" t="s">
        <v>2108</v>
      </c>
      <c r="F93" t="s">
        <v>123</v>
      </c>
      <c r="G93" t="s">
        <v>124</v>
      </c>
      <c r="H93" t="s">
        <v>125</v>
      </c>
      <c r="I93" t="s">
        <v>126</v>
      </c>
      <c r="J93" t="s">
        <v>126</v>
      </c>
      <c r="K93" t="s">
        <v>127</v>
      </c>
      <c r="L93">
        <v>50</v>
      </c>
      <c r="M93">
        <v>937695</v>
      </c>
      <c r="N93">
        <v>6</v>
      </c>
      <c r="O93">
        <v>1</v>
      </c>
      <c r="P93" t="s">
        <v>128</v>
      </c>
      <c r="Q93" t="s">
        <v>129</v>
      </c>
      <c r="R93">
        <v>9</v>
      </c>
      <c r="T93">
        <v>16</v>
      </c>
      <c r="U93">
        <v>21</v>
      </c>
      <c r="V93">
        <v>1</v>
      </c>
      <c r="W93">
        <v>0</v>
      </c>
      <c r="X93">
        <v>1</v>
      </c>
      <c r="Y93">
        <v>1</v>
      </c>
      <c r="Z93">
        <v>18</v>
      </c>
      <c r="AA93">
        <v>23</v>
      </c>
      <c r="AB93">
        <v>50</v>
      </c>
      <c r="AC93">
        <v>30</v>
      </c>
      <c r="AD93">
        <v>2</v>
      </c>
      <c r="AE93">
        <v>4</v>
      </c>
      <c r="AF93">
        <v>36</v>
      </c>
      <c r="AG93">
        <v>0</v>
      </c>
      <c r="AH93">
        <v>20</v>
      </c>
      <c r="AI93">
        <v>14</v>
      </c>
      <c r="AJ93">
        <v>16</v>
      </c>
      <c r="AK93">
        <v>20</v>
      </c>
      <c r="AL93">
        <v>0</v>
      </c>
      <c r="AM93">
        <v>0.12</v>
      </c>
      <c r="AN93">
        <v>1.4545454545454546</v>
      </c>
      <c r="AO93">
        <v>0</v>
      </c>
      <c r="AP93" t="s">
        <v>130</v>
      </c>
      <c r="AQ93" t="s">
        <v>131</v>
      </c>
      <c r="AR93" t="s">
        <v>194</v>
      </c>
      <c r="AS93">
        <v>2112</v>
      </c>
      <c r="AT93">
        <v>1991</v>
      </c>
      <c r="AU93">
        <v>0</v>
      </c>
      <c r="AV93">
        <v>0</v>
      </c>
      <c r="AW93">
        <v>4.1029999999999998</v>
      </c>
      <c r="AX93">
        <v>0.13676666666666665</v>
      </c>
      <c r="AY93">
        <v>4.9235999999999995</v>
      </c>
      <c r="AZ93" t="s">
        <v>135</v>
      </c>
      <c r="BA93">
        <v>1.0764000000000005</v>
      </c>
      <c r="BB93">
        <v>7.870338776505001</v>
      </c>
      <c r="BC93" t="s">
        <v>133</v>
      </c>
      <c r="BD93">
        <v>0</v>
      </c>
      <c r="BE93" t="s">
        <v>133</v>
      </c>
      <c r="BF9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4.1029999999999998</v>
      </c>
    </row>
    <row r="94" spans="1:58" x14ac:dyDescent="0.25">
      <c r="A94" t="s">
        <v>295</v>
      </c>
      <c r="B94" t="s">
        <v>19</v>
      </c>
      <c r="C94">
        <v>1</v>
      </c>
      <c r="D94">
        <v>93</v>
      </c>
      <c r="E94" t="s">
        <v>2108</v>
      </c>
      <c r="F94" t="s">
        <v>123</v>
      </c>
      <c r="G94" t="s">
        <v>124</v>
      </c>
      <c r="H94" t="s">
        <v>125</v>
      </c>
      <c r="I94" t="s">
        <v>126</v>
      </c>
      <c r="J94" t="s">
        <v>126</v>
      </c>
      <c r="K94" t="s">
        <v>127</v>
      </c>
      <c r="L94">
        <v>50</v>
      </c>
      <c r="M94">
        <v>937697</v>
      </c>
      <c r="N94">
        <v>6</v>
      </c>
      <c r="O94">
        <v>1</v>
      </c>
      <c r="P94" t="s">
        <v>128</v>
      </c>
      <c r="Q94" t="s">
        <v>129</v>
      </c>
      <c r="R94">
        <v>9</v>
      </c>
      <c r="T94">
        <v>13</v>
      </c>
      <c r="U94">
        <v>18</v>
      </c>
      <c r="V94">
        <v>3</v>
      </c>
      <c r="W94">
        <v>0</v>
      </c>
      <c r="X94">
        <v>3</v>
      </c>
      <c r="Y94">
        <v>0</v>
      </c>
      <c r="Z94">
        <v>16</v>
      </c>
      <c r="AA94">
        <v>21</v>
      </c>
      <c r="AB94">
        <v>50</v>
      </c>
      <c r="AC94">
        <v>24</v>
      </c>
      <c r="AD94">
        <v>4</v>
      </c>
      <c r="AE94">
        <v>0</v>
      </c>
      <c r="AF94">
        <v>28</v>
      </c>
      <c r="AG94">
        <v>0</v>
      </c>
      <c r="AH94">
        <v>26</v>
      </c>
      <c r="AI94">
        <v>22</v>
      </c>
      <c r="AJ94">
        <v>26</v>
      </c>
      <c r="AK94">
        <v>26</v>
      </c>
      <c r="AL94">
        <v>0</v>
      </c>
      <c r="AM94">
        <v>0.12</v>
      </c>
      <c r="AN94">
        <v>2.3636363636363638</v>
      </c>
      <c r="AO94">
        <v>0</v>
      </c>
      <c r="AP94" t="s">
        <v>130</v>
      </c>
      <c r="AQ94" t="s">
        <v>131</v>
      </c>
      <c r="AR94" t="s">
        <v>194</v>
      </c>
      <c r="AS94">
        <v>1662</v>
      </c>
      <c r="AT94">
        <v>1657</v>
      </c>
      <c r="AU94">
        <v>0</v>
      </c>
      <c r="AV94">
        <v>0</v>
      </c>
      <c r="AW94">
        <v>3.319</v>
      </c>
      <c r="AX94">
        <v>0.13829166666666667</v>
      </c>
      <c r="AY94">
        <v>3.8721666666666668</v>
      </c>
      <c r="AZ94" t="s">
        <v>135</v>
      </c>
      <c r="BA94">
        <v>2.1278333333333332</v>
      </c>
      <c r="BB94">
        <v>15.386562217535401</v>
      </c>
      <c r="BC94" t="s">
        <v>133</v>
      </c>
      <c r="BD94">
        <v>0</v>
      </c>
      <c r="BE94" t="s">
        <v>133</v>
      </c>
      <c r="BF9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3.319</v>
      </c>
    </row>
    <row r="95" spans="1:58" x14ac:dyDescent="0.25">
      <c r="A95" t="s">
        <v>296</v>
      </c>
      <c r="B95" t="s">
        <v>19</v>
      </c>
      <c r="C95">
        <v>1</v>
      </c>
      <c r="D95">
        <v>94</v>
      </c>
      <c r="E95" t="s">
        <v>2108</v>
      </c>
      <c r="F95" t="s">
        <v>123</v>
      </c>
      <c r="G95" t="s">
        <v>124</v>
      </c>
      <c r="H95" t="s">
        <v>136</v>
      </c>
      <c r="I95" t="s">
        <v>137</v>
      </c>
      <c r="J95" t="s">
        <v>138</v>
      </c>
      <c r="K95" t="s">
        <v>127</v>
      </c>
      <c r="L95">
        <v>50</v>
      </c>
      <c r="M95">
        <v>937699</v>
      </c>
      <c r="N95">
        <v>5</v>
      </c>
      <c r="O95">
        <v>1</v>
      </c>
      <c r="P95" t="s">
        <v>128</v>
      </c>
      <c r="Q95" t="s">
        <v>129</v>
      </c>
      <c r="R95">
        <v>9</v>
      </c>
      <c r="T95">
        <v>0</v>
      </c>
      <c r="U95">
        <v>4</v>
      </c>
      <c r="V95">
        <v>0</v>
      </c>
      <c r="W95">
        <v>0</v>
      </c>
      <c r="X95">
        <v>0</v>
      </c>
      <c r="Y95">
        <v>0</v>
      </c>
      <c r="Z95">
        <v>0</v>
      </c>
      <c r="AA95">
        <v>4</v>
      </c>
      <c r="AB95">
        <v>50</v>
      </c>
      <c r="AC95">
        <v>4</v>
      </c>
      <c r="AD95">
        <v>0</v>
      </c>
      <c r="AE95">
        <v>0</v>
      </c>
      <c r="AF95">
        <v>4</v>
      </c>
      <c r="AG95">
        <v>0</v>
      </c>
      <c r="AH95">
        <v>46</v>
      </c>
      <c r="AI95">
        <v>46</v>
      </c>
      <c r="AJ95">
        <v>46</v>
      </c>
      <c r="AK95">
        <v>46</v>
      </c>
      <c r="AL95">
        <v>0</v>
      </c>
      <c r="AM95">
        <v>0.1</v>
      </c>
      <c r="AN95">
        <v>4.1818181818181817</v>
      </c>
      <c r="AO95">
        <v>0</v>
      </c>
      <c r="AP95" t="s">
        <v>139</v>
      </c>
      <c r="AQ95" t="s">
        <v>131</v>
      </c>
      <c r="AR95" t="s">
        <v>194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 t="s">
        <v>134</v>
      </c>
      <c r="BA95">
        <v>5</v>
      </c>
      <c r="BB95">
        <v>0</v>
      </c>
      <c r="BC95" t="s">
        <v>133</v>
      </c>
      <c r="BD95">
        <v>0</v>
      </c>
      <c r="BE95" t="s">
        <v>133</v>
      </c>
      <c r="BF9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96" spans="1:58" x14ac:dyDescent="0.25">
      <c r="A96" t="s">
        <v>297</v>
      </c>
      <c r="B96" t="s">
        <v>19</v>
      </c>
      <c r="C96">
        <v>1</v>
      </c>
      <c r="D96">
        <v>95</v>
      </c>
      <c r="E96" t="s">
        <v>2108</v>
      </c>
      <c r="F96" t="s">
        <v>123</v>
      </c>
      <c r="G96" t="s">
        <v>124</v>
      </c>
      <c r="H96" t="s">
        <v>125</v>
      </c>
      <c r="I96" t="s">
        <v>126</v>
      </c>
      <c r="J96" t="s">
        <v>126</v>
      </c>
      <c r="K96" t="s">
        <v>127</v>
      </c>
      <c r="L96">
        <v>50</v>
      </c>
      <c r="M96">
        <v>937701</v>
      </c>
      <c r="N96">
        <v>6</v>
      </c>
      <c r="O96">
        <v>1</v>
      </c>
      <c r="P96" t="s">
        <v>128</v>
      </c>
      <c r="Q96" t="s">
        <v>129</v>
      </c>
      <c r="R96">
        <v>9</v>
      </c>
      <c r="T96">
        <v>15</v>
      </c>
      <c r="U96">
        <v>20</v>
      </c>
      <c r="V96">
        <v>1</v>
      </c>
      <c r="W96">
        <v>0</v>
      </c>
      <c r="X96">
        <v>1</v>
      </c>
      <c r="Y96">
        <v>1</v>
      </c>
      <c r="Z96">
        <v>17</v>
      </c>
      <c r="AA96">
        <v>22</v>
      </c>
      <c r="AB96">
        <v>50</v>
      </c>
      <c r="AC96">
        <v>25</v>
      </c>
      <c r="AD96">
        <v>1</v>
      </c>
      <c r="AE96">
        <v>1</v>
      </c>
      <c r="AF96">
        <v>27</v>
      </c>
      <c r="AG96">
        <v>0</v>
      </c>
      <c r="AH96">
        <v>25</v>
      </c>
      <c r="AI96">
        <v>23</v>
      </c>
      <c r="AJ96">
        <v>24</v>
      </c>
      <c r="AK96">
        <v>25</v>
      </c>
      <c r="AL96">
        <v>0</v>
      </c>
      <c r="AM96">
        <v>0.12</v>
      </c>
      <c r="AN96">
        <v>2.1818181818181817</v>
      </c>
      <c r="AO96">
        <v>0</v>
      </c>
      <c r="AP96" t="s">
        <v>130</v>
      </c>
      <c r="AQ96" t="s">
        <v>131</v>
      </c>
      <c r="AR96" t="s">
        <v>194</v>
      </c>
      <c r="AS96">
        <v>2383</v>
      </c>
      <c r="AT96">
        <v>2398</v>
      </c>
      <c r="AU96">
        <v>0</v>
      </c>
      <c r="AV96">
        <v>0</v>
      </c>
      <c r="AW96">
        <v>4.7809999999999997</v>
      </c>
      <c r="AX96">
        <v>0.19123999999999999</v>
      </c>
      <c r="AY96">
        <v>5.1634799999999998</v>
      </c>
      <c r="AZ96" t="s">
        <v>135</v>
      </c>
      <c r="BA96">
        <v>0.83652000000000015</v>
      </c>
      <c r="BB96">
        <v>4.3741895001045812</v>
      </c>
      <c r="BC96" t="s">
        <v>133</v>
      </c>
      <c r="BD96">
        <v>0</v>
      </c>
      <c r="BE96" t="s">
        <v>133</v>
      </c>
      <c r="BF9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4.7809999999999997</v>
      </c>
    </row>
    <row r="97" spans="1:58" x14ac:dyDescent="0.25">
      <c r="A97" t="s">
        <v>298</v>
      </c>
      <c r="B97" t="s">
        <v>19</v>
      </c>
      <c r="C97">
        <v>1</v>
      </c>
      <c r="D97">
        <v>96</v>
      </c>
      <c r="E97" t="s">
        <v>2108</v>
      </c>
      <c r="F97" t="s">
        <v>123</v>
      </c>
      <c r="G97" t="s">
        <v>124</v>
      </c>
      <c r="H97" t="s">
        <v>125</v>
      </c>
      <c r="I97" t="s">
        <v>126</v>
      </c>
      <c r="J97" t="s">
        <v>126</v>
      </c>
      <c r="K97" t="s">
        <v>127</v>
      </c>
      <c r="L97">
        <v>50</v>
      </c>
      <c r="M97">
        <v>937703</v>
      </c>
      <c r="N97">
        <v>6</v>
      </c>
      <c r="O97">
        <v>1</v>
      </c>
      <c r="P97" t="s">
        <v>128</v>
      </c>
      <c r="Q97" t="s">
        <v>129</v>
      </c>
      <c r="R97">
        <v>9</v>
      </c>
      <c r="T97">
        <v>6</v>
      </c>
      <c r="U97">
        <v>11</v>
      </c>
      <c r="V97">
        <v>1</v>
      </c>
      <c r="W97">
        <v>0</v>
      </c>
      <c r="X97">
        <v>1</v>
      </c>
      <c r="Y97">
        <v>2</v>
      </c>
      <c r="Z97">
        <v>9</v>
      </c>
      <c r="AA97">
        <v>14</v>
      </c>
      <c r="AB97">
        <v>50</v>
      </c>
      <c r="AC97">
        <v>15</v>
      </c>
      <c r="AD97">
        <v>1</v>
      </c>
      <c r="AE97">
        <v>2</v>
      </c>
      <c r="AF97">
        <v>18</v>
      </c>
      <c r="AG97">
        <v>0</v>
      </c>
      <c r="AH97">
        <v>35</v>
      </c>
      <c r="AI97">
        <v>32</v>
      </c>
      <c r="AJ97">
        <v>33</v>
      </c>
      <c r="AK97">
        <v>35</v>
      </c>
      <c r="AL97">
        <v>0</v>
      </c>
      <c r="AM97">
        <v>0.12</v>
      </c>
      <c r="AN97">
        <v>3</v>
      </c>
      <c r="AO97">
        <v>0</v>
      </c>
      <c r="AP97" t="s">
        <v>130</v>
      </c>
      <c r="AQ97" t="s">
        <v>131</v>
      </c>
      <c r="AR97" t="s">
        <v>194</v>
      </c>
      <c r="AS97">
        <v>1103</v>
      </c>
      <c r="AT97">
        <v>1046</v>
      </c>
      <c r="AU97">
        <v>0</v>
      </c>
      <c r="AV97">
        <v>0</v>
      </c>
      <c r="AW97">
        <v>2.149</v>
      </c>
      <c r="AX97">
        <v>0.14326666666666668</v>
      </c>
      <c r="AY97">
        <v>2.5788000000000002</v>
      </c>
      <c r="AZ97" t="s">
        <v>135</v>
      </c>
      <c r="BA97">
        <v>3.4211999999999998</v>
      </c>
      <c r="BB97">
        <v>23.879944160074448</v>
      </c>
      <c r="BC97" t="s">
        <v>133</v>
      </c>
      <c r="BD97">
        <v>0</v>
      </c>
      <c r="BE97" t="s">
        <v>133</v>
      </c>
      <c r="BF9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2.149</v>
      </c>
    </row>
    <row r="98" spans="1:58" x14ac:dyDescent="0.25">
      <c r="A98" t="s">
        <v>299</v>
      </c>
      <c r="B98" t="s">
        <v>19</v>
      </c>
      <c r="C98">
        <v>1</v>
      </c>
      <c r="D98">
        <v>97</v>
      </c>
      <c r="E98" t="s">
        <v>2108</v>
      </c>
      <c r="F98" t="s">
        <v>123</v>
      </c>
      <c r="G98" t="s">
        <v>124</v>
      </c>
      <c r="H98" t="s">
        <v>125</v>
      </c>
      <c r="I98" t="s">
        <v>126</v>
      </c>
      <c r="J98" t="s">
        <v>126</v>
      </c>
      <c r="K98" t="s">
        <v>127</v>
      </c>
      <c r="L98">
        <v>50</v>
      </c>
      <c r="M98">
        <v>937705</v>
      </c>
      <c r="N98">
        <v>6</v>
      </c>
      <c r="O98">
        <v>1</v>
      </c>
      <c r="P98" t="s">
        <v>128</v>
      </c>
      <c r="Q98" t="s">
        <v>129</v>
      </c>
      <c r="R98">
        <v>9</v>
      </c>
      <c r="T98">
        <v>13</v>
      </c>
      <c r="U98">
        <v>18</v>
      </c>
      <c r="V98">
        <v>2</v>
      </c>
      <c r="W98">
        <v>0</v>
      </c>
      <c r="X98">
        <v>2</v>
      </c>
      <c r="Y98">
        <v>1</v>
      </c>
      <c r="Z98">
        <v>16</v>
      </c>
      <c r="AA98">
        <v>21</v>
      </c>
      <c r="AB98">
        <v>50</v>
      </c>
      <c r="AC98">
        <v>24</v>
      </c>
      <c r="AD98">
        <v>3</v>
      </c>
      <c r="AE98">
        <v>4</v>
      </c>
      <c r="AF98">
        <v>31</v>
      </c>
      <c r="AG98">
        <v>0</v>
      </c>
      <c r="AH98">
        <v>26</v>
      </c>
      <c r="AI98">
        <v>19</v>
      </c>
      <c r="AJ98">
        <v>22</v>
      </c>
      <c r="AK98">
        <v>26</v>
      </c>
      <c r="AL98">
        <v>0</v>
      </c>
      <c r="AM98">
        <v>0.12</v>
      </c>
      <c r="AN98">
        <v>2</v>
      </c>
      <c r="AO98">
        <v>0</v>
      </c>
      <c r="AP98" t="s">
        <v>130</v>
      </c>
      <c r="AQ98" t="s">
        <v>131</v>
      </c>
      <c r="AR98" t="s">
        <v>194</v>
      </c>
      <c r="AS98">
        <v>1944</v>
      </c>
      <c r="AT98">
        <v>1849</v>
      </c>
      <c r="AU98">
        <v>0</v>
      </c>
      <c r="AV98">
        <v>0</v>
      </c>
      <c r="AW98">
        <v>3.7930000000000001</v>
      </c>
      <c r="AX98">
        <v>0.15804166666666666</v>
      </c>
      <c r="AY98">
        <v>4.8992916666666666</v>
      </c>
      <c r="AZ98" t="s">
        <v>135</v>
      </c>
      <c r="BA98">
        <v>1.1007083333333334</v>
      </c>
      <c r="BB98">
        <v>6.9646717637753763</v>
      </c>
      <c r="BC98" t="s">
        <v>133</v>
      </c>
      <c r="BD98">
        <v>0</v>
      </c>
      <c r="BE98" t="s">
        <v>133</v>
      </c>
      <c r="BF9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3.7930000000000001</v>
      </c>
    </row>
    <row r="99" spans="1:58" x14ac:dyDescent="0.25">
      <c r="A99" t="s">
        <v>300</v>
      </c>
      <c r="B99" t="s">
        <v>19</v>
      </c>
      <c r="C99">
        <v>1</v>
      </c>
      <c r="D99">
        <v>98</v>
      </c>
      <c r="E99" t="s">
        <v>2108</v>
      </c>
      <c r="F99" t="s">
        <v>123</v>
      </c>
      <c r="G99" t="s">
        <v>124</v>
      </c>
      <c r="H99" t="s">
        <v>125</v>
      </c>
      <c r="I99" t="s">
        <v>126</v>
      </c>
      <c r="J99" t="s">
        <v>126</v>
      </c>
      <c r="K99" t="s">
        <v>127</v>
      </c>
      <c r="L99">
        <v>50</v>
      </c>
      <c r="M99">
        <v>937707</v>
      </c>
      <c r="N99">
        <v>6</v>
      </c>
      <c r="O99">
        <v>1</v>
      </c>
      <c r="P99" t="s">
        <v>128</v>
      </c>
      <c r="Q99" t="s">
        <v>129</v>
      </c>
      <c r="R99">
        <v>9</v>
      </c>
      <c r="T99">
        <v>11</v>
      </c>
      <c r="U99">
        <v>16</v>
      </c>
      <c r="V99">
        <v>1</v>
      </c>
      <c r="W99">
        <v>0</v>
      </c>
      <c r="X99">
        <v>1</v>
      </c>
      <c r="Y99">
        <v>2</v>
      </c>
      <c r="Z99">
        <v>14</v>
      </c>
      <c r="AA99">
        <v>19</v>
      </c>
      <c r="AB99">
        <v>50</v>
      </c>
      <c r="AC99">
        <v>24</v>
      </c>
      <c r="AD99">
        <v>2</v>
      </c>
      <c r="AE99">
        <v>3</v>
      </c>
      <c r="AF99">
        <v>29</v>
      </c>
      <c r="AG99">
        <v>0</v>
      </c>
      <c r="AH99">
        <v>26</v>
      </c>
      <c r="AI99">
        <v>21</v>
      </c>
      <c r="AJ99">
        <v>23</v>
      </c>
      <c r="AK99">
        <v>26</v>
      </c>
      <c r="AL99">
        <v>0</v>
      </c>
      <c r="AM99">
        <v>0.12</v>
      </c>
      <c r="AN99">
        <v>2.0909090909090908</v>
      </c>
      <c r="AO99">
        <v>0</v>
      </c>
      <c r="AP99" t="s">
        <v>130</v>
      </c>
      <c r="AQ99" t="s">
        <v>131</v>
      </c>
      <c r="AR99" t="s">
        <v>194</v>
      </c>
      <c r="AS99">
        <v>1674</v>
      </c>
      <c r="AT99">
        <v>1822</v>
      </c>
      <c r="AU99">
        <v>0</v>
      </c>
      <c r="AV99">
        <v>0</v>
      </c>
      <c r="AW99">
        <v>3.496</v>
      </c>
      <c r="AX99">
        <v>0.14566666666666667</v>
      </c>
      <c r="AY99">
        <v>4.2243333333333331</v>
      </c>
      <c r="AZ99" t="s">
        <v>135</v>
      </c>
      <c r="BA99">
        <v>1.7756666666666669</v>
      </c>
      <c r="BB99">
        <v>12.189931350114419</v>
      </c>
      <c r="BC99" t="s">
        <v>133</v>
      </c>
      <c r="BD99">
        <v>0</v>
      </c>
      <c r="BE99" t="s">
        <v>133</v>
      </c>
      <c r="BF9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3.496</v>
      </c>
    </row>
    <row r="100" spans="1:58" x14ac:dyDescent="0.25">
      <c r="A100" t="s">
        <v>301</v>
      </c>
      <c r="B100" t="s">
        <v>19</v>
      </c>
      <c r="C100">
        <v>1</v>
      </c>
      <c r="D100">
        <v>99</v>
      </c>
      <c r="E100" t="s">
        <v>2108</v>
      </c>
      <c r="F100" t="s">
        <v>123</v>
      </c>
      <c r="G100" t="s">
        <v>124</v>
      </c>
      <c r="H100" t="s">
        <v>125</v>
      </c>
      <c r="I100" t="s">
        <v>126</v>
      </c>
      <c r="J100" t="s">
        <v>126</v>
      </c>
      <c r="K100" t="s">
        <v>127</v>
      </c>
      <c r="L100">
        <v>50</v>
      </c>
      <c r="M100">
        <v>937709</v>
      </c>
      <c r="N100">
        <v>6</v>
      </c>
      <c r="O100">
        <v>1</v>
      </c>
      <c r="P100" t="s">
        <v>128</v>
      </c>
      <c r="Q100" t="s">
        <v>129</v>
      </c>
      <c r="R100">
        <v>9</v>
      </c>
      <c r="T100">
        <v>9</v>
      </c>
      <c r="U100">
        <v>14</v>
      </c>
      <c r="V100">
        <v>2</v>
      </c>
      <c r="W100">
        <v>0</v>
      </c>
      <c r="X100">
        <v>2</v>
      </c>
      <c r="Y100">
        <v>1</v>
      </c>
      <c r="Z100">
        <v>12</v>
      </c>
      <c r="AA100">
        <v>17</v>
      </c>
      <c r="AB100">
        <v>50</v>
      </c>
      <c r="AC100">
        <v>21</v>
      </c>
      <c r="AD100">
        <v>3</v>
      </c>
      <c r="AE100">
        <v>1</v>
      </c>
      <c r="AF100">
        <v>25</v>
      </c>
      <c r="AG100">
        <v>0</v>
      </c>
      <c r="AH100">
        <v>29</v>
      </c>
      <c r="AI100">
        <v>25</v>
      </c>
      <c r="AJ100">
        <v>28</v>
      </c>
      <c r="AK100">
        <v>29</v>
      </c>
      <c r="AL100">
        <v>0</v>
      </c>
      <c r="AM100">
        <v>0.12</v>
      </c>
      <c r="AN100">
        <v>2.5454545454545454</v>
      </c>
      <c r="AO100">
        <v>0</v>
      </c>
      <c r="AP100" t="s">
        <v>130</v>
      </c>
      <c r="AQ100" t="s">
        <v>131</v>
      </c>
      <c r="AR100" t="s">
        <v>194</v>
      </c>
      <c r="AS100">
        <v>1582</v>
      </c>
      <c r="AT100">
        <v>1313</v>
      </c>
      <c r="AU100">
        <v>0</v>
      </c>
      <c r="AV100">
        <v>0</v>
      </c>
      <c r="AW100">
        <v>2.895</v>
      </c>
      <c r="AX100">
        <v>0.13785714285714284</v>
      </c>
      <c r="AY100">
        <v>3.4464285714285712</v>
      </c>
      <c r="AZ100" t="s">
        <v>135</v>
      </c>
      <c r="BA100">
        <v>2.5535714285714288</v>
      </c>
      <c r="BB100">
        <v>18.523316062176168</v>
      </c>
      <c r="BC100" t="s">
        <v>144</v>
      </c>
      <c r="BD100">
        <v>0</v>
      </c>
      <c r="BE100" t="s">
        <v>133</v>
      </c>
      <c r="BF10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2.895</v>
      </c>
    </row>
    <row r="101" spans="1:58" x14ac:dyDescent="0.25">
      <c r="A101" t="s">
        <v>302</v>
      </c>
      <c r="B101" t="s">
        <v>19</v>
      </c>
      <c r="C101">
        <v>1</v>
      </c>
      <c r="D101">
        <v>100</v>
      </c>
      <c r="E101" t="s">
        <v>2108</v>
      </c>
      <c r="F101" t="s">
        <v>123</v>
      </c>
      <c r="G101" t="s">
        <v>124</v>
      </c>
      <c r="H101" t="s">
        <v>125</v>
      </c>
      <c r="I101" t="s">
        <v>126</v>
      </c>
      <c r="J101" t="s">
        <v>126</v>
      </c>
      <c r="K101" t="s">
        <v>127</v>
      </c>
      <c r="L101">
        <v>50</v>
      </c>
      <c r="M101">
        <v>937711</v>
      </c>
      <c r="N101">
        <v>6</v>
      </c>
      <c r="O101">
        <v>1</v>
      </c>
      <c r="P101" t="s">
        <v>128</v>
      </c>
      <c r="Q101" t="s">
        <v>129</v>
      </c>
      <c r="R101">
        <v>10</v>
      </c>
      <c r="T101">
        <v>11</v>
      </c>
      <c r="U101">
        <v>16</v>
      </c>
      <c r="V101">
        <v>0</v>
      </c>
      <c r="W101">
        <v>0</v>
      </c>
      <c r="X101">
        <v>0</v>
      </c>
      <c r="Y101">
        <v>0</v>
      </c>
      <c r="Z101">
        <v>11</v>
      </c>
      <c r="AA101">
        <v>16</v>
      </c>
      <c r="AB101">
        <v>50</v>
      </c>
      <c r="AC101">
        <v>20</v>
      </c>
      <c r="AD101">
        <v>0</v>
      </c>
      <c r="AE101">
        <v>0</v>
      </c>
      <c r="AF101">
        <v>20</v>
      </c>
      <c r="AG101">
        <v>0</v>
      </c>
      <c r="AH101">
        <v>30</v>
      </c>
      <c r="AI101">
        <v>30</v>
      </c>
      <c r="AJ101">
        <v>30</v>
      </c>
      <c r="AK101">
        <v>30</v>
      </c>
      <c r="AL101">
        <v>0</v>
      </c>
      <c r="AM101">
        <v>0.12</v>
      </c>
      <c r="AN101">
        <v>2.7272727272727275</v>
      </c>
      <c r="AO101">
        <v>0</v>
      </c>
      <c r="AP101" t="s">
        <v>130</v>
      </c>
      <c r="AQ101" t="s">
        <v>131</v>
      </c>
      <c r="AR101" t="s">
        <v>194</v>
      </c>
      <c r="AS101">
        <v>1396</v>
      </c>
      <c r="AT101">
        <v>1336</v>
      </c>
      <c r="AU101">
        <v>0</v>
      </c>
      <c r="AV101">
        <v>0</v>
      </c>
      <c r="AW101">
        <v>2.7320000000000002</v>
      </c>
      <c r="AX101">
        <v>0.1366</v>
      </c>
      <c r="AY101">
        <v>2.7320000000000002</v>
      </c>
      <c r="AZ101" t="s">
        <v>135</v>
      </c>
      <c r="BA101">
        <v>3.2679999999999998</v>
      </c>
      <c r="BB101">
        <v>23.92386530014641</v>
      </c>
      <c r="BC101" t="s">
        <v>132</v>
      </c>
      <c r="BD101">
        <v>0</v>
      </c>
      <c r="BE101" t="s">
        <v>133</v>
      </c>
      <c r="BF10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2.7320000000000002</v>
      </c>
    </row>
    <row r="102" spans="1:58" x14ac:dyDescent="0.25">
      <c r="A102" t="s">
        <v>303</v>
      </c>
      <c r="B102" t="s">
        <v>19</v>
      </c>
      <c r="C102">
        <v>1</v>
      </c>
      <c r="D102">
        <v>101</v>
      </c>
      <c r="E102" t="s">
        <v>2108</v>
      </c>
      <c r="F102" t="s">
        <v>123</v>
      </c>
      <c r="G102" t="s">
        <v>124</v>
      </c>
      <c r="H102" t="s">
        <v>125</v>
      </c>
      <c r="I102" t="s">
        <v>126</v>
      </c>
      <c r="J102" t="s">
        <v>126</v>
      </c>
      <c r="K102" t="s">
        <v>127</v>
      </c>
      <c r="L102">
        <v>50</v>
      </c>
      <c r="M102">
        <v>937713</v>
      </c>
      <c r="N102">
        <v>6</v>
      </c>
      <c r="O102">
        <v>1</v>
      </c>
      <c r="P102" t="s">
        <v>128</v>
      </c>
      <c r="Q102" t="s">
        <v>129</v>
      </c>
      <c r="R102">
        <v>10</v>
      </c>
      <c r="T102">
        <v>9</v>
      </c>
      <c r="U102">
        <v>14</v>
      </c>
      <c r="V102">
        <v>1</v>
      </c>
      <c r="W102">
        <v>0</v>
      </c>
      <c r="X102">
        <v>1</v>
      </c>
      <c r="Y102">
        <v>2</v>
      </c>
      <c r="Z102">
        <v>12</v>
      </c>
      <c r="AA102">
        <v>17</v>
      </c>
      <c r="AB102">
        <v>50</v>
      </c>
      <c r="AC102">
        <v>23</v>
      </c>
      <c r="AD102">
        <v>4</v>
      </c>
      <c r="AE102">
        <v>2</v>
      </c>
      <c r="AF102">
        <v>29</v>
      </c>
      <c r="AG102">
        <v>0</v>
      </c>
      <c r="AH102">
        <v>27</v>
      </c>
      <c r="AI102">
        <v>21</v>
      </c>
      <c r="AJ102">
        <v>25</v>
      </c>
      <c r="AK102">
        <v>27</v>
      </c>
      <c r="AL102">
        <v>0</v>
      </c>
      <c r="AM102">
        <v>0.12</v>
      </c>
      <c r="AN102">
        <v>2.2727272727272729</v>
      </c>
      <c r="AO102">
        <v>0</v>
      </c>
      <c r="AP102" t="s">
        <v>130</v>
      </c>
      <c r="AQ102" t="s">
        <v>131</v>
      </c>
      <c r="AR102" t="s">
        <v>194</v>
      </c>
      <c r="AS102">
        <v>1649</v>
      </c>
      <c r="AT102">
        <v>1620</v>
      </c>
      <c r="AU102">
        <v>0</v>
      </c>
      <c r="AV102">
        <v>0</v>
      </c>
      <c r="AW102">
        <v>3.2690000000000001</v>
      </c>
      <c r="AX102">
        <v>0.1421304347826087</v>
      </c>
      <c r="AY102">
        <v>4.1217826086956526</v>
      </c>
      <c r="AZ102" t="s">
        <v>135</v>
      </c>
      <c r="BA102">
        <v>1.8782173913043474</v>
      </c>
      <c r="BB102">
        <v>13.214744570204953</v>
      </c>
      <c r="BC102" t="s">
        <v>133</v>
      </c>
      <c r="BD102">
        <v>0</v>
      </c>
      <c r="BE102" t="s">
        <v>133</v>
      </c>
      <c r="BF10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3.2690000000000001</v>
      </c>
    </row>
    <row r="103" spans="1:58" x14ac:dyDescent="0.25">
      <c r="A103" t="s">
        <v>304</v>
      </c>
      <c r="B103" t="s">
        <v>19</v>
      </c>
      <c r="C103">
        <v>1</v>
      </c>
      <c r="D103">
        <v>102</v>
      </c>
      <c r="E103" t="s">
        <v>2108</v>
      </c>
      <c r="F103" t="s">
        <v>123</v>
      </c>
      <c r="G103" t="s">
        <v>124</v>
      </c>
      <c r="H103" t="s">
        <v>125</v>
      </c>
      <c r="I103" t="s">
        <v>126</v>
      </c>
      <c r="J103" t="s">
        <v>126</v>
      </c>
      <c r="K103" t="s">
        <v>127</v>
      </c>
      <c r="L103">
        <v>50</v>
      </c>
      <c r="M103">
        <v>937715</v>
      </c>
      <c r="N103">
        <v>6</v>
      </c>
      <c r="O103">
        <v>1</v>
      </c>
      <c r="P103" t="s">
        <v>128</v>
      </c>
      <c r="Q103" t="s">
        <v>129</v>
      </c>
      <c r="R103">
        <v>10</v>
      </c>
      <c r="T103">
        <v>13</v>
      </c>
      <c r="U103">
        <v>18</v>
      </c>
      <c r="V103">
        <v>2</v>
      </c>
      <c r="W103">
        <v>0</v>
      </c>
      <c r="X103">
        <v>2</v>
      </c>
      <c r="Y103">
        <v>2</v>
      </c>
      <c r="Z103">
        <v>17</v>
      </c>
      <c r="AA103">
        <v>22</v>
      </c>
      <c r="AB103">
        <v>50</v>
      </c>
      <c r="AC103">
        <v>24</v>
      </c>
      <c r="AD103">
        <v>3</v>
      </c>
      <c r="AE103">
        <v>3</v>
      </c>
      <c r="AF103">
        <v>30</v>
      </c>
      <c r="AG103">
        <v>0</v>
      </c>
      <c r="AH103">
        <v>26</v>
      </c>
      <c r="AI103">
        <v>20</v>
      </c>
      <c r="AJ103">
        <v>23</v>
      </c>
      <c r="AK103">
        <v>26</v>
      </c>
      <c r="AL103">
        <v>0</v>
      </c>
      <c r="AM103">
        <v>0.12</v>
      </c>
      <c r="AN103">
        <v>2.0909090909090908</v>
      </c>
      <c r="AO103">
        <v>0</v>
      </c>
      <c r="AP103" t="s">
        <v>130</v>
      </c>
      <c r="AQ103" t="s">
        <v>131</v>
      </c>
      <c r="AR103" t="s">
        <v>194</v>
      </c>
      <c r="AS103">
        <v>2290</v>
      </c>
      <c r="AT103">
        <v>2266</v>
      </c>
      <c r="AU103">
        <v>0</v>
      </c>
      <c r="AV103">
        <v>0</v>
      </c>
      <c r="AW103">
        <v>4.556</v>
      </c>
      <c r="AX103">
        <v>0.18983333333333333</v>
      </c>
      <c r="AY103">
        <v>5.6949999999999994</v>
      </c>
      <c r="AZ103" t="s">
        <v>135</v>
      </c>
      <c r="BA103">
        <v>0.3050000000000006</v>
      </c>
      <c r="BB103">
        <v>1.6066725197541736</v>
      </c>
      <c r="BC103" t="s">
        <v>133</v>
      </c>
      <c r="BD103">
        <v>0</v>
      </c>
      <c r="BE103" t="s">
        <v>133</v>
      </c>
      <c r="BF10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4.556</v>
      </c>
    </row>
    <row r="104" spans="1:58" x14ac:dyDescent="0.25">
      <c r="A104" t="s">
        <v>305</v>
      </c>
      <c r="B104" t="s">
        <v>19</v>
      </c>
      <c r="C104">
        <v>1</v>
      </c>
      <c r="D104">
        <v>103</v>
      </c>
      <c r="E104" t="s">
        <v>2108</v>
      </c>
      <c r="F104" t="s">
        <v>123</v>
      </c>
      <c r="G104" t="s">
        <v>124</v>
      </c>
      <c r="H104" t="s">
        <v>125</v>
      </c>
      <c r="I104" t="s">
        <v>126</v>
      </c>
      <c r="J104" t="s">
        <v>126</v>
      </c>
      <c r="K104" t="s">
        <v>127</v>
      </c>
      <c r="L104">
        <v>50</v>
      </c>
      <c r="M104">
        <v>937717</v>
      </c>
      <c r="N104">
        <v>6</v>
      </c>
      <c r="O104">
        <v>1</v>
      </c>
      <c r="P104" t="s">
        <v>128</v>
      </c>
      <c r="Q104" t="s">
        <v>129</v>
      </c>
      <c r="R104">
        <v>10</v>
      </c>
      <c r="T104">
        <v>11</v>
      </c>
      <c r="U104">
        <v>16</v>
      </c>
      <c r="V104">
        <v>2</v>
      </c>
      <c r="W104">
        <v>0</v>
      </c>
      <c r="X104">
        <v>2</v>
      </c>
      <c r="Y104">
        <v>1</v>
      </c>
      <c r="Z104">
        <v>14</v>
      </c>
      <c r="AA104">
        <v>19</v>
      </c>
      <c r="AB104">
        <v>50</v>
      </c>
      <c r="AC104">
        <v>23</v>
      </c>
      <c r="AD104">
        <v>3</v>
      </c>
      <c r="AE104">
        <v>1</v>
      </c>
      <c r="AF104">
        <v>27</v>
      </c>
      <c r="AG104">
        <v>0</v>
      </c>
      <c r="AH104">
        <v>27</v>
      </c>
      <c r="AI104">
        <v>23</v>
      </c>
      <c r="AJ104">
        <v>26</v>
      </c>
      <c r="AK104">
        <v>27</v>
      </c>
      <c r="AL104">
        <v>0</v>
      </c>
      <c r="AM104">
        <v>0.12</v>
      </c>
      <c r="AN104">
        <v>2.3636363636363638</v>
      </c>
      <c r="AO104">
        <v>0</v>
      </c>
      <c r="AP104" t="s">
        <v>130</v>
      </c>
      <c r="AQ104" t="s">
        <v>131</v>
      </c>
      <c r="AR104" t="s">
        <v>194</v>
      </c>
      <c r="AS104">
        <v>1661</v>
      </c>
      <c r="AT104">
        <v>1545</v>
      </c>
      <c r="AU104">
        <v>0</v>
      </c>
      <c r="AV104">
        <v>0</v>
      </c>
      <c r="AW104">
        <v>3.206</v>
      </c>
      <c r="AX104">
        <v>0.13939130434782609</v>
      </c>
      <c r="AY104">
        <v>3.7635652173913048</v>
      </c>
      <c r="AZ104" t="s">
        <v>135</v>
      </c>
      <c r="BA104">
        <v>2.2364347826086952</v>
      </c>
      <c r="BB104">
        <v>16.044291952588893</v>
      </c>
      <c r="BC104" t="s">
        <v>133</v>
      </c>
      <c r="BD104">
        <v>0</v>
      </c>
      <c r="BE104" t="s">
        <v>133</v>
      </c>
      <c r="BF10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3.206</v>
      </c>
    </row>
    <row r="105" spans="1:58" x14ac:dyDescent="0.25">
      <c r="A105" t="s">
        <v>306</v>
      </c>
      <c r="B105" t="s">
        <v>19</v>
      </c>
      <c r="C105">
        <v>1</v>
      </c>
      <c r="D105">
        <v>104</v>
      </c>
      <c r="E105" t="s">
        <v>2108</v>
      </c>
      <c r="F105" t="s">
        <v>123</v>
      </c>
      <c r="G105" t="s">
        <v>124</v>
      </c>
      <c r="H105" t="s">
        <v>125</v>
      </c>
      <c r="I105" t="s">
        <v>126</v>
      </c>
      <c r="J105" t="s">
        <v>126</v>
      </c>
      <c r="K105" t="s">
        <v>127</v>
      </c>
      <c r="L105">
        <v>50</v>
      </c>
      <c r="M105">
        <v>937719</v>
      </c>
      <c r="N105">
        <v>6</v>
      </c>
      <c r="O105">
        <v>1</v>
      </c>
      <c r="P105" t="s">
        <v>128</v>
      </c>
      <c r="Q105" t="s">
        <v>129</v>
      </c>
      <c r="R105">
        <v>10</v>
      </c>
      <c r="T105">
        <v>9</v>
      </c>
      <c r="U105">
        <v>14</v>
      </c>
      <c r="V105">
        <v>2</v>
      </c>
      <c r="W105">
        <v>0</v>
      </c>
      <c r="X105">
        <v>2</v>
      </c>
      <c r="Y105">
        <v>0</v>
      </c>
      <c r="Z105">
        <v>11</v>
      </c>
      <c r="AA105">
        <v>16</v>
      </c>
      <c r="AB105">
        <v>50</v>
      </c>
      <c r="AC105">
        <v>18</v>
      </c>
      <c r="AD105">
        <v>3</v>
      </c>
      <c r="AE105">
        <v>0</v>
      </c>
      <c r="AF105">
        <v>21</v>
      </c>
      <c r="AG105">
        <v>0</v>
      </c>
      <c r="AH105">
        <v>32</v>
      </c>
      <c r="AI105">
        <v>29</v>
      </c>
      <c r="AJ105">
        <v>32</v>
      </c>
      <c r="AK105">
        <v>32</v>
      </c>
      <c r="AL105">
        <v>0</v>
      </c>
      <c r="AM105">
        <v>0.12</v>
      </c>
      <c r="AN105">
        <v>2.9090909090909092</v>
      </c>
      <c r="AO105">
        <v>0</v>
      </c>
      <c r="AP105" t="s">
        <v>130</v>
      </c>
      <c r="AQ105" t="s">
        <v>131</v>
      </c>
      <c r="AR105" t="s">
        <v>194</v>
      </c>
      <c r="AS105">
        <v>1542</v>
      </c>
      <c r="AT105">
        <v>1456</v>
      </c>
      <c r="AU105">
        <v>0</v>
      </c>
      <c r="AV105">
        <v>0</v>
      </c>
      <c r="AW105">
        <v>2.9980000000000002</v>
      </c>
      <c r="AX105">
        <v>0.16655555555555557</v>
      </c>
      <c r="AY105">
        <v>3.4976666666666669</v>
      </c>
      <c r="AZ105" t="s">
        <v>135</v>
      </c>
      <c r="BA105">
        <v>2.5023333333333331</v>
      </c>
      <c r="BB105">
        <v>15.02401601067378</v>
      </c>
      <c r="BC105" t="s">
        <v>133</v>
      </c>
      <c r="BD105">
        <v>0</v>
      </c>
      <c r="BE105" t="s">
        <v>133</v>
      </c>
      <c r="BF10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2.9980000000000002</v>
      </c>
    </row>
    <row r="106" spans="1:58" x14ac:dyDescent="0.25">
      <c r="A106" t="s">
        <v>307</v>
      </c>
      <c r="B106" t="s">
        <v>19</v>
      </c>
      <c r="C106">
        <v>1</v>
      </c>
      <c r="D106">
        <v>105</v>
      </c>
      <c r="E106" t="s">
        <v>2108</v>
      </c>
      <c r="F106" t="s">
        <v>123</v>
      </c>
      <c r="G106" t="s">
        <v>124</v>
      </c>
      <c r="H106" t="s">
        <v>136</v>
      </c>
      <c r="I106" t="s">
        <v>137</v>
      </c>
      <c r="J106" t="s">
        <v>138</v>
      </c>
      <c r="K106" t="s">
        <v>127</v>
      </c>
      <c r="L106">
        <v>50</v>
      </c>
      <c r="M106">
        <v>937721</v>
      </c>
      <c r="N106">
        <v>5</v>
      </c>
      <c r="O106">
        <v>1</v>
      </c>
      <c r="P106" t="s">
        <v>128</v>
      </c>
      <c r="Q106" t="s">
        <v>129</v>
      </c>
      <c r="R106">
        <v>10</v>
      </c>
      <c r="T106">
        <v>0</v>
      </c>
      <c r="U106">
        <v>4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4</v>
      </c>
      <c r="AB106">
        <v>50</v>
      </c>
      <c r="AC106">
        <v>4</v>
      </c>
      <c r="AD106">
        <v>0</v>
      </c>
      <c r="AE106">
        <v>0</v>
      </c>
      <c r="AF106">
        <v>4</v>
      </c>
      <c r="AG106">
        <v>0</v>
      </c>
      <c r="AH106">
        <v>46</v>
      </c>
      <c r="AI106">
        <v>46</v>
      </c>
      <c r="AJ106">
        <v>46</v>
      </c>
      <c r="AK106">
        <v>46</v>
      </c>
      <c r="AL106">
        <v>0</v>
      </c>
      <c r="AM106">
        <v>0.1</v>
      </c>
      <c r="AN106">
        <v>4.1818181818181817</v>
      </c>
      <c r="AO106">
        <v>0</v>
      </c>
      <c r="AP106" t="s">
        <v>139</v>
      </c>
      <c r="AQ106" t="s">
        <v>131</v>
      </c>
      <c r="AR106" t="s">
        <v>194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 t="s">
        <v>134</v>
      </c>
      <c r="BA106">
        <v>5</v>
      </c>
      <c r="BB106">
        <v>0</v>
      </c>
      <c r="BC106" t="s">
        <v>133</v>
      </c>
      <c r="BD106">
        <v>0</v>
      </c>
      <c r="BE106" t="s">
        <v>133</v>
      </c>
      <c r="BF10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7" spans="1:58" x14ac:dyDescent="0.25">
      <c r="A107" t="s">
        <v>308</v>
      </c>
      <c r="B107" t="s">
        <v>19</v>
      </c>
      <c r="C107">
        <v>1</v>
      </c>
      <c r="D107">
        <v>106</v>
      </c>
      <c r="E107" t="s">
        <v>2108</v>
      </c>
      <c r="F107" t="s">
        <v>123</v>
      </c>
      <c r="G107" t="s">
        <v>124</v>
      </c>
      <c r="H107" t="s">
        <v>125</v>
      </c>
      <c r="I107" t="s">
        <v>126</v>
      </c>
      <c r="J107" t="s">
        <v>126</v>
      </c>
      <c r="K107" t="s">
        <v>127</v>
      </c>
      <c r="L107">
        <v>50</v>
      </c>
      <c r="M107">
        <v>937723</v>
      </c>
      <c r="N107">
        <v>6</v>
      </c>
      <c r="O107">
        <v>1</v>
      </c>
      <c r="P107" t="s">
        <v>128</v>
      </c>
      <c r="Q107" t="s">
        <v>129</v>
      </c>
      <c r="R107">
        <v>10</v>
      </c>
      <c r="T107">
        <v>6</v>
      </c>
      <c r="U107">
        <v>11</v>
      </c>
      <c r="V107">
        <v>2</v>
      </c>
      <c r="W107">
        <v>0</v>
      </c>
      <c r="X107">
        <v>2</v>
      </c>
      <c r="Y107">
        <v>2</v>
      </c>
      <c r="Z107">
        <v>10</v>
      </c>
      <c r="AA107">
        <v>15</v>
      </c>
      <c r="AB107">
        <v>50</v>
      </c>
      <c r="AC107">
        <v>14</v>
      </c>
      <c r="AD107">
        <v>6</v>
      </c>
      <c r="AE107">
        <v>3</v>
      </c>
      <c r="AF107">
        <v>23</v>
      </c>
      <c r="AG107">
        <v>0</v>
      </c>
      <c r="AH107">
        <v>36</v>
      </c>
      <c r="AI107">
        <v>27</v>
      </c>
      <c r="AJ107">
        <v>33</v>
      </c>
      <c r="AK107">
        <v>36</v>
      </c>
      <c r="AL107">
        <v>0</v>
      </c>
      <c r="AM107">
        <v>0.12</v>
      </c>
      <c r="AN107">
        <v>3</v>
      </c>
      <c r="AO107">
        <v>0</v>
      </c>
      <c r="AP107" t="s">
        <v>130</v>
      </c>
      <c r="AQ107" t="s">
        <v>131</v>
      </c>
      <c r="AR107" t="s">
        <v>194</v>
      </c>
      <c r="AS107">
        <v>1454</v>
      </c>
      <c r="AT107">
        <v>1197</v>
      </c>
      <c r="AU107">
        <v>0</v>
      </c>
      <c r="AV107">
        <v>0</v>
      </c>
      <c r="AW107">
        <v>2.6509999999999998</v>
      </c>
      <c r="AX107">
        <v>0.18935714285714284</v>
      </c>
      <c r="AY107">
        <v>4.3552142857142853</v>
      </c>
      <c r="AZ107" t="s">
        <v>135</v>
      </c>
      <c r="BA107">
        <v>1.6447857142857147</v>
      </c>
      <c r="BB107">
        <v>8.686156167483972</v>
      </c>
      <c r="BC107" t="s">
        <v>133</v>
      </c>
      <c r="BD107">
        <v>0</v>
      </c>
      <c r="BE107" t="s">
        <v>133</v>
      </c>
      <c r="BF10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2.6509999999999998</v>
      </c>
    </row>
    <row r="108" spans="1:58" x14ac:dyDescent="0.25">
      <c r="A108" t="s">
        <v>309</v>
      </c>
      <c r="B108" t="s">
        <v>19</v>
      </c>
      <c r="C108">
        <v>1</v>
      </c>
      <c r="D108">
        <v>107</v>
      </c>
      <c r="E108" t="s">
        <v>2108</v>
      </c>
      <c r="F108" t="s">
        <v>123</v>
      </c>
      <c r="G108" t="s">
        <v>124</v>
      </c>
      <c r="H108" t="s">
        <v>125</v>
      </c>
      <c r="I108" t="s">
        <v>126</v>
      </c>
      <c r="J108" t="s">
        <v>126</v>
      </c>
      <c r="K108" t="s">
        <v>127</v>
      </c>
      <c r="L108">
        <v>50</v>
      </c>
      <c r="M108">
        <v>937725</v>
      </c>
      <c r="N108">
        <v>6</v>
      </c>
      <c r="O108">
        <v>1</v>
      </c>
      <c r="P108" t="s">
        <v>128</v>
      </c>
      <c r="Q108" t="s">
        <v>129</v>
      </c>
      <c r="R108">
        <v>10</v>
      </c>
      <c r="T108">
        <v>6</v>
      </c>
      <c r="U108">
        <v>11</v>
      </c>
      <c r="V108">
        <v>2</v>
      </c>
      <c r="W108">
        <v>0</v>
      </c>
      <c r="X108">
        <v>2</v>
      </c>
      <c r="Y108">
        <v>0</v>
      </c>
      <c r="Z108">
        <v>8</v>
      </c>
      <c r="AA108">
        <v>13</v>
      </c>
      <c r="AB108">
        <v>50</v>
      </c>
      <c r="AC108">
        <v>13</v>
      </c>
      <c r="AD108">
        <v>3</v>
      </c>
      <c r="AE108">
        <v>0</v>
      </c>
      <c r="AF108">
        <v>16</v>
      </c>
      <c r="AG108">
        <v>0</v>
      </c>
      <c r="AH108">
        <v>37</v>
      </c>
      <c r="AI108">
        <v>34</v>
      </c>
      <c r="AJ108">
        <v>37</v>
      </c>
      <c r="AK108">
        <v>37</v>
      </c>
      <c r="AL108">
        <v>0</v>
      </c>
      <c r="AM108">
        <v>0.12</v>
      </c>
      <c r="AN108">
        <v>3.3636363636363638</v>
      </c>
      <c r="AO108">
        <v>0</v>
      </c>
      <c r="AP108" t="s">
        <v>130</v>
      </c>
      <c r="AQ108" t="s">
        <v>131</v>
      </c>
      <c r="AR108" t="s">
        <v>194</v>
      </c>
      <c r="AS108">
        <v>928</v>
      </c>
      <c r="AT108">
        <v>823</v>
      </c>
      <c r="AU108">
        <v>0</v>
      </c>
      <c r="AV108">
        <v>0</v>
      </c>
      <c r="AW108">
        <v>1.7509999999999999</v>
      </c>
      <c r="AX108">
        <v>0.13469230769230769</v>
      </c>
      <c r="AY108">
        <v>2.1550769230769231</v>
      </c>
      <c r="AZ108" t="s">
        <v>135</v>
      </c>
      <c r="BA108">
        <v>3.8449230769230769</v>
      </c>
      <c r="BB108">
        <v>28.545973729297543</v>
      </c>
      <c r="BC108" t="s">
        <v>133</v>
      </c>
      <c r="BD108">
        <v>0</v>
      </c>
      <c r="BE108" t="s">
        <v>133</v>
      </c>
      <c r="BF10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1.7509999999999999</v>
      </c>
    </row>
    <row r="109" spans="1:58" x14ac:dyDescent="0.25">
      <c r="A109" t="s">
        <v>310</v>
      </c>
      <c r="B109" t="s">
        <v>19</v>
      </c>
      <c r="C109">
        <v>1</v>
      </c>
      <c r="D109">
        <v>108</v>
      </c>
      <c r="E109" t="s">
        <v>2108</v>
      </c>
      <c r="F109" t="s">
        <v>123</v>
      </c>
      <c r="G109" t="s">
        <v>124</v>
      </c>
      <c r="H109" t="s">
        <v>125</v>
      </c>
      <c r="I109" t="s">
        <v>126</v>
      </c>
      <c r="J109" t="s">
        <v>126</v>
      </c>
      <c r="K109" t="s">
        <v>127</v>
      </c>
      <c r="L109">
        <v>50</v>
      </c>
      <c r="M109">
        <v>937727</v>
      </c>
      <c r="N109">
        <v>6</v>
      </c>
      <c r="O109">
        <v>1</v>
      </c>
      <c r="P109" t="s">
        <v>128</v>
      </c>
      <c r="Q109" t="s">
        <v>129</v>
      </c>
      <c r="R109">
        <v>10</v>
      </c>
      <c r="T109">
        <v>11</v>
      </c>
      <c r="U109">
        <v>16</v>
      </c>
      <c r="V109">
        <v>2</v>
      </c>
      <c r="W109">
        <v>0</v>
      </c>
      <c r="X109">
        <v>2</v>
      </c>
      <c r="Y109">
        <v>0</v>
      </c>
      <c r="Z109">
        <v>13</v>
      </c>
      <c r="AA109">
        <v>18</v>
      </c>
      <c r="AB109">
        <v>50</v>
      </c>
      <c r="AC109">
        <v>20</v>
      </c>
      <c r="AD109">
        <v>2</v>
      </c>
      <c r="AE109">
        <v>0</v>
      </c>
      <c r="AF109">
        <v>22</v>
      </c>
      <c r="AG109">
        <v>0</v>
      </c>
      <c r="AH109">
        <v>30</v>
      </c>
      <c r="AI109">
        <v>28</v>
      </c>
      <c r="AJ109">
        <v>30</v>
      </c>
      <c r="AK109">
        <v>30</v>
      </c>
      <c r="AL109">
        <v>0</v>
      </c>
      <c r="AM109">
        <v>0.12</v>
      </c>
      <c r="AN109">
        <v>2.7272727272727275</v>
      </c>
      <c r="AO109">
        <v>0</v>
      </c>
      <c r="AP109" t="s">
        <v>130</v>
      </c>
      <c r="AQ109" t="s">
        <v>131</v>
      </c>
      <c r="AR109" t="s">
        <v>194</v>
      </c>
      <c r="AS109">
        <v>1199</v>
      </c>
      <c r="AT109">
        <v>1223</v>
      </c>
      <c r="AU109">
        <v>0</v>
      </c>
      <c r="AV109">
        <v>0</v>
      </c>
      <c r="AW109">
        <v>2.4220000000000002</v>
      </c>
      <c r="AX109">
        <v>0.12110000000000001</v>
      </c>
      <c r="AY109">
        <v>2.6642000000000001</v>
      </c>
      <c r="AZ109" t="s">
        <v>135</v>
      </c>
      <c r="BA109">
        <v>3.3357999999999999</v>
      </c>
      <c r="BB109">
        <v>27.545829892650698</v>
      </c>
      <c r="BC109" t="s">
        <v>133</v>
      </c>
      <c r="BD109">
        <v>0</v>
      </c>
      <c r="BE109" t="s">
        <v>133</v>
      </c>
      <c r="BF10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2.4220000000000002</v>
      </c>
    </row>
    <row r="110" spans="1:58" x14ac:dyDescent="0.25">
      <c r="A110" t="s">
        <v>311</v>
      </c>
      <c r="B110" t="s">
        <v>19</v>
      </c>
      <c r="C110">
        <v>1</v>
      </c>
      <c r="D110">
        <v>109</v>
      </c>
      <c r="E110" t="s">
        <v>2108</v>
      </c>
      <c r="F110" t="s">
        <v>123</v>
      </c>
      <c r="G110" t="s">
        <v>124</v>
      </c>
      <c r="H110" t="s">
        <v>125</v>
      </c>
      <c r="I110" t="s">
        <v>126</v>
      </c>
      <c r="J110" t="s">
        <v>126</v>
      </c>
      <c r="K110" t="s">
        <v>127</v>
      </c>
      <c r="L110">
        <v>50</v>
      </c>
      <c r="M110">
        <v>937729</v>
      </c>
      <c r="N110">
        <v>6</v>
      </c>
      <c r="O110">
        <v>1</v>
      </c>
      <c r="P110" t="s">
        <v>128</v>
      </c>
      <c r="Q110" t="s">
        <v>129</v>
      </c>
      <c r="R110">
        <v>10</v>
      </c>
      <c r="T110">
        <v>11</v>
      </c>
      <c r="U110">
        <v>16</v>
      </c>
      <c r="V110">
        <v>2</v>
      </c>
      <c r="W110">
        <v>0</v>
      </c>
      <c r="X110">
        <v>2</v>
      </c>
      <c r="Y110">
        <v>0</v>
      </c>
      <c r="Z110">
        <v>13</v>
      </c>
      <c r="AA110">
        <v>18</v>
      </c>
      <c r="AB110">
        <v>50</v>
      </c>
      <c r="AC110">
        <v>21</v>
      </c>
      <c r="AD110">
        <v>4</v>
      </c>
      <c r="AE110">
        <v>0</v>
      </c>
      <c r="AF110">
        <v>25</v>
      </c>
      <c r="AG110">
        <v>0</v>
      </c>
      <c r="AH110">
        <v>29</v>
      </c>
      <c r="AI110">
        <v>25</v>
      </c>
      <c r="AJ110">
        <v>29</v>
      </c>
      <c r="AK110">
        <v>29</v>
      </c>
      <c r="AL110">
        <v>0</v>
      </c>
      <c r="AM110">
        <v>0.12</v>
      </c>
      <c r="AN110">
        <v>2.6363636363636362</v>
      </c>
      <c r="AO110">
        <v>0</v>
      </c>
      <c r="AP110" t="s">
        <v>130</v>
      </c>
      <c r="AQ110" t="s">
        <v>131</v>
      </c>
      <c r="AR110" t="s">
        <v>194</v>
      </c>
      <c r="AS110">
        <v>1486</v>
      </c>
      <c r="AT110">
        <v>1476</v>
      </c>
      <c r="AU110">
        <v>0</v>
      </c>
      <c r="AV110">
        <v>0</v>
      </c>
      <c r="AW110">
        <v>2.9620000000000002</v>
      </c>
      <c r="AX110">
        <v>0.14104761904761906</v>
      </c>
      <c r="AY110">
        <v>3.5261904761904765</v>
      </c>
      <c r="AZ110" t="s">
        <v>135</v>
      </c>
      <c r="BA110">
        <v>2.4738095238095235</v>
      </c>
      <c r="BB110">
        <v>17.538825118163398</v>
      </c>
      <c r="BC110" t="s">
        <v>133</v>
      </c>
      <c r="BD110">
        <v>0</v>
      </c>
      <c r="BE110" t="s">
        <v>133</v>
      </c>
      <c r="BF11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2.9620000000000002</v>
      </c>
    </row>
    <row r="111" spans="1:58" x14ac:dyDescent="0.25">
      <c r="A111" t="s">
        <v>312</v>
      </c>
      <c r="B111" t="s">
        <v>19</v>
      </c>
      <c r="C111">
        <v>1</v>
      </c>
      <c r="D111">
        <v>110</v>
      </c>
      <c r="E111" t="s">
        <v>2108</v>
      </c>
      <c r="F111" t="s">
        <v>123</v>
      </c>
      <c r="G111" t="s">
        <v>124</v>
      </c>
      <c r="H111" t="s">
        <v>125</v>
      </c>
      <c r="I111" t="s">
        <v>126</v>
      </c>
      <c r="J111" t="s">
        <v>126</v>
      </c>
      <c r="K111" t="s">
        <v>127</v>
      </c>
      <c r="L111">
        <v>50</v>
      </c>
      <c r="M111">
        <v>937731</v>
      </c>
      <c r="N111">
        <v>6</v>
      </c>
      <c r="O111">
        <v>1</v>
      </c>
      <c r="P111" t="s">
        <v>128</v>
      </c>
      <c r="Q111" t="s">
        <v>129</v>
      </c>
      <c r="R111">
        <v>10</v>
      </c>
      <c r="T111">
        <v>5</v>
      </c>
      <c r="U111">
        <v>10</v>
      </c>
      <c r="V111">
        <v>2</v>
      </c>
      <c r="W111">
        <v>0</v>
      </c>
      <c r="X111">
        <v>2</v>
      </c>
      <c r="Y111">
        <v>0</v>
      </c>
      <c r="Z111">
        <v>7</v>
      </c>
      <c r="AA111">
        <v>12</v>
      </c>
      <c r="AB111">
        <v>50</v>
      </c>
      <c r="AC111">
        <v>13</v>
      </c>
      <c r="AD111">
        <v>4</v>
      </c>
      <c r="AE111">
        <v>0</v>
      </c>
      <c r="AF111">
        <v>17</v>
      </c>
      <c r="AG111">
        <v>0</v>
      </c>
      <c r="AH111">
        <v>37</v>
      </c>
      <c r="AI111">
        <v>33</v>
      </c>
      <c r="AJ111">
        <v>37</v>
      </c>
      <c r="AK111">
        <v>37</v>
      </c>
      <c r="AL111">
        <v>0</v>
      </c>
      <c r="AM111">
        <v>0.12</v>
      </c>
      <c r="AN111">
        <v>3.3636363636363638</v>
      </c>
      <c r="AO111">
        <v>0</v>
      </c>
      <c r="AP111" t="s">
        <v>130</v>
      </c>
      <c r="AQ111" t="s">
        <v>131</v>
      </c>
      <c r="AR111" t="s">
        <v>194</v>
      </c>
      <c r="AS111">
        <v>739</v>
      </c>
      <c r="AT111">
        <v>712</v>
      </c>
      <c r="AU111">
        <v>0</v>
      </c>
      <c r="AV111">
        <v>0</v>
      </c>
      <c r="AW111">
        <v>1.4510000000000001</v>
      </c>
      <c r="AX111">
        <v>0.11161538461538462</v>
      </c>
      <c r="AY111">
        <v>1.8974615384615385</v>
      </c>
      <c r="AZ111" t="s">
        <v>135</v>
      </c>
      <c r="BA111">
        <v>4.1025384615384617</v>
      </c>
      <c r="BB111">
        <v>36.756030323914544</v>
      </c>
      <c r="BC111" t="s">
        <v>144</v>
      </c>
      <c r="BD111">
        <v>0</v>
      </c>
      <c r="BE111" t="s">
        <v>133</v>
      </c>
      <c r="BF11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1.4510000000000001</v>
      </c>
    </row>
    <row r="112" spans="1:58" x14ac:dyDescent="0.25">
      <c r="A112" t="s">
        <v>313</v>
      </c>
      <c r="B112" t="s">
        <v>19</v>
      </c>
      <c r="C112">
        <v>1</v>
      </c>
      <c r="D112">
        <v>111</v>
      </c>
      <c r="E112" t="s">
        <v>2108</v>
      </c>
      <c r="F112" t="s">
        <v>123</v>
      </c>
      <c r="G112" t="s">
        <v>124</v>
      </c>
      <c r="H112" t="s">
        <v>125</v>
      </c>
      <c r="I112" t="s">
        <v>148</v>
      </c>
      <c r="J112" t="s">
        <v>156</v>
      </c>
      <c r="K112" t="s">
        <v>127</v>
      </c>
      <c r="L112">
        <v>50</v>
      </c>
      <c r="M112">
        <v>937733</v>
      </c>
      <c r="N112">
        <v>6</v>
      </c>
      <c r="O112">
        <v>1</v>
      </c>
      <c r="P112" t="s">
        <v>128</v>
      </c>
      <c r="Q112" t="s">
        <v>129</v>
      </c>
      <c r="R112">
        <v>11</v>
      </c>
      <c r="T112">
        <v>0</v>
      </c>
      <c r="U112">
        <v>4</v>
      </c>
      <c r="V112">
        <v>0</v>
      </c>
      <c r="W112">
        <v>0</v>
      </c>
      <c r="X112">
        <v>0</v>
      </c>
      <c r="Y112">
        <v>1</v>
      </c>
      <c r="Z112">
        <v>0</v>
      </c>
      <c r="AA112">
        <v>5</v>
      </c>
      <c r="AB112">
        <v>50</v>
      </c>
      <c r="AC112">
        <v>11</v>
      </c>
      <c r="AD112">
        <v>0</v>
      </c>
      <c r="AE112">
        <v>1</v>
      </c>
      <c r="AF112">
        <v>12</v>
      </c>
      <c r="AG112">
        <v>0</v>
      </c>
      <c r="AH112">
        <v>39</v>
      </c>
      <c r="AI112">
        <v>38</v>
      </c>
      <c r="AJ112">
        <v>38</v>
      </c>
      <c r="AK112">
        <v>39</v>
      </c>
      <c r="AL112">
        <v>0</v>
      </c>
      <c r="AM112">
        <v>0.12</v>
      </c>
      <c r="AN112">
        <v>3.4545454545454546</v>
      </c>
      <c r="AO112">
        <v>0</v>
      </c>
      <c r="AP112" t="s">
        <v>150</v>
      </c>
      <c r="AQ112" t="s">
        <v>131</v>
      </c>
      <c r="AR112" t="s">
        <v>194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 t="s">
        <v>147</v>
      </c>
      <c r="BA112">
        <v>6</v>
      </c>
      <c r="BB112">
        <v>0</v>
      </c>
      <c r="BC112" t="s">
        <v>132</v>
      </c>
      <c r="BD112">
        <v>0</v>
      </c>
      <c r="BE112" t="s">
        <v>133</v>
      </c>
      <c r="BF11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3" spans="1:58" x14ac:dyDescent="0.25">
      <c r="A113" t="s">
        <v>314</v>
      </c>
      <c r="B113" t="s">
        <v>19</v>
      </c>
      <c r="C113">
        <v>1</v>
      </c>
      <c r="D113">
        <v>112</v>
      </c>
      <c r="E113" t="s">
        <v>2108</v>
      </c>
      <c r="F113" t="s">
        <v>123</v>
      </c>
      <c r="G113" t="s">
        <v>124</v>
      </c>
      <c r="H113" t="s">
        <v>125</v>
      </c>
      <c r="I113" t="s">
        <v>148</v>
      </c>
      <c r="J113" t="s">
        <v>156</v>
      </c>
      <c r="K113" t="s">
        <v>127</v>
      </c>
      <c r="L113">
        <v>50</v>
      </c>
      <c r="M113">
        <v>937735</v>
      </c>
      <c r="N113">
        <v>6</v>
      </c>
      <c r="O113">
        <v>1</v>
      </c>
      <c r="P113" t="s">
        <v>128</v>
      </c>
      <c r="Q113" t="s">
        <v>129</v>
      </c>
      <c r="R113">
        <v>11</v>
      </c>
      <c r="T113">
        <v>0</v>
      </c>
      <c r="U113">
        <v>4</v>
      </c>
      <c r="V113">
        <v>0</v>
      </c>
      <c r="W113">
        <v>0</v>
      </c>
      <c r="X113">
        <v>0</v>
      </c>
      <c r="Y113">
        <v>1</v>
      </c>
      <c r="Z113">
        <v>0</v>
      </c>
      <c r="AA113">
        <v>5</v>
      </c>
      <c r="AB113">
        <v>50</v>
      </c>
      <c r="AC113">
        <v>5</v>
      </c>
      <c r="AD113">
        <v>0</v>
      </c>
      <c r="AE113">
        <v>1</v>
      </c>
      <c r="AF113">
        <v>6</v>
      </c>
      <c r="AG113">
        <v>0</v>
      </c>
      <c r="AH113">
        <v>45</v>
      </c>
      <c r="AI113">
        <v>44</v>
      </c>
      <c r="AJ113">
        <v>44</v>
      </c>
      <c r="AK113">
        <v>45</v>
      </c>
      <c r="AL113">
        <v>0</v>
      </c>
      <c r="AM113">
        <v>0.12</v>
      </c>
      <c r="AN113">
        <v>4</v>
      </c>
      <c r="AO113">
        <v>0</v>
      </c>
      <c r="AP113" t="s">
        <v>150</v>
      </c>
      <c r="AQ113" t="s">
        <v>131</v>
      </c>
      <c r="AR113" t="s">
        <v>194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 t="s">
        <v>147</v>
      </c>
      <c r="BA113">
        <v>6</v>
      </c>
      <c r="BB113">
        <v>0</v>
      </c>
      <c r="BC113" t="s">
        <v>133</v>
      </c>
      <c r="BD113">
        <v>0</v>
      </c>
      <c r="BE113" t="s">
        <v>133</v>
      </c>
      <c r="BF11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4" spans="1:58" x14ac:dyDescent="0.25">
      <c r="A114" t="s">
        <v>315</v>
      </c>
      <c r="B114" t="s">
        <v>19</v>
      </c>
      <c r="C114">
        <v>1</v>
      </c>
      <c r="D114">
        <v>113</v>
      </c>
      <c r="E114" t="s">
        <v>2108</v>
      </c>
      <c r="F114" t="s">
        <v>123</v>
      </c>
      <c r="G114" t="s">
        <v>124</v>
      </c>
      <c r="H114" t="s">
        <v>136</v>
      </c>
      <c r="I114" t="s">
        <v>158</v>
      </c>
      <c r="J114" t="s">
        <v>154</v>
      </c>
      <c r="K114" t="s">
        <v>127</v>
      </c>
      <c r="L114">
        <v>50</v>
      </c>
      <c r="M114">
        <v>937737</v>
      </c>
      <c r="N114">
        <v>4.5999999999999996</v>
      </c>
      <c r="O114">
        <v>1</v>
      </c>
      <c r="P114" t="s">
        <v>128</v>
      </c>
      <c r="Q114" t="s">
        <v>129</v>
      </c>
      <c r="R114">
        <v>11</v>
      </c>
      <c r="T114">
        <v>0</v>
      </c>
      <c r="U114">
        <v>2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2</v>
      </c>
      <c r="AB114">
        <v>50</v>
      </c>
      <c r="AC114">
        <v>2</v>
      </c>
      <c r="AD114">
        <v>0</v>
      </c>
      <c r="AE114">
        <v>0</v>
      </c>
      <c r="AF114">
        <v>2</v>
      </c>
      <c r="AG114">
        <v>0</v>
      </c>
      <c r="AH114">
        <v>48</v>
      </c>
      <c r="AI114">
        <v>48</v>
      </c>
      <c r="AJ114">
        <v>48</v>
      </c>
      <c r="AK114">
        <v>48</v>
      </c>
      <c r="AL114">
        <v>0</v>
      </c>
      <c r="AM114">
        <v>9.1999999999999998E-2</v>
      </c>
      <c r="AN114">
        <v>4.3636363636363633</v>
      </c>
      <c r="AO114">
        <v>0</v>
      </c>
      <c r="AP114" t="s">
        <v>160</v>
      </c>
      <c r="AQ114" t="s">
        <v>131</v>
      </c>
      <c r="AR114" t="s">
        <v>194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 t="s">
        <v>135</v>
      </c>
      <c r="BA114">
        <v>4.5999999999999996</v>
      </c>
      <c r="BB114">
        <v>0</v>
      </c>
      <c r="BC114" t="s">
        <v>133</v>
      </c>
      <c r="BD114">
        <v>0</v>
      </c>
      <c r="BE114" t="s">
        <v>133</v>
      </c>
      <c r="BF11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5" spans="1:58" x14ac:dyDescent="0.25">
      <c r="A115" t="s">
        <v>316</v>
      </c>
      <c r="B115" t="s">
        <v>19</v>
      </c>
      <c r="C115">
        <v>1</v>
      </c>
      <c r="D115">
        <v>114</v>
      </c>
      <c r="E115" t="s">
        <v>2108</v>
      </c>
      <c r="F115" t="s">
        <v>123</v>
      </c>
      <c r="G115" t="s">
        <v>124</v>
      </c>
      <c r="H115" t="s">
        <v>136</v>
      </c>
      <c r="I115" t="s">
        <v>158</v>
      </c>
      <c r="J115" t="s">
        <v>159</v>
      </c>
      <c r="K115" t="s">
        <v>127</v>
      </c>
      <c r="L115">
        <v>50</v>
      </c>
      <c r="M115">
        <v>937739</v>
      </c>
      <c r="N115">
        <v>4.5999999999999996</v>
      </c>
      <c r="O115">
        <v>1</v>
      </c>
      <c r="P115" t="s">
        <v>128</v>
      </c>
      <c r="Q115" t="s">
        <v>129</v>
      </c>
      <c r="R115">
        <v>11</v>
      </c>
      <c r="T115">
        <v>18</v>
      </c>
      <c r="U115">
        <v>20</v>
      </c>
      <c r="V115">
        <v>4</v>
      </c>
      <c r="W115">
        <v>0</v>
      </c>
      <c r="X115">
        <v>4</v>
      </c>
      <c r="Y115">
        <v>2</v>
      </c>
      <c r="Z115">
        <v>22</v>
      </c>
      <c r="AA115">
        <v>26</v>
      </c>
      <c r="AB115">
        <v>50</v>
      </c>
      <c r="AC115">
        <v>31</v>
      </c>
      <c r="AD115">
        <v>7</v>
      </c>
      <c r="AE115">
        <v>4</v>
      </c>
      <c r="AF115">
        <v>42</v>
      </c>
      <c r="AG115">
        <v>0</v>
      </c>
      <c r="AH115">
        <v>19</v>
      </c>
      <c r="AI115">
        <v>8</v>
      </c>
      <c r="AJ115">
        <v>15</v>
      </c>
      <c r="AK115">
        <v>19</v>
      </c>
      <c r="AL115">
        <v>0</v>
      </c>
      <c r="AM115">
        <v>9.1999999999999998E-2</v>
      </c>
      <c r="AN115">
        <v>1.3636363636363638</v>
      </c>
      <c r="AO115">
        <v>0</v>
      </c>
      <c r="AP115" t="s">
        <v>160</v>
      </c>
      <c r="AQ115" t="s">
        <v>131</v>
      </c>
      <c r="AR115" t="s">
        <v>194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 t="s">
        <v>135</v>
      </c>
      <c r="BA115">
        <v>4.5999999999999996</v>
      </c>
      <c r="BB115">
        <v>0</v>
      </c>
      <c r="BC115" t="s">
        <v>133</v>
      </c>
      <c r="BD115">
        <v>0</v>
      </c>
      <c r="BE115" t="s">
        <v>133</v>
      </c>
      <c r="BF11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6" spans="1:58" x14ac:dyDescent="0.25">
      <c r="A116" t="s">
        <v>317</v>
      </c>
      <c r="B116" t="s">
        <v>19</v>
      </c>
      <c r="C116">
        <v>1</v>
      </c>
      <c r="D116">
        <v>115</v>
      </c>
      <c r="E116" t="s">
        <v>2108</v>
      </c>
      <c r="F116" t="s">
        <v>123</v>
      </c>
      <c r="G116" t="s">
        <v>124</v>
      </c>
      <c r="H116" t="s">
        <v>136</v>
      </c>
      <c r="I116" t="s">
        <v>158</v>
      </c>
      <c r="J116" t="s">
        <v>159</v>
      </c>
      <c r="K116" t="s">
        <v>127</v>
      </c>
      <c r="L116">
        <v>50</v>
      </c>
      <c r="M116">
        <v>937741</v>
      </c>
      <c r="N116">
        <v>4.5999999999999996</v>
      </c>
      <c r="O116">
        <v>1</v>
      </c>
      <c r="P116" t="s">
        <v>128</v>
      </c>
      <c r="Q116" t="s">
        <v>129</v>
      </c>
      <c r="R116">
        <v>11</v>
      </c>
      <c r="T116">
        <v>9</v>
      </c>
      <c r="U116">
        <v>12</v>
      </c>
      <c r="V116">
        <v>5</v>
      </c>
      <c r="W116">
        <v>0</v>
      </c>
      <c r="X116">
        <v>5</v>
      </c>
      <c r="Y116">
        <v>0</v>
      </c>
      <c r="Z116">
        <v>14</v>
      </c>
      <c r="AA116">
        <v>17</v>
      </c>
      <c r="AB116">
        <v>50</v>
      </c>
      <c r="AC116">
        <v>20</v>
      </c>
      <c r="AD116">
        <v>8</v>
      </c>
      <c r="AE116">
        <v>0</v>
      </c>
      <c r="AF116">
        <v>28</v>
      </c>
      <c r="AG116">
        <v>0</v>
      </c>
      <c r="AH116">
        <v>30</v>
      </c>
      <c r="AI116">
        <v>22</v>
      </c>
      <c r="AJ116">
        <v>30</v>
      </c>
      <c r="AK116">
        <v>30</v>
      </c>
      <c r="AL116">
        <v>0</v>
      </c>
      <c r="AM116">
        <v>9.1999999999999998E-2</v>
      </c>
      <c r="AN116">
        <v>2.7272727272727275</v>
      </c>
      <c r="AO116">
        <v>0</v>
      </c>
      <c r="AP116" t="s">
        <v>160</v>
      </c>
      <c r="AQ116" t="s">
        <v>131</v>
      </c>
      <c r="AR116" t="s">
        <v>194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 t="s">
        <v>135</v>
      </c>
      <c r="BA116">
        <v>4.5999999999999996</v>
      </c>
      <c r="BB116">
        <v>0</v>
      </c>
      <c r="BC116" t="s">
        <v>133</v>
      </c>
      <c r="BD116">
        <v>0</v>
      </c>
      <c r="BE116" t="s">
        <v>133</v>
      </c>
      <c r="BF11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7" spans="1:58" x14ac:dyDescent="0.25">
      <c r="A117" t="s">
        <v>318</v>
      </c>
      <c r="B117" t="s">
        <v>19</v>
      </c>
      <c r="C117">
        <v>1</v>
      </c>
      <c r="D117">
        <v>116</v>
      </c>
      <c r="E117" t="s">
        <v>2108</v>
      </c>
      <c r="F117" t="s">
        <v>123</v>
      </c>
      <c r="G117" t="s">
        <v>124</v>
      </c>
      <c r="H117" t="s">
        <v>136</v>
      </c>
      <c r="I117" t="s">
        <v>158</v>
      </c>
      <c r="J117" t="s">
        <v>159</v>
      </c>
      <c r="K117" t="s">
        <v>127</v>
      </c>
      <c r="L117">
        <v>50</v>
      </c>
      <c r="M117">
        <v>937743</v>
      </c>
      <c r="N117">
        <v>4.5999999999999996</v>
      </c>
      <c r="O117">
        <v>1</v>
      </c>
      <c r="P117" t="s">
        <v>128</v>
      </c>
      <c r="Q117" t="s">
        <v>129</v>
      </c>
      <c r="R117">
        <v>11</v>
      </c>
      <c r="T117">
        <v>23</v>
      </c>
      <c r="U117">
        <v>26</v>
      </c>
      <c r="V117">
        <v>0</v>
      </c>
      <c r="W117">
        <v>0</v>
      </c>
      <c r="X117">
        <v>0</v>
      </c>
      <c r="Y117">
        <v>0</v>
      </c>
      <c r="Z117">
        <v>23</v>
      </c>
      <c r="AA117">
        <v>26</v>
      </c>
      <c r="AB117">
        <v>50</v>
      </c>
      <c r="AC117">
        <v>40</v>
      </c>
      <c r="AD117">
        <v>0</v>
      </c>
      <c r="AE117">
        <v>0</v>
      </c>
      <c r="AF117">
        <v>40</v>
      </c>
      <c r="AG117">
        <v>0</v>
      </c>
      <c r="AH117">
        <v>10</v>
      </c>
      <c r="AI117">
        <v>10</v>
      </c>
      <c r="AJ117">
        <v>10</v>
      </c>
      <c r="AK117">
        <v>10</v>
      </c>
      <c r="AL117">
        <v>0</v>
      </c>
      <c r="AM117">
        <v>9.1999999999999998E-2</v>
      </c>
      <c r="AN117">
        <v>0.90909090909090917</v>
      </c>
      <c r="AO117">
        <v>0</v>
      </c>
      <c r="AP117" t="s">
        <v>160</v>
      </c>
      <c r="AQ117" t="s">
        <v>131</v>
      </c>
      <c r="AR117" t="s">
        <v>194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 t="s">
        <v>135</v>
      </c>
      <c r="BA117">
        <v>4.5999999999999996</v>
      </c>
      <c r="BB117">
        <v>0</v>
      </c>
      <c r="BC117" t="s">
        <v>133</v>
      </c>
      <c r="BD117">
        <v>0</v>
      </c>
      <c r="BE117" t="s">
        <v>133</v>
      </c>
      <c r="BF11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8" spans="1:58" x14ac:dyDescent="0.25">
      <c r="A118" t="s">
        <v>319</v>
      </c>
      <c r="B118" t="s">
        <v>19</v>
      </c>
      <c r="C118">
        <v>1</v>
      </c>
      <c r="D118">
        <v>117</v>
      </c>
      <c r="E118" t="s">
        <v>2108</v>
      </c>
      <c r="F118" t="s">
        <v>123</v>
      </c>
      <c r="G118" t="s">
        <v>124</v>
      </c>
      <c r="H118" t="s">
        <v>136</v>
      </c>
      <c r="I118" t="s">
        <v>158</v>
      </c>
      <c r="J118" t="s">
        <v>159</v>
      </c>
      <c r="K118" t="s">
        <v>127</v>
      </c>
      <c r="L118">
        <v>50</v>
      </c>
      <c r="M118">
        <v>937745</v>
      </c>
      <c r="N118">
        <v>4.5999999999999996</v>
      </c>
      <c r="O118">
        <v>1</v>
      </c>
      <c r="P118" t="s">
        <v>128</v>
      </c>
      <c r="Q118" t="s">
        <v>129</v>
      </c>
      <c r="R118">
        <v>11</v>
      </c>
      <c r="T118">
        <v>16</v>
      </c>
      <c r="U118">
        <v>21</v>
      </c>
      <c r="V118">
        <v>0</v>
      </c>
      <c r="W118">
        <v>0</v>
      </c>
      <c r="X118">
        <v>0</v>
      </c>
      <c r="Y118">
        <v>0</v>
      </c>
      <c r="Z118">
        <v>16</v>
      </c>
      <c r="AA118">
        <v>21</v>
      </c>
      <c r="AB118">
        <v>50</v>
      </c>
      <c r="AC118">
        <v>35</v>
      </c>
      <c r="AD118">
        <v>0</v>
      </c>
      <c r="AE118">
        <v>0</v>
      </c>
      <c r="AF118">
        <v>35</v>
      </c>
      <c r="AG118">
        <v>0</v>
      </c>
      <c r="AH118">
        <v>15</v>
      </c>
      <c r="AI118">
        <v>15</v>
      </c>
      <c r="AJ118">
        <v>15</v>
      </c>
      <c r="AK118">
        <v>15</v>
      </c>
      <c r="AL118">
        <v>0</v>
      </c>
      <c r="AM118">
        <v>9.1999999999999998E-2</v>
      </c>
      <c r="AN118">
        <v>1.3636363636363638</v>
      </c>
      <c r="AO118">
        <v>0</v>
      </c>
      <c r="AP118" t="s">
        <v>160</v>
      </c>
      <c r="AQ118" t="s">
        <v>131</v>
      </c>
      <c r="AR118" t="s">
        <v>194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 t="s">
        <v>135</v>
      </c>
      <c r="BA118">
        <v>4.5999999999999996</v>
      </c>
      <c r="BB118">
        <v>0</v>
      </c>
      <c r="BC118" t="s">
        <v>133</v>
      </c>
      <c r="BD118">
        <v>0</v>
      </c>
      <c r="BE118" t="s">
        <v>133</v>
      </c>
      <c r="BF11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9" spans="1:58" x14ac:dyDescent="0.25">
      <c r="A119" t="s">
        <v>320</v>
      </c>
      <c r="B119" t="s">
        <v>19</v>
      </c>
      <c r="C119">
        <v>1</v>
      </c>
      <c r="D119">
        <v>118</v>
      </c>
      <c r="E119" t="s">
        <v>2108</v>
      </c>
      <c r="F119" t="s">
        <v>123</v>
      </c>
      <c r="G119" t="s">
        <v>124</v>
      </c>
      <c r="H119" t="s">
        <v>136</v>
      </c>
      <c r="I119" t="s">
        <v>158</v>
      </c>
      <c r="J119" t="s">
        <v>159</v>
      </c>
      <c r="K119" t="s">
        <v>127</v>
      </c>
      <c r="L119">
        <v>50</v>
      </c>
      <c r="M119">
        <v>937747</v>
      </c>
      <c r="N119">
        <v>4.5999999999999996</v>
      </c>
      <c r="O119">
        <v>1</v>
      </c>
      <c r="P119" t="s">
        <v>128</v>
      </c>
      <c r="Q119" t="s">
        <v>129</v>
      </c>
      <c r="R119">
        <v>11</v>
      </c>
      <c r="T119">
        <v>17</v>
      </c>
      <c r="U119">
        <v>19</v>
      </c>
      <c r="V119">
        <v>0</v>
      </c>
      <c r="W119">
        <v>0</v>
      </c>
      <c r="X119">
        <v>0</v>
      </c>
      <c r="Y119">
        <v>0</v>
      </c>
      <c r="Z119">
        <v>17</v>
      </c>
      <c r="AA119">
        <v>19</v>
      </c>
      <c r="AB119">
        <v>50</v>
      </c>
      <c r="AC119">
        <v>35</v>
      </c>
      <c r="AD119">
        <v>0</v>
      </c>
      <c r="AE119">
        <v>0</v>
      </c>
      <c r="AF119">
        <v>35</v>
      </c>
      <c r="AG119">
        <v>0</v>
      </c>
      <c r="AH119">
        <v>15</v>
      </c>
      <c r="AI119">
        <v>15</v>
      </c>
      <c r="AJ119">
        <v>15</v>
      </c>
      <c r="AK119">
        <v>15</v>
      </c>
      <c r="AL119">
        <v>0</v>
      </c>
      <c r="AM119">
        <v>9.1999999999999998E-2</v>
      </c>
      <c r="AN119">
        <v>1.3636363636363638</v>
      </c>
      <c r="AO119">
        <v>0</v>
      </c>
      <c r="AP119" t="s">
        <v>160</v>
      </c>
      <c r="AQ119" t="s">
        <v>131</v>
      </c>
      <c r="AR119" t="s">
        <v>194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 t="s">
        <v>135</v>
      </c>
      <c r="BA119">
        <v>4.5999999999999996</v>
      </c>
      <c r="BB119">
        <v>0</v>
      </c>
      <c r="BC119" t="s">
        <v>133</v>
      </c>
      <c r="BD119">
        <v>0</v>
      </c>
      <c r="BE119" t="s">
        <v>133</v>
      </c>
      <c r="BF11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0" spans="1:58" x14ac:dyDescent="0.25">
      <c r="A120" t="s">
        <v>321</v>
      </c>
      <c r="B120" t="s">
        <v>19</v>
      </c>
      <c r="C120">
        <v>1</v>
      </c>
      <c r="D120">
        <v>119</v>
      </c>
      <c r="E120" t="s">
        <v>2108</v>
      </c>
      <c r="F120" t="s">
        <v>123</v>
      </c>
      <c r="G120" t="s">
        <v>124</v>
      </c>
      <c r="H120" t="s">
        <v>136</v>
      </c>
      <c r="I120" t="s">
        <v>158</v>
      </c>
      <c r="J120" t="s">
        <v>161</v>
      </c>
      <c r="K120" t="s">
        <v>127</v>
      </c>
      <c r="L120">
        <v>50</v>
      </c>
      <c r="M120">
        <v>937749</v>
      </c>
      <c r="N120">
        <v>4.5999999999999996</v>
      </c>
      <c r="O120">
        <v>1</v>
      </c>
      <c r="P120" t="s">
        <v>128</v>
      </c>
      <c r="Q120" t="s">
        <v>129</v>
      </c>
      <c r="R120">
        <v>11</v>
      </c>
      <c r="T120">
        <v>2</v>
      </c>
      <c r="U120">
        <v>4</v>
      </c>
      <c r="V120">
        <v>0</v>
      </c>
      <c r="W120">
        <v>0</v>
      </c>
      <c r="X120">
        <v>0</v>
      </c>
      <c r="Y120">
        <v>0</v>
      </c>
      <c r="Z120">
        <v>2</v>
      </c>
      <c r="AA120">
        <v>4</v>
      </c>
      <c r="AB120">
        <v>50</v>
      </c>
      <c r="AC120">
        <v>6</v>
      </c>
      <c r="AD120">
        <v>0</v>
      </c>
      <c r="AE120">
        <v>0</v>
      </c>
      <c r="AF120">
        <v>6</v>
      </c>
      <c r="AG120">
        <v>0</v>
      </c>
      <c r="AH120">
        <v>44</v>
      </c>
      <c r="AI120">
        <v>44</v>
      </c>
      <c r="AJ120">
        <v>44</v>
      </c>
      <c r="AK120">
        <v>44</v>
      </c>
      <c r="AL120">
        <v>0</v>
      </c>
      <c r="AM120">
        <v>9.1999999999999998E-2</v>
      </c>
      <c r="AN120">
        <v>4</v>
      </c>
      <c r="AO120">
        <v>0</v>
      </c>
      <c r="AP120" t="s">
        <v>160</v>
      </c>
      <c r="AQ120" t="s">
        <v>131</v>
      </c>
      <c r="AR120" t="s">
        <v>194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 t="s">
        <v>135</v>
      </c>
      <c r="BA120">
        <v>4.5999999999999996</v>
      </c>
      <c r="BB120">
        <v>0</v>
      </c>
      <c r="BC120" t="s">
        <v>133</v>
      </c>
      <c r="BD120">
        <v>0</v>
      </c>
      <c r="BE120" t="s">
        <v>133</v>
      </c>
      <c r="BF12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1" spans="1:58" x14ac:dyDescent="0.25">
      <c r="A121" t="s">
        <v>322</v>
      </c>
      <c r="B121" t="s">
        <v>19</v>
      </c>
      <c r="C121">
        <v>1</v>
      </c>
      <c r="D121">
        <v>120</v>
      </c>
      <c r="E121" t="s">
        <v>2108</v>
      </c>
      <c r="F121" t="s">
        <v>123</v>
      </c>
      <c r="G121" t="s">
        <v>124</v>
      </c>
      <c r="H121" t="s">
        <v>125</v>
      </c>
      <c r="I121" t="s">
        <v>148</v>
      </c>
      <c r="J121" t="s">
        <v>156</v>
      </c>
      <c r="K121" t="s">
        <v>127</v>
      </c>
      <c r="L121">
        <v>50</v>
      </c>
      <c r="M121">
        <v>937751</v>
      </c>
      <c r="N121">
        <v>6</v>
      </c>
      <c r="O121">
        <v>1</v>
      </c>
      <c r="P121" t="s">
        <v>128</v>
      </c>
      <c r="Q121" t="s">
        <v>129</v>
      </c>
      <c r="R121">
        <v>11</v>
      </c>
      <c r="S121" t="s">
        <v>162</v>
      </c>
      <c r="T121">
        <v>8</v>
      </c>
      <c r="U121">
        <v>12</v>
      </c>
      <c r="V121">
        <v>4</v>
      </c>
      <c r="W121">
        <v>0</v>
      </c>
      <c r="X121">
        <v>4</v>
      </c>
      <c r="Y121">
        <v>0</v>
      </c>
      <c r="Z121">
        <v>10</v>
      </c>
      <c r="AA121">
        <v>16</v>
      </c>
      <c r="AB121">
        <v>50</v>
      </c>
      <c r="AC121">
        <v>16</v>
      </c>
      <c r="AD121">
        <v>6</v>
      </c>
      <c r="AE121">
        <v>0</v>
      </c>
      <c r="AF121">
        <v>22</v>
      </c>
      <c r="AG121">
        <v>0</v>
      </c>
      <c r="AH121">
        <v>34</v>
      </c>
      <c r="AI121">
        <v>28</v>
      </c>
      <c r="AJ121">
        <v>34</v>
      </c>
      <c r="AK121">
        <v>34</v>
      </c>
      <c r="AL121">
        <v>0</v>
      </c>
      <c r="AM121">
        <v>0.12</v>
      </c>
      <c r="AN121">
        <v>3.0909090909090908</v>
      </c>
      <c r="AO121">
        <v>0</v>
      </c>
      <c r="AP121" t="s">
        <v>150</v>
      </c>
      <c r="AQ121" t="s">
        <v>131</v>
      </c>
      <c r="AR121" t="s">
        <v>194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 t="s">
        <v>147</v>
      </c>
      <c r="BA121">
        <v>6</v>
      </c>
      <c r="BB121">
        <v>0</v>
      </c>
      <c r="BC121" t="s">
        <v>133</v>
      </c>
      <c r="BD121">
        <v>0</v>
      </c>
      <c r="BE121" t="s">
        <v>133</v>
      </c>
      <c r="BF12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2" spans="1:58" x14ac:dyDescent="0.25">
      <c r="A122" t="s">
        <v>323</v>
      </c>
      <c r="B122" t="s">
        <v>19</v>
      </c>
      <c r="C122">
        <v>1</v>
      </c>
      <c r="D122">
        <v>121</v>
      </c>
      <c r="E122" t="s">
        <v>2108</v>
      </c>
      <c r="F122" t="s">
        <v>123</v>
      </c>
      <c r="G122" t="s">
        <v>124</v>
      </c>
      <c r="H122" t="s">
        <v>125</v>
      </c>
      <c r="I122" t="s">
        <v>148</v>
      </c>
      <c r="J122" t="s">
        <v>156</v>
      </c>
      <c r="K122" t="s">
        <v>127</v>
      </c>
      <c r="L122">
        <v>50</v>
      </c>
      <c r="M122">
        <v>937753</v>
      </c>
      <c r="N122">
        <v>6</v>
      </c>
      <c r="O122">
        <v>1</v>
      </c>
      <c r="P122" t="s">
        <v>128</v>
      </c>
      <c r="Q122" t="s">
        <v>129</v>
      </c>
      <c r="R122">
        <v>11</v>
      </c>
      <c r="T122">
        <v>9</v>
      </c>
      <c r="U122">
        <v>14</v>
      </c>
      <c r="V122">
        <v>0</v>
      </c>
      <c r="W122">
        <v>0</v>
      </c>
      <c r="X122">
        <v>0</v>
      </c>
      <c r="Y122">
        <v>0</v>
      </c>
      <c r="Z122">
        <v>9</v>
      </c>
      <c r="AA122">
        <v>14</v>
      </c>
      <c r="AB122">
        <v>50</v>
      </c>
      <c r="AC122">
        <v>25</v>
      </c>
      <c r="AD122">
        <v>0</v>
      </c>
      <c r="AE122">
        <v>0</v>
      </c>
      <c r="AF122">
        <v>25</v>
      </c>
      <c r="AG122">
        <v>0</v>
      </c>
      <c r="AH122">
        <v>25</v>
      </c>
      <c r="AI122">
        <v>25</v>
      </c>
      <c r="AJ122">
        <v>25</v>
      </c>
      <c r="AK122">
        <v>25</v>
      </c>
      <c r="AL122">
        <v>0</v>
      </c>
      <c r="AM122">
        <v>0.12</v>
      </c>
      <c r="AN122">
        <v>2.2727272727272729</v>
      </c>
      <c r="AO122">
        <v>0</v>
      </c>
      <c r="AP122" t="s">
        <v>150</v>
      </c>
      <c r="AQ122" t="s">
        <v>131</v>
      </c>
      <c r="AR122" t="s">
        <v>194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 t="s">
        <v>147</v>
      </c>
      <c r="BA122">
        <v>6</v>
      </c>
      <c r="BB122">
        <v>0</v>
      </c>
      <c r="BC122" t="s">
        <v>144</v>
      </c>
      <c r="BD122">
        <v>0</v>
      </c>
      <c r="BE122" t="s">
        <v>133</v>
      </c>
      <c r="BF12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3" spans="1:58" x14ac:dyDescent="0.25">
      <c r="A123" t="s">
        <v>324</v>
      </c>
      <c r="B123" t="s">
        <v>19</v>
      </c>
      <c r="C123">
        <v>1</v>
      </c>
      <c r="D123">
        <v>122</v>
      </c>
      <c r="E123" t="s">
        <v>2108</v>
      </c>
      <c r="F123" t="s">
        <v>123</v>
      </c>
      <c r="G123" t="s">
        <v>124</v>
      </c>
      <c r="H123" t="s">
        <v>136</v>
      </c>
      <c r="I123" t="s">
        <v>158</v>
      </c>
      <c r="J123" t="s">
        <v>159</v>
      </c>
      <c r="K123" t="s">
        <v>127</v>
      </c>
      <c r="L123">
        <v>50</v>
      </c>
      <c r="M123">
        <v>937755</v>
      </c>
      <c r="N123">
        <v>4.5999999999999996</v>
      </c>
      <c r="O123">
        <v>1</v>
      </c>
      <c r="P123" t="s">
        <v>128</v>
      </c>
      <c r="Q123" t="s">
        <v>129</v>
      </c>
      <c r="R123">
        <v>12</v>
      </c>
      <c r="S123" t="s">
        <v>325</v>
      </c>
      <c r="T123">
        <v>2</v>
      </c>
      <c r="U123">
        <v>2</v>
      </c>
      <c r="V123">
        <v>0</v>
      </c>
      <c r="W123">
        <v>0</v>
      </c>
      <c r="X123">
        <v>0</v>
      </c>
      <c r="Y123">
        <v>0</v>
      </c>
      <c r="Z123">
        <v>2</v>
      </c>
      <c r="AA123">
        <v>2</v>
      </c>
      <c r="AB123">
        <v>50</v>
      </c>
      <c r="AC123">
        <v>2</v>
      </c>
      <c r="AD123">
        <v>0</v>
      </c>
      <c r="AE123">
        <v>0</v>
      </c>
      <c r="AF123">
        <v>2</v>
      </c>
      <c r="AG123">
        <v>0</v>
      </c>
      <c r="AH123">
        <v>48</v>
      </c>
      <c r="AI123">
        <v>48</v>
      </c>
      <c r="AJ123">
        <v>48</v>
      </c>
      <c r="AK123">
        <v>48</v>
      </c>
      <c r="AL123">
        <v>0</v>
      </c>
      <c r="AM123">
        <v>9.1999999999999998E-2</v>
      </c>
      <c r="AN123">
        <v>4.3636363636363633</v>
      </c>
      <c r="AO123">
        <v>0</v>
      </c>
      <c r="AP123" t="s">
        <v>160</v>
      </c>
      <c r="AQ123" t="s">
        <v>131</v>
      </c>
      <c r="AR123" t="s">
        <v>194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 t="s">
        <v>135</v>
      </c>
      <c r="BA123">
        <v>4.5999999999999996</v>
      </c>
      <c r="BB123">
        <v>0</v>
      </c>
      <c r="BC123" t="s">
        <v>132</v>
      </c>
      <c r="BD123">
        <v>0</v>
      </c>
      <c r="BE123" t="s">
        <v>133</v>
      </c>
      <c r="BF12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4" spans="1:58" x14ac:dyDescent="0.25">
      <c r="A124" t="s">
        <v>326</v>
      </c>
      <c r="B124" t="s">
        <v>19</v>
      </c>
      <c r="C124">
        <v>1</v>
      </c>
      <c r="D124">
        <v>123</v>
      </c>
      <c r="E124" t="s">
        <v>2108</v>
      </c>
      <c r="F124" t="s">
        <v>123</v>
      </c>
      <c r="G124" t="s">
        <v>124</v>
      </c>
      <c r="H124" t="s">
        <v>136</v>
      </c>
      <c r="I124" t="s">
        <v>158</v>
      </c>
      <c r="J124" t="s">
        <v>159</v>
      </c>
      <c r="K124" t="s">
        <v>127</v>
      </c>
      <c r="L124">
        <v>50</v>
      </c>
      <c r="M124">
        <v>937757</v>
      </c>
      <c r="N124">
        <v>4.5999999999999996</v>
      </c>
      <c r="O124">
        <v>1</v>
      </c>
      <c r="P124" t="s">
        <v>128</v>
      </c>
      <c r="Q124" t="s">
        <v>129</v>
      </c>
      <c r="R124">
        <v>12</v>
      </c>
      <c r="S124" t="s">
        <v>325</v>
      </c>
      <c r="T124">
        <v>7</v>
      </c>
      <c r="U124">
        <v>8</v>
      </c>
      <c r="V124">
        <v>1</v>
      </c>
      <c r="W124">
        <v>0</v>
      </c>
      <c r="X124">
        <v>1</v>
      </c>
      <c r="Y124">
        <v>0</v>
      </c>
      <c r="Z124">
        <v>7</v>
      </c>
      <c r="AA124">
        <v>9</v>
      </c>
      <c r="AB124">
        <v>50</v>
      </c>
      <c r="AC124">
        <v>11</v>
      </c>
      <c r="AD124">
        <v>1</v>
      </c>
      <c r="AE124">
        <v>0</v>
      </c>
      <c r="AF124">
        <v>12</v>
      </c>
      <c r="AG124">
        <v>0</v>
      </c>
      <c r="AH124">
        <v>39</v>
      </c>
      <c r="AI124">
        <v>38</v>
      </c>
      <c r="AJ124">
        <v>39</v>
      </c>
      <c r="AK124">
        <v>39</v>
      </c>
      <c r="AL124">
        <v>0</v>
      </c>
      <c r="AM124">
        <v>9.1999999999999998E-2</v>
      </c>
      <c r="AN124">
        <v>3.5454545454545454</v>
      </c>
      <c r="AO124">
        <v>0</v>
      </c>
      <c r="AP124" t="s">
        <v>160</v>
      </c>
      <c r="AQ124" t="s">
        <v>131</v>
      </c>
      <c r="AR124" t="s">
        <v>194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 t="s">
        <v>135</v>
      </c>
      <c r="BA124">
        <v>4.5999999999999996</v>
      </c>
      <c r="BB124">
        <v>0</v>
      </c>
      <c r="BC124" t="s">
        <v>133</v>
      </c>
      <c r="BD124">
        <v>0</v>
      </c>
      <c r="BE124" t="s">
        <v>133</v>
      </c>
      <c r="BF12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5" spans="1:58" x14ac:dyDescent="0.25">
      <c r="A125" t="s">
        <v>327</v>
      </c>
      <c r="B125" t="s">
        <v>19</v>
      </c>
      <c r="C125">
        <v>1</v>
      </c>
      <c r="D125">
        <v>124</v>
      </c>
      <c r="E125" t="s">
        <v>2108</v>
      </c>
      <c r="F125" t="s">
        <v>123</v>
      </c>
      <c r="G125" t="s">
        <v>124</v>
      </c>
      <c r="H125" t="s">
        <v>136</v>
      </c>
      <c r="I125" t="s">
        <v>158</v>
      </c>
      <c r="J125" t="s">
        <v>159</v>
      </c>
      <c r="K125" t="s">
        <v>127</v>
      </c>
      <c r="L125">
        <v>50</v>
      </c>
      <c r="M125">
        <v>937759</v>
      </c>
      <c r="N125">
        <v>4.5999999999999996</v>
      </c>
      <c r="O125">
        <v>1</v>
      </c>
      <c r="P125" t="s">
        <v>128</v>
      </c>
      <c r="Q125" t="s">
        <v>129</v>
      </c>
      <c r="R125">
        <v>12</v>
      </c>
      <c r="S125" t="s">
        <v>325</v>
      </c>
      <c r="T125">
        <v>1</v>
      </c>
      <c r="U125">
        <v>1</v>
      </c>
      <c r="V125">
        <v>0</v>
      </c>
      <c r="W125">
        <v>0</v>
      </c>
      <c r="X125">
        <v>0</v>
      </c>
      <c r="Y125">
        <v>0</v>
      </c>
      <c r="Z125">
        <v>1</v>
      </c>
      <c r="AA125">
        <v>1</v>
      </c>
      <c r="AB125">
        <v>50</v>
      </c>
      <c r="AC125">
        <v>1</v>
      </c>
      <c r="AD125">
        <v>0</v>
      </c>
      <c r="AE125">
        <v>0</v>
      </c>
      <c r="AF125">
        <v>1</v>
      </c>
      <c r="AG125">
        <v>0</v>
      </c>
      <c r="AH125">
        <v>49</v>
      </c>
      <c r="AI125">
        <v>49</v>
      </c>
      <c r="AJ125">
        <v>49</v>
      </c>
      <c r="AK125">
        <v>49</v>
      </c>
      <c r="AL125">
        <v>0</v>
      </c>
      <c r="AM125">
        <v>9.1999999999999998E-2</v>
      </c>
      <c r="AN125">
        <v>4.454545454545455</v>
      </c>
      <c r="AO125">
        <v>0</v>
      </c>
      <c r="AP125" t="s">
        <v>160</v>
      </c>
      <c r="AQ125" t="s">
        <v>131</v>
      </c>
      <c r="AR125" t="s">
        <v>194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 t="s">
        <v>135</v>
      </c>
      <c r="BA125">
        <v>4.5999999999999996</v>
      </c>
      <c r="BB125">
        <v>0</v>
      </c>
      <c r="BC125" t="s">
        <v>133</v>
      </c>
      <c r="BD125">
        <v>0</v>
      </c>
      <c r="BE125" t="s">
        <v>133</v>
      </c>
      <c r="BF12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6" spans="1:58" x14ac:dyDescent="0.25">
      <c r="A126" t="s">
        <v>328</v>
      </c>
      <c r="B126" t="s">
        <v>19</v>
      </c>
      <c r="C126">
        <v>1</v>
      </c>
      <c r="D126">
        <v>125</v>
      </c>
      <c r="E126" t="s">
        <v>2108</v>
      </c>
      <c r="F126" t="s">
        <v>123</v>
      </c>
      <c r="G126" t="s">
        <v>124</v>
      </c>
      <c r="H126" t="s">
        <v>136</v>
      </c>
      <c r="I126" t="s">
        <v>158</v>
      </c>
      <c r="J126" t="s">
        <v>159</v>
      </c>
      <c r="K126" t="s">
        <v>127</v>
      </c>
      <c r="L126">
        <v>50</v>
      </c>
      <c r="M126">
        <v>937761</v>
      </c>
      <c r="N126">
        <v>4.5999999999999996</v>
      </c>
      <c r="O126">
        <v>1</v>
      </c>
      <c r="P126" t="s">
        <v>128</v>
      </c>
      <c r="Q126" t="s">
        <v>129</v>
      </c>
      <c r="R126">
        <v>12</v>
      </c>
      <c r="S126" t="s">
        <v>325</v>
      </c>
      <c r="T126">
        <v>1</v>
      </c>
      <c r="U126">
        <v>2</v>
      </c>
      <c r="V126">
        <v>1</v>
      </c>
      <c r="W126">
        <v>0</v>
      </c>
      <c r="X126">
        <v>1</v>
      </c>
      <c r="Y126">
        <v>0</v>
      </c>
      <c r="Z126">
        <v>1</v>
      </c>
      <c r="AA126">
        <v>3</v>
      </c>
      <c r="AB126">
        <v>50</v>
      </c>
      <c r="AC126">
        <v>3</v>
      </c>
      <c r="AD126">
        <v>1</v>
      </c>
      <c r="AE126">
        <v>0</v>
      </c>
      <c r="AF126">
        <v>4</v>
      </c>
      <c r="AG126">
        <v>0</v>
      </c>
      <c r="AH126">
        <v>47</v>
      </c>
      <c r="AI126">
        <v>46</v>
      </c>
      <c r="AJ126">
        <v>47</v>
      </c>
      <c r="AK126">
        <v>47</v>
      </c>
      <c r="AL126">
        <v>0</v>
      </c>
      <c r="AM126">
        <v>9.1999999999999998E-2</v>
      </c>
      <c r="AN126">
        <v>4.2727272727272725</v>
      </c>
      <c r="AO126">
        <v>0</v>
      </c>
      <c r="AP126" t="s">
        <v>160</v>
      </c>
      <c r="AQ126" t="s">
        <v>131</v>
      </c>
      <c r="AR126" t="s">
        <v>194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 t="s">
        <v>135</v>
      </c>
      <c r="BA126">
        <v>4.5999999999999996</v>
      </c>
      <c r="BB126">
        <v>0</v>
      </c>
      <c r="BC126" t="s">
        <v>133</v>
      </c>
      <c r="BD126">
        <v>0</v>
      </c>
      <c r="BE126" t="s">
        <v>133</v>
      </c>
      <c r="BF12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7" spans="1:58" x14ac:dyDescent="0.25">
      <c r="A127" t="s">
        <v>329</v>
      </c>
      <c r="B127" t="s">
        <v>19</v>
      </c>
      <c r="C127">
        <v>1</v>
      </c>
      <c r="D127">
        <v>126</v>
      </c>
      <c r="E127" t="s">
        <v>2108</v>
      </c>
      <c r="F127" t="s">
        <v>123</v>
      </c>
      <c r="G127" t="s">
        <v>124</v>
      </c>
      <c r="H127" t="s">
        <v>125</v>
      </c>
      <c r="I127" t="s">
        <v>154</v>
      </c>
      <c r="J127" t="s">
        <v>154</v>
      </c>
      <c r="K127" t="s">
        <v>166</v>
      </c>
      <c r="L127">
        <v>50</v>
      </c>
      <c r="M127">
        <v>937763</v>
      </c>
      <c r="N127">
        <v>0</v>
      </c>
      <c r="O127">
        <v>1</v>
      </c>
      <c r="P127" t="s">
        <v>128</v>
      </c>
      <c r="Q127" t="s">
        <v>129</v>
      </c>
      <c r="R127">
        <v>12</v>
      </c>
      <c r="S127" t="s">
        <v>330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50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50</v>
      </c>
      <c r="AI127">
        <v>50</v>
      </c>
      <c r="AJ127">
        <v>50</v>
      </c>
      <c r="AK127">
        <v>50</v>
      </c>
      <c r="AL127">
        <v>0</v>
      </c>
      <c r="AM127">
        <v>0</v>
      </c>
      <c r="AN127">
        <v>4.5454545454545459</v>
      </c>
      <c r="AO127">
        <v>0</v>
      </c>
      <c r="AP127" t="s">
        <v>167</v>
      </c>
      <c r="AQ127" t="s">
        <v>155</v>
      </c>
      <c r="AR127" t="s">
        <v>194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 t="s">
        <v>135</v>
      </c>
      <c r="BA127">
        <v>0</v>
      </c>
      <c r="BB127">
        <v>0</v>
      </c>
      <c r="BC127" t="s">
        <v>133</v>
      </c>
      <c r="BD127">
        <v>1</v>
      </c>
      <c r="BE127" t="s">
        <v>133</v>
      </c>
      <c r="BF12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8" spans="1:58" x14ac:dyDescent="0.25">
      <c r="A128" t="s">
        <v>331</v>
      </c>
      <c r="B128" t="s">
        <v>19</v>
      </c>
      <c r="C128">
        <v>1</v>
      </c>
      <c r="D128">
        <v>127</v>
      </c>
      <c r="E128" t="s">
        <v>2108</v>
      </c>
      <c r="F128" t="s">
        <v>123</v>
      </c>
      <c r="G128" t="s">
        <v>124</v>
      </c>
      <c r="H128" t="s">
        <v>136</v>
      </c>
      <c r="I128" t="s">
        <v>158</v>
      </c>
      <c r="J128" t="s">
        <v>159</v>
      </c>
      <c r="K128" t="s">
        <v>170</v>
      </c>
      <c r="L128">
        <v>50</v>
      </c>
      <c r="M128">
        <v>937765</v>
      </c>
      <c r="N128">
        <v>0</v>
      </c>
      <c r="O128">
        <v>1</v>
      </c>
      <c r="P128" t="s">
        <v>128</v>
      </c>
      <c r="Q128" t="s">
        <v>129</v>
      </c>
      <c r="R128">
        <v>12</v>
      </c>
      <c r="S128" t="s">
        <v>332</v>
      </c>
      <c r="T128">
        <v>1</v>
      </c>
      <c r="U128">
        <v>4</v>
      </c>
      <c r="V128">
        <v>0</v>
      </c>
      <c r="W128">
        <v>0</v>
      </c>
      <c r="X128">
        <v>0</v>
      </c>
      <c r="Y128">
        <v>0</v>
      </c>
      <c r="Z128">
        <v>1</v>
      </c>
      <c r="AA128">
        <v>4</v>
      </c>
      <c r="AB128">
        <v>50</v>
      </c>
      <c r="AC128">
        <v>5</v>
      </c>
      <c r="AD128">
        <v>0</v>
      </c>
      <c r="AE128">
        <v>0</v>
      </c>
      <c r="AF128">
        <v>5</v>
      </c>
      <c r="AG128">
        <v>0</v>
      </c>
      <c r="AH128">
        <v>0</v>
      </c>
      <c r="AI128">
        <v>45</v>
      </c>
      <c r="AJ128">
        <v>45</v>
      </c>
      <c r="AK128">
        <v>45</v>
      </c>
      <c r="AL128">
        <v>45</v>
      </c>
      <c r="AM128">
        <v>0</v>
      </c>
      <c r="AN128">
        <v>4.0909090909090908</v>
      </c>
      <c r="AO128">
        <v>0</v>
      </c>
      <c r="AP128" t="s">
        <v>178</v>
      </c>
      <c r="AQ128" t="s">
        <v>131</v>
      </c>
      <c r="AR128" t="s">
        <v>194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 t="s">
        <v>135</v>
      </c>
      <c r="BA128">
        <v>0</v>
      </c>
      <c r="BB128">
        <v>0</v>
      </c>
      <c r="BC128" t="s">
        <v>133</v>
      </c>
      <c r="BD128">
        <v>0</v>
      </c>
      <c r="BE128" t="s">
        <v>133</v>
      </c>
      <c r="BF12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9" spans="1:58" x14ac:dyDescent="0.25">
      <c r="A129" t="s">
        <v>333</v>
      </c>
      <c r="B129" t="s">
        <v>19</v>
      </c>
      <c r="C129">
        <v>1</v>
      </c>
      <c r="D129">
        <v>128</v>
      </c>
      <c r="E129" t="s">
        <v>2108</v>
      </c>
      <c r="F129" t="s">
        <v>123</v>
      </c>
      <c r="G129" t="s">
        <v>124</v>
      </c>
      <c r="H129" t="s">
        <v>125</v>
      </c>
      <c r="I129" t="s">
        <v>154</v>
      </c>
      <c r="J129" t="s">
        <v>154</v>
      </c>
      <c r="K129" t="s">
        <v>166</v>
      </c>
      <c r="L129">
        <v>50</v>
      </c>
      <c r="M129">
        <v>937767</v>
      </c>
      <c r="N129">
        <v>0</v>
      </c>
      <c r="O129">
        <v>1</v>
      </c>
      <c r="P129" t="s">
        <v>128</v>
      </c>
      <c r="Q129" t="s">
        <v>129</v>
      </c>
      <c r="R129">
        <v>12</v>
      </c>
      <c r="S129" t="s">
        <v>330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50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50</v>
      </c>
      <c r="AI129">
        <v>50</v>
      </c>
      <c r="AJ129">
        <v>50</v>
      </c>
      <c r="AK129">
        <v>50</v>
      </c>
      <c r="AL129">
        <v>0</v>
      </c>
      <c r="AM129">
        <v>0</v>
      </c>
      <c r="AN129">
        <v>4.5454545454545459</v>
      </c>
      <c r="AO129">
        <v>0</v>
      </c>
      <c r="AP129" t="s">
        <v>167</v>
      </c>
      <c r="AQ129" t="s">
        <v>155</v>
      </c>
      <c r="AR129" t="s">
        <v>194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 t="s">
        <v>135</v>
      </c>
      <c r="BA129">
        <v>0</v>
      </c>
      <c r="BB129">
        <v>0</v>
      </c>
      <c r="BC129" t="s">
        <v>133</v>
      </c>
      <c r="BD129">
        <v>1</v>
      </c>
      <c r="BE129" t="s">
        <v>133</v>
      </c>
      <c r="BF12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0" spans="1:58" x14ac:dyDescent="0.25">
      <c r="A130" t="s">
        <v>334</v>
      </c>
      <c r="B130" t="s">
        <v>19</v>
      </c>
      <c r="C130">
        <v>1</v>
      </c>
      <c r="D130">
        <v>129</v>
      </c>
      <c r="E130" t="s">
        <v>2108</v>
      </c>
      <c r="F130" t="s">
        <v>123</v>
      </c>
      <c r="G130" t="s">
        <v>124</v>
      </c>
      <c r="H130" t="s">
        <v>136</v>
      </c>
      <c r="I130" t="s">
        <v>158</v>
      </c>
      <c r="J130" t="s">
        <v>159</v>
      </c>
      <c r="K130" t="s">
        <v>170</v>
      </c>
      <c r="L130">
        <v>50</v>
      </c>
      <c r="M130">
        <v>937769</v>
      </c>
      <c r="N130">
        <v>0</v>
      </c>
      <c r="O130">
        <v>1</v>
      </c>
      <c r="P130" t="s">
        <v>128</v>
      </c>
      <c r="Q130" t="s">
        <v>129</v>
      </c>
      <c r="R130">
        <v>12</v>
      </c>
      <c r="S130" t="s">
        <v>332</v>
      </c>
      <c r="T130">
        <v>0</v>
      </c>
      <c r="U130">
        <v>1</v>
      </c>
      <c r="V130">
        <v>1</v>
      </c>
      <c r="W130">
        <v>0</v>
      </c>
      <c r="X130">
        <v>1</v>
      </c>
      <c r="Y130">
        <v>1</v>
      </c>
      <c r="Z130">
        <v>0</v>
      </c>
      <c r="AA130">
        <v>3</v>
      </c>
      <c r="AB130">
        <v>50</v>
      </c>
      <c r="AC130">
        <v>1</v>
      </c>
      <c r="AD130">
        <v>1</v>
      </c>
      <c r="AE130">
        <v>2</v>
      </c>
      <c r="AF130">
        <v>4</v>
      </c>
      <c r="AG130">
        <v>0</v>
      </c>
      <c r="AH130">
        <v>0</v>
      </c>
      <c r="AI130">
        <v>46</v>
      </c>
      <c r="AJ130">
        <v>47</v>
      </c>
      <c r="AK130">
        <v>49</v>
      </c>
      <c r="AL130">
        <v>49</v>
      </c>
      <c r="AM130">
        <v>0</v>
      </c>
      <c r="AN130">
        <v>4.2727272727272725</v>
      </c>
      <c r="AO130">
        <v>0</v>
      </c>
      <c r="AP130" t="s">
        <v>178</v>
      </c>
      <c r="AQ130" t="s">
        <v>131</v>
      </c>
      <c r="AR130" t="s">
        <v>194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 t="s">
        <v>135</v>
      </c>
      <c r="BA130">
        <v>0</v>
      </c>
      <c r="BB130">
        <v>0</v>
      </c>
      <c r="BC130" t="s">
        <v>133</v>
      </c>
      <c r="BD130">
        <v>0</v>
      </c>
      <c r="BE130" t="s">
        <v>133</v>
      </c>
      <c r="BF13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1" spans="1:58" x14ac:dyDescent="0.25">
      <c r="A131" t="s">
        <v>335</v>
      </c>
      <c r="B131" t="s">
        <v>19</v>
      </c>
      <c r="C131">
        <v>1</v>
      </c>
      <c r="D131">
        <v>130</v>
      </c>
      <c r="E131" t="s">
        <v>2108</v>
      </c>
      <c r="F131" t="s">
        <v>123</v>
      </c>
      <c r="G131" t="s">
        <v>124</v>
      </c>
      <c r="H131" t="s">
        <v>136</v>
      </c>
      <c r="I131" t="s">
        <v>158</v>
      </c>
      <c r="J131" t="s">
        <v>159</v>
      </c>
      <c r="K131" t="s">
        <v>170</v>
      </c>
      <c r="L131">
        <v>50</v>
      </c>
      <c r="M131">
        <v>937771</v>
      </c>
      <c r="N131">
        <v>0</v>
      </c>
      <c r="O131">
        <v>1</v>
      </c>
      <c r="P131" t="s">
        <v>128</v>
      </c>
      <c r="Q131" t="s">
        <v>129</v>
      </c>
      <c r="R131">
        <v>12</v>
      </c>
      <c r="S131" t="s">
        <v>332</v>
      </c>
      <c r="T131">
        <v>0</v>
      </c>
      <c r="U131">
        <v>2</v>
      </c>
      <c r="V131">
        <v>0</v>
      </c>
      <c r="W131">
        <v>0</v>
      </c>
      <c r="X131">
        <v>0</v>
      </c>
      <c r="Y131">
        <v>1</v>
      </c>
      <c r="Z131">
        <v>0</v>
      </c>
      <c r="AA131">
        <v>3</v>
      </c>
      <c r="AB131">
        <v>50</v>
      </c>
      <c r="AC131">
        <v>2</v>
      </c>
      <c r="AD131">
        <v>0</v>
      </c>
      <c r="AE131">
        <v>2</v>
      </c>
      <c r="AF131">
        <v>4</v>
      </c>
      <c r="AG131">
        <v>0</v>
      </c>
      <c r="AH131">
        <v>0</v>
      </c>
      <c r="AI131">
        <v>46</v>
      </c>
      <c r="AJ131">
        <v>46</v>
      </c>
      <c r="AK131">
        <v>48</v>
      </c>
      <c r="AL131">
        <v>48</v>
      </c>
      <c r="AM131">
        <v>0</v>
      </c>
      <c r="AN131">
        <v>4.1818181818181817</v>
      </c>
      <c r="AO131">
        <v>0</v>
      </c>
      <c r="AP131" t="s">
        <v>178</v>
      </c>
      <c r="AQ131" t="s">
        <v>131</v>
      </c>
      <c r="AR131" t="s">
        <v>194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 t="s">
        <v>135</v>
      </c>
      <c r="BA131">
        <v>0</v>
      </c>
      <c r="BB131">
        <v>0</v>
      </c>
      <c r="BC131" t="s">
        <v>133</v>
      </c>
      <c r="BD131">
        <v>0</v>
      </c>
      <c r="BE131" t="s">
        <v>133</v>
      </c>
      <c r="BF13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2" spans="1:58" x14ac:dyDescent="0.25">
      <c r="A132" t="s">
        <v>336</v>
      </c>
      <c r="B132" t="s">
        <v>19</v>
      </c>
      <c r="C132">
        <v>1</v>
      </c>
      <c r="D132">
        <v>131</v>
      </c>
      <c r="E132" t="s">
        <v>2108</v>
      </c>
      <c r="F132" t="s">
        <v>123</v>
      </c>
      <c r="G132" t="s">
        <v>124</v>
      </c>
      <c r="H132" t="s">
        <v>136</v>
      </c>
      <c r="I132" t="s">
        <v>158</v>
      </c>
      <c r="J132" t="s">
        <v>159</v>
      </c>
      <c r="K132" t="s">
        <v>170</v>
      </c>
      <c r="L132">
        <v>50</v>
      </c>
      <c r="M132">
        <v>937773</v>
      </c>
      <c r="N132">
        <v>0</v>
      </c>
      <c r="O132">
        <v>1</v>
      </c>
      <c r="P132" t="s">
        <v>128</v>
      </c>
      <c r="Q132" t="s">
        <v>129</v>
      </c>
      <c r="R132">
        <v>12</v>
      </c>
      <c r="S132" t="s">
        <v>332</v>
      </c>
      <c r="T132">
        <v>0</v>
      </c>
      <c r="U132">
        <v>1</v>
      </c>
      <c r="V132">
        <v>1</v>
      </c>
      <c r="W132">
        <v>0</v>
      </c>
      <c r="X132">
        <v>1</v>
      </c>
      <c r="Y132">
        <v>1</v>
      </c>
      <c r="Z132">
        <v>0</v>
      </c>
      <c r="AA132">
        <v>3</v>
      </c>
      <c r="AB132">
        <v>50</v>
      </c>
      <c r="AC132">
        <v>1</v>
      </c>
      <c r="AD132">
        <v>1</v>
      </c>
      <c r="AE132">
        <v>2</v>
      </c>
      <c r="AF132">
        <v>4</v>
      </c>
      <c r="AG132">
        <v>0</v>
      </c>
      <c r="AH132">
        <v>0</v>
      </c>
      <c r="AI132">
        <v>46</v>
      </c>
      <c r="AJ132">
        <v>47</v>
      </c>
      <c r="AK132">
        <v>49</v>
      </c>
      <c r="AL132">
        <v>49</v>
      </c>
      <c r="AM132">
        <v>0</v>
      </c>
      <c r="AN132">
        <v>4.2727272727272725</v>
      </c>
      <c r="AO132">
        <v>0</v>
      </c>
      <c r="AP132" t="s">
        <v>178</v>
      </c>
      <c r="AQ132" t="s">
        <v>131</v>
      </c>
      <c r="AR132" t="s">
        <v>194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 t="s">
        <v>135</v>
      </c>
      <c r="BA132">
        <v>0</v>
      </c>
      <c r="BB132">
        <v>0</v>
      </c>
      <c r="BC132" t="s">
        <v>133</v>
      </c>
      <c r="BD132">
        <v>0</v>
      </c>
      <c r="BE132" t="s">
        <v>133</v>
      </c>
      <c r="BF13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3" spans="1:58" x14ac:dyDescent="0.25">
      <c r="A133" t="s">
        <v>337</v>
      </c>
      <c r="B133" t="s">
        <v>19</v>
      </c>
      <c r="C133">
        <v>1</v>
      </c>
      <c r="D133">
        <v>132</v>
      </c>
      <c r="E133" t="s">
        <v>2108</v>
      </c>
      <c r="F133" t="s">
        <v>123</v>
      </c>
      <c r="G133" t="s">
        <v>124</v>
      </c>
      <c r="H133" t="s">
        <v>136</v>
      </c>
      <c r="I133" t="s">
        <v>158</v>
      </c>
      <c r="J133" t="s">
        <v>159</v>
      </c>
      <c r="K133" t="s">
        <v>170</v>
      </c>
      <c r="L133">
        <v>50</v>
      </c>
      <c r="M133">
        <v>937775</v>
      </c>
      <c r="N133">
        <v>0</v>
      </c>
      <c r="O133">
        <v>1</v>
      </c>
      <c r="P133" t="s">
        <v>128</v>
      </c>
      <c r="Q133" t="s">
        <v>129</v>
      </c>
      <c r="R133">
        <v>12</v>
      </c>
      <c r="S133" t="s">
        <v>332</v>
      </c>
      <c r="T133">
        <v>0</v>
      </c>
      <c r="U133">
        <v>2</v>
      </c>
      <c r="V133">
        <v>0</v>
      </c>
      <c r="W133">
        <v>0</v>
      </c>
      <c r="X133">
        <v>0</v>
      </c>
      <c r="Y133">
        <v>1</v>
      </c>
      <c r="Z133">
        <v>0</v>
      </c>
      <c r="AA133">
        <v>3</v>
      </c>
      <c r="AB133">
        <v>50</v>
      </c>
      <c r="AC133">
        <v>2</v>
      </c>
      <c r="AD133">
        <v>0</v>
      </c>
      <c r="AE133">
        <v>2</v>
      </c>
      <c r="AF133">
        <v>4</v>
      </c>
      <c r="AG133">
        <v>0</v>
      </c>
      <c r="AH133">
        <v>0</v>
      </c>
      <c r="AI133">
        <v>46</v>
      </c>
      <c r="AJ133">
        <v>46</v>
      </c>
      <c r="AK133">
        <v>48</v>
      </c>
      <c r="AL133">
        <v>48</v>
      </c>
      <c r="AM133">
        <v>0</v>
      </c>
      <c r="AN133">
        <v>4.1818181818181817</v>
      </c>
      <c r="AO133">
        <v>0</v>
      </c>
      <c r="AP133" t="s">
        <v>178</v>
      </c>
      <c r="AQ133" t="s">
        <v>131</v>
      </c>
      <c r="AR133" t="s">
        <v>194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 t="s">
        <v>135</v>
      </c>
      <c r="BA133">
        <v>0</v>
      </c>
      <c r="BB133">
        <v>0</v>
      </c>
      <c r="BC133" t="s">
        <v>144</v>
      </c>
      <c r="BD133">
        <v>0</v>
      </c>
      <c r="BE133" t="s">
        <v>133</v>
      </c>
      <c r="BF13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4" spans="1:58" x14ac:dyDescent="0.25">
      <c r="A134" t="s">
        <v>338</v>
      </c>
      <c r="B134" t="s">
        <v>19</v>
      </c>
      <c r="C134">
        <v>1</v>
      </c>
      <c r="D134">
        <v>133</v>
      </c>
      <c r="E134" t="s">
        <v>2108</v>
      </c>
      <c r="F134" t="s">
        <v>123</v>
      </c>
      <c r="G134" t="s">
        <v>124</v>
      </c>
      <c r="H134" t="s">
        <v>136</v>
      </c>
      <c r="I134" t="s">
        <v>137</v>
      </c>
      <c r="J134" t="s">
        <v>152</v>
      </c>
      <c r="K134" t="s">
        <v>127</v>
      </c>
      <c r="L134">
        <v>50</v>
      </c>
      <c r="M134">
        <v>937777</v>
      </c>
      <c r="N134">
        <v>0</v>
      </c>
      <c r="O134">
        <v>1</v>
      </c>
      <c r="P134" t="s">
        <v>128</v>
      </c>
      <c r="Q134" t="s">
        <v>129</v>
      </c>
      <c r="R134">
        <v>13</v>
      </c>
      <c r="T134">
        <v>0</v>
      </c>
      <c r="U134">
        <v>4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4</v>
      </c>
      <c r="AB134">
        <v>50</v>
      </c>
      <c r="AC134">
        <v>4</v>
      </c>
      <c r="AD134">
        <v>0</v>
      </c>
      <c r="AE134">
        <v>0</v>
      </c>
      <c r="AF134">
        <v>4</v>
      </c>
      <c r="AG134">
        <v>0</v>
      </c>
      <c r="AH134">
        <v>46</v>
      </c>
      <c r="AI134">
        <v>46</v>
      </c>
      <c r="AJ134">
        <v>46</v>
      </c>
      <c r="AK134">
        <v>46</v>
      </c>
      <c r="AL134">
        <v>0</v>
      </c>
      <c r="AM134">
        <v>0</v>
      </c>
      <c r="AN134">
        <v>4.1818181818181817</v>
      </c>
      <c r="AO134">
        <v>0</v>
      </c>
      <c r="AP134" t="s">
        <v>139</v>
      </c>
      <c r="AQ134" t="s">
        <v>131</v>
      </c>
      <c r="AR134" t="s">
        <v>194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 t="s">
        <v>147</v>
      </c>
      <c r="BA134">
        <v>0</v>
      </c>
      <c r="BB134">
        <v>0</v>
      </c>
      <c r="BC134" t="s">
        <v>132</v>
      </c>
      <c r="BD134">
        <v>0</v>
      </c>
      <c r="BE134" t="s">
        <v>133</v>
      </c>
      <c r="BF13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5" spans="1:58" x14ac:dyDescent="0.25">
      <c r="A135" t="s">
        <v>339</v>
      </c>
      <c r="B135" t="s">
        <v>19</v>
      </c>
      <c r="C135">
        <v>1</v>
      </c>
      <c r="D135">
        <v>134</v>
      </c>
      <c r="E135" t="s">
        <v>2108</v>
      </c>
      <c r="F135" t="s">
        <v>123</v>
      </c>
      <c r="G135" t="s">
        <v>124</v>
      </c>
      <c r="H135" t="s">
        <v>136</v>
      </c>
      <c r="I135" t="s">
        <v>137</v>
      </c>
      <c r="J135" t="s">
        <v>153</v>
      </c>
      <c r="K135" t="s">
        <v>127</v>
      </c>
      <c r="L135">
        <v>50</v>
      </c>
      <c r="M135">
        <v>937779</v>
      </c>
      <c r="N135">
        <v>9.1</v>
      </c>
      <c r="O135">
        <v>1</v>
      </c>
      <c r="P135" t="s">
        <v>128</v>
      </c>
      <c r="Q135" t="s">
        <v>129</v>
      </c>
      <c r="R135">
        <v>13</v>
      </c>
      <c r="T135">
        <v>0</v>
      </c>
      <c r="U135">
        <v>3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3</v>
      </c>
      <c r="AB135">
        <v>50</v>
      </c>
      <c r="AC135">
        <v>27</v>
      </c>
      <c r="AD135">
        <v>0</v>
      </c>
      <c r="AE135">
        <v>0</v>
      </c>
      <c r="AF135">
        <v>27</v>
      </c>
      <c r="AG135">
        <v>0</v>
      </c>
      <c r="AH135">
        <v>23</v>
      </c>
      <c r="AI135">
        <v>23</v>
      </c>
      <c r="AJ135">
        <v>23</v>
      </c>
      <c r="AK135">
        <v>23</v>
      </c>
      <c r="AL135">
        <v>0</v>
      </c>
      <c r="AM135">
        <v>0.182</v>
      </c>
      <c r="AN135">
        <v>2.0909090909090908</v>
      </c>
      <c r="AO135">
        <v>0</v>
      </c>
      <c r="AP135" t="s">
        <v>139</v>
      </c>
      <c r="AQ135" t="s">
        <v>131</v>
      </c>
      <c r="AR135" t="s">
        <v>194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 t="s">
        <v>147</v>
      </c>
      <c r="BA135">
        <v>9.1</v>
      </c>
      <c r="BB135">
        <v>0</v>
      </c>
      <c r="BC135" t="s">
        <v>133</v>
      </c>
      <c r="BD135">
        <v>0</v>
      </c>
      <c r="BE135" t="s">
        <v>133</v>
      </c>
      <c r="BF13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6" spans="1:58" x14ac:dyDescent="0.25">
      <c r="A136" t="s">
        <v>340</v>
      </c>
      <c r="B136" t="s">
        <v>19</v>
      </c>
      <c r="C136">
        <v>1</v>
      </c>
      <c r="D136">
        <v>136</v>
      </c>
      <c r="E136" t="s">
        <v>2108</v>
      </c>
      <c r="F136" t="s">
        <v>123</v>
      </c>
      <c r="G136" t="s">
        <v>124</v>
      </c>
      <c r="H136" t="s">
        <v>136</v>
      </c>
      <c r="I136" t="s">
        <v>137</v>
      </c>
      <c r="J136" t="s">
        <v>153</v>
      </c>
      <c r="K136" t="s">
        <v>127</v>
      </c>
      <c r="L136">
        <v>50</v>
      </c>
      <c r="M136">
        <v>937813</v>
      </c>
      <c r="N136">
        <v>9.1</v>
      </c>
      <c r="O136">
        <v>1</v>
      </c>
      <c r="P136" t="s">
        <v>128</v>
      </c>
      <c r="Q136" t="s">
        <v>129</v>
      </c>
      <c r="R136">
        <v>13</v>
      </c>
      <c r="T136">
        <v>0</v>
      </c>
      <c r="U136">
        <v>1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1</v>
      </c>
      <c r="AB136">
        <v>50</v>
      </c>
      <c r="AC136">
        <v>25</v>
      </c>
      <c r="AD136">
        <v>0</v>
      </c>
      <c r="AE136">
        <v>0</v>
      </c>
      <c r="AF136">
        <v>25</v>
      </c>
      <c r="AG136">
        <v>0</v>
      </c>
      <c r="AH136">
        <v>25</v>
      </c>
      <c r="AI136">
        <v>25</v>
      </c>
      <c r="AJ136">
        <v>25</v>
      </c>
      <c r="AK136">
        <v>25</v>
      </c>
      <c r="AL136">
        <v>0</v>
      </c>
      <c r="AM136">
        <v>0.182</v>
      </c>
      <c r="AN136">
        <v>2.2727272727272729</v>
      </c>
      <c r="AO136">
        <v>0</v>
      </c>
      <c r="AP136" t="s">
        <v>139</v>
      </c>
      <c r="AQ136" t="s">
        <v>131</v>
      </c>
      <c r="AR136" t="s">
        <v>194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 t="s">
        <v>147</v>
      </c>
      <c r="BA136">
        <v>9.1</v>
      </c>
      <c r="BB136">
        <v>0</v>
      </c>
      <c r="BC136" t="s">
        <v>133</v>
      </c>
      <c r="BD136">
        <v>0</v>
      </c>
      <c r="BE136" t="s">
        <v>133</v>
      </c>
      <c r="BF13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7" spans="1:58" x14ac:dyDescent="0.25">
      <c r="A137" t="s">
        <v>341</v>
      </c>
      <c r="B137" t="s">
        <v>19</v>
      </c>
      <c r="C137">
        <v>1</v>
      </c>
      <c r="D137">
        <v>137</v>
      </c>
      <c r="E137" t="s">
        <v>2108</v>
      </c>
      <c r="F137" t="s">
        <v>123</v>
      </c>
      <c r="G137" t="s">
        <v>124</v>
      </c>
      <c r="H137" t="s">
        <v>136</v>
      </c>
      <c r="I137" t="s">
        <v>137</v>
      </c>
      <c r="J137" t="s">
        <v>153</v>
      </c>
      <c r="K137" t="s">
        <v>127</v>
      </c>
      <c r="L137">
        <v>50</v>
      </c>
      <c r="M137">
        <v>937815</v>
      </c>
      <c r="N137">
        <v>9.1</v>
      </c>
      <c r="O137">
        <v>1</v>
      </c>
      <c r="P137" t="s">
        <v>128</v>
      </c>
      <c r="Q137" t="s">
        <v>129</v>
      </c>
      <c r="R137">
        <v>13</v>
      </c>
      <c r="T137">
        <v>0</v>
      </c>
      <c r="U137">
        <v>1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1</v>
      </c>
      <c r="AB137">
        <v>50</v>
      </c>
      <c r="AC137">
        <v>25</v>
      </c>
      <c r="AD137">
        <v>0</v>
      </c>
      <c r="AE137">
        <v>0</v>
      </c>
      <c r="AF137">
        <v>25</v>
      </c>
      <c r="AG137">
        <v>0</v>
      </c>
      <c r="AH137">
        <v>25</v>
      </c>
      <c r="AI137">
        <v>25</v>
      </c>
      <c r="AJ137">
        <v>25</v>
      </c>
      <c r="AK137">
        <v>25</v>
      </c>
      <c r="AL137">
        <v>0</v>
      </c>
      <c r="AM137">
        <v>0.182</v>
      </c>
      <c r="AN137">
        <v>2.2727272727272729</v>
      </c>
      <c r="AO137">
        <v>0</v>
      </c>
      <c r="AP137" t="s">
        <v>139</v>
      </c>
      <c r="AQ137" t="s">
        <v>131</v>
      </c>
      <c r="AR137" t="s">
        <v>194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 t="s">
        <v>147</v>
      </c>
      <c r="BA137">
        <v>9.1</v>
      </c>
      <c r="BB137">
        <v>0</v>
      </c>
      <c r="BC137" t="s">
        <v>133</v>
      </c>
      <c r="BD137">
        <v>0</v>
      </c>
      <c r="BE137" t="s">
        <v>133</v>
      </c>
      <c r="BF13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8" spans="1:58" x14ac:dyDescent="0.25">
      <c r="A138" t="s">
        <v>342</v>
      </c>
      <c r="B138" t="s">
        <v>19</v>
      </c>
      <c r="C138">
        <v>1</v>
      </c>
      <c r="D138">
        <v>138</v>
      </c>
      <c r="E138" t="s">
        <v>2108</v>
      </c>
      <c r="F138" t="s">
        <v>123</v>
      </c>
      <c r="G138" t="s">
        <v>124</v>
      </c>
      <c r="H138" t="s">
        <v>136</v>
      </c>
      <c r="I138" t="s">
        <v>137</v>
      </c>
      <c r="J138" t="s">
        <v>153</v>
      </c>
      <c r="K138" t="s">
        <v>127</v>
      </c>
      <c r="L138">
        <v>50</v>
      </c>
      <c r="M138">
        <v>937817</v>
      </c>
      <c r="N138">
        <v>9.1</v>
      </c>
      <c r="O138">
        <v>1</v>
      </c>
      <c r="P138" t="s">
        <v>128</v>
      </c>
      <c r="Q138" t="s">
        <v>129</v>
      </c>
      <c r="R138">
        <v>13</v>
      </c>
      <c r="T138">
        <v>0</v>
      </c>
      <c r="U138">
        <v>2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2</v>
      </c>
      <c r="AB138">
        <v>50</v>
      </c>
      <c r="AC138">
        <v>26</v>
      </c>
      <c r="AD138">
        <v>0</v>
      </c>
      <c r="AE138">
        <v>0</v>
      </c>
      <c r="AF138">
        <v>26</v>
      </c>
      <c r="AG138">
        <v>0</v>
      </c>
      <c r="AH138">
        <v>24</v>
      </c>
      <c r="AI138">
        <v>24</v>
      </c>
      <c r="AJ138">
        <v>24</v>
      </c>
      <c r="AK138">
        <v>24</v>
      </c>
      <c r="AL138">
        <v>0</v>
      </c>
      <c r="AM138">
        <v>0.182</v>
      </c>
      <c r="AN138">
        <v>2.1818181818181817</v>
      </c>
      <c r="AO138">
        <v>0</v>
      </c>
      <c r="AP138" t="s">
        <v>139</v>
      </c>
      <c r="AQ138" t="s">
        <v>131</v>
      </c>
      <c r="AR138" t="s">
        <v>194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 t="s">
        <v>147</v>
      </c>
      <c r="BA138">
        <v>9.1</v>
      </c>
      <c r="BB138">
        <v>0</v>
      </c>
      <c r="BC138" t="s">
        <v>133</v>
      </c>
      <c r="BD138">
        <v>0</v>
      </c>
      <c r="BE138" t="s">
        <v>133</v>
      </c>
      <c r="BF13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9" spans="1:58" x14ac:dyDescent="0.25">
      <c r="A139" t="s">
        <v>343</v>
      </c>
      <c r="B139" t="s">
        <v>19</v>
      </c>
      <c r="C139">
        <v>1</v>
      </c>
      <c r="D139">
        <v>139</v>
      </c>
      <c r="E139" t="s">
        <v>2108</v>
      </c>
      <c r="F139" t="s">
        <v>123</v>
      </c>
      <c r="G139" t="s">
        <v>124</v>
      </c>
      <c r="H139" t="s">
        <v>136</v>
      </c>
      <c r="I139" t="s">
        <v>137</v>
      </c>
      <c r="J139" t="s">
        <v>153</v>
      </c>
      <c r="K139" t="s">
        <v>127</v>
      </c>
      <c r="L139">
        <v>50</v>
      </c>
      <c r="M139">
        <v>937819</v>
      </c>
      <c r="N139">
        <v>9.1</v>
      </c>
      <c r="O139">
        <v>1</v>
      </c>
      <c r="P139" t="s">
        <v>128</v>
      </c>
      <c r="Q139" t="s">
        <v>129</v>
      </c>
      <c r="R139">
        <v>13</v>
      </c>
      <c r="T139">
        <v>0</v>
      </c>
      <c r="U139">
        <v>1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1</v>
      </c>
      <c r="AB139">
        <v>50</v>
      </c>
      <c r="AC139">
        <v>25</v>
      </c>
      <c r="AD139">
        <v>0</v>
      </c>
      <c r="AE139">
        <v>0</v>
      </c>
      <c r="AF139">
        <v>25</v>
      </c>
      <c r="AG139">
        <v>0</v>
      </c>
      <c r="AH139">
        <v>25</v>
      </c>
      <c r="AI139">
        <v>25</v>
      </c>
      <c r="AJ139">
        <v>25</v>
      </c>
      <c r="AK139">
        <v>25</v>
      </c>
      <c r="AL139">
        <v>0</v>
      </c>
      <c r="AM139">
        <v>0.182</v>
      </c>
      <c r="AN139">
        <v>2.2727272727272729</v>
      </c>
      <c r="AO139">
        <v>0</v>
      </c>
      <c r="AP139" t="s">
        <v>139</v>
      </c>
      <c r="AQ139" t="s">
        <v>131</v>
      </c>
      <c r="AR139" t="s">
        <v>194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 t="s">
        <v>147</v>
      </c>
      <c r="BA139">
        <v>9.1</v>
      </c>
      <c r="BB139">
        <v>0</v>
      </c>
      <c r="BC139" t="s">
        <v>133</v>
      </c>
      <c r="BD139">
        <v>0</v>
      </c>
      <c r="BE139" t="s">
        <v>133</v>
      </c>
      <c r="BF13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0" spans="1:58" x14ac:dyDescent="0.25">
      <c r="A140" t="s">
        <v>344</v>
      </c>
      <c r="B140" t="s">
        <v>19</v>
      </c>
      <c r="C140">
        <v>1</v>
      </c>
      <c r="D140">
        <v>140</v>
      </c>
      <c r="E140" t="s">
        <v>2108</v>
      </c>
      <c r="F140" t="s">
        <v>123</v>
      </c>
      <c r="G140" t="s">
        <v>124</v>
      </c>
      <c r="H140" t="s">
        <v>136</v>
      </c>
      <c r="I140" t="s">
        <v>137</v>
      </c>
      <c r="J140" t="s">
        <v>153</v>
      </c>
      <c r="K140" t="s">
        <v>127</v>
      </c>
      <c r="L140">
        <v>50</v>
      </c>
      <c r="M140">
        <v>937821</v>
      </c>
      <c r="N140">
        <v>9.1</v>
      </c>
      <c r="O140">
        <v>1</v>
      </c>
      <c r="P140" t="s">
        <v>128</v>
      </c>
      <c r="Q140" t="s">
        <v>129</v>
      </c>
      <c r="R140">
        <v>13</v>
      </c>
      <c r="T140">
        <v>0</v>
      </c>
      <c r="U140">
        <v>3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3</v>
      </c>
      <c r="AB140">
        <v>50</v>
      </c>
      <c r="AC140">
        <v>39</v>
      </c>
      <c r="AD140">
        <v>0</v>
      </c>
      <c r="AE140">
        <v>0</v>
      </c>
      <c r="AF140">
        <v>39</v>
      </c>
      <c r="AG140">
        <v>0</v>
      </c>
      <c r="AH140">
        <v>11</v>
      </c>
      <c r="AI140">
        <v>11</v>
      </c>
      <c r="AJ140">
        <v>11</v>
      </c>
      <c r="AK140">
        <v>11</v>
      </c>
      <c r="AL140">
        <v>0</v>
      </c>
      <c r="AM140">
        <v>0.182</v>
      </c>
      <c r="AN140">
        <v>1</v>
      </c>
      <c r="AO140">
        <v>0</v>
      </c>
      <c r="AP140" t="s">
        <v>139</v>
      </c>
      <c r="AQ140" t="s">
        <v>131</v>
      </c>
      <c r="AR140" t="s">
        <v>194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 t="s">
        <v>147</v>
      </c>
      <c r="BA140">
        <v>9.1</v>
      </c>
      <c r="BB140">
        <v>0</v>
      </c>
      <c r="BC140" t="s">
        <v>133</v>
      </c>
      <c r="BD140">
        <v>0</v>
      </c>
      <c r="BE140" t="s">
        <v>133</v>
      </c>
      <c r="BF14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1" spans="1:58" x14ac:dyDescent="0.25">
      <c r="A141" t="s">
        <v>345</v>
      </c>
      <c r="B141" t="s">
        <v>19</v>
      </c>
      <c r="C141">
        <v>1</v>
      </c>
      <c r="D141">
        <v>141</v>
      </c>
      <c r="E141" t="s">
        <v>2108</v>
      </c>
      <c r="F141" t="s">
        <v>123</v>
      </c>
      <c r="G141" t="s">
        <v>124</v>
      </c>
      <c r="H141" t="s">
        <v>136</v>
      </c>
      <c r="I141" t="s">
        <v>137</v>
      </c>
      <c r="J141" t="s">
        <v>156</v>
      </c>
      <c r="K141" t="s">
        <v>181</v>
      </c>
      <c r="L141">
        <v>50</v>
      </c>
      <c r="M141">
        <v>937823</v>
      </c>
      <c r="N141">
        <v>9.1</v>
      </c>
      <c r="O141">
        <v>1</v>
      </c>
      <c r="P141" t="s">
        <v>128</v>
      </c>
      <c r="Q141" t="s">
        <v>129</v>
      </c>
      <c r="R141">
        <v>13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50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50</v>
      </c>
      <c r="AJ141">
        <v>50</v>
      </c>
      <c r="AK141">
        <v>50</v>
      </c>
      <c r="AL141">
        <v>50</v>
      </c>
      <c r="AM141">
        <v>0.182</v>
      </c>
      <c r="AN141">
        <v>4.5454545454545459</v>
      </c>
      <c r="AO141">
        <v>0</v>
      </c>
      <c r="AP141" t="s">
        <v>346</v>
      </c>
      <c r="AQ141" t="s">
        <v>155</v>
      </c>
      <c r="AR141" t="s">
        <v>194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 t="s">
        <v>135</v>
      </c>
      <c r="BA141">
        <v>9.1</v>
      </c>
      <c r="BB141">
        <v>0</v>
      </c>
      <c r="BC141" t="s">
        <v>133</v>
      </c>
      <c r="BD141">
        <v>1</v>
      </c>
      <c r="BE141" t="s">
        <v>133</v>
      </c>
      <c r="BF14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2" spans="1:58" x14ac:dyDescent="0.25">
      <c r="A142" t="s">
        <v>347</v>
      </c>
      <c r="B142" t="s">
        <v>19</v>
      </c>
      <c r="C142">
        <v>1</v>
      </c>
      <c r="D142">
        <v>142</v>
      </c>
      <c r="E142" t="s">
        <v>2108</v>
      </c>
      <c r="F142" t="s">
        <v>123</v>
      </c>
      <c r="G142" t="s">
        <v>124</v>
      </c>
      <c r="H142" t="s">
        <v>136</v>
      </c>
      <c r="I142" t="s">
        <v>137</v>
      </c>
      <c r="J142" t="s">
        <v>153</v>
      </c>
      <c r="K142" t="s">
        <v>127</v>
      </c>
      <c r="L142">
        <v>50</v>
      </c>
      <c r="M142">
        <v>937825</v>
      </c>
      <c r="N142">
        <v>9.1</v>
      </c>
      <c r="O142">
        <v>1</v>
      </c>
      <c r="P142" t="s">
        <v>128</v>
      </c>
      <c r="Q142" t="s">
        <v>129</v>
      </c>
      <c r="R142">
        <v>13</v>
      </c>
      <c r="T142">
        <v>0</v>
      </c>
      <c r="U142">
        <v>3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3</v>
      </c>
      <c r="AB142">
        <v>50</v>
      </c>
      <c r="AC142">
        <v>39</v>
      </c>
      <c r="AD142">
        <v>0</v>
      </c>
      <c r="AE142">
        <v>0</v>
      </c>
      <c r="AF142">
        <v>39</v>
      </c>
      <c r="AG142">
        <v>0</v>
      </c>
      <c r="AH142">
        <v>11</v>
      </c>
      <c r="AI142">
        <v>11</v>
      </c>
      <c r="AJ142">
        <v>11</v>
      </c>
      <c r="AK142">
        <v>11</v>
      </c>
      <c r="AL142">
        <v>0</v>
      </c>
      <c r="AM142">
        <v>0.182</v>
      </c>
      <c r="AN142">
        <v>1</v>
      </c>
      <c r="AO142">
        <v>0</v>
      </c>
      <c r="AP142" t="s">
        <v>139</v>
      </c>
      <c r="AQ142" t="s">
        <v>131</v>
      </c>
      <c r="AR142" t="s">
        <v>194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 t="s">
        <v>147</v>
      </c>
      <c r="BA142">
        <v>9.1</v>
      </c>
      <c r="BB142">
        <v>0</v>
      </c>
      <c r="BC142" t="s">
        <v>133</v>
      </c>
      <c r="BD142">
        <v>0</v>
      </c>
      <c r="BE142" t="s">
        <v>133</v>
      </c>
      <c r="BF14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3" spans="1:58" x14ac:dyDescent="0.25">
      <c r="A143" t="s">
        <v>348</v>
      </c>
      <c r="B143" t="s">
        <v>19</v>
      </c>
      <c r="C143">
        <v>1</v>
      </c>
      <c r="D143">
        <v>143</v>
      </c>
      <c r="E143" t="s">
        <v>2108</v>
      </c>
      <c r="F143" t="s">
        <v>123</v>
      </c>
      <c r="G143" t="s">
        <v>124</v>
      </c>
      <c r="H143" t="s">
        <v>136</v>
      </c>
      <c r="I143" t="s">
        <v>137</v>
      </c>
      <c r="J143" t="s">
        <v>156</v>
      </c>
      <c r="K143" t="s">
        <v>127</v>
      </c>
      <c r="L143">
        <v>50</v>
      </c>
      <c r="M143">
        <v>937827</v>
      </c>
      <c r="N143">
        <v>9.1</v>
      </c>
      <c r="O143">
        <v>1</v>
      </c>
      <c r="P143" t="s">
        <v>128</v>
      </c>
      <c r="Q143" t="s">
        <v>129</v>
      </c>
      <c r="R143">
        <v>13</v>
      </c>
      <c r="T143">
        <v>0</v>
      </c>
      <c r="U143">
        <v>14</v>
      </c>
      <c r="V143">
        <v>1</v>
      </c>
      <c r="W143">
        <v>0</v>
      </c>
      <c r="X143">
        <v>1</v>
      </c>
      <c r="Y143">
        <v>2</v>
      </c>
      <c r="Z143">
        <v>0</v>
      </c>
      <c r="AA143">
        <v>17</v>
      </c>
      <c r="AB143">
        <v>50</v>
      </c>
      <c r="AC143">
        <v>20</v>
      </c>
      <c r="AD143">
        <v>1</v>
      </c>
      <c r="AE143">
        <v>2</v>
      </c>
      <c r="AF143">
        <v>23</v>
      </c>
      <c r="AG143">
        <v>0</v>
      </c>
      <c r="AH143">
        <v>30</v>
      </c>
      <c r="AI143">
        <v>27</v>
      </c>
      <c r="AJ143">
        <v>28</v>
      </c>
      <c r="AK143">
        <v>30</v>
      </c>
      <c r="AL143">
        <v>0</v>
      </c>
      <c r="AM143">
        <v>0.182</v>
      </c>
      <c r="AN143">
        <v>2.5454545454545454</v>
      </c>
      <c r="AO143">
        <v>0</v>
      </c>
      <c r="AP143" t="s">
        <v>139</v>
      </c>
      <c r="AQ143" t="s">
        <v>131</v>
      </c>
      <c r="AR143" t="s">
        <v>194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 t="s">
        <v>147</v>
      </c>
      <c r="BA143">
        <v>9.1</v>
      </c>
      <c r="BB143">
        <v>0</v>
      </c>
      <c r="BC143" t="s">
        <v>144</v>
      </c>
      <c r="BD143">
        <v>0</v>
      </c>
      <c r="BE143" t="s">
        <v>133</v>
      </c>
      <c r="BF14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4" spans="1:58" x14ac:dyDescent="0.25">
      <c r="A144" t="s">
        <v>349</v>
      </c>
      <c r="B144" t="s">
        <v>19</v>
      </c>
      <c r="C144">
        <v>1</v>
      </c>
      <c r="D144">
        <v>144</v>
      </c>
      <c r="E144" t="s">
        <v>2108</v>
      </c>
      <c r="F144" t="s">
        <v>123</v>
      </c>
      <c r="G144" t="s">
        <v>124</v>
      </c>
      <c r="H144" t="s">
        <v>125</v>
      </c>
      <c r="I144" t="s">
        <v>126</v>
      </c>
      <c r="J144" t="s">
        <v>126</v>
      </c>
      <c r="K144" t="s">
        <v>127</v>
      </c>
      <c r="L144">
        <v>50</v>
      </c>
      <c r="M144">
        <v>937829</v>
      </c>
      <c r="N144">
        <v>6</v>
      </c>
      <c r="O144">
        <v>1</v>
      </c>
      <c r="P144" t="s">
        <v>128</v>
      </c>
      <c r="Q144" t="s">
        <v>129</v>
      </c>
      <c r="R144">
        <v>14</v>
      </c>
      <c r="T144">
        <v>9</v>
      </c>
      <c r="U144">
        <v>14</v>
      </c>
      <c r="V144">
        <v>3</v>
      </c>
      <c r="W144">
        <v>0</v>
      </c>
      <c r="X144">
        <v>3</v>
      </c>
      <c r="Y144">
        <v>1</v>
      </c>
      <c r="Z144">
        <v>13</v>
      </c>
      <c r="AA144">
        <v>18</v>
      </c>
      <c r="AB144">
        <v>50</v>
      </c>
      <c r="AC144">
        <v>23</v>
      </c>
      <c r="AD144">
        <v>6</v>
      </c>
      <c r="AE144">
        <v>2</v>
      </c>
      <c r="AF144">
        <v>31</v>
      </c>
      <c r="AG144">
        <v>0</v>
      </c>
      <c r="AH144">
        <v>27</v>
      </c>
      <c r="AI144">
        <v>19</v>
      </c>
      <c r="AJ144">
        <v>25</v>
      </c>
      <c r="AK144">
        <v>27</v>
      </c>
      <c r="AL144">
        <v>0</v>
      </c>
      <c r="AM144">
        <v>0.12</v>
      </c>
      <c r="AN144">
        <v>2.2727272727272729</v>
      </c>
      <c r="AO144">
        <v>0</v>
      </c>
      <c r="AP144" t="s">
        <v>130</v>
      </c>
      <c r="AQ144" t="s">
        <v>131</v>
      </c>
      <c r="AR144" t="s">
        <v>194</v>
      </c>
      <c r="AS144">
        <v>1469</v>
      </c>
      <c r="AT144">
        <v>1429</v>
      </c>
      <c r="AU144">
        <v>0</v>
      </c>
      <c r="AV144">
        <v>0</v>
      </c>
      <c r="AW144">
        <v>2.8980000000000001</v>
      </c>
      <c r="AX144">
        <v>0.126</v>
      </c>
      <c r="AY144">
        <v>3.9060000000000001</v>
      </c>
      <c r="AZ144" t="s">
        <v>135</v>
      </c>
      <c r="BA144">
        <v>2.0939999999999999</v>
      </c>
      <c r="BB144">
        <v>16.619047619047617</v>
      </c>
      <c r="BC144" t="s">
        <v>132</v>
      </c>
      <c r="BD144">
        <v>0</v>
      </c>
      <c r="BE144" t="s">
        <v>133</v>
      </c>
      <c r="BF14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2.8980000000000001</v>
      </c>
    </row>
    <row r="145" spans="1:58" x14ac:dyDescent="0.25">
      <c r="A145" t="s">
        <v>350</v>
      </c>
      <c r="B145" t="s">
        <v>19</v>
      </c>
      <c r="C145">
        <v>1</v>
      </c>
      <c r="D145">
        <v>145</v>
      </c>
      <c r="E145" t="s">
        <v>2108</v>
      </c>
      <c r="F145" t="s">
        <v>123</v>
      </c>
      <c r="G145" t="s">
        <v>124</v>
      </c>
      <c r="H145" t="s">
        <v>125</v>
      </c>
      <c r="I145" t="s">
        <v>126</v>
      </c>
      <c r="J145" t="s">
        <v>126</v>
      </c>
      <c r="K145" t="s">
        <v>127</v>
      </c>
      <c r="L145">
        <v>50</v>
      </c>
      <c r="M145">
        <v>937831</v>
      </c>
      <c r="N145">
        <v>6</v>
      </c>
      <c r="O145">
        <v>1</v>
      </c>
      <c r="P145" t="s">
        <v>128</v>
      </c>
      <c r="Q145" t="s">
        <v>129</v>
      </c>
      <c r="R145">
        <v>14</v>
      </c>
      <c r="T145">
        <v>0</v>
      </c>
      <c r="U145">
        <v>5</v>
      </c>
      <c r="V145">
        <v>18</v>
      </c>
      <c r="W145">
        <v>0</v>
      </c>
      <c r="X145">
        <v>18</v>
      </c>
      <c r="Y145">
        <v>0</v>
      </c>
      <c r="Z145">
        <v>18</v>
      </c>
      <c r="AA145">
        <v>23</v>
      </c>
      <c r="AB145">
        <v>50</v>
      </c>
      <c r="AC145">
        <v>5</v>
      </c>
      <c r="AD145">
        <v>36</v>
      </c>
      <c r="AE145">
        <v>0</v>
      </c>
      <c r="AF145">
        <v>41</v>
      </c>
      <c r="AG145">
        <v>0</v>
      </c>
      <c r="AH145">
        <v>45</v>
      </c>
      <c r="AI145">
        <v>9</v>
      </c>
      <c r="AJ145">
        <v>45</v>
      </c>
      <c r="AK145">
        <v>45</v>
      </c>
      <c r="AL145">
        <v>0</v>
      </c>
      <c r="AM145">
        <v>0.12</v>
      </c>
      <c r="AN145">
        <v>4.0909090909090908</v>
      </c>
      <c r="AO145">
        <v>0</v>
      </c>
      <c r="AP145" t="s">
        <v>130</v>
      </c>
      <c r="AQ145" t="s">
        <v>131</v>
      </c>
      <c r="AR145" t="s">
        <v>194</v>
      </c>
      <c r="AS145">
        <v>371</v>
      </c>
      <c r="AT145">
        <v>325</v>
      </c>
      <c r="AU145">
        <v>0</v>
      </c>
      <c r="AV145">
        <v>0</v>
      </c>
      <c r="AW145">
        <v>0.69599999999999995</v>
      </c>
      <c r="AX145">
        <v>0.13919999999999999</v>
      </c>
      <c r="AY145">
        <v>5.7071999999999994</v>
      </c>
      <c r="AZ145" t="s">
        <v>135</v>
      </c>
      <c r="BA145">
        <v>0.29280000000000062</v>
      </c>
      <c r="BB145">
        <v>2.1034482758620734</v>
      </c>
      <c r="BC145" t="s">
        <v>133</v>
      </c>
      <c r="BD145">
        <v>1</v>
      </c>
      <c r="BE145" t="s">
        <v>133</v>
      </c>
      <c r="BF14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0.69599999999999995</v>
      </c>
    </row>
    <row r="146" spans="1:58" x14ac:dyDescent="0.25">
      <c r="A146" t="s">
        <v>351</v>
      </c>
      <c r="B146" t="s">
        <v>19</v>
      </c>
      <c r="C146">
        <v>1</v>
      </c>
      <c r="D146">
        <v>146</v>
      </c>
      <c r="E146" t="s">
        <v>2108</v>
      </c>
      <c r="F146" t="s">
        <v>123</v>
      </c>
      <c r="G146" t="s">
        <v>124</v>
      </c>
      <c r="H146" t="s">
        <v>125</v>
      </c>
      <c r="I146" t="s">
        <v>126</v>
      </c>
      <c r="J146" t="s">
        <v>126</v>
      </c>
      <c r="K146" t="s">
        <v>127</v>
      </c>
      <c r="L146">
        <v>50</v>
      </c>
      <c r="M146">
        <v>937833</v>
      </c>
      <c r="N146">
        <v>6</v>
      </c>
      <c r="O146">
        <v>1</v>
      </c>
      <c r="P146" t="s">
        <v>128</v>
      </c>
      <c r="Q146" t="s">
        <v>129</v>
      </c>
      <c r="R146">
        <v>14</v>
      </c>
      <c r="T146">
        <v>20</v>
      </c>
      <c r="U146">
        <v>25</v>
      </c>
      <c r="V146">
        <v>9</v>
      </c>
      <c r="W146">
        <v>0</v>
      </c>
      <c r="X146">
        <v>9</v>
      </c>
      <c r="Y146">
        <v>1</v>
      </c>
      <c r="Z146">
        <v>30</v>
      </c>
      <c r="AA146">
        <v>35</v>
      </c>
      <c r="AB146">
        <v>50</v>
      </c>
      <c r="AC146">
        <v>26</v>
      </c>
      <c r="AD146">
        <v>9</v>
      </c>
      <c r="AE146">
        <v>1</v>
      </c>
      <c r="AF146">
        <v>36</v>
      </c>
      <c r="AG146">
        <v>0</v>
      </c>
      <c r="AH146">
        <v>24</v>
      </c>
      <c r="AI146">
        <v>14</v>
      </c>
      <c r="AJ146">
        <v>23</v>
      </c>
      <c r="AK146">
        <v>24</v>
      </c>
      <c r="AL146">
        <v>0</v>
      </c>
      <c r="AM146">
        <v>0.12</v>
      </c>
      <c r="AN146">
        <v>2.0909090909090908</v>
      </c>
      <c r="AO146">
        <v>0</v>
      </c>
      <c r="AP146" t="s">
        <v>130</v>
      </c>
      <c r="AQ146" t="s">
        <v>131</v>
      </c>
      <c r="AR146" t="s">
        <v>194</v>
      </c>
      <c r="AS146">
        <v>2893</v>
      </c>
      <c r="AT146">
        <v>3005</v>
      </c>
      <c r="AU146">
        <v>0</v>
      </c>
      <c r="AV146">
        <v>0</v>
      </c>
      <c r="AW146">
        <v>5.8979999999999997</v>
      </c>
      <c r="AX146">
        <v>0.22684615384615384</v>
      </c>
      <c r="AY146">
        <v>8.1664615384615384</v>
      </c>
      <c r="AZ146" t="s">
        <v>135</v>
      </c>
      <c r="BA146">
        <v>-2.1664615384615384</v>
      </c>
      <c r="BB146">
        <v>-9.5503560528992875</v>
      </c>
      <c r="BC146" t="s">
        <v>133</v>
      </c>
      <c r="BD146">
        <v>0</v>
      </c>
      <c r="BE146" t="s">
        <v>133</v>
      </c>
      <c r="BF14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5.8979999999999997</v>
      </c>
    </row>
    <row r="147" spans="1:58" x14ac:dyDescent="0.25">
      <c r="A147" t="s">
        <v>352</v>
      </c>
      <c r="B147" t="s">
        <v>19</v>
      </c>
      <c r="C147">
        <v>1</v>
      </c>
      <c r="D147">
        <v>147</v>
      </c>
      <c r="E147" t="s">
        <v>2108</v>
      </c>
      <c r="F147" t="s">
        <v>123</v>
      </c>
      <c r="G147" t="s">
        <v>124</v>
      </c>
      <c r="H147" t="s">
        <v>125</v>
      </c>
      <c r="I147" t="s">
        <v>126</v>
      </c>
      <c r="J147" t="s">
        <v>126</v>
      </c>
      <c r="K147" t="s">
        <v>127</v>
      </c>
      <c r="L147">
        <v>50</v>
      </c>
      <c r="M147">
        <v>937835</v>
      </c>
      <c r="N147">
        <v>6</v>
      </c>
      <c r="O147">
        <v>1</v>
      </c>
      <c r="P147" t="s">
        <v>128</v>
      </c>
      <c r="Q147" t="s">
        <v>129</v>
      </c>
      <c r="R147">
        <v>14</v>
      </c>
      <c r="T147">
        <v>40</v>
      </c>
      <c r="U147">
        <v>45</v>
      </c>
      <c r="V147">
        <v>1</v>
      </c>
      <c r="W147">
        <v>0</v>
      </c>
      <c r="X147">
        <v>1</v>
      </c>
      <c r="Y147">
        <v>0</v>
      </c>
      <c r="Z147">
        <v>41</v>
      </c>
      <c r="AA147">
        <v>46</v>
      </c>
      <c r="AB147">
        <v>50</v>
      </c>
      <c r="AC147">
        <v>45</v>
      </c>
      <c r="AD147">
        <v>1</v>
      </c>
      <c r="AE147">
        <v>0</v>
      </c>
      <c r="AF147">
        <v>46</v>
      </c>
      <c r="AG147">
        <v>0</v>
      </c>
      <c r="AH147">
        <v>5</v>
      </c>
      <c r="AI147">
        <v>4</v>
      </c>
      <c r="AJ147">
        <v>5</v>
      </c>
      <c r="AK147">
        <v>5</v>
      </c>
      <c r="AL147">
        <v>0</v>
      </c>
      <c r="AM147">
        <v>0.12</v>
      </c>
      <c r="AN147">
        <v>0.45454545454545459</v>
      </c>
      <c r="AO147">
        <v>0</v>
      </c>
      <c r="AP147" t="s">
        <v>130</v>
      </c>
      <c r="AQ147" t="s">
        <v>131</v>
      </c>
      <c r="AR147" t="s">
        <v>194</v>
      </c>
      <c r="AS147">
        <v>4240</v>
      </c>
      <c r="AT147">
        <v>4229</v>
      </c>
      <c r="AU147">
        <v>0</v>
      </c>
      <c r="AV147">
        <v>0</v>
      </c>
      <c r="AW147">
        <v>8.4689999999999994</v>
      </c>
      <c r="AX147">
        <v>0.18819999999999998</v>
      </c>
      <c r="AY147">
        <v>8.6571999999999996</v>
      </c>
      <c r="AZ147" t="s">
        <v>135</v>
      </c>
      <c r="BA147">
        <v>-2.6571999999999996</v>
      </c>
      <c r="BB147">
        <v>-14.119022316684378</v>
      </c>
      <c r="BC147" t="s">
        <v>133</v>
      </c>
      <c r="BD147">
        <v>0</v>
      </c>
      <c r="BE147" t="s">
        <v>133</v>
      </c>
      <c r="BF14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8.4689999999999994</v>
      </c>
    </row>
    <row r="148" spans="1:58" x14ac:dyDescent="0.25">
      <c r="A148" t="s">
        <v>353</v>
      </c>
      <c r="B148" t="s">
        <v>19</v>
      </c>
      <c r="C148">
        <v>1</v>
      </c>
      <c r="D148">
        <v>148</v>
      </c>
      <c r="E148" t="s">
        <v>2108</v>
      </c>
      <c r="F148" t="s">
        <v>123</v>
      </c>
      <c r="G148" t="s">
        <v>124</v>
      </c>
      <c r="H148" t="s">
        <v>125</v>
      </c>
      <c r="I148" t="s">
        <v>126</v>
      </c>
      <c r="J148" t="s">
        <v>126</v>
      </c>
      <c r="K148" t="s">
        <v>127</v>
      </c>
      <c r="L148">
        <v>50</v>
      </c>
      <c r="M148">
        <v>937837</v>
      </c>
      <c r="N148">
        <v>6</v>
      </c>
      <c r="O148">
        <v>1</v>
      </c>
      <c r="P148" t="s">
        <v>128</v>
      </c>
      <c r="Q148" t="s">
        <v>129</v>
      </c>
      <c r="R148">
        <v>14</v>
      </c>
      <c r="T148">
        <v>16</v>
      </c>
      <c r="U148">
        <v>21</v>
      </c>
      <c r="V148">
        <v>14</v>
      </c>
      <c r="W148">
        <v>0</v>
      </c>
      <c r="X148">
        <v>14</v>
      </c>
      <c r="Y148">
        <v>1</v>
      </c>
      <c r="Z148">
        <v>31</v>
      </c>
      <c r="AA148">
        <v>36</v>
      </c>
      <c r="AB148">
        <v>50</v>
      </c>
      <c r="AC148">
        <v>29</v>
      </c>
      <c r="AD148">
        <v>16</v>
      </c>
      <c r="AE148">
        <v>1</v>
      </c>
      <c r="AF148">
        <v>46</v>
      </c>
      <c r="AG148">
        <v>0</v>
      </c>
      <c r="AH148">
        <v>21</v>
      </c>
      <c r="AI148">
        <v>4</v>
      </c>
      <c r="AJ148">
        <v>20</v>
      </c>
      <c r="AK148">
        <v>21</v>
      </c>
      <c r="AL148">
        <v>0</v>
      </c>
      <c r="AM148">
        <v>0.12</v>
      </c>
      <c r="AN148">
        <v>1.8181818181818183</v>
      </c>
      <c r="AO148">
        <v>0</v>
      </c>
      <c r="AP148" t="s">
        <v>130</v>
      </c>
      <c r="AQ148" t="s">
        <v>131</v>
      </c>
      <c r="AR148" t="s">
        <v>194</v>
      </c>
      <c r="AS148">
        <v>1823</v>
      </c>
      <c r="AT148">
        <v>1863</v>
      </c>
      <c r="AU148">
        <v>0</v>
      </c>
      <c r="AV148">
        <v>0</v>
      </c>
      <c r="AW148">
        <v>3.6859999999999999</v>
      </c>
      <c r="AX148">
        <v>0.12710344827586206</v>
      </c>
      <c r="AY148">
        <v>5.8467586206896547</v>
      </c>
      <c r="AZ148" t="s">
        <v>135</v>
      </c>
      <c r="BA148">
        <v>0.15324137931034532</v>
      </c>
      <c r="BB148">
        <v>1.2056429734129177</v>
      </c>
      <c r="BC148" t="s">
        <v>133</v>
      </c>
      <c r="BD148">
        <v>0</v>
      </c>
      <c r="BE148" t="s">
        <v>133</v>
      </c>
      <c r="BF14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3.6859999999999999</v>
      </c>
    </row>
    <row r="149" spans="1:58" x14ac:dyDescent="0.25">
      <c r="A149" t="s">
        <v>354</v>
      </c>
      <c r="B149" t="s">
        <v>19</v>
      </c>
      <c r="C149">
        <v>1</v>
      </c>
      <c r="D149">
        <v>149</v>
      </c>
      <c r="E149" t="s">
        <v>2108</v>
      </c>
      <c r="F149" t="s">
        <v>123</v>
      </c>
      <c r="G149" t="s">
        <v>124</v>
      </c>
      <c r="H149" t="s">
        <v>136</v>
      </c>
      <c r="I149" t="s">
        <v>137</v>
      </c>
      <c r="J149" t="s">
        <v>138</v>
      </c>
      <c r="K149" t="s">
        <v>127</v>
      </c>
      <c r="L149">
        <v>50</v>
      </c>
      <c r="M149">
        <v>937839</v>
      </c>
      <c r="N149">
        <v>5</v>
      </c>
      <c r="O149">
        <v>1</v>
      </c>
      <c r="P149" t="s">
        <v>128</v>
      </c>
      <c r="Q149" t="s">
        <v>129</v>
      </c>
      <c r="R149">
        <v>14</v>
      </c>
      <c r="T149">
        <v>0</v>
      </c>
      <c r="U149">
        <v>4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4</v>
      </c>
      <c r="AB149">
        <v>50</v>
      </c>
      <c r="AC149">
        <v>4</v>
      </c>
      <c r="AD149">
        <v>0</v>
      </c>
      <c r="AE149">
        <v>0</v>
      </c>
      <c r="AF149">
        <v>4</v>
      </c>
      <c r="AG149">
        <v>0</v>
      </c>
      <c r="AH149">
        <v>46</v>
      </c>
      <c r="AI149">
        <v>46</v>
      </c>
      <c r="AJ149">
        <v>46</v>
      </c>
      <c r="AK149">
        <v>46</v>
      </c>
      <c r="AL149">
        <v>0</v>
      </c>
      <c r="AM149">
        <v>0.1</v>
      </c>
      <c r="AN149">
        <v>4.1818181818181817</v>
      </c>
      <c r="AO149">
        <v>0</v>
      </c>
      <c r="AP149" t="s">
        <v>139</v>
      </c>
      <c r="AQ149" t="s">
        <v>131</v>
      </c>
      <c r="AR149" t="s">
        <v>194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 t="s">
        <v>134</v>
      </c>
      <c r="BA149">
        <v>5</v>
      </c>
      <c r="BB149">
        <v>0</v>
      </c>
      <c r="BC149" t="s">
        <v>133</v>
      </c>
      <c r="BD149">
        <v>0</v>
      </c>
      <c r="BE149" t="s">
        <v>133</v>
      </c>
      <c r="BF14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0" spans="1:58" x14ac:dyDescent="0.25">
      <c r="A150" t="s">
        <v>355</v>
      </c>
      <c r="B150" t="s">
        <v>19</v>
      </c>
      <c r="C150">
        <v>1</v>
      </c>
      <c r="D150">
        <v>150</v>
      </c>
      <c r="E150" t="s">
        <v>2108</v>
      </c>
      <c r="F150" t="s">
        <v>123</v>
      </c>
      <c r="G150" t="s">
        <v>124</v>
      </c>
      <c r="H150" t="s">
        <v>125</v>
      </c>
      <c r="I150" t="s">
        <v>126</v>
      </c>
      <c r="J150" t="s">
        <v>126</v>
      </c>
      <c r="K150" t="s">
        <v>127</v>
      </c>
      <c r="L150">
        <v>50</v>
      </c>
      <c r="M150">
        <v>937841</v>
      </c>
      <c r="N150">
        <v>6</v>
      </c>
      <c r="O150">
        <v>1</v>
      </c>
      <c r="P150" t="s">
        <v>128</v>
      </c>
      <c r="Q150" t="s">
        <v>129</v>
      </c>
      <c r="R150">
        <v>14</v>
      </c>
      <c r="T150">
        <v>16</v>
      </c>
      <c r="U150">
        <v>21</v>
      </c>
      <c r="V150">
        <v>4</v>
      </c>
      <c r="W150">
        <v>0</v>
      </c>
      <c r="X150">
        <v>4</v>
      </c>
      <c r="Y150">
        <v>0</v>
      </c>
      <c r="Z150">
        <v>20</v>
      </c>
      <c r="AA150">
        <v>25</v>
      </c>
      <c r="AB150">
        <v>50</v>
      </c>
      <c r="AC150">
        <v>26</v>
      </c>
      <c r="AD150">
        <v>8</v>
      </c>
      <c r="AE150">
        <v>0</v>
      </c>
      <c r="AF150">
        <v>34</v>
      </c>
      <c r="AG150">
        <v>0</v>
      </c>
      <c r="AH150">
        <v>24</v>
      </c>
      <c r="AI150">
        <v>16</v>
      </c>
      <c r="AJ150">
        <v>24</v>
      </c>
      <c r="AK150">
        <v>24</v>
      </c>
      <c r="AL150">
        <v>0</v>
      </c>
      <c r="AM150">
        <v>0.12</v>
      </c>
      <c r="AN150">
        <v>2.1818181818181817</v>
      </c>
      <c r="AO150">
        <v>0</v>
      </c>
      <c r="AP150" t="s">
        <v>130</v>
      </c>
      <c r="AQ150" t="s">
        <v>131</v>
      </c>
      <c r="AR150" t="s">
        <v>194</v>
      </c>
      <c r="AS150">
        <v>2394</v>
      </c>
      <c r="AT150">
        <v>2374</v>
      </c>
      <c r="AU150">
        <v>0</v>
      </c>
      <c r="AV150">
        <v>0</v>
      </c>
      <c r="AW150">
        <v>4.7679999999999998</v>
      </c>
      <c r="AX150">
        <v>0.18338461538461537</v>
      </c>
      <c r="AY150">
        <v>6.2350769230769227</v>
      </c>
      <c r="AZ150" t="s">
        <v>135</v>
      </c>
      <c r="BA150">
        <v>-0.23507692307692274</v>
      </c>
      <c r="BB150">
        <v>-1.2818791946308707</v>
      </c>
      <c r="BC150" t="s">
        <v>133</v>
      </c>
      <c r="BD150">
        <v>0</v>
      </c>
      <c r="BE150" t="s">
        <v>133</v>
      </c>
      <c r="BF15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4.7679999999999998</v>
      </c>
    </row>
    <row r="151" spans="1:58" x14ac:dyDescent="0.25">
      <c r="A151" t="s">
        <v>356</v>
      </c>
      <c r="B151" t="s">
        <v>19</v>
      </c>
      <c r="C151">
        <v>1</v>
      </c>
      <c r="D151">
        <v>151</v>
      </c>
      <c r="E151" t="s">
        <v>2108</v>
      </c>
      <c r="F151" t="s">
        <v>123</v>
      </c>
      <c r="G151" t="s">
        <v>124</v>
      </c>
      <c r="H151" t="s">
        <v>125</v>
      </c>
      <c r="I151" t="s">
        <v>126</v>
      </c>
      <c r="J151" t="s">
        <v>126</v>
      </c>
      <c r="K151" t="s">
        <v>127</v>
      </c>
      <c r="L151">
        <v>50</v>
      </c>
      <c r="M151">
        <v>937843</v>
      </c>
      <c r="N151">
        <v>6</v>
      </c>
      <c r="O151">
        <v>1</v>
      </c>
      <c r="P151" t="s">
        <v>128</v>
      </c>
      <c r="Q151" t="s">
        <v>129</v>
      </c>
      <c r="R151">
        <v>14</v>
      </c>
      <c r="T151">
        <v>26</v>
      </c>
      <c r="U151">
        <v>31</v>
      </c>
      <c r="V151">
        <v>5</v>
      </c>
      <c r="W151">
        <v>0</v>
      </c>
      <c r="X151">
        <v>5</v>
      </c>
      <c r="Y151">
        <v>0</v>
      </c>
      <c r="Z151">
        <v>31</v>
      </c>
      <c r="AA151">
        <v>36</v>
      </c>
      <c r="AB151">
        <v>50</v>
      </c>
      <c r="AC151">
        <v>38</v>
      </c>
      <c r="AD151">
        <v>7</v>
      </c>
      <c r="AE151">
        <v>0</v>
      </c>
      <c r="AF151">
        <v>45</v>
      </c>
      <c r="AG151">
        <v>0</v>
      </c>
      <c r="AH151">
        <v>12</v>
      </c>
      <c r="AI151">
        <v>5</v>
      </c>
      <c r="AJ151">
        <v>12</v>
      </c>
      <c r="AK151">
        <v>12</v>
      </c>
      <c r="AL151">
        <v>0</v>
      </c>
      <c r="AM151">
        <v>0.12</v>
      </c>
      <c r="AN151">
        <v>1.0909090909090908</v>
      </c>
      <c r="AO151">
        <v>0</v>
      </c>
      <c r="AP151" t="s">
        <v>130</v>
      </c>
      <c r="AQ151" t="s">
        <v>131</v>
      </c>
      <c r="AR151" t="s">
        <v>194</v>
      </c>
      <c r="AS151">
        <v>3104</v>
      </c>
      <c r="AT151">
        <v>3087</v>
      </c>
      <c r="AU151">
        <v>0</v>
      </c>
      <c r="AV151">
        <v>0</v>
      </c>
      <c r="AW151">
        <v>6.1909999999999998</v>
      </c>
      <c r="AX151">
        <v>0.16292105263157894</v>
      </c>
      <c r="AY151">
        <v>7.3314473684210526</v>
      </c>
      <c r="AZ151" t="s">
        <v>135</v>
      </c>
      <c r="BA151">
        <v>-1.3314473684210526</v>
      </c>
      <c r="BB151">
        <v>-8.1723469552576322</v>
      </c>
      <c r="BC151" t="s">
        <v>133</v>
      </c>
      <c r="BD151">
        <v>0</v>
      </c>
      <c r="BE151" t="s">
        <v>133</v>
      </c>
      <c r="BF15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6.1909999999999998</v>
      </c>
    </row>
    <row r="152" spans="1:58" x14ac:dyDescent="0.25">
      <c r="A152" t="s">
        <v>357</v>
      </c>
      <c r="B152" t="s">
        <v>19</v>
      </c>
      <c r="C152">
        <v>1</v>
      </c>
      <c r="D152">
        <v>152</v>
      </c>
      <c r="E152" t="s">
        <v>2108</v>
      </c>
      <c r="F152" t="s">
        <v>123</v>
      </c>
      <c r="G152" t="s">
        <v>124</v>
      </c>
      <c r="H152" t="s">
        <v>125</v>
      </c>
      <c r="I152" t="s">
        <v>126</v>
      </c>
      <c r="J152" t="s">
        <v>126</v>
      </c>
      <c r="K152" t="s">
        <v>127</v>
      </c>
      <c r="L152">
        <v>50</v>
      </c>
      <c r="M152">
        <v>937845</v>
      </c>
      <c r="N152">
        <v>6</v>
      </c>
      <c r="O152">
        <v>1</v>
      </c>
      <c r="P152" t="s">
        <v>128</v>
      </c>
      <c r="Q152" t="s">
        <v>129</v>
      </c>
      <c r="R152">
        <v>14</v>
      </c>
      <c r="T152">
        <v>19</v>
      </c>
      <c r="U152">
        <v>24</v>
      </c>
      <c r="V152">
        <v>9</v>
      </c>
      <c r="W152">
        <v>0</v>
      </c>
      <c r="X152">
        <v>9</v>
      </c>
      <c r="Y152">
        <v>1</v>
      </c>
      <c r="Z152">
        <v>29</v>
      </c>
      <c r="AA152">
        <v>34</v>
      </c>
      <c r="AB152">
        <v>50</v>
      </c>
      <c r="AC152">
        <v>31</v>
      </c>
      <c r="AD152">
        <v>15</v>
      </c>
      <c r="AE152">
        <v>1</v>
      </c>
      <c r="AF152">
        <v>47</v>
      </c>
      <c r="AG152">
        <v>0</v>
      </c>
      <c r="AH152">
        <v>19</v>
      </c>
      <c r="AI152">
        <v>3</v>
      </c>
      <c r="AJ152">
        <v>18</v>
      </c>
      <c r="AK152">
        <v>19</v>
      </c>
      <c r="AL152">
        <v>0</v>
      </c>
      <c r="AM152">
        <v>0.12</v>
      </c>
      <c r="AN152">
        <v>1.6363636363636365</v>
      </c>
      <c r="AO152">
        <v>0</v>
      </c>
      <c r="AP152" t="s">
        <v>130</v>
      </c>
      <c r="AQ152" t="s">
        <v>131</v>
      </c>
      <c r="AR152" t="s">
        <v>194</v>
      </c>
      <c r="AS152">
        <v>3125</v>
      </c>
      <c r="AT152">
        <v>2988</v>
      </c>
      <c r="AU152">
        <v>0</v>
      </c>
      <c r="AV152">
        <v>0</v>
      </c>
      <c r="AW152">
        <v>6.1130000000000004</v>
      </c>
      <c r="AX152">
        <v>0.1971935483870968</v>
      </c>
      <c r="AY152">
        <v>9.26809677419355</v>
      </c>
      <c r="AZ152" t="s">
        <v>135</v>
      </c>
      <c r="BA152">
        <v>-3.26809677419355</v>
      </c>
      <c r="BB152">
        <v>-16.573041060035994</v>
      </c>
      <c r="BC152" t="s">
        <v>133</v>
      </c>
      <c r="BD152">
        <v>0</v>
      </c>
      <c r="BE152" t="s">
        <v>133</v>
      </c>
      <c r="BF15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6.1130000000000004</v>
      </c>
    </row>
    <row r="153" spans="1:58" x14ac:dyDescent="0.25">
      <c r="A153" t="s">
        <v>358</v>
      </c>
      <c r="B153" t="s">
        <v>19</v>
      </c>
      <c r="C153">
        <v>1</v>
      </c>
      <c r="D153">
        <v>153</v>
      </c>
      <c r="E153" t="s">
        <v>2108</v>
      </c>
      <c r="F153" t="s">
        <v>123</v>
      </c>
      <c r="G153" t="s">
        <v>124</v>
      </c>
      <c r="H153" t="s">
        <v>125</v>
      </c>
      <c r="I153" t="s">
        <v>126</v>
      </c>
      <c r="J153" t="s">
        <v>126</v>
      </c>
      <c r="K153" t="s">
        <v>127</v>
      </c>
      <c r="L153">
        <v>50</v>
      </c>
      <c r="M153">
        <v>937847</v>
      </c>
      <c r="N153">
        <v>6</v>
      </c>
      <c r="O153">
        <v>1</v>
      </c>
      <c r="P153" t="s">
        <v>128</v>
      </c>
      <c r="Q153" t="s">
        <v>129</v>
      </c>
      <c r="R153">
        <v>14</v>
      </c>
      <c r="T153">
        <v>27</v>
      </c>
      <c r="U153">
        <v>32</v>
      </c>
      <c r="V153">
        <v>4</v>
      </c>
      <c r="W153">
        <v>0</v>
      </c>
      <c r="X153">
        <v>4</v>
      </c>
      <c r="Y153">
        <v>0</v>
      </c>
      <c r="Z153">
        <v>31</v>
      </c>
      <c r="AA153">
        <v>36</v>
      </c>
      <c r="AB153">
        <v>50</v>
      </c>
      <c r="AC153">
        <v>35</v>
      </c>
      <c r="AD153">
        <v>5</v>
      </c>
      <c r="AE153">
        <v>0</v>
      </c>
      <c r="AF153">
        <v>40</v>
      </c>
      <c r="AG153">
        <v>0</v>
      </c>
      <c r="AH153">
        <v>15</v>
      </c>
      <c r="AI153">
        <v>10</v>
      </c>
      <c r="AJ153">
        <v>15</v>
      </c>
      <c r="AK153">
        <v>15</v>
      </c>
      <c r="AL153">
        <v>0</v>
      </c>
      <c r="AM153">
        <v>0.12</v>
      </c>
      <c r="AN153">
        <v>1.3636363636363638</v>
      </c>
      <c r="AO153">
        <v>0</v>
      </c>
      <c r="AP153" t="s">
        <v>130</v>
      </c>
      <c r="AQ153" t="s">
        <v>131</v>
      </c>
      <c r="AR153" t="s">
        <v>194</v>
      </c>
      <c r="AS153">
        <v>3058</v>
      </c>
      <c r="AT153">
        <v>3136</v>
      </c>
      <c r="AU153">
        <v>0</v>
      </c>
      <c r="AV153">
        <v>0</v>
      </c>
      <c r="AW153">
        <v>6.194</v>
      </c>
      <c r="AX153">
        <v>0.17697142857142856</v>
      </c>
      <c r="AY153">
        <v>7.0788571428571423</v>
      </c>
      <c r="AZ153" t="s">
        <v>135</v>
      </c>
      <c r="BA153">
        <v>-1.0788571428571423</v>
      </c>
      <c r="BB153">
        <v>-6.0962221504681926</v>
      </c>
      <c r="BC153" t="s">
        <v>133</v>
      </c>
      <c r="BD153">
        <v>0</v>
      </c>
      <c r="BE153" t="s">
        <v>133</v>
      </c>
      <c r="BF15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6.194</v>
      </c>
    </row>
    <row r="154" spans="1:58" x14ac:dyDescent="0.25">
      <c r="A154" t="s">
        <v>359</v>
      </c>
      <c r="B154" t="s">
        <v>19</v>
      </c>
      <c r="C154">
        <v>1</v>
      </c>
      <c r="D154">
        <v>154</v>
      </c>
      <c r="E154" t="s">
        <v>2108</v>
      </c>
      <c r="F154" t="s">
        <v>123</v>
      </c>
      <c r="G154" t="s">
        <v>124</v>
      </c>
      <c r="H154" t="s">
        <v>125</v>
      </c>
      <c r="I154" t="s">
        <v>126</v>
      </c>
      <c r="J154" t="s">
        <v>126</v>
      </c>
      <c r="K154" t="s">
        <v>127</v>
      </c>
      <c r="L154">
        <v>50</v>
      </c>
      <c r="M154">
        <v>937849</v>
      </c>
      <c r="N154">
        <v>6</v>
      </c>
      <c r="O154">
        <v>1</v>
      </c>
      <c r="P154" t="s">
        <v>128</v>
      </c>
      <c r="Q154" t="s">
        <v>129</v>
      </c>
      <c r="R154">
        <v>14</v>
      </c>
      <c r="T154">
        <v>15</v>
      </c>
      <c r="U154">
        <v>20</v>
      </c>
      <c r="V154">
        <v>5</v>
      </c>
      <c r="W154">
        <v>0</v>
      </c>
      <c r="X154">
        <v>5</v>
      </c>
      <c r="Y154">
        <v>0</v>
      </c>
      <c r="Z154">
        <v>20</v>
      </c>
      <c r="AA154">
        <v>25</v>
      </c>
      <c r="AB154">
        <v>50</v>
      </c>
      <c r="AC154">
        <v>31</v>
      </c>
      <c r="AD154">
        <v>7</v>
      </c>
      <c r="AE154">
        <v>0</v>
      </c>
      <c r="AF154">
        <v>38</v>
      </c>
      <c r="AG154">
        <v>0</v>
      </c>
      <c r="AH154">
        <v>19</v>
      </c>
      <c r="AI154">
        <v>12</v>
      </c>
      <c r="AJ154">
        <v>19</v>
      </c>
      <c r="AK154">
        <v>19</v>
      </c>
      <c r="AL154">
        <v>0</v>
      </c>
      <c r="AM154">
        <v>0.12</v>
      </c>
      <c r="AN154">
        <v>1.7272727272727273</v>
      </c>
      <c r="AO154">
        <v>0</v>
      </c>
      <c r="AP154" t="s">
        <v>130</v>
      </c>
      <c r="AQ154" t="s">
        <v>131</v>
      </c>
      <c r="AR154" t="s">
        <v>194</v>
      </c>
      <c r="AS154">
        <v>2493</v>
      </c>
      <c r="AT154">
        <v>2226</v>
      </c>
      <c r="AU154">
        <v>0</v>
      </c>
      <c r="AV154">
        <v>0</v>
      </c>
      <c r="AW154">
        <v>4.7190000000000003</v>
      </c>
      <c r="AX154">
        <v>0.15222580645161291</v>
      </c>
      <c r="AY154">
        <v>5.7845806451612907</v>
      </c>
      <c r="AZ154" t="s">
        <v>135</v>
      </c>
      <c r="BA154">
        <v>0.21541935483870933</v>
      </c>
      <c r="BB154">
        <v>1.415130324221231</v>
      </c>
      <c r="BC154" t="s">
        <v>144</v>
      </c>
      <c r="BD154">
        <v>0</v>
      </c>
      <c r="BE154" t="s">
        <v>133</v>
      </c>
      <c r="BF15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4.7190000000000003</v>
      </c>
    </row>
    <row r="155" spans="1:58" x14ac:dyDescent="0.25">
      <c r="A155" t="s">
        <v>360</v>
      </c>
      <c r="B155" t="s">
        <v>19</v>
      </c>
      <c r="C155">
        <v>1</v>
      </c>
      <c r="D155">
        <v>155</v>
      </c>
      <c r="E155" t="s">
        <v>2108</v>
      </c>
      <c r="F155" t="s">
        <v>123</v>
      </c>
      <c r="G155" t="s">
        <v>124</v>
      </c>
      <c r="H155" t="s">
        <v>125</v>
      </c>
      <c r="I155" t="s">
        <v>148</v>
      </c>
      <c r="J155" t="s">
        <v>157</v>
      </c>
      <c r="K155" t="s">
        <v>127</v>
      </c>
      <c r="L155">
        <v>50</v>
      </c>
      <c r="M155">
        <v>937781</v>
      </c>
      <c r="N155">
        <v>6</v>
      </c>
      <c r="O155">
        <v>1</v>
      </c>
      <c r="P155" t="s">
        <v>128</v>
      </c>
      <c r="Q155" t="s">
        <v>129</v>
      </c>
      <c r="R155">
        <v>15</v>
      </c>
      <c r="S155" t="s">
        <v>171</v>
      </c>
      <c r="T155">
        <v>0</v>
      </c>
      <c r="U155">
        <v>21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21</v>
      </c>
      <c r="AB155">
        <v>50</v>
      </c>
      <c r="AC155">
        <v>65</v>
      </c>
      <c r="AD155">
        <v>0</v>
      </c>
      <c r="AE155">
        <v>0</v>
      </c>
      <c r="AF155">
        <v>65</v>
      </c>
      <c r="AG155">
        <v>0</v>
      </c>
      <c r="AH155">
        <v>-15</v>
      </c>
      <c r="AI155">
        <v>-15</v>
      </c>
      <c r="AJ155">
        <v>-15</v>
      </c>
      <c r="AK155">
        <v>-15</v>
      </c>
      <c r="AL155">
        <v>0</v>
      </c>
      <c r="AM155">
        <v>0.12</v>
      </c>
      <c r="AN155">
        <v>-1.3636363636363638</v>
      </c>
      <c r="AO155">
        <v>0</v>
      </c>
      <c r="AP155" t="s">
        <v>150</v>
      </c>
      <c r="AQ155" t="s">
        <v>131</v>
      </c>
      <c r="AR155" t="s">
        <v>194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 t="s">
        <v>147</v>
      </c>
      <c r="BA155">
        <v>6</v>
      </c>
      <c r="BB155">
        <v>0</v>
      </c>
      <c r="BC155" t="s">
        <v>132</v>
      </c>
      <c r="BD155">
        <v>0</v>
      </c>
      <c r="BE155" t="s">
        <v>133</v>
      </c>
      <c r="BF15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6" spans="1:58" x14ac:dyDescent="0.25">
      <c r="A156" t="s">
        <v>361</v>
      </c>
      <c r="B156" t="s">
        <v>19</v>
      </c>
      <c r="C156">
        <v>1</v>
      </c>
      <c r="D156">
        <v>156</v>
      </c>
      <c r="E156" t="s">
        <v>2108</v>
      </c>
      <c r="F156" t="s">
        <v>123</v>
      </c>
      <c r="G156" t="s">
        <v>124</v>
      </c>
      <c r="H156" t="s">
        <v>125</v>
      </c>
      <c r="I156" t="s">
        <v>148</v>
      </c>
      <c r="J156" t="s">
        <v>157</v>
      </c>
      <c r="K156" t="s">
        <v>127</v>
      </c>
      <c r="L156">
        <v>50</v>
      </c>
      <c r="M156">
        <v>937783</v>
      </c>
      <c r="N156">
        <v>6</v>
      </c>
      <c r="O156">
        <v>1</v>
      </c>
      <c r="P156" t="s">
        <v>128</v>
      </c>
      <c r="Q156" t="s">
        <v>129</v>
      </c>
      <c r="R156">
        <v>15</v>
      </c>
      <c r="S156" t="s">
        <v>171</v>
      </c>
      <c r="T156">
        <v>0</v>
      </c>
      <c r="U156">
        <v>2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2</v>
      </c>
      <c r="AB156">
        <v>50</v>
      </c>
      <c r="AC156">
        <v>2</v>
      </c>
      <c r="AD156">
        <v>0</v>
      </c>
      <c r="AE156">
        <v>0</v>
      </c>
      <c r="AF156">
        <v>2</v>
      </c>
      <c r="AG156">
        <v>0</v>
      </c>
      <c r="AH156">
        <v>48</v>
      </c>
      <c r="AI156">
        <v>48</v>
      </c>
      <c r="AJ156">
        <v>48</v>
      </c>
      <c r="AK156">
        <v>48</v>
      </c>
      <c r="AL156">
        <v>0</v>
      </c>
      <c r="AM156">
        <v>0.12</v>
      </c>
      <c r="AN156">
        <v>4.3636363636363633</v>
      </c>
      <c r="AO156">
        <v>0</v>
      </c>
      <c r="AP156" t="s">
        <v>150</v>
      </c>
      <c r="AQ156" t="s">
        <v>131</v>
      </c>
      <c r="AR156" t="s">
        <v>194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 t="s">
        <v>147</v>
      </c>
      <c r="BA156">
        <v>6</v>
      </c>
      <c r="BB156">
        <v>0</v>
      </c>
      <c r="BC156" t="s">
        <v>133</v>
      </c>
      <c r="BD156">
        <v>0</v>
      </c>
      <c r="BE156" t="s">
        <v>133</v>
      </c>
      <c r="BF15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7" spans="1:58" x14ac:dyDescent="0.25">
      <c r="A157" t="s">
        <v>362</v>
      </c>
      <c r="B157" t="s">
        <v>19</v>
      </c>
      <c r="C157">
        <v>1</v>
      </c>
      <c r="D157">
        <v>157</v>
      </c>
      <c r="E157" t="s">
        <v>2108</v>
      </c>
      <c r="F157" t="s">
        <v>123</v>
      </c>
      <c r="G157" t="s">
        <v>124</v>
      </c>
      <c r="H157" t="s">
        <v>125</v>
      </c>
      <c r="I157" t="s">
        <v>148</v>
      </c>
      <c r="J157" t="s">
        <v>157</v>
      </c>
      <c r="K157" t="s">
        <v>127</v>
      </c>
      <c r="L157">
        <v>50</v>
      </c>
      <c r="M157">
        <v>937785</v>
      </c>
      <c r="N157">
        <v>6</v>
      </c>
      <c r="O157">
        <v>1</v>
      </c>
      <c r="P157" t="s">
        <v>128</v>
      </c>
      <c r="Q157" t="s">
        <v>129</v>
      </c>
      <c r="R157">
        <v>15</v>
      </c>
      <c r="S157" t="s">
        <v>171</v>
      </c>
      <c r="T157">
        <v>0</v>
      </c>
      <c r="U157">
        <v>1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1</v>
      </c>
      <c r="AB157">
        <v>50</v>
      </c>
      <c r="AC157">
        <v>1</v>
      </c>
      <c r="AD157">
        <v>0</v>
      </c>
      <c r="AE157">
        <v>0</v>
      </c>
      <c r="AF157">
        <v>1</v>
      </c>
      <c r="AG157">
        <v>0</v>
      </c>
      <c r="AH157">
        <v>49</v>
      </c>
      <c r="AI157">
        <v>49</v>
      </c>
      <c r="AJ157">
        <v>49</v>
      </c>
      <c r="AK157">
        <v>49</v>
      </c>
      <c r="AL157">
        <v>0</v>
      </c>
      <c r="AM157">
        <v>0.12</v>
      </c>
      <c r="AN157">
        <v>4.454545454545455</v>
      </c>
      <c r="AO157">
        <v>0</v>
      </c>
      <c r="AP157" t="s">
        <v>150</v>
      </c>
      <c r="AQ157" t="s">
        <v>131</v>
      </c>
      <c r="AR157" t="s">
        <v>194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 t="s">
        <v>147</v>
      </c>
      <c r="BA157">
        <v>6</v>
      </c>
      <c r="BB157">
        <v>0</v>
      </c>
      <c r="BC157" t="s">
        <v>133</v>
      </c>
      <c r="BD157">
        <v>0</v>
      </c>
      <c r="BE157" t="s">
        <v>133</v>
      </c>
      <c r="BF15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8" spans="1:58" x14ac:dyDescent="0.25">
      <c r="A158" t="s">
        <v>363</v>
      </c>
      <c r="B158" t="s">
        <v>19</v>
      </c>
      <c r="C158">
        <v>1</v>
      </c>
      <c r="D158">
        <v>158</v>
      </c>
      <c r="E158" t="s">
        <v>2108</v>
      </c>
      <c r="F158" t="s">
        <v>123</v>
      </c>
      <c r="G158" t="s">
        <v>124</v>
      </c>
      <c r="H158" t="s">
        <v>125</v>
      </c>
      <c r="I158" t="s">
        <v>148</v>
      </c>
      <c r="J158" t="s">
        <v>157</v>
      </c>
      <c r="K158" t="s">
        <v>127</v>
      </c>
      <c r="L158">
        <v>50</v>
      </c>
      <c r="M158">
        <v>937787</v>
      </c>
      <c r="N158">
        <v>6</v>
      </c>
      <c r="O158">
        <v>1</v>
      </c>
      <c r="P158" t="s">
        <v>128</v>
      </c>
      <c r="Q158" t="s">
        <v>129</v>
      </c>
      <c r="R158">
        <v>15</v>
      </c>
      <c r="S158" t="s">
        <v>171</v>
      </c>
      <c r="T158">
        <v>0</v>
      </c>
      <c r="U158">
        <v>22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22</v>
      </c>
      <c r="AB158">
        <v>50</v>
      </c>
      <c r="AC158">
        <v>66</v>
      </c>
      <c r="AD158">
        <v>0</v>
      </c>
      <c r="AE158">
        <v>0</v>
      </c>
      <c r="AF158">
        <v>66</v>
      </c>
      <c r="AG158">
        <v>0</v>
      </c>
      <c r="AH158">
        <v>-16</v>
      </c>
      <c r="AI158">
        <v>-16</v>
      </c>
      <c r="AJ158">
        <v>-16</v>
      </c>
      <c r="AK158">
        <v>-16</v>
      </c>
      <c r="AL158">
        <v>0</v>
      </c>
      <c r="AM158">
        <v>0.12</v>
      </c>
      <c r="AN158">
        <v>-1.4545454545454546</v>
      </c>
      <c r="AO158">
        <v>0</v>
      </c>
      <c r="AP158" t="s">
        <v>150</v>
      </c>
      <c r="AQ158" t="s">
        <v>131</v>
      </c>
      <c r="AR158" t="s">
        <v>194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 t="s">
        <v>147</v>
      </c>
      <c r="BA158">
        <v>6</v>
      </c>
      <c r="BB158">
        <v>0</v>
      </c>
      <c r="BC158" t="s">
        <v>133</v>
      </c>
      <c r="BD158">
        <v>0</v>
      </c>
      <c r="BE158" t="s">
        <v>133</v>
      </c>
      <c r="BF15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9" spans="1:58" x14ac:dyDescent="0.25">
      <c r="A159" t="s">
        <v>364</v>
      </c>
      <c r="B159" t="s">
        <v>19</v>
      </c>
      <c r="C159">
        <v>1</v>
      </c>
      <c r="D159">
        <v>159</v>
      </c>
      <c r="E159" t="s">
        <v>2108</v>
      </c>
      <c r="F159" t="s">
        <v>123</v>
      </c>
      <c r="G159" t="s">
        <v>124</v>
      </c>
      <c r="H159" t="s">
        <v>125</v>
      </c>
      <c r="I159" t="s">
        <v>148</v>
      </c>
      <c r="J159" t="s">
        <v>156</v>
      </c>
      <c r="K159" t="s">
        <v>127</v>
      </c>
      <c r="L159">
        <v>50</v>
      </c>
      <c r="M159">
        <v>937789</v>
      </c>
      <c r="N159">
        <v>6</v>
      </c>
      <c r="O159">
        <v>1</v>
      </c>
      <c r="P159" t="s">
        <v>128</v>
      </c>
      <c r="Q159" t="s">
        <v>129</v>
      </c>
      <c r="R159">
        <v>15</v>
      </c>
      <c r="T159">
        <v>11</v>
      </c>
      <c r="U159">
        <v>11</v>
      </c>
      <c r="V159">
        <v>1</v>
      </c>
      <c r="W159">
        <v>0</v>
      </c>
      <c r="X159">
        <v>1</v>
      </c>
      <c r="Y159">
        <v>0</v>
      </c>
      <c r="Z159">
        <v>12</v>
      </c>
      <c r="AA159">
        <v>12</v>
      </c>
      <c r="AB159">
        <v>50</v>
      </c>
      <c r="AC159">
        <v>15</v>
      </c>
      <c r="AD159">
        <v>1</v>
      </c>
      <c r="AE159">
        <v>0</v>
      </c>
      <c r="AF159">
        <v>16</v>
      </c>
      <c r="AG159">
        <v>0</v>
      </c>
      <c r="AH159">
        <v>35</v>
      </c>
      <c r="AI159">
        <v>34</v>
      </c>
      <c r="AJ159">
        <v>35</v>
      </c>
      <c r="AK159">
        <v>35</v>
      </c>
      <c r="AL159">
        <v>0</v>
      </c>
      <c r="AM159">
        <v>0.12</v>
      </c>
      <c r="AN159">
        <v>3.1818181818181821</v>
      </c>
      <c r="AO159">
        <v>0</v>
      </c>
      <c r="AP159" t="s">
        <v>150</v>
      </c>
      <c r="AQ159" t="s">
        <v>131</v>
      </c>
      <c r="AR159" t="s">
        <v>194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 t="s">
        <v>147</v>
      </c>
      <c r="BA159">
        <v>6</v>
      </c>
      <c r="BB159">
        <v>0</v>
      </c>
      <c r="BC159" t="s">
        <v>133</v>
      </c>
      <c r="BD159">
        <v>0</v>
      </c>
      <c r="BE159" t="s">
        <v>133</v>
      </c>
      <c r="BF15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0" spans="1:58" x14ac:dyDescent="0.25">
      <c r="A160" t="s">
        <v>365</v>
      </c>
      <c r="B160" t="s">
        <v>19</v>
      </c>
      <c r="C160">
        <v>1</v>
      </c>
      <c r="D160">
        <v>160</v>
      </c>
      <c r="E160" t="s">
        <v>2108</v>
      </c>
      <c r="F160" t="s">
        <v>123</v>
      </c>
      <c r="G160" t="s">
        <v>124</v>
      </c>
      <c r="H160" t="s">
        <v>125</v>
      </c>
      <c r="I160" t="s">
        <v>148</v>
      </c>
      <c r="J160" t="s">
        <v>156</v>
      </c>
      <c r="K160" t="s">
        <v>127</v>
      </c>
      <c r="L160">
        <v>50</v>
      </c>
      <c r="M160">
        <v>937791</v>
      </c>
      <c r="N160">
        <v>6</v>
      </c>
      <c r="O160">
        <v>1</v>
      </c>
      <c r="P160" t="s">
        <v>128</v>
      </c>
      <c r="Q160" t="s">
        <v>129</v>
      </c>
      <c r="R160">
        <v>15</v>
      </c>
      <c r="T160">
        <v>0</v>
      </c>
      <c r="U160">
        <v>2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2</v>
      </c>
      <c r="AB160">
        <v>50</v>
      </c>
      <c r="AC160">
        <v>2</v>
      </c>
      <c r="AD160">
        <v>0</v>
      </c>
      <c r="AE160">
        <v>0</v>
      </c>
      <c r="AF160">
        <v>2</v>
      </c>
      <c r="AG160">
        <v>0</v>
      </c>
      <c r="AH160">
        <v>48</v>
      </c>
      <c r="AI160">
        <v>48</v>
      </c>
      <c r="AJ160">
        <v>48</v>
      </c>
      <c r="AK160">
        <v>48</v>
      </c>
      <c r="AL160">
        <v>0</v>
      </c>
      <c r="AM160">
        <v>0.12</v>
      </c>
      <c r="AN160">
        <v>4.3636363636363633</v>
      </c>
      <c r="AO160">
        <v>0</v>
      </c>
      <c r="AP160" t="s">
        <v>150</v>
      </c>
      <c r="AQ160" t="s">
        <v>131</v>
      </c>
      <c r="AR160" t="s">
        <v>194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 t="s">
        <v>147</v>
      </c>
      <c r="BA160">
        <v>6</v>
      </c>
      <c r="BB160">
        <v>0</v>
      </c>
      <c r="BC160" t="s">
        <v>133</v>
      </c>
      <c r="BD160">
        <v>0</v>
      </c>
      <c r="BE160" t="s">
        <v>133</v>
      </c>
      <c r="BF16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1" spans="1:58" x14ac:dyDescent="0.25">
      <c r="A161" t="s">
        <v>366</v>
      </c>
      <c r="B161" t="s">
        <v>19</v>
      </c>
      <c r="C161">
        <v>1</v>
      </c>
      <c r="D161">
        <v>161</v>
      </c>
      <c r="E161" t="s">
        <v>2108</v>
      </c>
      <c r="F161" t="s">
        <v>123</v>
      </c>
      <c r="G161" t="s">
        <v>124</v>
      </c>
      <c r="H161" t="s">
        <v>125</v>
      </c>
      <c r="I161" t="s">
        <v>148</v>
      </c>
      <c r="J161" t="s">
        <v>156</v>
      </c>
      <c r="K161" t="s">
        <v>166</v>
      </c>
      <c r="L161">
        <v>50</v>
      </c>
      <c r="M161">
        <v>937793</v>
      </c>
      <c r="N161">
        <v>6</v>
      </c>
      <c r="O161">
        <v>1</v>
      </c>
      <c r="P161" t="s">
        <v>128</v>
      </c>
      <c r="Q161" t="s">
        <v>129</v>
      </c>
      <c r="R161">
        <v>15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50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50</v>
      </c>
      <c r="AI161">
        <v>50</v>
      </c>
      <c r="AJ161">
        <v>50</v>
      </c>
      <c r="AK161">
        <v>50</v>
      </c>
      <c r="AL161">
        <v>0</v>
      </c>
      <c r="AM161">
        <v>0.12</v>
      </c>
      <c r="AN161">
        <v>4.5454545454545459</v>
      </c>
      <c r="AO161">
        <v>0</v>
      </c>
      <c r="AP161" t="s">
        <v>169</v>
      </c>
      <c r="AQ161" t="s">
        <v>155</v>
      </c>
      <c r="AR161" t="s">
        <v>194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 t="s">
        <v>135</v>
      </c>
      <c r="BA161">
        <v>6</v>
      </c>
      <c r="BB161">
        <v>0</v>
      </c>
      <c r="BC161" t="s">
        <v>133</v>
      </c>
      <c r="BD161">
        <v>1</v>
      </c>
      <c r="BE161" t="s">
        <v>133</v>
      </c>
      <c r="BF16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2" spans="1:58" x14ac:dyDescent="0.25">
      <c r="A162" t="s">
        <v>367</v>
      </c>
      <c r="B162" t="s">
        <v>19</v>
      </c>
      <c r="C162">
        <v>1</v>
      </c>
      <c r="D162">
        <v>162</v>
      </c>
      <c r="E162" t="s">
        <v>2108</v>
      </c>
      <c r="F162" t="s">
        <v>123</v>
      </c>
      <c r="G162" t="s">
        <v>124</v>
      </c>
      <c r="H162" t="s">
        <v>125</v>
      </c>
      <c r="I162" t="s">
        <v>148</v>
      </c>
      <c r="J162" t="s">
        <v>157</v>
      </c>
      <c r="K162" t="s">
        <v>166</v>
      </c>
      <c r="L162">
        <v>50</v>
      </c>
      <c r="M162">
        <v>937795</v>
      </c>
      <c r="N162">
        <v>6</v>
      </c>
      <c r="O162">
        <v>1</v>
      </c>
      <c r="P162" t="s">
        <v>128</v>
      </c>
      <c r="Q162" t="s">
        <v>129</v>
      </c>
      <c r="R162">
        <v>15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50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50</v>
      </c>
      <c r="AI162">
        <v>50</v>
      </c>
      <c r="AJ162">
        <v>50</v>
      </c>
      <c r="AK162">
        <v>50</v>
      </c>
      <c r="AL162">
        <v>0</v>
      </c>
      <c r="AM162">
        <v>0.12</v>
      </c>
      <c r="AN162">
        <v>4.5454545454545459</v>
      </c>
      <c r="AO162">
        <v>0</v>
      </c>
      <c r="AP162" t="s">
        <v>169</v>
      </c>
      <c r="AQ162" t="s">
        <v>155</v>
      </c>
      <c r="AR162" t="s">
        <v>194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 t="s">
        <v>135</v>
      </c>
      <c r="BA162">
        <v>6</v>
      </c>
      <c r="BB162">
        <v>0</v>
      </c>
      <c r="BC162" t="s">
        <v>133</v>
      </c>
      <c r="BD162">
        <v>2</v>
      </c>
      <c r="BE162" t="s">
        <v>133</v>
      </c>
      <c r="BF16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3" spans="1:58" x14ac:dyDescent="0.25">
      <c r="A163" t="s">
        <v>368</v>
      </c>
      <c r="B163" t="s">
        <v>19</v>
      </c>
      <c r="C163">
        <v>1</v>
      </c>
      <c r="D163">
        <v>163</v>
      </c>
      <c r="E163" t="s">
        <v>2108</v>
      </c>
      <c r="F163" t="s">
        <v>123</v>
      </c>
      <c r="G163" t="s">
        <v>124</v>
      </c>
      <c r="H163" t="s">
        <v>125</v>
      </c>
      <c r="I163" t="s">
        <v>148</v>
      </c>
      <c r="J163" t="s">
        <v>157</v>
      </c>
      <c r="K163" t="s">
        <v>127</v>
      </c>
      <c r="L163">
        <v>50</v>
      </c>
      <c r="M163">
        <v>937797</v>
      </c>
      <c r="N163">
        <v>6</v>
      </c>
      <c r="O163">
        <v>1</v>
      </c>
      <c r="P163" t="s">
        <v>128</v>
      </c>
      <c r="Q163" t="s">
        <v>129</v>
      </c>
      <c r="R163">
        <v>15</v>
      </c>
      <c r="T163">
        <v>0</v>
      </c>
      <c r="U163">
        <v>2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2</v>
      </c>
      <c r="AB163">
        <v>50</v>
      </c>
      <c r="AC163">
        <v>2</v>
      </c>
      <c r="AD163">
        <v>0</v>
      </c>
      <c r="AE163">
        <v>0</v>
      </c>
      <c r="AF163">
        <v>2</v>
      </c>
      <c r="AG163">
        <v>0</v>
      </c>
      <c r="AH163">
        <v>48</v>
      </c>
      <c r="AI163">
        <v>48</v>
      </c>
      <c r="AJ163">
        <v>48</v>
      </c>
      <c r="AK163">
        <v>48</v>
      </c>
      <c r="AL163">
        <v>0</v>
      </c>
      <c r="AM163">
        <v>0.12</v>
      </c>
      <c r="AN163">
        <v>4.3636363636363633</v>
      </c>
      <c r="AO163">
        <v>0</v>
      </c>
      <c r="AP163" t="s">
        <v>150</v>
      </c>
      <c r="AQ163" t="s">
        <v>131</v>
      </c>
      <c r="AR163" t="s">
        <v>194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 t="s">
        <v>147</v>
      </c>
      <c r="BA163">
        <v>6</v>
      </c>
      <c r="BB163">
        <v>0</v>
      </c>
      <c r="BC163" t="s">
        <v>133</v>
      </c>
      <c r="BD163">
        <v>0</v>
      </c>
      <c r="BE163" t="s">
        <v>133</v>
      </c>
      <c r="BF16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4" spans="1:58" x14ac:dyDescent="0.25">
      <c r="A164" t="s">
        <v>369</v>
      </c>
      <c r="B164" t="s">
        <v>19</v>
      </c>
      <c r="C164">
        <v>1</v>
      </c>
      <c r="D164">
        <v>164</v>
      </c>
      <c r="E164" t="s">
        <v>2108</v>
      </c>
      <c r="F164" t="s">
        <v>123</v>
      </c>
      <c r="G164" t="s">
        <v>124</v>
      </c>
      <c r="H164" t="s">
        <v>125</v>
      </c>
      <c r="I164" t="s">
        <v>148</v>
      </c>
      <c r="J164" t="s">
        <v>157</v>
      </c>
      <c r="K164" t="s">
        <v>127</v>
      </c>
      <c r="L164">
        <v>50</v>
      </c>
      <c r="M164">
        <v>937799</v>
      </c>
      <c r="N164">
        <v>6</v>
      </c>
      <c r="O164">
        <v>1</v>
      </c>
      <c r="P164" t="s">
        <v>128</v>
      </c>
      <c r="Q164" t="s">
        <v>129</v>
      </c>
      <c r="R164">
        <v>15</v>
      </c>
      <c r="T164">
        <v>0</v>
      </c>
      <c r="U164">
        <v>8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8</v>
      </c>
      <c r="AB164">
        <v>50</v>
      </c>
      <c r="AC164">
        <v>26</v>
      </c>
      <c r="AD164">
        <v>0</v>
      </c>
      <c r="AE164">
        <v>0</v>
      </c>
      <c r="AF164">
        <v>26</v>
      </c>
      <c r="AG164">
        <v>0</v>
      </c>
      <c r="AH164">
        <v>24</v>
      </c>
      <c r="AI164">
        <v>24</v>
      </c>
      <c r="AJ164">
        <v>24</v>
      </c>
      <c r="AK164">
        <v>24</v>
      </c>
      <c r="AL164">
        <v>0</v>
      </c>
      <c r="AM164">
        <v>0.12</v>
      </c>
      <c r="AN164">
        <v>2.1818181818181817</v>
      </c>
      <c r="AO164">
        <v>0</v>
      </c>
      <c r="AP164" t="s">
        <v>150</v>
      </c>
      <c r="AQ164" t="s">
        <v>131</v>
      </c>
      <c r="AR164" t="s">
        <v>194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 t="s">
        <v>147</v>
      </c>
      <c r="BA164">
        <v>6</v>
      </c>
      <c r="BB164">
        <v>0</v>
      </c>
      <c r="BC164" t="s">
        <v>133</v>
      </c>
      <c r="BD164">
        <v>0</v>
      </c>
      <c r="BE164" t="s">
        <v>133</v>
      </c>
      <c r="BF16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5" spans="1:58" x14ac:dyDescent="0.25">
      <c r="A165" t="s">
        <v>370</v>
      </c>
      <c r="B165" t="s">
        <v>19</v>
      </c>
      <c r="C165">
        <v>1</v>
      </c>
      <c r="D165">
        <v>165</v>
      </c>
      <c r="E165" t="s">
        <v>2108</v>
      </c>
      <c r="F165" t="s">
        <v>123</v>
      </c>
      <c r="G165" t="s">
        <v>124</v>
      </c>
      <c r="H165" t="s">
        <v>125</v>
      </c>
      <c r="I165" t="s">
        <v>148</v>
      </c>
      <c r="J165" t="s">
        <v>157</v>
      </c>
      <c r="K165" t="s">
        <v>127</v>
      </c>
      <c r="L165">
        <v>50</v>
      </c>
      <c r="M165">
        <v>937801</v>
      </c>
      <c r="N165">
        <v>6</v>
      </c>
      <c r="O165">
        <v>1</v>
      </c>
      <c r="P165" t="s">
        <v>128</v>
      </c>
      <c r="Q165" t="s">
        <v>129</v>
      </c>
      <c r="R165">
        <v>15</v>
      </c>
      <c r="T165">
        <v>0</v>
      </c>
      <c r="U165">
        <v>2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2</v>
      </c>
      <c r="AB165">
        <v>50</v>
      </c>
      <c r="AC165">
        <v>2</v>
      </c>
      <c r="AD165">
        <v>0</v>
      </c>
      <c r="AE165">
        <v>0</v>
      </c>
      <c r="AF165">
        <v>2</v>
      </c>
      <c r="AG165">
        <v>0</v>
      </c>
      <c r="AH165">
        <v>48</v>
      </c>
      <c r="AI165">
        <v>48</v>
      </c>
      <c r="AJ165">
        <v>48</v>
      </c>
      <c r="AK165">
        <v>48</v>
      </c>
      <c r="AL165">
        <v>0</v>
      </c>
      <c r="AM165">
        <v>0.12</v>
      </c>
      <c r="AN165">
        <v>4.3636363636363633</v>
      </c>
      <c r="AO165">
        <v>0</v>
      </c>
      <c r="AP165" t="s">
        <v>150</v>
      </c>
      <c r="AQ165" t="s">
        <v>131</v>
      </c>
      <c r="AR165" t="s">
        <v>194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 t="s">
        <v>147</v>
      </c>
      <c r="BA165">
        <v>6</v>
      </c>
      <c r="BB165">
        <v>0</v>
      </c>
      <c r="BC165" t="s">
        <v>144</v>
      </c>
      <c r="BD165">
        <v>0</v>
      </c>
      <c r="BE165" t="s">
        <v>133</v>
      </c>
      <c r="BF16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6" spans="1:58" x14ac:dyDescent="0.25">
      <c r="A166" t="s">
        <v>371</v>
      </c>
      <c r="B166" t="s">
        <v>19</v>
      </c>
      <c r="C166">
        <v>1</v>
      </c>
      <c r="D166">
        <v>166</v>
      </c>
      <c r="E166" t="s">
        <v>2108</v>
      </c>
      <c r="F166" t="s">
        <v>123</v>
      </c>
      <c r="G166" t="s">
        <v>124</v>
      </c>
      <c r="H166" t="s">
        <v>125</v>
      </c>
      <c r="I166" t="s">
        <v>148</v>
      </c>
      <c r="J166" t="s">
        <v>149</v>
      </c>
      <c r="K166" t="s">
        <v>127</v>
      </c>
      <c r="L166">
        <v>50</v>
      </c>
      <c r="M166">
        <v>937803</v>
      </c>
      <c r="N166">
        <v>6</v>
      </c>
      <c r="O166">
        <v>1</v>
      </c>
      <c r="P166" t="s">
        <v>128</v>
      </c>
      <c r="Q166" t="s">
        <v>129</v>
      </c>
      <c r="R166">
        <v>16</v>
      </c>
      <c r="T166">
        <v>13</v>
      </c>
      <c r="U166">
        <v>13</v>
      </c>
      <c r="V166">
        <v>0</v>
      </c>
      <c r="W166">
        <v>0</v>
      </c>
      <c r="X166">
        <v>0</v>
      </c>
      <c r="Y166">
        <v>0</v>
      </c>
      <c r="Z166">
        <v>13</v>
      </c>
      <c r="AA166">
        <v>13</v>
      </c>
      <c r="AB166">
        <v>50</v>
      </c>
      <c r="AC166">
        <v>34</v>
      </c>
      <c r="AD166">
        <v>0</v>
      </c>
      <c r="AE166">
        <v>0</v>
      </c>
      <c r="AF166">
        <v>34</v>
      </c>
      <c r="AG166">
        <v>0</v>
      </c>
      <c r="AH166">
        <v>16</v>
      </c>
      <c r="AI166">
        <v>16</v>
      </c>
      <c r="AJ166">
        <v>16</v>
      </c>
      <c r="AK166">
        <v>16</v>
      </c>
      <c r="AL166">
        <v>0</v>
      </c>
      <c r="AM166">
        <v>0.12</v>
      </c>
      <c r="AN166">
        <v>1.4545454545454546</v>
      </c>
      <c r="AO166">
        <v>0</v>
      </c>
      <c r="AP166" t="s">
        <v>150</v>
      </c>
      <c r="AQ166" t="s">
        <v>131</v>
      </c>
      <c r="AR166" t="s">
        <v>194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 t="s">
        <v>147</v>
      </c>
      <c r="BA166">
        <v>6</v>
      </c>
      <c r="BB166">
        <v>0</v>
      </c>
      <c r="BC166" t="s">
        <v>132</v>
      </c>
      <c r="BD166">
        <v>0</v>
      </c>
      <c r="BE166" t="s">
        <v>133</v>
      </c>
      <c r="BF16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7" spans="1:58" x14ac:dyDescent="0.25">
      <c r="A167" t="s">
        <v>372</v>
      </c>
      <c r="B167" t="s">
        <v>19</v>
      </c>
      <c r="C167">
        <v>1</v>
      </c>
      <c r="D167">
        <v>167</v>
      </c>
      <c r="E167" t="s">
        <v>2108</v>
      </c>
      <c r="F167" t="s">
        <v>123</v>
      </c>
      <c r="G167" t="s">
        <v>124</v>
      </c>
      <c r="H167" t="s">
        <v>125</v>
      </c>
      <c r="I167" t="s">
        <v>148</v>
      </c>
      <c r="J167" t="s">
        <v>149</v>
      </c>
      <c r="K167" t="s">
        <v>127</v>
      </c>
      <c r="L167">
        <v>50</v>
      </c>
      <c r="M167">
        <v>937805</v>
      </c>
      <c r="N167">
        <v>6</v>
      </c>
      <c r="O167">
        <v>1</v>
      </c>
      <c r="P167" t="s">
        <v>128</v>
      </c>
      <c r="Q167" t="s">
        <v>129</v>
      </c>
      <c r="R167">
        <v>16</v>
      </c>
      <c r="T167">
        <v>9</v>
      </c>
      <c r="U167">
        <v>12</v>
      </c>
      <c r="V167">
        <v>0</v>
      </c>
      <c r="W167">
        <v>0</v>
      </c>
      <c r="X167">
        <v>0</v>
      </c>
      <c r="Y167">
        <v>0</v>
      </c>
      <c r="Z167">
        <v>9</v>
      </c>
      <c r="AA167">
        <v>12</v>
      </c>
      <c r="AB167">
        <v>50</v>
      </c>
      <c r="AC167">
        <v>34</v>
      </c>
      <c r="AD167">
        <v>0</v>
      </c>
      <c r="AE167">
        <v>0</v>
      </c>
      <c r="AF167">
        <v>34</v>
      </c>
      <c r="AG167">
        <v>0</v>
      </c>
      <c r="AH167">
        <v>16</v>
      </c>
      <c r="AI167">
        <v>16</v>
      </c>
      <c r="AJ167">
        <v>16</v>
      </c>
      <c r="AK167">
        <v>16</v>
      </c>
      <c r="AL167">
        <v>0</v>
      </c>
      <c r="AM167">
        <v>0.12</v>
      </c>
      <c r="AN167">
        <v>1.4545454545454546</v>
      </c>
      <c r="AO167">
        <v>0</v>
      </c>
      <c r="AP167" t="s">
        <v>150</v>
      </c>
      <c r="AQ167" t="s">
        <v>131</v>
      </c>
      <c r="AR167" t="s">
        <v>194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 t="s">
        <v>147</v>
      </c>
      <c r="BA167">
        <v>6</v>
      </c>
      <c r="BB167">
        <v>0</v>
      </c>
      <c r="BC167" t="s">
        <v>133</v>
      </c>
      <c r="BD167">
        <v>0</v>
      </c>
      <c r="BE167" t="s">
        <v>133</v>
      </c>
      <c r="BF16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8" spans="1:58" x14ac:dyDescent="0.25">
      <c r="A168" t="s">
        <v>373</v>
      </c>
      <c r="B168" t="s">
        <v>19</v>
      </c>
      <c r="C168">
        <v>1</v>
      </c>
      <c r="D168">
        <v>168</v>
      </c>
      <c r="E168" t="s">
        <v>2108</v>
      </c>
      <c r="F168" t="s">
        <v>123</v>
      </c>
      <c r="G168" t="s">
        <v>124</v>
      </c>
      <c r="H168" t="s">
        <v>125</v>
      </c>
      <c r="I168" t="s">
        <v>148</v>
      </c>
      <c r="J168" t="s">
        <v>149</v>
      </c>
      <c r="K168" t="s">
        <v>127</v>
      </c>
      <c r="L168">
        <v>50</v>
      </c>
      <c r="M168">
        <v>937807</v>
      </c>
      <c r="N168">
        <v>6</v>
      </c>
      <c r="O168">
        <v>1</v>
      </c>
      <c r="P168" t="s">
        <v>128</v>
      </c>
      <c r="Q168" t="s">
        <v>129</v>
      </c>
      <c r="R168">
        <v>16</v>
      </c>
      <c r="T168">
        <v>7</v>
      </c>
      <c r="U168">
        <v>11</v>
      </c>
      <c r="V168">
        <v>0</v>
      </c>
      <c r="W168">
        <v>0</v>
      </c>
      <c r="X168">
        <v>0</v>
      </c>
      <c r="Y168">
        <v>0</v>
      </c>
      <c r="Z168">
        <v>7</v>
      </c>
      <c r="AA168">
        <v>11</v>
      </c>
      <c r="AB168">
        <v>50</v>
      </c>
      <c r="AC168">
        <v>33</v>
      </c>
      <c r="AD168">
        <v>0</v>
      </c>
      <c r="AE168">
        <v>0</v>
      </c>
      <c r="AF168">
        <v>33</v>
      </c>
      <c r="AG168">
        <v>0</v>
      </c>
      <c r="AH168">
        <v>17</v>
      </c>
      <c r="AI168">
        <v>17</v>
      </c>
      <c r="AJ168">
        <v>17</v>
      </c>
      <c r="AK168">
        <v>17</v>
      </c>
      <c r="AL168">
        <v>0</v>
      </c>
      <c r="AM168">
        <v>0.12</v>
      </c>
      <c r="AN168">
        <v>1.5454545454545454</v>
      </c>
      <c r="AO168">
        <v>0</v>
      </c>
      <c r="AP168" t="s">
        <v>150</v>
      </c>
      <c r="AQ168" t="s">
        <v>131</v>
      </c>
      <c r="AR168" t="s">
        <v>194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 t="s">
        <v>147</v>
      </c>
      <c r="BA168">
        <v>6</v>
      </c>
      <c r="BB168">
        <v>0</v>
      </c>
      <c r="BC168" t="s">
        <v>133</v>
      </c>
      <c r="BD168">
        <v>0</v>
      </c>
      <c r="BE168" t="s">
        <v>133</v>
      </c>
      <c r="BF16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9" spans="1:58" x14ac:dyDescent="0.25">
      <c r="A169" t="s">
        <v>374</v>
      </c>
      <c r="B169" t="s">
        <v>19</v>
      </c>
      <c r="C169">
        <v>1</v>
      </c>
      <c r="D169">
        <v>169</v>
      </c>
      <c r="E169" t="s">
        <v>2108</v>
      </c>
      <c r="F169" t="s">
        <v>123</v>
      </c>
      <c r="G169" t="s">
        <v>124</v>
      </c>
      <c r="H169" t="s">
        <v>125</v>
      </c>
      <c r="I169" t="s">
        <v>148</v>
      </c>
      <c r="J169" t="s">
        <v>149</v>
      </c>
      <c r="K169" t="s">
        <v>127</v>
      </c>
      <c r="L169">
        <v>50</v>
      </c>
      <c r="M169">
        <v>937809</v>
      </c>
      <c r="N169">
        <v>6</v>
      </c>
      <c r="O169">
        <v>1</v>
      </c>
      <c r="P169" t="s">
        <v>128</v>
      </c>
      <c r="Q169" t="s">
        <v>129</v>
      </c>
      <c r="R169">
        <v>16</v>
      </c>
      <c r="T169">
        <v>9</v>
      </c>
      <c r="U169">
        <v>10</v>
      </c>
      <c r="V169">
        <v>0</v>
      </c>
      <c r="W169">
        <v>0</v>
      </c>
      <c r="X169">
        <v>0</v>
      </c>
      <c r="Y169">
        <v>0</v>
      </c>
      <c r="Z169">
        <v>9</v>
      </c>
      <c r="AA169">
        <v>10</v>
      </c>
      <c r="AB169">
        <v>50</v>
      </c>
      <c r="AC169">
        <v>30</v>
      </c>
      <c r="AD169">
        <v>0</v>
      </c>
      <c r="AE169">
        <v>0</v>
      </c>
      <c r="AF169">
        <v>30</v>
      </c>
      <c r="AG169">
        <v>0</v>
      </c>
      <c r="AH169">
        <v>20</v>
      </c>
      <c r="AI169">
        <v>20</v>
      </c>
      <c r="AJ169">
        <v>20</v>
      </c>
      <c r="AK169">
        <v>20</v>
      </c>
      <c r="AL169">
        <v>0</v>
      </c>
      <c r="AM169">
        <v>0.12</v>
      </c>
      <c r="AN169">
        <v>1.8181818181818183</v>
      </c>
      <c r="AO169">
        <v>0</v>
      </c>
      <c r="AP169" t="s">
        <v>150</v>
      </c>
      <c r="AQ169" t="s">
        <v>131</v>
      </c>
      <c r="AR169" t="s">
        <v>194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 t="s">
        <v>147</v>
      </c>
      <c r="BA169">
        <v>6</v>
      </c>
      <c r="BB169">
        <v>0</v>
      </c>
      <c r="BC169" t="s">
        <v>133</v>
      </c>
      <c r="BD169">
        <v>0</v>
      </c>
      <c r="BE169" t="s">
        <v>133</v>
      </c>
      <c r="BF16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70" spans="1:58" x14ac:dyDescent="0.25">
      <c r="A170" t="s">
        <v>375</v>
      </c>
      <c r="B170" t="s">
        <v>19</v>
      </c>
      <c r="C170">
        <v>1</v>
      </c>
      <c r="D170">
        <v>170</v>
      </c>
      <c r="E170" t="s">
        <v>2108</v>
      </c>
      <c r="F170" t="s">
        <v>123</v>
      </c>
      <c r="G170" t="s">
        <v>124</v>
      </c>
      <c r="H170" t="s">
        <v>125</v>
      </c>
      <c r="I170" t="s">
        <v>148</v>
      </c>
      <c r="J170" t="s">
        <v>149</v>
      </c>
      <c r="K170" t="s">
        <v>127</v>
      </c>
      <c r="L170">
        <v>50</v>
      </c>
      <c r="M170">
        <v>937811</v>
      </c>
      <c r="N170">
        <v>6</v>
      </c>
      <c r="O170">
        <v>1</v>
      </c>
      <c r="P170" t="s">
        <v>128</v>
      </c>
      <c r="Q170" t="s">
        <v>129</v>
      </c>
      <c r="R170">
        <v>16</v>
      </c>
      <c r="T170">
        <v>11</v>
      </c>
      <c r="U170">
        <v>12</v>
      </c>
      <c r="V170">
        <v>1</v>
      </c>
      <c r="W170">
        <v>0</v>
      </c>
      <c r="X170">
        <v>1</v>
      </c>
      <c r="Y170">
        <v>0</v>
      </c>
      <c r="Z170">
        <v>12</v>
      </c>
      <c r="AA170">
        <v>13</v>
      </c>
      <c r="AB170">
        <v>50</v>
      </c>
      <c r="AC170">
        <v>33</v>
      </c>
      <c r="AD170">
        <v>1</v>
      </c>
      <c r="AE170">
        <v>0</v>
      </c>
      <c r="AF170">
        <v>34</v>
      </c>
      <c r="AG170">
        <v>0</v>
      </c>
      <c r="AH170">
        <v>17</v>
      </c>
      <c r="AI170">
        <v>16</v>
      </c>
      <c r="AJ170">
        <v>17</v>
      </c>
      <c r="AK170">
        <v>17</v>
      </c>
      <c r="AL170">
        <v>0</v>
      </c>
      <c r="AM170">
        <v>0.12</v>
      </c>
      <c r="AN170">
        <v>1.5454545454545454</v>
      </c>
      <c r="AO170">
        <v>0</v>
      </c>
      <c r="AP170" t="s">
        <v>150</v>
      </c>
      <c r="AQ170" t="s">
        <v>131</v>
      </c>
      <c r="AR170" t="s">
        <v>194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 t="s">
        <v>147</v>
      </c>
      <c r="BA170">
        <v>6</v>
      </c>
      <c r="BB170">
        <v>0</v>
      </c>
      <c r="BC170" t="s">
        <v>133</v>
      </c>
      <c r="BD170">
        <v>0</v>
      </c>
      <c r="BE170" t="s">
        <v>133</v>
      </c>
      <c r="BF17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71" spans="1:58" x14ac:dyDescent="0.25">
      <c r="A171" t="s">
        <v>376</v>
      </c>
      <c r="B171" t="s">
        <v>19</v>
      </c>
      <c r="C171">
        <v>1</v>
      </c>
      <c r="D171">
        <v>171</v>
      </c>
      <c r="E171" t="s">
        <v>2108</v>
      </c>
      <c r="F171" t="s">
        <v>123</v>
      </c>
      <c r="G171" t="s">
        <v>124</v>
      </c>
      <c r="H171" t="s">
        <v>125</v>
      </c>
      <c r="I171" t="s">
        <v>148</v>
      </c>
      <c r="J171" t="s">
        <v>149</v>
      </c>
      <c r="K171" t="s">
        <v>127</v>
      </c>
      <c r="L171">
        <v>50</v>
      </c>
      <c r="M171">
        <v>937913</v>
      </c>
      <c r="N171">
        <v>6</v>
      </c>
      <c r="O171">
        <v>1</v>
      </c>
      <c r="P171" t="s">
        <v>128</v>
      </c>
      <c r="Q171" t="s">
        <v>129</v>
      </c>
      <c r="R171">
        <v>16</v>
      </c>
      <c r="T171">
        <v>12</v>
      </c>
      <c r="U171">
        <v>15</v>
      </c>
      <c r="V171">
        <v>0</v>
      </c>
      <c r="W171">
        <v>0</v>
      </c>
      <c r="X171">
        <v>0</v>
      </c>
      <c r="Y171">
        <v>0</v>
      </c>
      <c r="Z171">
        <v>12</v>
      </c>
      <c r="AA171">
        <v>15</v>
      </c>
      <c r="AB171">
        <v>50</v>
      </c>
      <c r="AC171">
        <v>35</v>
      </c>
      <c r="AD171">
        <v>0</v>
      </c>
      <c r="AE171">
        <v>0</v>
      </c>
      <c r="AF171">
        <v>35</v>
      </c>
      <c r="AG171">
        <v>0</v>
      </c>
      <c r="AH171">
        <v>15</v>
      </c>
      <c r="AI171">
        <v>15</v>
      </c>
      <c r="AJ171">
        <v>15</v>
      </c>
      <c r="AK171">
        <v>15</v>
      </c>
      <c r="AL171">
        <v>0</v>
      </c>
      <c r="AM171">
        <v>0.12</v>
      </c>
      <c r="AN171">
        <v>1.3636363636363638</v>
      </c>
      <c r="AO171">
        <v>0</v>
      </c>
      <c r="AP171" t="s">
        <v>150</v>
      </c>
      <c r="AQ171" t="s">
        <v>131</v>
      </c>
      <c r="AR171" t="s">
        <v>194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 t="s">
        <v>147</v>
      </c>
      <c r="BA171">
        <v>6</v>
      </c>
      <c r="BB171">
        <v>0</v>
      </c>
      <c r="BC171" t="s">
        <v>133</v>
      </c>
      <c r="BD171">
        <v>0</v>
      </c>
      <c r="BE171" t="s">
        <v>133</v>
      </c>
      <c r="BF17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72" spans="1:58" x14ac:dyDescent="0.25">
      <c r="A172" t="s">
        <v>377</v>
      </c>
      <c r="B172" t="s">
        <v>19</v>
      </c>
      <c r="C172">
        <v>1</v>
      </c>
      <c r="D172">
        <v>172</v>
      </c>
      <c r="E172" t="s">
        <v>2108</v>
      </c>
      <c r="F172" t="s">
        <v>123</v>
      </c>
      <c r="G172" t="s">
        <v>124</v>
      </c>
      <c r="H172" t="s">
        <v>125</v>
      </c>
      <c r="I172" t="s">
        <v>148</v>
      </c>
      <c r="J172" t="s">
        <v>149</v>
      </c>
      <c r="K172" t="s">
        <v>127</v>
      </c>
      <c r="L172">
        <v>50</v>
      </c>
      <c r="M172">
        <v>937915</v>
      </c>
      <c r="N172">
        <v>6</v>
      </c>
      <c r="O172">
        <v>1</v>
      </c>
      <c r="P172" t="s">
        <v>128</v>
      </c>
      <c r="Q172" t="s">
        <v>129</v>
      </c>
      <c r="R172">
        <v>16</v>
      </c>
      <c r="T172">
        <v>11</v>
      </c>
      <c r="U172">
        <v>12</v>
      </c>
      <c r="V172">
        <v>0</v>
      </c>
      <c r="W172">
        <v>0</v>
      </c>
      <c r="X172">
        <v>0</v>
      </c>
      <c r="Y172">
        <v>0</v>
      </c>
      <c r="Z172">
        <v>11</v>
      </c>
      <c r="AA172">
        <v>12</v>
      </c>
      <c r="AB172">
        <v>50</v>
      </c>
      <c r="AC172">
        <v>33</v>
      </c>
      <c r="AD172">
        <v>0</v>
      </c>
      <c r="AE172">
        <v>0</v>
      </c>
      <c r="AF172">
        <v>33</v>
      </c>
      <c r="AG172">
        <v>0</v>
      </c>
      <c r="AH172">
        <v>17</v>
      </c>
      <c r="AI172">
        <v>17</v>
      </c>
      <c r="AJ172">
        <v>17</v>
      </c>
      <c r="AK172">
        <v>17</v>
      </c>
      <c r="AL172">
        <v>0</v>
      </c>
      <c r="AM172">
        <v>0.12</v>
      </c>
      <c r="AN172">
        <v>1.5454545454545454</v>
      </c>
      <c r="AO172">
        <v>0</v>
      </c>
      <c r="AP172" t="s">
        <v>150</v>
      </c>
      <c r="AQ172" t="s">
        <v>131</v>
      </c>
      <c r="AR172" t="s">
        <v>194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 t="s">
        <v>147</v>
      </c>
      <c r="BA172">
        <v>6</v>
      </c>
      <c r="BB172">
        <v>0</v>
      </c>
      <c r="BC172" t="s">
        <v>133</v>
      </c>
      <c r="BD172">
        <v>0</v>
      </c>
      <c r="BE172" t="s">
        <v>133</v>
      </c>
      <c r="BF17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73" spans="1:58" x14ac:dyDescent="0.25">
      <c r="A173" t="s">
        <v>378</v>
      </c>
      <c r="B173" t="s">
        <v>19</v>
      </c>
      <c r="C173">
        <v>1</v>
      </c>
      <c r="D173">
        <v>173</v>
      </c>
      <c r="E173" t="s">
        <v>2108</v>
      </c>
      <c r="F173" t="s">
        <v>123</v>
      </c>
      <c r="G173" t="s">
        <v>124</v>
      </c>
      <c r="H173" t="s">
        <v>125</v>
      </c>
      <c r="I173" t="s">
        <v>148</v>
      </c>
      <c r="J173" t="s">
        <v>149</v>
      </c>
      <c r="K173" t="s">
        <v>127</v>
      </c>
      <c r="L173">
        <v>50</v>
      </c>
      <c r="M173">
        <v>937917</v>
      </c>
      <c r="N173">
        <v>6</v>
      </c>
      <c r="O173">
        <v>1</v>
      </c>
      <c r="P173" t="s">
        <v>128</v>
      </c>
      <c r="Q173" t="s">
        <v>129</v>
      </c>
      <c r="R173">
        <v>16</v>
      </c>
      <c r="T173">
        <v>8</v>
      </c>
      <c r="U173">
        <v>10</v>
      </c>
      <c r="V173">
        <v>0</v>
      </c>
      <c r="W173">
        <v>0</v>
      </c>
      <c r="X173">
        <v>0</v>
      </c>
      <c r="Y173">
        <v>0</v>
      </c>
      <c r="Z173">
        <v>8</v>
      </c>
      <c r="AA173">
        <v>10</v>
      </c>
      <c r="AB173">
        <v>50</v>
      </c>
      <c r="AC173">
        <v>30</v>
      </c>
      <c r="AD173">
        <v>0</v>
      </c>
      <c r="AE173">
        <v>0</v>
      </c>
      <c r="AF173">
        <v>30</v>
      </c>
      <c r="AG173">
        <v>0</v>
      </c>
      <c r="AH173">
        <v>20</v>
      </c>
      <c r="AI173">
        <v>20</v>
      </c>
      <c r="AJ173">
        <v>20</v>
      </c>
      <c r="AK173">
        <v>20</v>
      </c>
      <c r="AL173">
        <v>0</v>
      </c>
      <c r="AM173">
        <v>0.12</v>
      </c>
      <c r="AN173">
        <v>1.8181818181818183</v>
      </c>
      <c r="AO173">
        <v>0</v>
      </c>
      <c r="AP173" t="s">
        <v>150</v>
      </c>
      <c r="AQ173" t="s">
        <v>131</v>
      </c>
      <c r="AR173" t="s">
        <v>194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 t="s">
        <v>147</v>
      </c>
      <c r="BA173">
        <v>6</v>
      </c>
      <c r="BB173">
        <v>0</v>
      </c>
      <c r="BC173" t="s">
        <v>133</v>
      </c>
      <c r="BD173">
        <v>0</v>
      </c>
      <c r="BE173" t="s">
        <v>133</v>
      </c>
      <c r="BF17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74" spans="1:58" x14ac:dyDescent="0.25">
      <c r="A174" t="s">
        <v>379</v>
      </c>
      <c r="B174" t="s">
        <v>19</v>
      </c>
      <c r="C174">
        <v>1</v>
      </c>
      <c r="D174">
        <v>174</v>
      </c>
      <c r="E174" t="s">
        <v>2108</v>
      </c>
      <c r="F174" t="s">
        <v>123</v>
      </c>
      <c r="G174" t="s">
        <v>124</v>
      </c>
      <c r="H174" t="s">
        <v>125</v>
      </c>
      <c r="I174" t="s">
        <v>148</v>
      </c>
      <c r="J174" t="s">
        <v>149</v>
      </c>
      <c r="K174" t="s">
        <v>127</v>
      </c>
      <c r="L174">
        <v>50</v>
      </c>
      <c r="M174">
        <v>937919</v>
      </c>
      <c r="N174">
        <v>6</v>
      </c>
      <c r="O174">
        <v>1</v>
      </c>
      <c r="P174" t="s">
        <v>128</v>
      </c>
      <c r="Q174" t="s">
        <v>129</v>
      </c>
      <c r="R174">
        <v>16</v>
      </c>
      <c r="T174">
        <v>7</v>
      </c>
      <c r="U174">
        <v>11</v>
      </c>
      <c r="V174">
        <v>0</v>
      </c>
      <c r="W174">
        <v>0</v>
      </c>
      <c r="X174">
        <v>0</v>
      </c>
      <c r="Y174">
        <v>0</v>
      </c>
      <c r="Z174">
        <v>7</v>
      </c>
      <c r="AA174">
        <v>11</v>
      </c>
      <c r="AB174">
        <v>50</v>
      </c>
      <c r="AC174">
        <v>33</v>
      </c>
      <c r="AD174">
        <v>0</v>
      </c>
      <c r="AE174">
        <v>0</v>
      </c>
      <c r="AF174">
        <v>33</v>
      </c>
      <c r="AG174">
        <v>0</v>
      </c>
      <c r="AH174">
        <v>17</v>
      </c>
      <c r="AI174">
        <v>17</v>
      </c>
      <c r="AJ174">
        <v>17</v>
      </c>
      <c r="AK174">
        <v>17</v>
      </c>
      <c r="AL174">
        <v>0</v>
      </c>
      <c r="AM174">
        <v>0.12</v>
      </c>
      <c r="AN174">
        <v>1.5454545454545454</v>
      </c>
      <c r="AO174">
        <v>0</v>
      </c>
      <c r="AP174" t="s">
        <v>150</v>
      </c>
      <c r="AQ174" t="s">
        <v>131</v>
      </c>
      <c r="AR174" t="s">
        <v>194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 t="s">
        <v>147</v>
      </c>
      <c r="BA174">
        <v>6</v>
      </c>
      <c r="BB174">
        <v>0</v>
      </c>
      <c r="BC174" t="s">
        <v>133</v>
      </c>
      <c r="BD174">
        <v>0</v>
      </c>
      <c r="BE174" t="s">
        <v>133</v>
      </c>
      <c r="BF17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75" spans="1:58" x14ac:dyDescent="0.25">
      <c r="A175" t="s">
        <v>380</v>
      </c>
      <c r="B175" t="s">
        <v>19</v>
      </c>
      <c r="C175">
        <v>1</v>
      </c>
      <c r="D175">
        <v>175</v>
      </c>
      <c r="E175" t="s">
        <v>2108</v>
      </c>
      <c r="F175" t="s">
        <v>123</v>
      </c>
      <c r="G175" t="s">
        <v>124</v>
      </c>
      <c r="H175" t="s">
        <v>125</v>
      </c>
      <c r="I175" t="s">
        <v>148</v>
      </c>
      <c r="J175" t="s">
        <v>149</v>
      </c>
      <c r="K175" t="s">
        <v>127</v>
      </c>
      <c r="L175">
        <v>50</v>
      </c>
      <c r="M175">
        <v>937921</v>
      </c>
      <c r="N175">
        <v>6</v>
      </c>
      <c r="O175">
        <v>1</v>
      </c>
      <c r="P175" t="s">
        <v>128</v>
      </c>
      <c r="Q175" t="s">
        <v>129</v>
      </c>
      <c r="R175">
        <v>16</v>
      </c>
      <c r="T175">
        <v>9</v>
      </c>
      <c r="U175">
        <v>12</v>
      </c>
      <c r="V175">
        <v>0</v>
      </c>
      <c r="W175">
        <v>0</v>
      </c>
      <c r="X175">
        <v>0</v>
      </c>
      <c r="Y175">
        <v>0</v>
      </c>
      <c r="Z175">
        <v>9</v>
      </c>
      <c r="AA175">
        <v>12</v>
      </c>
      <c r="AB175">
        <v>50</v>
      </c>
      <c r="AC175">
        <v>34</v>
      </c>
      <c r="AD175">
        <v>0</v>
      </c>
      <c r="AE175">
        <v>0</v>
      </c>
      <c r="AF175">
        <v>34</v>
      </c>
      <c r="AG175">
        <v>0</v>
      </c>
      <c r="AH175">
        <v>16</v>
      </c>
      <c r="AI175">
        <v>16</v>
      </c>
      <c r="AJ175">
        <v>16</v>
      </c>
      <c r="AK175">
        <v>16</v>
      </c>
      <c r="AL175">
        <v>0</v>
      </c>
      <c r="AM175">
        <v>0.12</v>
      </c>
      <c r="AN175">
        <v>1.4545454545454546</v>
      </c>
      <c r="AO175">
        <v>0</v>
      </c>
      <c r="AP175" t="s">
        <v>150</v>
      </c>
      <c r="AQ175" t="s">
        <v>131</v>
      </c>
      <c r="AR175" t="s">
        <v>194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 t="s">
        <v>147</v>
      </c>
      <c r="BA175">
        <v>6</v>
      </c>
      <c r="BB175">
        <v>0</v>
      </c>
      <c r="BC175" t="s">
        <v>133</v>
      </c>
      <c r="BD175">
        <v>0</v>
      </c>
      <c r="BE175" t="s">
        <v>133</v>
      </c>
      <c r="BF17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76" spans="1:58" x14ac:dyDescent="0.25">
      <c r="A176" t="s">
        <v>381</v>
      </c>
      <c r="B176" t="s">
        <v>19</v>
      </c>
      <c r="C176">
        <v>1</v>
      </c>
      <c r="D176">
        <v>176</v>
      </c>
      <c r="E176" t="s">
        <v>2108</v>
      </c>
      <c r="F176" t="s">
        <v>123</v>
      </c>
      <c r="G176" t="s">
        <v>124</v>
      </c>
      <c r="H176" t="s">
        <v>125</v>
      </c>
      <c r="I176" t="s">
        <v>148</v>
      </c>
      <c r="J176" t="s">
        <v>149</v>
      </c>
      <c r="K176" t="s">
        <v>127</v>
      </c>
      <c r="L176">
        <v>50</v>
      </c>
      <c r="M176">
        <v>937923</v>
      </c>
      <c r="N176">
        <v>6</v>
      </c>
      <c r="O176">
        <v>1</v>
      </c>
      <c r="P176" t="s">
        <v>128</v>
      </c>
      <c r="Q176" t="s">
        <v>129</v>
      </c>
      <c r="R176">
        <v>16</v>
      </c>
      <c r="T176">
        <v>13</v>
      </c>
      <c r="U176">
        <v>13</v>
      </c>
      <c r="V176">
        <v>0</v>
      </c>
      <c r="W176">
        <v>0</v>
      </c>
      <c r="X176">
        <v>0</v>
      </c>
      <c r="Y176">
        <v>0</v>
      </c>
      <c r="Z176">
        <v>13</v>
      </c>
      <c r="AA176">
        <v>13</v>
      </c>
      <c r="AB176">
        <v>50</v>
      </c>
      <c r="AC176">
        <v>34</v>
      </c>
      <c r="AD176">
        <v>0</v>
      </c>
      <c r="AE176">
        <v>0</v>
      </c>
      <c r="AF176">
        <v>34</v>
      </c>
      <c r="AG176">
        <v>0</v>
      </c>
      <c r="AH176">
        <v>16</v>
      </c>
      <c r="AI176">
        <v>16</v>
      </c>
      <c r="AJ176">
        <v>16</v>
      </c>
      <c r="AK176">
        <v>16</v>
      </c>
      <c r="AL176">
        <v>0</v>
      </c>
      <c r="AM176">
        <v>0.12</v>
      </c>
      <c r="AN176">
        <v>1.4545454545454546</v>
      </c>
      <c r="AO176">
        <v>0</v>
      </c>
      <c r="AP176" t="s">
        <v>150</v>
      </c>
      <c r="AQ176" t="s">
        <v>131</v>
      </c>
      <c r="AR176" t="s">
        <v>194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 t="s">
        <v>147</v>
      </c>
      <c r="BA176">
        <v>6</v>
      </c>
      <c r="BB176">
        <v>0</v>
      </c>
      <c r="BC176" t="s">
        <v>144</v>
      </c>
      <c r="BD176">
        <v>0</v>
      </c>
      <c r="BE176" t="s">
        <v>133</v>
      </c>
      <c r="BF17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77" spans="1:58" x14ac:dyDescent="0.25">
      <c r="A177" t="s">
        <v>382</v>
      </c>
      <c r="B177" t="s">
        <v>19</v>
      </c>
      <c r="C177">
        <v>1</v>
      </c>
      <c r="D177">
        <v>177</v>
      </c>
      <c r="E177" t="s">
        <v>2108</v>
      </c>
      <c r="F177" t="s">
        <v>123</v>
      </c>
      <c r="G177" t="s">
        <v>124</v>
      </c>
      <c r="H177" t="s">
        <v>136</v>
      </c>
      <c r="I177" t="s">
        <v>158</v>
      </c>
      <c r="J177" t="s">
        <v>156</v>
      </c>
      <c r="K177" t="s">
        <v>127</v>
      </c>
      <c r="L177">
        <v>50</v>
      </c>
      <c r="M177">
        <v>937925</v>
      </c>
      <c r="N177">
        <v>4.5999999999999996</v>
      </c>
      <c r="O177">
        <v>1</v>
      </c>
      <c r="P177" t="s">
        <v>128</v>
      </c>
      <c r="Q177" t="s">
        <v>129</v>
      </c>
      <c r="R177">
        <v>17</v>
      </c>
      <c r="T177">
        <v>19</v>
      </c>
      <c r="U177">
        <v>21</v>
      </c>
      <c r="V177">
        <v>2</v>
      </c>
      <c r="W177">
        <v>0</v>
      </c>
      <c r="X177">
        <v>2</v>
      </c>
      <c r="Y177">
        <v>2</v>
      </c>
      <c r="Z177">
        <v>23</v>
      </c>
      <c r="AA177">
        <v>25</v>
      </c>
      <c r="AB177">
        <v>50</v>
      </c>
      <c r="AC177">
        <v>33</v>
      </c>
      <c r="AD177">
        <v>3</v>
      </c>
      <c r="AE177">
        <v>2</v>
      </c>
      <c r="AF177">
        <v>38</v>
      </c>
      <c r="AG177">
        <v>0</v>
      </c>
      <c r="AH177">
        <v>17</v>
      </c>
      <c r="AI177">
        <v>12</v>
      </c>
      <c r="AJ177">
        <v>15</v>
      </c>
      <c r="AK177">
        <v>17</v>
      </c>
      <c r="AL177">
        <v>0</v>
      </c>
      <c r="AM177">
        <v>9.1999999999999998E-2</v>
      </c>
      <c r="AN177">
        <v>1.3636363636363638</v>
      </c>
      <c r="AO177">
        <v>0</v>
      </c>
      <c r="AP177" t="s">
        <v>160</v>
      </c>
      <c r="AQ177" t="s">
        <v>131</v>
      </c>
      <c r="AR177" t="s">
        <v>194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 t="s">
        <v>135</v>
      </c>
      <c r="BA177">
        <v>4.5999999999999996</v>
      </c>
      <c r="BB177">
        <v>0</v>
      </c>
      <c r="BC177" t="s">
        <v>132</v>
      </c>
      <c r="BD177">
        <v>0</v>
      </c>
      <c r="BE177" t="s">
        <v>133</v>
      </c>
      <c r="BF17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78" spans="1:58" x14ac:dyDescent="0.25">
      <c r="A178" t="s">
        <v>383</v>
      </c>
      <c r="B178" t="s">
        <v>19</v>
      </c>
      <c r="C178">
        <v>1</v>
      </c>
      <c r="D178">
        <v>178</v>
      </c>
      <c r="E178" t="s">
        <v>2108</v>
      </c>
      <c r="F178" t="s">
        <v>123</v>
      </c>
      <c r="G178" t="s">
        <v>124</v>
      </c>
      <c r="H178" t="s">
        <v>136</v>
      </c>
      <c r="I178" t="s">
        <v>137</v>
      </c>
      <c r="J178" t="s">
        <v>153</v>
      </c>
      <c r="K178" t="s">
        <v>127</v>
      </c>
      <c r="L178">
        <v>50</v>
      </c>
      <c r="M178">
        <v>937927</v>
      </c>
      <c r="N178">
        <v>9.1</v>
      </c>
      <c r="O178">
        <v>1</v>
      </c>
      <c r="P178" t="s">
        <v>128</v>
      </c>
      <c r="Q178" t="s">
        <v>129</v>
      </c>
      <c r="R178">
        <v>17</v>
      </c>
      <c r="T178">
        <v>0</v>
      </c>
      <c r="U178">
        <v>1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1</v>
      </c>
      <c r="AB178">
        <v>50</v>
      </c>
      <c r="AC178">
        <v>1</v>
      </c>
      <c r="AD178">
        <v>0</v>
      </c>
      <c r="AE178">
        <v>0</v>
      </c>
      <c r="AF178">
        <v>1</v>
      </c>
      <c r="AG178">
        <v>0</v>
      </c>
      <c r="AH178">
        <v>49</v>
      </c>
      <c r="AI178">
        <v>49</v>
      </c>
      <c r="AJ178">
        <v>49</v>
      </c>
      <c r="AK178">
        <v>49</v>
      </c>
      <c r="AL178">
        <v>0</v>
      </c>
      <c r="AM178">
        <v>0.182</v>
      </c>
      <c r="AN178">
        <v>4.454545454545455</v>
      </c>
      <c r="AO178">
        <v>0</v>
      </c>
      <c r="AP178" t="s">
        <v>139</v>
      </c>
      <c r="AQ178" t="s">
        <v>131</v>
      </c>
      <c r="AR178" t="s">
        <v>194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 t="s">
        <v>147</v>
      </c>
      <c r="BA178">
        <v>9.1</v>
      </c>
      <c r="BB178">
        <v>0</v>
      </c>
      <c r="BC178" t="s">
        <v>133</v>
      </c>
      <c r="BD178">
        <v>0</v>
      </c>
      <c r="BE178" t="s">
        <v>133</v>
      </c>
      <c r="BF17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79" spans="1:58" x14ac:dyDescent="0.25">
      <c r="A179" t="s">
        <v>384</v>
      </c>
      <c r="B179" t="s">
        <v>19</v>
      </c>
      <c r="C179">
        <v>1</v>
      </c>
      <c r="D179">
        <v>179</v>
      </c>
      <c r="E179" t="s">
        <v>2108</v>
      </c>
      <c r="F179" t="s">
        <v>123</v>
      </c>
      <c r="G179" t="s">
        <v>124</v>
      </c>
      <c r="H179" t="s">
        <v>136</v>
      </c>
      <c r="I179" t="s">
        <v>137</v>
      </c>
      <c r="J179" t="s">
        <v>153</v>
      </c>
      <c r="K179" t="s">
        <v>127</v>
      </c>
      <c r="L179">
        <v>50</v>
      </c>
      <c r="M179">
        <v>937929</v>
      </c>
      <c r="N179">
        <v>9.1</v>
      </c>
      <c r="O179">
        <v>1</v>
      </c>
      <c r="P179" t="s">
        <v>128</v>
      </c>
      <c r="Q179" t="s">
        <v>129</v>
      </c>
      <c r="R179">
        <v>17</v>
      </c>
      <c r="T179">
        <v>0</v>
      </c>
      <c r="U179">
        <v>2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2</v>
      </c>
      <c r="AB179">
        <v>50</v>
      </c>
      <c r="AC179">
        <v>2</v>
      </c>
      <c r="AD179">
        <v>0</v>
      </c>
      <c r="AE179">
        <v>0</v>
      </c>
      <c r="AF179">
        <v>2</v>
      </c>
      <c r="AG179">
        <v>0</v>
      </c>
      <c r="AH179">
        <v>48</v>
      </c>
      <c r="AI179">
        <v>48</v>
      </c>
      <c r="AJ179">
        <v>48</v>
      </c>
      <c r="AK179">
        <v>48</v>
      </c>
      <c r="AL179">
        <v>0</v>
      </c>
      <c r="AM179">
        <v>0.182</v>
      </c>
      <c r="AN179">
        <v>4.3636363636363633</v>
      </c>
      <c r="AO179">
        <v>0</v>
      </c>
      <c r="AP179" t="s">
        <v>139</v>
      </c>
      <c r="AQ179" t="s">
        <v>131</v>
      </c>
      <c r="AR179" t="s">
        <v>194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 t="s">
        <v>147</v>
      </c>
      <c r="BA179">
        <v>9.1</v>
      </c>
      <c r="BB179">
        <v>0</v>
      </c>
      <c r="BC179" t="s">
        <v>133</v>
      </c>
      <c r="BD179">
        <v>0</v>
      </c>
      <c r="BE179" t="s">
        <v>133</v>
      </c>
      <c r="BF17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80" spans="1:58" x14ac:dyDescent="0.25">
      <c r="A180" t="s">
        <v>385</v>
      </c>
      <c r="B180" t="s">
        <v>19</v>
      </c>
      <c r="C180">
        <v>1</v>
      </c>
      <c r="D180">
        <v>180</v>
      </c>
      <c r="E180" t="s">
        <v>2108</v>
      </c>
      <c r="F180" t="s">
        <v>123</v>
      </c>
      <c r="G180" t="s">
        <v>124</v>
      </c>
      <c r="H180" t="s">
        <v>125</v>
      </c>
      <c r="I180" t="s">
        <v>148</v>
      </c>
      <c r="J180" t="s">
        <v>176</v>
      </c>
      <c r="K180" t="s">
        <v>127</v>
      </c>
      <c r="L180">
        <v>50</v>
      </c>
      <c r="M180">
        <v>937931</v>
      </c>
      <c r="N180">
        <v>6</v>
      </c>
      <c r="O180">
        <v>1</v>
      </c>
      <c r="P180" t="s">
        <v>128</v>
      </c>
      <c r="Q180" t="s">
        <v>129</v>
      </c>
      <c r="R180">
        <v>17</v>
      </c>
      <c r="T180">
        <v>0</v>
      </c>
      <c r="U180">
        <v>2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2</v>
      </c>
      <c r="AB180">
        <v>50</v>
      </c>
      <c r="AC180">
        <v>2</v>
      </c>
      <c r="AD180">
        <v>0</v>
      </c>
      <c r="AE180">
        <v>0</v>
      </c>
      <c r="AF180">
        <v>2</v>
      </c>
      <c r="AG180">
        <v>0</v>
      </c>
      <c r="AH180">
        <v>48</v>
      </c>
      <c r="AI180">
        <v>48</v>
      </c>
      <c r="AJ180">
        <v>48</v>
      </c>
      <c r="AK180">
        <v>48</v>
      </c>
      <c r="AL180">
        <v>0</v>
      </c>
      <c r="AM180">
        <v>0.12</v>
      </c>
      <c r="AN180">
        <v>4.3636363636363633</v>
      </c>
      <c r="AO180">
        <v>0</v>
      </c>
      <c r="AP180" t="s">
        <v>150</v>
      </c>
      <c r="AQ180" t="s">
        <v>131</v>
      </c>
      <c r="AR180" t="s">
        <v>194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 t="s">
        <v>147</v>
      </c>
      <c r="BA180">
        <v>6</v>
      </c>
      <c r="BB180">
        <v>0</v>
      </c>
      <c r="BC180" t="s">
        <v>133</v>
      </c>
      <c r="BD180">
        <v>0</v>
      </c>
      <c r="BE180" t="s">
        <v>133</v>
      </c>
      <c r="BF18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81" spans="1:58" x14ac:dyDescent="0.25">
      <c r="A181" t="s">
        <v>386</v>
      </c>
      <c r="B181" t="s">
        <v>19</v>
      </c>
      <c r="C181">
        <v>1</v>
      </c>
      <c r="D181">
        <v>181</v>
      </c>
      <c r="E181" t="s">
        <v>2108</v>
      </c>
      <c r="F181" t="s">
        <v>123</v>
      </c>
      <c r="G181" t="s">
        <v>124</v>
      </c>
      <c r="H181" t="s">
        <v>125</v>
      </c>
      <c r="I181" t="s">
        <v>148</v>
      </c>
      <c r="J181" t="s">
        <v>176</v>
      </c>
      <c r="K181" t="s">
        <v>127</v>
      </c>
      <c r="L181">
        <v>50</v>
      </c>
      <c r="M181">
        <v>937933</v>
      </c>
      <c r="N181">
        <v>6</v>
      </c>
      <c r="O181">
        <v>1</v>
      </c>
      <c r="P181" t="s">
        <v>128</v>
      </c>
      <c r="Q181" t="s">
        <v>129</v>
      </c>
      <c r="R181">
        <v>17</v>
      </c>
      <c r="T181">
        <v>1</v>
      </c>
      <c r="U181">
        <v>1</v>
      </c>
      <c r="V181">
        <v>0</v>
      </c>
      <c r="W181">
        <v>0</v>
      </c>
      <c r="X181">
        <v>0</v>
      </c>
      <c r="Y181">
        <v>0</v>
      </c>
      <c r="Z181">
        <v>1</v>
      </c>
      <c r="AA181">
        <v>1</v>
      </c>
      <c r="AB181">
        <v>50</v>
      </c>
      <c r="AC181">
        <v>4</v>
      </c>
      <c r="AD181">
        <v>0</v>
      </c>
      <c r="AE181">
        <v>0</v>
      </c>
      <c r="AF181">
        <v>4</v>
      </c>
      <c r="AG181">
        <v>0</v>
      </c>
      <c r="AH181">
        <v>46</v>
      </c>
      <c r="AI181">
        <v>46</v>
      </c>
      <c r="AJ181">
        <v>46</v>
      </c>
      <c r="AK181">
        <v>46</v>
      </c>
      <c r="AL181">
        <v>0</v>
      </c>
      <c r="AM181">
        <v>0.12</v>
      </c>
      <c r="AN181">
        <v>4.1818181818181817</v>
      </c>
      <c r="AO181">
        <v>0</v>
      </c>
      <c r="AP181" t="s">
        <v>150</v>
      </c>
      <c r="AQ181" t="s">
        <v>131</v>
      </c>
      <c r="AR181" t="s">
        <v>194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 t="s">
        <v>147</v>
      </c>
      <c r="BA181">
        <v>6</v>
      </c>
      <c r="BB181">
        <v>0</v>
      </c>
      <c r="BC181" t="s">
        <v>133</v>
      </c>
      <c r="BD181">
        <v>0</v>
      </c>
      <c r="BE181" t="s">
        <v>133</v>
      </c>
      <c r="BF18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82" spans="1:58" x14ac:dyDescent="0.25">
      <c r="A182" t="s">
        <v>387</v>
      </c>
      <c r="B182" t="s">
        <v>19</v>
      </c>
      <c r="C182">
        <v>1</v>
      </c>
      <c r="D182">
        <v>182</v>
      </c>
      <c r="E182" t="s">
        <v>2108</v>
      </c>
      <c r="F182" t="s">
        <v>123</v>
      </c>
      <c r="G182" t="s">
        <v>124</v>
      </c>
      <c r="H182" t="s">
        <v>136</v>
      </c>
      <c r="I182" t="s">
        <v>158</v>
      </c>
      <c r="J182" t="s">
        <v>159</v>
      </c>
      <c r="K182" t="s">
        <v>127</v>
      </c>
      <c r="L182">
        <v>50</v>
      </c>
      <c r="M182">
        <v>937935</v>
      </c>
      <c r="N182">
        <v>4.5999999999999996</v>
      </c>
      <c r="O182">
        <v>1</v>
      </c>
      <c r="P182" t="s">
        <v>128</v>
      </c>
      <c r="Q182" t="s">
        <v>129</v>
      </c>
      <c r="R182">
        <v>17</v>
      </c>
      <c r="T182">
        <v>5</v>
      </c>
      <c r="U182">
        <v>7</v>
      </c>
      <c r="V182">
        <v>0</v>
      </c>
      <c r="W182">
        <v>0</v>
      </c>
      <c r="X182">
        <v>0</v>
      </c>
      <c r="Y182">
        <v>0</v>
      </c>
      <c r="Z182">
        <v>5</v>
      </c>
      <c r="AA182">
        <v>7</v>
      </c>
      <c r="AB182">
        <v>50</v>
      </c>
      <c r="AC182">
        <v>10</v>
      </c>
      <c r="AD182">
        <v>0</v>
      </c>
      <c r="AE182">
        <v>0</v>
      </c>
      <c r="AF182">
        <v>10</v>
      </c>
      <c r="AG182">
        <v>0</v>
      </c>
      <c r="AH182">
        <v>40</v>
      </c>
      <c r="AI182">
        <v>40</v>
      </c>
      <c r="AJ182">
        <v>40</v>
      </c>
      <c r="AK182">
        <v>40</v>
      </c>
      <c r="AL182">
        <v>0</v>
      </c>
      <c r="AM182">
        <v>9.1999999999999998E-2</v>
      </c>
      <c r="AN182">
        <v>3.6363636363636367</v>
      </c>
      <c r="AO182">
        <v>0</v>
      </c>
      <c r="AP182" t="s">
        <v>160</v>
      </c>
      <c r="AQ182" t="s">
        <v>131</v>
      </c>
      <c r="AR182" t="s">
        <v>194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 t="s">
        <v>135</v>
      </c>
      <c r="BA182">
        <v>4.5999999999999996</v>
      </c>
      <c r="BB182">
        <v>0</v>
      </c>
      <c r="BC182" t="s">
        <v>133</v>
      </c>
      <c r="BD182">
        <v>0</v>
      </c>
      <c r="BE182" t="s">
        <v>133</v>
      </c>
      <c r="BF18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83" spans="1:58" x14ac:dyDescent="0.25">
      <c r="A183" t="s">
        <v>388</v>
      </c>
      <c r="B183" t="s">
        <v>19</v>
      </c>
      <c r="C183">
        <v>1</v>
      </c>
      <c r="D183">
        <v>183</v>
      </c>
      <c r="E183" t="s">
        <v>2108</v>
      </c>
      <c r="F183" t="s">
        <v>123</v>
      </c>
      <c r="G183" t="s">
        <v>124</v>
      </c>
      <c r="H183" t="s">
        <v>125</v>
      </c>
      <c r="I183" t="s">
        <v>137</v>
      </c>
      <c r="J183" t="s">
        <v>163</v>
      </c>
      <c r="K183" t="s">
        <v>170</v>
      </c>
      <c r="L183">
        <v>50</v>
      </c>
      <c r="M183">
        <v>937937</v>
      </c>
      <c r="N183">
        <v>0</v>
      </c>
      <c r="O183">
        <v>1</v>
      </c>
      <c r="P183" t="s">
        <v>128</v>
      </c>
      <c r="Q183" t="s">
        <v>129</v>
      </c>
      <c r="R183">
        <v>17</v>
      </c>
      <c r="S183" t="s">
        <v>389</v>
      </c>
      <c r="T183">
        <v>0</v>
      </c>
      <c r="U183">
        <v>0</v>
      </c>
      <c r="V183">
        <v>6</v>
      </c>
      <c r="W183">
        <v>0</v>
      </c>
      <c r="X183">
        <v>6</v>
      </c>
      <c r="Y183">
        <v>0</v>
      </c>
      <c r="Z183">
        <v>0</v>
      </c>
      <c r="AA183">
        <v>6</v>
      </c>
      <c r="AB183">
        <v>50</v>
      </c>
      <c r="AC183">
        <v>0</v>
      </c>
      <c r="AD183">
        <v>6</v>
      </c>
      <c r="AE183">
        <v>0</v>
      </c>
      <c r="AF183">
        <v>6</v>
      </c>
      <c r="AG183">
        <v>0</v>
      </c>
      <c r="AH183">
        <v>0</v>
      </c>
      <c r="AI183">
        <v>44</v>
      </c>
      <c r="AJ183">
        <v>50</v>
      </c>
      <c r="AK183">
        <v>50</v>
      </c>
      <c r="AL183">
        <v>50</v>
      </c>
      <c r="AM183">
        <v>0</v>
      </c>
      <c r="AN183">
        <v>4.5454545454545459</v>
      </c>
      <c r="AO183">
        <v>0</v>
      </c>
      <c r="AP183" t="s">
        <v>177</v>
      </c>
      <c r="AQ183" t="s">
        <v>131</v>
      </c>
      <c r="AR183" t="s">
        <v>194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 t="s">
        <v>147</v>
      </c>
      <c r="BA183">
        <v>0</v>
      </c>
      <c r="BB183">
        <v>0</v>
      </c>
      <c r="BC183" t="s">
        <v>133</v>
      </c>
      <c r="BD183">
        <v>1</v>
      </c>
      <c r="BE183" t="s">
        <v>133</v>
      </c>
      <c r="BF18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84" spans="1:58" x14ac:dyDescent="0.25">
      <c r="A184" t="s">
        <v>390</v>
      </c>
      <c r="B184" t="s">
        <v>19</v>
      </c>
      <c r="C184">
        <v>1</v>
      </c>
      <c r="D184">
        <v>184</v>
      </c>
      <c r="E184" t="s">
        <v>2108</v>
      </c>
      <c r="F184" t="s">
        <v>123</v>
      </c>
      <c r="G184" t="s">
        <v>124</v>
      </c>
      <c r="H184" t="s">
        <v>136</v>
      </c>
      <c r="I184" t="s">
        <v>158</v>
      </c>
      <c r="J184" t="s">
        <v>154</v>
      </c>
      <c r="K184" t="s">
        <v>170</v>
      </c>
      <c r="L184">
        <v>50</v>
      </c>
      <c r="M184">
        <v>937939</v>
      </c>
      <c r="N184">
        <v>0</v>
      </c>
      <c r="O184">
        <v>1</v>
      </c>
      <c r="P184" t="s">
        <v>128</v>
      </c>
      <c r="Q184" t="s">
        <v>129</v>
      </c>
      <c r="R184">
        <v>17</v>
      </c>
      <c r="S184" t="s">
        <v>389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50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50</v>
      </c>
      <c r="AJ184">
        <v>50</v>
      </c>
      <c r="AK184">
        <v>50</v>
      </c>
      <c r="AL184">
        <v>50</v>
      </c>
      <c r="AM184">
        <v>0</v>
      </c>
      <c r="AN184">
        <v>4.5454545454545459</v>
      </c>
      <c r="AO184">
        <v>0</v>
      </c>
      <c r="AP184" t="s">
        <v>178</v>
      </c>
      <c r="AQ184" t="s">
        <v>155</v>
      </c>
      <c r="AR184" t="s">
        <v>194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 t="s">
        <v>135</v>
      </c>
      <c r="BA184">
        <v>0</v>
      </c>
      <c r="BB184">
        <v>0</v>
      </c>
      <c r="BC184" t="s">
        <v>133</v>
      </c>
      <c r="BD184">
        <v>2</v>
      </c>
      <c r="BE184" t="s">
        <v>133</v>
      </c>
      <c r="BF18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85" spans="1:58" x14ac:dyDescent="0.25">
      <c r="A185" t="s">
        <v>391</v>
      </c>
      <c r="B185" t="s">
        <v>19</v>
      </c>
      <c r="C185">
        <v>1</v>
      </c>
      <c r="D185">
        <v>185</v>
      </c>
      <c r="E185" t="s">
        <v>2108</v>
      </c>
      <c r="F185" t="s">
        <v>123</v>
      </c>
      <c r="G185" t="s">
        <v>124</v>
      </c>
      <c r="H185" t="s">
        <v>125</v>
      </c>
      <c r="I185" t="s">
        <v>137</v>
      </c>
      <c r="J185" t="s">
        <v>164</v>
      </c>
      <c r="K185" t="s">
        <v>127</v>
      </c>
      <c r="L185">
        <v>50</v>
      </c>
      <c r="M185">
        <v>937941</v>
      </c>
      <c r="N185">
        <v>6</v>
      </c>
      <c r="O185">
        <v>1</v>
      </c>
      <c r="P185" t="s">
        <v>128</v>
      </c>
      <c r="Q185" t="s">
        <v>129</v>
      </c>
      <c r="R185">
        <v>17</v>
      </c>
      <c r="T185">
        <v>0</v>
      </c>
      <c r="U185">
        <v>6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6</v>
      </c>
      <c r="AB185">
        <v>50</v>
      </c>
      <c r="AC185">
        <v>7</v>
      </c>
      <c r="AD185">
        <v>0</v>
      </c>
      <c r="AE185">
        <v>0</v>
      </c>
      <c r="AF185">
        <v>7</v>
      </c>
      <c r="AG185">
        <v>0</v>
      </c>
      <c r="AH185">
        <v>43</v>
      </c>
      <c r="AI185">
        <v>43</v>
      </c>
      <c r="AJ185">
        <v>43</v>
      </c>
      <c r="AK185">
        <v>43</v>
      </c>
      <c r="AL185">
        <v>0</v>
      </c>
      <c r="AM185">
        <v>0.12</v>
      </c>
      <c r="AN185">
        <v>3.9090909090909092</v>
      </c>
      <c r="AO185">
        <v>0</v>
      </c>
      <c r="AP185" t="s">
        <v>139</v>
      </c>
      <c r="AQ185" t="s">
        <v>131</v>
      </c>
      <c r="AR185" t="s">
        <v>194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 t="s">
        <v>147</v>
      </c>
      <c r="BA185">
        <v>6</v>
      </c>
      <c r="BB185">
        <v>0</v>
      </c>
      <c r="BC185" t="s">
        <v>133</v>
      </c>
      <c r="BD185">
        <v>0</v>
      </c>
      <c r="BE185" t="s">
        <v>133</v>
      </c>
      <c r="BF18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86" spans="1:58" x14ac:dyDescent="0.25">
      <c r="A186" t="s">
        <v>392</v>
      </c>
      <c r="B186" t="s">
        <v>19</v>
      </c>
      <c r="C186">
        <v>1</v>
      </c>
      <c r="D186">
        <v>186</v>
      </c>
      <c r="E186" t="s">
        <v>2108</v>
      </c>
      <c r="F186" t="s">
        <v>123</v>
      </c>
      <c r="G186" t="s">
        <v>124</v>
      </c>
      <c r="H186" t="s">
        <v>125</v>
      </c>
      <c r="I186" t="s">
        <v>137</v>
      </c>
      <c r="J186" t="s">
        <v>163</v>
      </c>
      <c r="K186" t="s">
        <v>127</v>
      </c>
      <c r="L186">
        <v>50</v>
      </c>
      <c r="M186">
        <v>937943</v>
      </c>
      <c r="N186">
        <v>6</v>
      </c>
      <c r="O186">
        <v>1</v>
      </c>
      <c r="P186" t="s">
        <v>128</v>
      </c>
      <c r="Q186" t="s">
        <v>129</v>
      </c>
      <c r="R186">
        <v>17</v>
      </c>
      <c r="T186">
        <v>0</v>
      </c>
      <c r="U186">
        <v>1</v>
      </c>
      <c r="V186">
        <v>20</v>
      </c>
      <c r="W186">
        <v>0</v>
      </c>
      <c r="X186">
        <v>20</v>
      </c>
      <c r="Y186">
        <v>0</v>
      </c>
      <c r="Z186">
        <v>0</v>
      </c>
      <c r="AA186">
        <v>21</v>
      </c>
      <c r="AB186">
        <v>50</v>
      </c>
      <c r="AC186">
        <v>1</v>
      </c>
      <c r="AD186">
        <v>20</v>
      </c>
      <c r="AE186">
        <v>0</v>
      </c>
      <c r="AF186">
        <v>21</v>
      </c>
      <c r="AG186">
        <v>0</v>
      </c>
      <c r="AH186">
        <v>49</v>
      </c>
      <c r="AI186">
        <v>29</v>
      </c>
      <c r="AJ186">
        <v>49</v>
      </c>
      <c r="AK186">
        <v>49</v>
      </c>
      <c r="AL186">
        <v>0</v>
      </c>
      <c r="AM186">
        <v>0.12</v>
      </c>
      <c r="AN186">
        <v>4.454545454545455</v>
      </c>
      <c r="AO186">
        <v>0</v>
      </c>
      <c r="AP186" t="s">
        <v>139</v>
      </c>
      <c r="AQ186" t="s">
        <v>131</v>
      </c>
      <c r="AR186" t="s">
        <v>194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 t="s">
        <v>147</v>
      </c>
      <c r="BA186">
        <v>6</v>
      </c>
      <c r="BB186">
        <v>0</v>
      </c>
      <c r="BC186" t="s">
        <v>133</v>
      </c>
      <c r="BD186">
        <v>0</v>
      </c>
      <c r="BE186" t="s">
        <v>133</v>
      </c>
      <c r="BF18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87" spans="1:58" x14ac:dyDescent="0.25">
      <c r="A187" t="s">
        <v>393</v>
      </c>
      <c r="B187" t="s">
        <v>19</v>
      </c>
      <c r="C187">
        <v>1</v>
      </c>
      <c r="D187">
        <v>187</v>
      </c>
      <c r="E187" t="s">
        <v>2108</v>
      </c>
      <c r="F187" t="s">
        <v>123</v>
      </c>
      <c r="G187" t="s">
        <v>124</v>
      </c>
      <c r="H187" t="s">
        <v>125</v>
      </c>
      <c r="I187" t="s">
        <v>137</v>
      </c>
      <c r="J187" t="s">
        <v>163</v>
      </c>
      <c r="K187" t="s">
        <v>127</v>
      </c>
      <c r="L187">
        <v>50</v>
      </c>
      <c r="M187">
        <v>937945</v>
      </c>
      <c r="N187">
        <v>6</v>
      </c>
      <c r="O187">
        <v>1</v>
      </c>
      <c r="P187" t="s">
        <v>128</v>
      </c>
      <c r="Q187" t="s">
        <v>129</v>
      </c>
      <c r="R187">
        <v>17</v>
      </c>
      <c r="T187">
        <v>0</v>
      </c>
      <c r="U187">
        <v>1</v>
      </c>
      <c r="V187">
        <v>7</v>
      </c>
      <c r="W187">
        <v>0</v>
      </c>
      <c r="X187">
        <v>7</v>
      </c>
      <c r="Y187">
        <v>0</v>
      </c>
      <c r="Z187">
        <v>0</v>
      </c>
      <c r="AA187">
        <v>8</v>
      </c>
      <c r="AB187">
        <v>50</v>
      </c>
      <c r="AC187">
        <v>1</v>
      </c>
      <c r="AD187">
        <v>7</v>
      </c>
      <c r="AE187">
        <v>0</v>
      </c>
      <c r="AF187">
        <v>8</v>
      </c>
      <c r="AG187">
        <v>0</v>
      </c>
      <c r="AH187">
        <v>49</v>
      </c>
      <c r="AI187">
        <v>42</v>
      </c>
      <c r="AJ187">
        <v>49</v>
      </c>
      <c r="AK187">
        <v>49</v>
      </c>
      <c r="AL187">
        <v>0</v>
      </c>
      <c r="AM187">
        <v>0.12</v>
      </c>
      <c r="AN187">
        <v>4.454545454545455</v>
      </c>
      <c r="AO187">
        <v>0</v>
      </c>
      <c r="AP187" t="s">
        <v>139</v>
      </c>
      <c r="AQ187" t="s">
        <v>131</v>
      </c>
      <c r="AR187" t="s">
        <v>194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 t="s">
        <v>147</v>
      </c>
      <c r="BA187">
        <v>6</v>
      </c>
      <c r="BB187">
        <v>0</v>
      </c>
      <c r="BC187" t="s">
        <v>144</v>
      </c>
      <c r="BD187">
        <v>0</v>
      </c>
      <c r="BE187" t="s">
        <v>133</v>
      </c>
      <c r="BF18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88" spans="1:58" x14ac:dyDescent="0.25">
      <c r="A188" t="s">
        <v>394</v>
      </c>
      <c r="B188" t="s">
        <v>19</v>
      </c>
      <c r="C188">
        <v>1</v>
      </c>
      <c r="D188">
        <v>188</v>
      </c>
      <c r="E188" t="s">
        <v>2108</v>
      </c>
      <c r="F188" t="s">
        <v>123</v>
      </c>
      <c r="G188" t="s">
        <v>124</v>
      </c>
      <c r="H188" t="s">
        <v>125</v>
      </c>
      <c r="I188" t="s">
        <v>126</v>
      </c>
      <c r="J188" t="s">
        <v>126</v>
      </c>
      <c r="K188" t="s">
        <v>127</v>
      </c>
      <c r="L188">
        <v>50</v>
      </c>
      <c r="M188">
        <v>937947</v>
      </c>
      <c r="N188">
        <v>6</v>
      </c>
      <c r="O188">
        <v>1</v>
      </c>
      <c r="P188" t="s">
        <v>128</v>
      </c>
      <c r="Q188" t="s">
        <v>129</v>
      </c>
      <c r="R188">
        <v>18</v>
      </c>
      <c r="T188">
        <v>43</v>
      </c>
      <c r="U188">
        <v>48</v>
      </c>
      <c r="V188">
        <v>0</v>
      </c>
      <c r="W188">
        <v>0</v>
      </c>
      <c r="X188">
        <v>0</v>
      </c>
      <c r="Y188">
        <v>0</v>
      </c>
      <c r="Z188">
        <v>43</v>
      </c>
      <c r="AA188">
        <v>48</v>
      </c>
      <c r="AB188">
        <v>50</v>
      </c>
      <c r="AC188">
        <v>48</v>
      </c>
      <c r="AD188">
        <v>0</v>
      </c>
      <c r="AE188">
        <v>0</v>
      </c>
      <c r="AF188">
        <v>48</v>
      </c>
      <c r="AG188">
        <v>0</v>
      </c>
      <c r="AH188">
        <v>2</v>
      </c>
      <c r="AI188">
        <v>2</v>
      </c>
      <c r="AJ188">
        <v>2</v>
      </c>
      <c r="AK188">
        <v>2</v>
      </c>
      <c r="AL188">
        <v>0</v>
      </c>
      <c r="AM188">
        <v>0.12</v>
      </c>
      <c r="AN188">
        <v>0.18181818181818182</v>
      </c>
      <c r="AO188">
        <v>0</v>
      </c>
      <c r="AP188" t="s">
        <v>130</v>
      </c>
      <c r="AQ188" t="s">
        <v>131</v>
      </c>
      <c r="AR188" t="s">
        <v>194</v>
      </c>
      <c r="AS188">
        <v>4321</v>
      </c>
      <c r="AT188">
        <v>4498</v>
      </c>
      <c r="AU188">
        <v>0</v>
      </c>
      <c r="AV188">
        <v>0</v>
      </c>
      <c r="AW188">
        <v>8.8190000000000008</v>
      </c>
      <c r="AX188">
        <v>0.18372916666666669</v>
      </c>
      <c r="AY188">
        <v>8.8190000000000008</v>
      </c>
      <c r="AZ188" t="s">
        <v>135</v>
      </c>
      <c r="BA188">
        <v>-2.8190000000000008</v>
      </c>
      <c r="BB188">
        <v>-15.343236194579887</v>
      </c>
      <c r="BC188" t="s">
        <v>132</v>
      </c>
      <c r="BD188">
        <v>0</v>
      </c>
      <c r="BE188" t="s">
        <v>133</v>
      </c>
      <c r="BF18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8.8190000000000008</v>
      </c>
    </row>
    <row r="189" spans="1:58" x14ac:dyDescent="0.25">
      <c r="A189" t="s">
        <v>395</v>
      </c>
      <c r="B189" t="s">
        <v>19</v>
      </c>
      <c r="C189">
        <v>1</v>
      </c>
      <c r="D189">
        <v>189</v>
      </c>
      <c r="E189" t="s">
        <v>2108</v>
      </c>
      <c r="F189" t="s">
        <v>123</v>
      </c>
      <c r="G189" t="s">
        <v>124</v>
      </c>
      <c r="H189" t="s">
        <v>125</v>
      </c>
      <c r="I189" t="s">
        <v>126</v>
      </c>
      <c r="J189" t="s">
        <v>126</v>
      </c>
      <c r="K189" t="s">
        <v>127</v>
      </c>
      <c r="L189">
        <v>50</v>
      </c>
      <c r="M189">
        <v>937949</v>
      </c>
      <c r="N189">
        <v>6</v>
      </c>
      <c r="O189">
        <v>1</v>
      </c>
      <c r="P189" t="s">
        <v>128</v>
      </c>
      <c r="Q189" t="s">
        <v>129</v>
      </c>
      <c r="R189">
        <v>18</v>
      </c>
      <c r="T189">
        <v>7</v>
      </c>
      <c r="U189">
        <v>12</v>
      </c>
      <c r="V189">
        <v>12</v>
      </c>
      <c r="W189">
        <v>0</v>
      </c>
      <c r="X189">
        <v>12</v>
      </c>
      <c r="Y189">
        <v>0</v>
      </c>
      <c r="Z189">
        <v>19</v>
      </c>
      <c r="AA189">
        <v>24</v>
      </c>
      <c r="AB189">
        <v>50</v>
      </c>
      <c r="AC189">
        <v>20</v>
      </c>
      <c r="AD189">
        <v>24</v>
      </c>
      <c r="AE189">
        <v>0</v>
      </c>
      <c r="AF189">
        <v>44</v>
      </c>
      <c r="AG189">
        <v>0</v>
      </c>
      <c r="AH189">
        <v>30</v>
      </c>
      <c r="AI189">
        <v>6</v>
      </c>
      <c r="AJ189">
        <v>30</v>
      </c>
      <c r="AK189">
        <v>30</v>
      </c>
      <c r="AL189">
        <v>0</v>
      </c>
      <c r="AM189">
        <v>0.12</v>
      </c>
      <c r="AN189">
        <v>2.7272727272727275</v>
      </c>
      <c r="AO189">
        <v>0</v>
      </c>
      <c r="AP189" t="s">
        <v>130</v>
      </c>
      <c r="AQ189" t="s">
        <v>131</v>
      </c>
      <c r="AR189" t="s">
        <v>194</v>
      </c>
      <c r="AS189">
        <v>1246</v>
      </c>
      <c r="AT189">
        <v>1261</v>
      </c>
      <c r="AU189">
        <v>0</v>
      </c>
      <c r="AV189">
        <v>0</v>
      </c>
      <c r="AW189">
        <v>2.5070000000000001</v>
      </c>
      <c r="AX189">
        <v>0.12535000000000002</v>
      </c>
      <c r="AY189">
        <v>5.5154000000000005</v>
      </c>
      <c r="AZ189" t="s">
        <v>135</v>
      </c>
      <c r="BA189">
        <v>0.48459999999999948</v>
      </c>
      <c r="BB189">
        <v>3.865975269246106</v>
      </c>
      <c r="BC189" t="s">
        <v>133</v>
      </c>
      <c r="BD189">
        <v>0</v>
      </c>
      <c r="BE189" t="s">
        <v>133</v>
      </c>
      <c r="BF18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2.5070000000000001</v>
      </c>
    </row>
    <row r="190" spans="1:58" x14ac:dyDescent="0.25">
      <c r="A190" t="s">
        <v>396</v>
      </c>
      <c r="B190" t="s">
        <v>19</v>
      </c>
      <c r="C190">
        <v>1</v>
      </c>
      <c r="D190">
        <v>190</v>
      </c>
      <c r="E190" t="s">
        <v>2108</v>
      </c>
      <c r="F190" t="s">
        <v>123</v>
      </c>
      <c r="G190" t="s">
        <v>124</v>
      </c>
      <c r="H190" t="s">
        <v>125</v>
      </c>
      <c r="I190" t="s">
        <v>126</v>
      </c>
      <c r="J190" t="s">
        <v>126</v>
      </c>
      <c r="K190" t="s">
        <v>127</v>
      </c>
      <c r="L190">
        <v>50</v>
      </c>
      <c r="M190">
        <v>937951</v>
      </c>
      <c r="N190">
        <v>6</v>
      </c>
      <c r="O190">
        <v>1</v>
      </c>
      <c r="P190" t="s">
        <v>128</v>
      </c>
      <c r="Q190" t="s">
        <v>129</v>
      </c>
      <c r="R190">
        <v>18</v>
      </c>
      <c r="T190">
        <v>11</v>
      </c>
      <c r="U190">
        <v>16</v>
      </c>
      <c r="V190">
        <v>7</v>
      </c>
      <c r="W190">
        <v>0</v>
      </c>
      <c r="X190">
        <v>7</v>
      </c>
      <c r="Y190">
        <v>0</v>
      </c>
      <c r="Z190">
        <v>18</v>
      </c>
      <c r="AA190">
        <v>23</v>
      </c>
      <c r="AB190">
        <v>50</v>
      </c>
      <c r="AC190">
        <v>24</v>
      </c>
      <c r="AD190">
        <v>14</v>
      </c>
      <c r="AE190">
        <v>0</v>
      </c>
      <c r="AF190">
        <v>38</v>
      </c>
      <c r="AG190">
        <v>0</v>
      </c>
      <c r="AH190">
        <v>26</v>
      </c>
      <c r="AI190">
        <v>12</v>
      </c>
      <c r="AJ190">
        <v>26</v>
      </c>
      <c r="AK190">
        <v>26</v>
      </c>
      <c r="AL190">
        <v>0</v>
      </c>
      <c r="AM190">
        <v>0.12</v>
      </c>
      <c r="AN190">
        <v>2.3636363636363638</v>
      </c>
      <c r="AO190">
        <v>0</v>
      </c>
      <c r="AP190" t="s">
        <v>130</v>
      </c>
      <c r="AQ190" t="s">
        <v>131</v>
      </c>
      <c r="AR190" t="s">
        <v>194</v>
      </c>
      <c r="AS190">
        <v>2217</v>
      </c>
      <c r="AT190">
        <v>2106</v>
      </c>
      <c r="AU190">
        <v>0</v>
      </c>
      <c r="AV190">
        <v>0</v>
      </c>
      <c r="AW190">
        <v>4.3230000000000004</v>
      </c>
      <c r="AX190">
        <v>0.18012500000000001</v>
      </c>
      <c r="AY190">
        <v>6.8447500000000003</v>
      </c>
      <c r="AZ190" t="s">
        <v>135</v>
      </c>
      <c r="BA190">
        <v>-0.84475000000000033</v>
      </c>
      <c r="BB190">
        <v>-4.689798750867455</v>
      </c>
      <c r="BC190" t="s">
        <v>133</v>
      </c>
      <c r="BD190">
        <v>0</v>
      </c>
      <c r="BE190" t="s">
        <v>133</v>
      </c>
      <c r="BF19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4.3230000000000004</v>
      </c>
    </row>
    <row r="191" spans="1:58" x14ac:dyDescent="0.25">
      <c r="A191" t="s">
        <v>397</v>
      </c>
      <c r="B191" t="s">
        <v>19</v>
      </c>
      <c r="C191">
        <v>1</v>
      </c>
      <c r="D191">
        <v>191</v>
      </c>
      <c r="E191" t="s">
        <v>2108</v>
      </c>
      <c r="F191" t="s">
        <v>123</v>
      </c>
      <c r="G191" t="s">
        <v>124</v>
      </c>
      <c r="H191" t="s">
        <v>125</v>
      </c>
      <c r="I191" t="s">
        <v>126</v>
      </c>
      <c r="J191" t="s">
        <v>126</v>
      </c>
      <c r="K191" t="s">
        <v>127</v>
      </c>
      <c r="L191">
        <v>50</v>
      </c>
      <c r="M191">
        <v>937953</v>
      </c>
      <c r="N191">
        <v>6</v>
      </c>
      <c r="O191">
        <v>1</v>
      </c>
      <c r="P191" t="s">
        <v>128</v>
      </c>
      <c r="Q191" t="s">
        <v>129</v>
      </c>
      <c r="R191">
        <v>18</v>
      </c>
      <c r="T191">
        <v>7</v>
      </c>
      <c r="U191">
        <v>12</v>
      </c>
      <c r="V191">
        <v>4</v>
      </c>
      <c r="W191">
        <v>0</v>
      </c>
      <c r="X191">
        <v>4</v>
      </c>
      <c r="Y191">
        <v>2</v>
      </c>
      <c r="Z191">
        <v>13</v>
      </c>
      <c r="AA191">
        <v>18</v>
      </c>
      <c r="AB191">
        <v>50</v>
      </c>
      <c r="AC191">
        <v>17</v>
      </c>
      <c r="AD191">
        <v>7</v>
      </c>
      <c r="AE191">
        <v>3</v>
      </c>
      <c r="AF191">
        <v>27</v>
      </c>
      <c r="AG191">
        <v>0</v>
      </c>
      <c r="AH191">
        <v>33</v>
      </c>
      <c r="AI191">
        <v>23</v>
      </c>
      <c r="AJ191">
        <v>30</v>
      </c>
      <c r="AK191">
        <v>33</v>
      </c>
      <c r="AL191">
        <v>0</v>
      </c>
      <c r="AM191">
        <v>0.12</v>
      </c>
      <c r="AN191">
        <v>2.7272727272727275</v>
      </c>
      <c r="AO191">
        <v>0</v>
      </c>
      <c r="AP191" t="s">
        <v>130</v>
      </c>
      <c r="AQ191" t="s">
        <v>131</v>
      </c>
      <c r="AR191" t="s">
        <v>194</v>
      </c>
      <c r="AS191">
        <v>1762</v>
      </c>
      <c r="AT191">
        <v>1361</v>
      </c>
      <c r="AU191">
        <v>0</v>
      </c>
      <c r="AV191">
        <v>0</v>
      </c>
      <c r="AW191">
        <v>3.1230000000000002</v>
      </c>
      <c r="AX191">
        <v>0.18370588235294119</v>
      </c>
      <c r="AY191">
        <v>4.9600588235294119</v>
      </c>
      <c r="AZ191" t="s">
        <v>135</v>
      </c>
      <c r="BA191">
        <v>1.0399411764705881</v>
      </c>
      <c r="BB191">
        <v>5.6609029779058586</v>
      </c>
      <c r="BC191" t="s">
        <v>133</v>
      </c>
      <c r="BD191">
        <v>0</v>
      </c>
      <c r="BE191" t="s">
        <v>133</v>
      </c>
      <c r="BF19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3.1230000000000002</v>
      </c>
    </row>
    <row r="192" spans="1:58" x14ac:dyDescent="0.25">
      <c r="A192" t="s">
        <v>398</v>
      </c>
      <c r="B192" t="s">
        <v>19</v>
      </c>
      <c r="C192">
        <v>1</v>
      </c>
      <c r="D192">
        <v>192</v>
      </c>
      <c r="E192" t="s">
        <v>2108</v>
      </c>
      <c r="F192" t="s">
        <v>123</v>
      </c>
      <c r="G192" t="s">
        <v>124</v>
      </c>
      <c r="H192" t="s">
        <v>125</v>
      </c>
      <c r="I192" t="s">
        <v>126</v>
      </c>
      <c r="J192" t="s">
        <v>126</v>
      </c>
      <c r="K192" t="s">
        <v>127</v>
      </c>
      <c r="L192">
        <v>50</v>
      </c>
      <c r="M192">
        <v>937955</v>
      </c>
      <c r="N192">
        <v>6</v>
      </c>
      <c r="O192">
        <v>1</v>
      </c>
      <c r="P192" t="s">
        <v>128</v>
      </c>
      <c r="Q192" t="s">
        <v>129</v>
      </c>
      <c r="R192">
        <v>18</v>
      </c>
      <c r="T192">
        <v>10</v>
      </c>
      <c r="U192">
        <v>15</v>
      </c>
      <c r="V192">
        <v>2</v>
      </c>
      <c r="W192">
        <v>0</v>
      </c>
      <c r="X192">
        <v>2</v>
      </c>
      <c r="Y192">
        <v>1</v>
      </c>
      <c r="Z192">
        <v>13</v>
      </c>
      <c r="AA192">
        <v>18</v>
      </c>
      <c r="AB192">
        <v>50</v>
      </c>
      <c r="AC192">
        <v>25</v>
      </c>
      <c r="AD192">
        <v>2</v>
      </c>
      <c r="AE192">
        <v>1</v>
      </c>
      <c r="AF192">
        <v>28</v>
      </c>
      <c r="AG192">
        <v>0</v>
      </c>
      <c r="AH192">
        <v>25</v>
      </c>
      <c r="AI192">
        <v>22</v>
      </c>
      <c r="AJ192">
        <v>24</v>
      </c>
      <c r="AK192">
        <v>25</v>
      </c>
      <c r="AL192">
        <v>0</v>
      </c>
      <c r="AM192">
        <v>0.12</v>
      </c>
      <c r="AN192">
        <v>2.1818181818181817</v>
      </c>
      <c r="AO192">
        <v>0</v>
      </c>
      <c r="AP192" t="s">
        <v>130</v>
      </c>
      <c r="AQ192" t="s">
        <v>131</v>
      </c>
      <c r="AR192" t="s">
        <v>194</v>
      </c>
      <c r="AS192">
        <v>1412</v>
      </c>
      <c r="AT192">
        <v>1306</v>
      </c>
      <c r="AU192">
        <v>0</v>
      </c>
      <c r="AV192">
        <v>0</v>
      </c>
      <c r="AW192">
        <v>2.718</v>
      </c>
      <c r="AX192">
        <v>0.10872</v>
      </c>
      <c r="AY192">
        <v>3.0441599999999998</v>
      </c>
      <c r="AZ192" t="s">
        <v>135</v>
      </c>
      <c r="BA192">
        <v>2.9558400000000002</v>
      </c>
      <c r="BB192">
        <v>27.187637969094926</v>
      </c>
      <c r="BC192" t="s">
        <v>133</v>
      </c>
      <c r="BD192">
        <v>0</v>
      </c>
      <c r="BE192" t="s">
        <v>133</v>
      </c>
      <c r="BF19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2.718</v>
      </c>
    </row>
    <row r="193" spans="1:58" x14ac:dyDescent="0.25">
      <c r="A193" t="s">
        <v>399</v>
      </c>
      <c r="B193" t="s">
        <v>19</v>
      </c>
      <c r="C193">
        <v>1</v>
      </c>
      <c r="D193">
        <v>193</v>
      </c>
      <c r="E193" t="s">
        <v>2108</v>
      </c>
      <c r="F193" t="s">
        <v>123</v>
      </c>
      <c r="G193" t="s">
        <v>124</v>
      </c>
      <c r="H193" t="s">
        <v>136</v>
      </c>
      <c r="I193" t="s">
        <v>137</v>
      </c>
      <c r="J193" t="s">
        <v>138</v>
      </c>
      <c r="K193" t="s">
        <v>127</v>
      </c>
      <c r="L193">
        <v>50</v>
      </c>
      <c r="M193">
        <v>937957</v>
      </c>
      <c r="N193">
        <v>5</v>
      </c>
      <c r="O193">
        <v>1</v>
      </c>
      <c r="P193" t="s">
        <v>128</v>
      </c>
      <c r="Q193" t="s">
        <v>129</v>
      </c>
      <c r="R193">
        <v>18</v>
      </c>
      <c r="T193">
        <v>0</v>
      </c>
      <c r="U193">
        <v>4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4</v>
      </c>
      <c r="AB193">
        <v>50</v>
      </c>
      <c r="AC193">
        <v>4</v>
      </c>
      <c r="AD193">
        <v>0</v>
      </c>
      <c r="AE193">
        <v>0</v>
      </c>
      <c r="AF193">
        <v>4</v>
      </c>
      <c r="AG193">
        <v>0</v>
      </c>
      <c r="AH193">
        <v>46</v>
      </c>
      <c r="AI193">
        <v>46</v>
      </c>
      <c r="AJ193">
        <v>46</v>
      </c>
      <c r="AK193">
        <v>46</v>
      </c>
      <c r="AL193">
        <v>0</v>
      </c>
      <c r="AM193">
        <v>0.1</v>
      </c>
      <c r="AN193">
        <v>4.1818181818181817</v>
      </c>
      <c r="AO193">
        <v>0</v>
      </c>
      <c r="AP193" t="s">
        <v>139</v>
      </c>
      <c r="AQ193" t="s">
        <v>131</v>
      </c>
      <c r="AR193" t="s">
        <v>194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 t="s">
        <v>134</v>
      </c>
      <c r="BA193">
        <v>5</v>
      </c>
      <c r="BB193">
        <v>0</v>
      </c>
      <c r="BC193" t="s">
        <v>133</v>
      </c>
      <c r="BD193">
        <v>0</v>
      </c>
      <c r="BE193" t="s">
        <v>133</v>
      </c>
      <c r="BF19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94" spans="1:58" x14ac:dyDescent="0.25">
      <c r="A194" t="s">
        <v>400</v>
      </c>
      <c r="B194" t="s">
        <v>19</v>
      </c>
      <c r="C194">
        <v>1</v>
      </c>
      <c r="D194">
        <v>194</v>
      </c>
      <c r="E194" t="s">
        <v>2108</v>
      </c>
      <c r="F194" t="s">
        <v>123</v>
      </c>
      <c r="G194" t="s">
        <v>124</v>
      </c>
      <c r="H194" t="s">
        <v>125</v>
      </c>
      <c r="I194" t="s">
        <v>126</v>
      </c>
      <c r="J194" t="s">
        <v>126</v>
      </c>
      <c r="K194" t="s">
        <v>127</v>
      </c>
      <c r="L194">
        <v>50</v>
      </c>
      <c r="M194">
        <v>937959</v>
      </c>
      <c r="N194">
        <v>6</v>
      </c>
      <c r="O194">
        <v>1</v>
      </c>
      <c r="P194" t="s">
        <v>128</v>
      </c>
      <c r="Q194" t="s">
        <v>129</v>
      </c>
      <c r="R194">
        <v>18</v>
      </c>
      <c r="T194">
        <v>3</v>
      </c>
      <c r="U194">
        <v>8</v>
      </c>
      <c r="V194">
        <v>4</v>
      </c>
      <c r="W194">
        <v>0</v>
      </c>
      <c r="X194">
        <v>4</v>
      </c>
      <c r="Y194">
        <v>3</v>
      </c>
      <c r="Z194">
        <v>10</v>
      </c>
      <c r="AA194">
        <v>15</v>
      </c>
      <c r="AB194">
        <v>50</v>
      </c>
      <c r="AC194">
        <v>11</v>
      </c>
      <c r="AD194">
        <v>9</v>
      </c>
      <c r="AE194">
        <v>3</v>
      </c>
      <c r="AF194">
        <v>23</v>
      </c>
      <c r="AG194">
        <v>0</v>
      </c>
      <c r="AH194">
        <v>39</v>
      </c>
      <c r="AI194">
        <v>27</v>
      </c>
      <c r="AJ194">
        <v>36</v>
      </c>
      <c r="AK194">
        <v>39</v>
      </c>
      <c r="AL194">
        <v>0</v>
      </c>
      <c r="AM194">
        <v>0.12</v>
      </c>
      <c r="AN194">
        <v>3.2727272727272729</v>
      </c>
      <c r="AO194">
        <v>0</v>
      </c>
      <c r="AP194" t="s">
        <v>130</v>
      </c>
      <c r="AQ194" t="s">
        <v>131</v>
      </c>
      <c r="AR194" t="s">
        <v>194</v>
      </c>
      <c r="AS194">
        <v>722</v>
      </c>
      <c r="AT194">
        <v>724</v>
      </c>
      <c r="AU194">
        <v>0</v>
      </c>
      <c r="AV194">
        <v>0</v>
      </c>
      <c r="AW194">
        <v>1.446</v>
      </c>
      <c r="AX194">
        <v>0.13145454545454546</v>
      </c>
      <c r="AY194">
        <v>3.0234545454545456</v>
      </c>
      <c r="AZ194" t="s">
        <v>135</v>
      </c>
      <c r="BA194">
        <v>2.9765454545454544</v>
      </c>
      <c r="BB194">
        <v>22.643153526970952</v>
      </c>
      <c r="BC194" t="s">
        <v>133</v>
      </c>
      <c r="BD194">
        <v>0</v>
      </c>
      <c r="BE194" t="s">
        <v>133</v>
      </c>
      <c r="BF19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1.446</v>
      </c>
    </row>
    <row r="195" spans="1:58" x14ac:dyDescent="0.25">
      <c r="A195" t="s">
        <v>401</v>
      </c>
      <c r="B195" t="s">
        <v>19</v>
      </c>
      <c r="C195">
        <v>1</v>
      </c>
      <c r="D195">
        <v>195</v>
      </c>
      <c r="E195" t="s">
        <v>2108</v>
      </c>
      <c r="F195" t="s">
        <v>123</v>
      </c>
      <c r="G195" t="s">
        <v>124</v>
      </c>
      <c r="H195" t="s">
        <v>125</v>
      </c>
      <c r="I195" t="s">
        <v>126</v>
      </c>
      <c r="J195" t="s">
        <v>126</v>
      </c>
      <c r="K195" t="s">
        <v>127</v>
      </c>
      <c r="L195">
        <v>50</v>
      </c>
      <c r="M195">
        <v>937961</v>
      </c>
      <c r="N195">
        <v>6</v>
      </c>
      <c r="O195">
        <v>1</v>
      </c>
      <c r="P195" t="s">
        <v>128</v>
      </c>
      <c r="Q195" t="s">
        <v>129</v>
      </c>
      <c r="R195">
        <v>18</v>
      </c>
      <c r="T195">
        <v>13</v>
      </c>
      <c r="U195">
        <v>18</v>
      </c>
      <c r="V195">
        <v>3</v>
      </c>
      <c r="W195">
        <v>0</v>
      </c>
      <c r="X195">
        <v>3</v>
      </c>
      <c r="Y195">
        <v>0</v>
      </c>
      <c r="Z195">
        <v>16</v>
      </c>
      <c r="AA195">
        <v>21</v>
      </c>
      <c r="AB195">
        <v>50</v>
      </c>
      <c r="AC195">
        <v>26</v>
      </c>
      <c r="AD195">
        <v>3</v>
      </c>
      <c r="AE195">
        <v>0</v>
      </c>
      <c r="AF195">
        <v>29</v>
      </c>
      <c r="AG195">
        <v>0</v>
      </c>
      <c r="AH195">
        <v>24</v>
      </c>
      <c r="AI195">
        <v>21</v>
      </c>
      <c r="AJ195">
        <v>24</v>
      </c>
      <c r="AK195">
        <v>24</v>
      </c>
      <c r="AL195">
        <v>0</v>
      </c>
      <c r="AM195">
        <v>0.12</v>
      </c>
      <c r="AN195">
        <v>2.1818181818181817</v>
      </c>
      <c r="AO195">
        <v>0</v>
      </c>
      <c r="AP195" t="s">
        <v>130</v>
      </c>
      <c r="AQ195" t="s">
        <v>131</v>
      </c>
      <c r="AR195" t="s">
        <v>194</v>
      </c>
      <c r="AS195">
        <v>1968</v>
      </c>
      <c r="AT195">
        <v>1971</v>
      </c>
      <c r="AU195">
        <v>0</v>
      </c>
      <c r="AV195">
        <v>0</v>
      </c>
      <c r="AW195">
        <v>3.9390000000000001</v>
      </c>
      <c r="AX195">
        <v>0.1515</v>
      </c>
      <c r="AY195">
        <v>4.3934999999999995</v>
      </c>
      <c r="AZ195" t="s">
        <v>135</v>
      </c>
      <c r="BA195">
        <v>1.6065000000000005</v>
      </c>
      <c r="BB195">
        <v>10.603960396039607</v>
      </c>
      <c r="BC195" t="s">
        <v>133</v>
      </c>
      <c r="BD195">
        <v>0</v>
      </c>
      <c r="BE195" t="s">
        <v>133</v>
      </c>
      <c r="BF19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3.9390000000000001</v>
      </c>
    </row>
    <row r="196" spans="1:58" x14ac:dyDescent="0.25">
      <c r="A196" t="s">
        <v>402</v>
      </c>
      <c r="B196" t="s">
        <v>19</v>
      </c>
      <c r="C196">
        <v>1</v>
      </c>
      <c r="D196">
        <v>196</v>
      </c>
      <c r="E196" t="s">
        <v>2108</v>
      </c>
      <c r="F196" t="s">
        <v>123</v>
      </c>
      <c r="G196" t="s">
        <v>124</v>
      </c>
      <c r="H196" t="s">
        <v>125</v>
      </c>
      <c r="I196" t="s">
        <v>126</v>
      </c>
      <c r="J196" t="s">
        <v>126</v>
      </c>
      <c r="K196" t="s">
        <v>127</v>
      </c>
      <c r="L196">
        <v>50</v>
      </c>
      <c r="M196">
        <v>937963</v>
      </c>
      <c r="N196">
        <v>6</v>
      </c>
      <c r="O196">
        <v>1</v>
      </c>
      <c r="P196" t="s">
        <v>128</v>
      </c>
      <c r="Q196" t="s">
        <v>129</v>
      </c>
      <c r="R196">
        <v>18</v>
      </c>
      <c r="T196">
        <v>16</v>
      </c>
      <c r="U196">
        <v>21</v>
      </c>
      <c r="V196">
        <v>3</v>
      </c>
      <c r="W196">
        <v>0</v>
      </c>
      <c r="X196">
        <v>3</v>
      </c>
      <c r="Y196">
        <v>1</v>
      </c>
      <c r="Z196">
        <v>20</v>
      </c>
      <c r="AA196">
        <v>25</v>
      </c>
      <c r="AB196">
        <v>50</v>
      </c>
      <c r="AC196">
        <v>26</v>
      </c>
      <c r="AD196">
        <v>3</v>
      </c>
      <c r="AE196">
        <v>1</v>
      </c>
      <c r="AF196">
        <v>30</v>
      </c>
      <c r="AG196">
        <v>0</v>
      </c>
      <c r="AH196">
        <v>24</v>
      </c>
      <c r="AI196">
        <v>20</v>
      </c>
      <c r="AJ196">
        <v>23</v>
      </c>
      <c r="AK196">
        <v>24</v>
      </c>
      <c r="AL196">
        <v>0</v>
      </c>
      <c r="AM196">
        <v>0.12</v>
      </c>
      <c r="AN196">
        <v>2.0909090909090908</v>
      </c>
      <c r="AO196">
        <v>0</v>
      </c>
      <c r="AP196" t="s">
        <v>130</v>
      </c>
      <c r="AQ196" t="s">
        <v>131</v>
      </c>
      <c r="AR196" t="s">
        <v>194</v>
      </c>
      <c r="AS196">
        <v>2048</v>
      </c>
      <c r="AT196">
        <v>2222</v>
      </c>
      <c r="AU196">
        <v>0</v>
      </c>
      <c r="AV196">
        <v>0</v>
      </c>
      <c r="AW196">
        <v>4.2699999999999996</v>
      </c>
      <c r="AX196">
        <v>0.16423076923076921</v>
      </c>
      <c r="AY196">
        <v>4.9269230769230763</v>
      </c>
      <c r="AZ196" t="s">
        <v>135</v>
      </c>
      <c r="BA196">
        <v>1.0730769230769237</v>
      </c>
      <c r="BB196">
        <v>6.5339578454332603</v>
      </c>
      <c r="BC196" t="s">
        <v>133</v>
      </c>
      <c r="BD196">
        <v>0</v>
      </c>
      <c r="BE196" t="s">
        <v>133</v>
      </c>
      <c r="BF19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4.2699999999999996</v>
      </c>
    </row>
    <row r="197" spans="1:58" x14ac:dyDescent="0.25">
      <c r="A197" t="s">
        <v>403</v>
      </c>
      <c r="B197" t="s">
        <v>19</v>
      </c>
      <c r="C197">
        <v>1</v>
      </c>
      <c r="D197">
        <v>197</v>
      </c>
      <c r="E197" t="s">
        <v>2108</v>
      </c>
      <c r="F197" t="s">
        <v>123</v>
      </c>
      <c r="G197" t="s">
        <v>124</v>
      </c>
      <c r="H197" t="s">
        <v>125</v>
      </c>
      <c r="I197" t="s">
        <v>126</v>
      </c>
      <c r="J197" t="s">
        <v>126</v>
      </c>
      <c r="K197" t="s">
        <v>127</v>
      </c>
      <c r="L197">
        <v>50</v>
      </c>
      <c r="M197">
        <v>937965</v>
      </c>
      <c r="N197">
        <v>6</v>
      </c>
      <c r="O197">
        <v>1</v>
      </c>
      <c r="P197" t="s">
        <v>128</v>
      </c>
      <c r="Q197" t="s">
        <v>129</v>
      </c>
      <c r="R197">
        <v>18</v>
      </c>
      <c r="T197">
        <v>12</v>
      </c>
      <c r="U197">
        <v>17</v>
      </c>
      <c r="V197">
        <v>2</v>
      </c>
      <c r="W197">
        <v>0</v>
      </c>
      <c r="X197">
        <v>2</v>
      </c>
      <c r="Y197">
        <v>0</v>
      </c>
      <c r="Z197">
        <v>14</v>
      </c>
      <c r="AA197">
        <v>19</v>
      </c>
      <c r="AB197">
        <v>50</v>
      </c>
      <c r="AC197">
        <v>21</v>
      </c>
      <c r="AD197">
        <v>3</v>
      </c>
      <c r="AE197">
        <v>0</v>
      </c>
      <c r="AF197">
        <v>24</v>
      </c>
      <c r="AG197">
        <v>0</v>
      </c>
      <c r="AH197">
        <v>29</v>
      </c>
      <c r="AI197">
        <v>26</v>
      </c>
      <c r="AJ197">
        <v>29</v>
      </c>
      <c r="AK197">
        <v>29</v>
      </c>
      <c r="AL197">
        <v>0</v>
      </c>
      <c r="AM197">
        <v>0.12</v>
      </c>
      <c r="AN197">
        <v>2.6363636363636362</v>
      </c>
      <c r="AO197">
        <v>0</v>
      </c>
      <c r="AP197" t="s">
        <v>130</v>
      </c>
      <c r="AQ197" t="s">
        <v>131</v>
      </c>
      <c r="AR197" t="s">
        <v>194</v>
      </c>
      <c r="AS197">
        <v>1762</v>
      </c>
      <c r="AT197">
        <v>1747</v>
      </c>
      <c r="AU197">
        <v>0</v>
      </c>
      <c r="AV197">
        <v>0</v>
      </c>
      <c r="AW197">
        <v>3.5089999999999999</v>
      </c>
      <c r="AX197">
        <v>0.1670952380952381</v>
      </c>
      <c r="AY197">
        <v>4.0102857142857147</v>
      </c>
      <c r="AZ197" t="s">
        <v>135</v>
      </c>
      <c r="BA197">
        <v>1.9897142857142853</v>
      </c>
      <c r="BB197">
        <v>11.907666001709886</v>
      </c>
      <c r="BC197" t="s">
        <v>133</v>
      </c>
      <c r="BD197">
        <v>0</v>
      </c>
      <c r="BE197" t="s">
        <v>133</v>
      </c>
      <c r="BF19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3.5089999999999999</v>
      </c>
    </row>
    <row r="198" spans="1:58" x14ac:dyDescent="0.25">
      <c r="A198" t="s">
        <v>404</v>
      </c>
      <c r="B198" t="s">
        <v>19</v>
      </c>
      <c r="C198">
        <v>1</v>
      </c>
      <c r="D198">
        <v>198</v>
      </c>
      <c r="E198" t="s">
        <v>2108</v>
      </c>
      <c r="F198" t="s">
        <v>123</v>
      </c>
      <c r="G198" t="s">
        <v>124</v>
      </c>
      <c r="H198" t="s">
        <v>125</v>
      </c>
      <c r="I198" t="s">
        <v>126</v>
      </c>
      <c r="J198" t="s">
        <v>126</v>
      </c>
      <c r="K198" t="s">
        <v>127</v>
      </c>
      <c r="L198">
        <v>50</v>
      </c>
      <c r="M198">
        <v>937967</v>
      </c>
      <c r="N198">
        <v>6</v>
      </c>
      <c r="O198">
        <v>1</v>
      </c>
      <c r="P198" t="s">
        <v>128</v>
      </c>
      <c r="Q198" t="s">
        <v>129</v>
      </c>
      <c r="R198">
        <v>18</v>
      </c>
      <c r="T198">
        <v>9</v>
      </c>
      <c r="U198">
        <v>14</v>
      </c>
      <c r="V198">
        <v>4</v>
      </c>
      <c r="W198">
        <v>0</v>
      </c>
      <c r="X198">
        <v>4</v>
      </c>
      <c r="Y198">
        <v>0</v>
      </c>
      <c r="Z198">
        <v>13</v>
      </c>
      <c r="AA198">
        <v>18</v>
      </c>
      <c r="AB198">
        <v>50</v>
      </c>
      <c r="AC198">
        <v>15</v>
      </c>
      <c r="AD198">
        <v>5</v>
      </c>
      <c r="AE198">
        <v>0</v>
      </c>
      <c r="AF198">
        <v>20</v>
      </c>
      <c r="AG198">
        <v>0</v>
      </c>
      <c r="AH198">
        <v>35</v>
      </c>
      <c r="AI198">
        <v>30</v>
      </c>
      <c r="AJ198">
        <v>35</v>
      </c>
      <c r="AK198">
        <v>35</v>
      </c>
      <c r="AL198">
        <v>0</v>
      </c>
      <c r="AM198">
        <v>0.12</v>
      </c>
      <c r="AN198">
        <v>3.1818181818181821</v>
      </c>
      <c r="AO198">
        <v>0</v>
      </c>
      <c r="AP198" t="s">
        <v>130</v>
      </c>
      <c r="AQ198" t="s">
        <v>131</v>
      </c>
      <c r="AR198" t="s">
        <v>194</v>
      </c>
      <c r="AS198">
        <v>1537</v>
      </c>
      <c r="AT198">
        <v>1459</v>
      </c>
      <c r="AU198">
        <v>0</v>
      </c>
      <c r="AV198">
        <v>0</v>
      </c>
      <c r="AW198">
        <v>2.996</v>
      </c>
      <c r="AX198">
        <v>0.19973333333333335</v>
      </c>
      <c r="AY198">
        <v>3.9946666666666668</v>
      </c>
      <c r="AZ198" t="s">
        <v>135</v>
      </c>
      <c r="BA198">
        <v>2.0053333333333332</v>
      </c>
      <c r="BB198">
        <v>10.040053404539384</v>
      </c>
      <c r="BC198" t="s">
        <v>144</v>
      </c>
      <c r="BD198">
        <v>0</v>
      </c>
      <c r="BE198" t="s">
        <v>133</v>
      </c>
      <c r="BF19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2.996</v>
      </c>
    </row>
    <row r="199" spans="1:58" x14ac:dyDescent="0.25">
      <c r="A199" t="s">
        <v>405</v>
      </c>
      <c r="B199" t="s">
        <v>19</v>
      </c>
      <c r="C199">
        <v>1</v>
      </c>
      <c r="D199">
        <v>199</v>
      </c>
      <c r="E199" t="s">
        <v>2108</v>
      </c>
      <c r="F199" t="s">
        <v>123</v>
      </c>
      <c r="G199" t="s">
        <v>124</v>
      </c>
      <c r="H199" t="s">
        <v>125</v>
      </c>
      <c r="I199" t="s">
        <v>137</v>
      </c>
      <c r="J199" t="s">
        <v>146</v>
      </c>
      <c r="K199" t="s">
        <v>127</v>
      </c>
      <c r="L199">
        <v>50</v>
      </c>
      <c r="M199">
        <v>937969</v>
      </c>
      <c r="N199">
        <v>6</v>
      </c>
      <c r="O199">
        <v>1</v>
      </c>
      <c r="P199" t="s">
        <v>128</v>
      </c>
      <c r="Q199" t="s">
        <v>129</v>
      </c>
      <c r="R199">
        <v>19</v>
      </c>
      <c r="T199">
        <v>0</v>
      </c>
      <c r="U199">
        <v>27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27</v>
      </c>
      <c r="AB199">
        <v>50</v>
      </c>
      <c r="AC199">
        <v>29</v>
      </c>
      <c r="AD199">
        <v>0</v>
      </c>
      <c r="AE199">
        <v>0</v>
      </c>
      <c r="AF199">
        <v>29</v>
      </c>
      <c r="AG199">
        <v>0</v>
      </c>
      <c r="AH199">
        <v>21</v>
      </c>
      <c r="AI199">
        <v>21</v>
      </c>
      <c r="AJ199">
        <v>21</v>
      </c>
      <c r="AK199">
        <v>21</v>
      </c>
      <c r="AL199">
        <v>0</v>
      </c>
      <c r="AM199">
        <v>0.12</v>
      </c>
      <c r="AN199">
        <v>1.9090909090909092</v>
      </c>
      <c r="AO199">
        <v>0</v>
      </c>
      <c r="AP199" t="s">
        <v>139</v>
      </c>
      <c r="AQ199" t="s">
        <v>131</v>
      </c>
      <c r="AR199" t="s">
        <v>194</v>
      </c>
      <c r="AS199">
        <v>2280</v>
      </c>
      <c r="AT199">
        <v>2180</v>
      </c>
      <c r="AU199">
        <v>0</v>
      </c>
      <c r="AV199">
        <v>0</v>
      </c>
      <c r="AW199">
        <v>4.46</v>
      </c>
      <c r="AX199">
        <v>0.15379310344827585</v>
      </c>
      <c r="AY199">
        <v>4.46</v>
      </c>
      <c r="AZ199" t="s">
        <v>135</v>
      </c>
      <c r="BA199">
        <v>1.54</v>
      </c>
      <c r="BB199">
        <v>10.013452914798208</v>
      </c>
      <c r="BC199" t="s">
        <v>132</v>
      </c>
      <c r="BD199">
        <v>0</v>
      </c>
      <c r="BE199" t="s">
        <v>133</v>
      </c>
      <c r="BF19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4.46</v>
      </c>
    </row>
    <row r="200" spans="1:58" x14ac:dyDescent="0.25">
      <c r="A200" t="s">
        <v>406</v>
      </c>
      <c r="B200" t="s">
        <v>19</v>
      </c>
      <c r="C200">
        <v>1</v>
      </c>
      <c r="D200">
        <v>200</v>
      </c>
      <c r="E200" t="s">
        <v>2108</v>
      </c>
      <c r="F200" t="s">
        <v>123</v>
      </c>
      <c r="G200" t="s">
        <v>124</v>
      </c>
      <c r="H200" t="s">
        <v>125</v>
      </c>
      <c r="I200" t="s">
        <v>126</v>
      </c>
      <c r="J200" t="s">
        <v>180</v>
      </c>
      <c r="K200" t="s">
        <v>127</v>
      </c>
      <c r="L200">
        <v>50</v>
      </c>
      <c r="M200">
        <v>937971</v>
      </c>
      <c r="N200">
        <v>6</v>
      </c>
      <c r="O200">
        <v>1</v>
      </c>
      <c r="P200" t="s">
        <v>128</v>
      </c>
      <c r="Q200" t="s">
        <v>129</v>
      </c>
      <c r="R200">
        <v>19</v>
      </c>
      <c r="T200">
        <v>4</v>
      </c>
      <c r="U200">
        <v>10</v>
      </c>
      <c r="V200">
        <v>0</v>
      </c>
      <c r="W200">
        <v>0</v>
      </c>
      <c r="X200">
        <v>0</v>
      </c>
      <c r="Y200">
        <v>1</v>
      </c>
      <c r="Z200">
        <v>5</v>
      </c>
      <c r="AA200">
        <v>11</v>
      </c>
      <c r="AB200">
        <v>50</v>
      </c>
      <c r="AC200">
        <v>16</v>
      </c>
      <c r="AD200">
        <v>0</v>
      </c>
      <c r="AE200">
        <v>1</v>
      </c>
      <c r="AF200">
        <v>17</v>
      </c>
      <c r="AG200">
        <v>0</v>
      </c>
      <c r="AH200">
        <v>34</v>
      </c>
      <c r="AI200">
        <v>33</v>
      </c>
      <c r="AJ200">
        <v>33</v>
      </c>
      <c r="AK200">
        <v>34</v>
      </c>
      <c r="AL200">
        <v>0</v>
      </c>
      <c r="AM200">
        <v>0.12</v>
      </c>
      <c r="AN200">
        <v>3</v>
      </c>
      <c r="AO200">
        <v>0</v>
      </c>
      <c r="AP200" t="s">
        <v>130</v>
      </c>
      <c r="AQ200" t="s">
        <v>131</v>
      </c>
      <c r="AR200" t="s">
        <v>194</v>
      </c>
      <c r="AS200">
        <v>901</v>
      </c>
      <c r="AT200">
        <v>825</v>
      </c>
      <c r="AU200">
        <v>0</v>
      </c>
      <c r="AV200">
        <v>0</v>
      </c>
      <c r="AW200">
        <v>1.726</v>
      </c>
      <c r="AX200">
        <v>0.107875</v>
      </c>
      <c r="AY200">
        <v>1.8338749999999999</v>
      </c>
      <c r="AZ200" t="s">
        <v>135</v>
      </c>
      <c r="BA200">
        <v>4.1661250000000001</v>
      </c>
      <c r="BB200">
        <v>38.61993047508691</v>
      </c>
      <c r="BC200" t="s">
        <v>133</v>
      </c>
      <c r="BD200">
        <v>0</v>
      </c>
      <c r="BE200" t="s">
        <v>133</v>
      </c>
      <c r="BF20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1.726</v>
      </c>
    </row>
    <row r="201" spans="1:58" x14ac:dyDescent="0.25">
      <c r="A201" t="s">
        <v>407</v>
      </c>
      <c r="B201" t="s">
        <v>19</v>
      </c>
      <c r="C201">
        <v>1</v>
      </c>
      <c r="D201">
        <v>201</v>
      </c>
      <c r="E201" t="s">
        <v>2108</v>
      </c>
      <c r="F201" t="s">
        <v>123</v>
      </c>
      <c r="G201" t="s">
        <v>124</v>
      </c>
      <c r="H201" t="s">
        <v>125</v>
      </c>
      <c r="I201" t="s">
        <v>126</v>
      </c>
      <c r="J201" t="s">
        <v>180</v>
      </c>
      <c r="K201" t="s">
        <v>127</v>
      </c>
      <c r="L201">
        <v>50</v>
      </c>
      <c r="M201">
        <v>937973</v>
      </c>
      <c r="N201">
        <v>6</v>
      </c>
      <c r="O201">
        <v>1</v>
      </c>
      <c r="P201" t="s">
        <v>128</v>
      </c>
      <c r="Q201" t="s">
        <v>129</v>
      </c>
      <c r="R201">
        <v>19</v>
      </c>
      <c r="T201">
        <v>11</v>
      </c>
      <c r="U201">
        <v>16</v>
      </c>
      <c r="V201">
        <v>0</v>
      </c>
      <c r="W201">
        <v>0</v>
      </c>
      <c r="X201">
        <v>0</v>
      </c>
      <c r="Y201">
        <v>0</v>
      </c>
      <c r="Z201">
        <v>11</v>
      </c>
      <c r="AA201">
        <v>16</v>
      </c>
      <c r="AB201">
        <v>50</v>
      </c>
      <c r="AC201">
        <v>28</v>
      </c>
      <c r="AD201">
        <v>0</v>
      </c>
      <c r="AE201">
        <v>0</v>
      </c>
      <c r="AF201">
        <v>28</v>
      </c>
      <c r="AG201">
        <v>0</v>
      </c>
      <c r="AH201">
        <v>22</v>
      </c>
      <c r="AI201">
        <v>22</v>
      </c>
      <c r="AJ201">
        <v>22</v>
      </c>
      <c r="AK201">
        <v>22</v>
      </c>
      <c r="AL201">
        <v>0</v>
      </c>
      <c r="AM201">
        <v>0.12</v>
      </c>
      <c r="AN201">
        <v>2</v>
      </c>
      <c r="AO201">
        <v>0</v>
      </c>
      <c r="AP201" t="s">
        <v>130</v>
      </c>
      <c r="AQ201" t="s">
        <v>131</v>
      </c>
      <c r="AR201" t="s">
        <v>194</v>
      </c>
      <c r="AS201">
        <v>1926</v>
      </c>
      <c r="AT201">
        <v>1641</v>
      </c>
      <c r="AU201">
        <v>0</v>
      </c>
      <c r="AV201">
        <v>0</v>
      </c>
      <c r="AW201">
        <v>3.5670000000000002</v>
      </c>
      <c r="AX201">
        <v>0.12739285714285714</v>
      </c>
      <c r="AY201">
        <v>3.5670000000000002</v>
      </c>
      <c r="AZ201" t="s">
        <v>135</v>
      </c>
      <c r="BA201">
        <v>2.4329999999999998</v>
      </c>
      <c r="BB201">
        <v>19.098402018502942</v>
      </c>
      <c r="BC201" t="s">
        <v>133</v>
      </c>
      <c r="BD201">
        <v>0</v>
      </c>
      <c r="BE201" t="s">
        <v>133</v>
      </c>
      <c r="BF20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3.5670000000000002</v>
      </c>
    </row>
    <row r="202" spans="1:58" x14ac:dyDescent="0.25">
      <c r="A202" t="s">
        <v>408</v>
      </c>
      <c r="B202" t="s">
        <v>19</v>
      </c>
      <c r="C202">
        <v>1</v>
      </c>
      <c r="D202">
        <v>202</v>
      </c>
      <c r="E202" t="s">
        <v>2108</v>
      </c>
      <c r="F202" t="s">
        <v>123</v>
      </c>
      <c r="G202" t="s">
        <v>124</v>
      </c>
      <c r="H202" t="s">
        <v>125</v>
      </c>
      <c r="I202" t="s">
        <v>126</v>
      </c>
      <c r="J202" t="s">
        <v>180</v>
      </c>
      <c r="K202" t="s">
        <v>127</v>
      </c>
      <c r="L202">
        <v>50</v>
      </c>
      <c r="M202">
        <v>937975</v>
      </c>
      <c r="N202">
        <v>6</v>
      </c>
      <c r="O202">
        <v>1</v>
      </c>
      <c r="P202" t="s">
        <v>128</v>
      </c>
      <c r="Q202" t="s">
        <v>129</v>
      </c>
      <c r="R202">
        <v>19</v>
      </c>
      <c r="T202">
        <v>8</v>
      </c>
      <c r="U202">
        <v>13</v>
      </c>
      <c r="V202">
        <v>0</v>
      </c>
      <c r="W202">
        <v>0</v>
      </c>
      <c r="X202">
        <v>0</v>
      </c>
      <c r="Y202">
        <v>0</v>
      </c>
      <c r="Z202">
        <v>8</v>
      </c>
      <c r="AA202">
        <v>13</v>
      </c>
      <c r="AB202">
        <v>50</v>
      </c>
      <c r="AC202">
        <v>25</v>
      </c>
      <c r="AD202">
        <v>0</v>
      </c>
      <c r="AE202">
        <v>0</v>
      </c>
      <c r="AF202">
        <v>25</v>
      </c>
      <c r="AG202">
        <v>0</v>
      </c>
      <c r="AH202">
        <v>25</v>
      </c>
      <c r="AI202">
        <v>25</v>
      </c>
      <c r="AJ202">
        <v>25</v>
      </c>
      <c r="AK202">
        <v>25</v>
      </c>
      <c r="AL202">
        <v>0</v>
      </c>
      <c r="AM202">
        <v>0.12</v>
      </c>
      <c r="AN202">
        <v>2.2727272727272729</v>
      </c>
      <c r="AO202">
        <v>0</v>
      </c>
      <c r="AP202" t="s">
        <v>130</v>
      </c>
      <c r="AQ202" t="s">
        <v>131</v>
      </c>
      <c r="AR202" t="s">
        <v>194</v>
      </c>
      <c r="AS202">
        <v>1510</v>
      </c>
      <c r="AT202">
        <v>1509</v>
      </c>
      <c r="AU202">
        <v>0</v>
      </c>
      <c r="AV202">
        <v>0</v>
      </c>
      <c r="AW202">
        <v>3.0190000000000001</v>
      </c>
      <c r="AX202">
        <v>0.12076000000000001</v>
      </c>
      <c r="AY202">
        <v>3.0190000000000001</v>
      </c>
      <c r="AZ202" t="s">
        <v>135</v>
      </c>
      <c r="BA202">
        <v>2.9809999999999999</v>
      </c>
      <c r="BB202">
        <v>24.685326266975817</v>
      </c>
      <c r="BC202" t="s">
        <v>133</v>
      </c>
      <c r="BD202">
        <v>0</v>
      </c>
      <c r="BE202" t="s">
        <v>133</v>
      </c>
      <c r="BF20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3.0190000000000001</v>
      </c>
    </row>
    <row r="203" spans="1:58" x14ac:dyDescent="0.25">
      <c r="A203" t="s">
        <v>409</v>
      </c>
      <c r="B203" t="s">
        <v>19</v>
      </c>
      <c r="C203">
        <v>1</v>
      </c>
      <c r="D203">
        <v>203</v>
      </c>
      <c r="E203" t="s">
        <v>2108</v>
      </c>
      <c r="F203" t="s">
        <v>123</v>
      </c>
      <c r="G203" t="s">
        <v>124</v>
      </c>
      <c r="H203" t="s">
        <v>125</v>
      </c>
      <c r="I203" t="s">
        <v>126</v>
      </c>
      <c r="J203" t="s">
        <v>180</v>
      </c>
      <c r="K203" t="s">
        <v>127</v>
      </c>
      <c r="L203">
        <v>50</v>
      </c>
      <c r="M203">
        <v>937977</v>
      </c>
      <c r="N203">
        <v>6</v>
      </c>
      <c r="O203">
        <v>1</v>
      </c>
      <c r="P203" t="s">
        <v>128</v>
      </c>
      <c r="Q203" t="s">
        <v>129</v>
      </c>
      <c r="R203">
        <v>19</v>
      </c>
      <c r="T203">
        <v>9</v>
      </c>
      <c r="U203">
        <v>14</v>
      </c>
      <c r="V203">
        <v>0</v>
      </c>
      <c r="W203">
        <v>0</v>
      </c>
      <c r="X203">
        <v>0</v>
      </c>
      <c r="Y203">
        <v>0</v>
      </c>
      <c r="Z203">
        <v>9</v>
      </c>
      <c r="AA203">
        <v>14</v>
      </c>
      <c r="AB203">
        <v>50</v>
      </c>
      <c r="AC203">
        <v>26</v>
      </c>
      <c r="AD203">
        <v>0</v>
      </c>
      <c r="AE203">
        <v>0</v>
      </c>
      <c r="AF203">
        <v>26</v>
      </c>
      <c r="AG203">
        <v>0</v>
      </c>
      <c r="AH203">
        <v>24</v>
      </c>
      <c r="AI203">
        <v>24</v>
      </c>
      <c r="AJ203">
        <v>24</v>
      </c>
      <c r="AK203">
        <v>24</v>
      </c>
      <c r="AL203">
        <v>0</v>
      </c>
      <c r="AM203">
        <v>0.12</v>
      </c>
      <c r="AN203">
        <v>2.1818181818181817</v>
      </c>
      <c r="AO203">
        <v>0</v>
      </c>
      <c r="AP203" t="s">
        <v>130</v>
      </c>
      <c r="AQ203" t="s">
        <v>131</v>
      </c>
      <c r="AR203" t="s">
        <v>194</v>
      </c>
      <c r="AS203">
        <v>1614</v>
      </c>
      <c r="AT203">
        <v>1585</v>
      </c>
      <c r="AU203">
        <v>0</v>
      </c>
      <c r="AV203">
        <v>0</v>
      </c>
      <c r="AW203">
        <v>3.1989999999999998</v>
      </c>
      <c r="AX203">
        <v>0.12303846153846153</v>
      </c>
      <c r="AY203">
        <v>3.1989999999999998</v>
      </c>
      <c r="AZ203" t="s">
        <v>135</v>
      </c>
      <c r="BA203">
        <v>2.8010000000000002</v>
      </c>
      <c r="BB203">
        <v>22.765239137230388</v>
      </c>
      <c r="BC203" t="s">
        <v>133</v>
      </c>
      <c r="BD203">
        <v>0</v>
      </c>
      <c r="BE203" t="s">
        <v>133</v>
      </c>
      <c r="BF20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3.1989999999999998</v>
      </c>
    </row>
    <row r="204" spans="1:58" x14ac:dyDescent="0.25">
      <c r="A204" t="s">
        <v>410</v>
      </c>
      <c r="B204" t="s">
        <v>19</v>
      </c>
      <c r="C204">
        <v>1</v>
      </c>
      <c r="D204">
        <v>204</v>
      </c>
      <c r="E204" t="s">
        <v>2108</v>
      </c>
      <c r="F204" t="s">
        <v>123</v>
      </c>
      <c r="G204" t="s">
        <v>124</v>
      </c>
      <c r="H204" t="s">
        <v>136</v>
      </c>
      <c r="I204" t="s">
        <v>137</v>
      </c>
      <c r="J204" t="s">
        <v>138</v>
      </c>
      <c r="K204" t="s">
        <v>127</v>
      </c>
      <c r="L204">
        <v>50</v>
      </c>
      <c r="M204">
        <v>937979</v>
      </c>
      <c r="N204">
        <v>5</v>
      </c>
      <c r="O204">
        <v>1</v>
      </c>
      <c r="P204" t="s">
        <v>128</v>
      </c>
      <c r="Q204" t="s">
        <v>129</v>
      </c>
      <c r="R204">
        <v>19</v>
      </c>
      <c r="T204">
        <v>0</v>
      </c>
      <c r="U204">
        <v>4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4</v>
      </c>
      <c r="AB204">
        <v>50</v>
      </c>
      <c r="AC204">
        <v>4</v>
      </c>
      <c r="AD204">
        <v>0</v>
      </c>
      <c r="AE204">
        <v>0</v>
      </c>
      <c r="AF204">
        <v>4</v>
      </c>
      <c r="AG204">
        <v>0</v>
      </c>
      <c r="AH204">
        <v>46</v>
      </c>
      <c r="AI204">
        <v>46</v>
      </c>
      <c r="AJ204">
        <v>46</v>
      </c>
      <c r="AK204">
        <v>46</v>
      </c>
      <c r="AL204">
        <v>0</v>
      </c>
      <c r="AM204">
        <v>0.1</v>
      </c>
      <c r="AN204">
        <v>4.1818181818181817</v>
      </c>
      <c r="AO204">
        <v>0</v>
      </c>
      <c r="AP204" t="s">
        <v>139</v>
      </c>
      <c r="AQ204" t="s">
        <v>131</v>
      </c>
      <c r="AR204" t="s">
        <v>194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 t="s">
        <v>134</v>
      </c>
      <c r="BA204">
        <v>5</v>
      </c>
      <c r="BB204">
        <v>0</v>
      </c>
      <c r="BC204" t="s">
        <v>133</v>
      </c>
      <c r="BD204">
        <v>0</v>
      </c>
      <c r="BE204" t="s">
        <v>133</v>
      </c>
      <c r="BF20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05" spans="1:58" x14ac:dyDescent="0.25">
      <c r="A205" t="s">
        <v>411</v>
      </c>
      <c r="B205" t="s">
        <v>19</v>
      </c>
      <c r="C205">
        <v>1</v>
      </c>
      <c r="D205">
        <v>205</v>
      </c>
      <c r="E205" t="s">
        <v>2108</v>
      </c>
      <c r="F205" t="s">
        <v>123</v>
      </c>
      <c r="G205" t="s">
        <v>124</v>
      </c>
      <c r="H205" t="s">
        <v>125</v>
      </c>
      <c r="I205" t="s">
        <v>126</v>
      </c>
      <c r="J205" t="s">
        <v>126</v>
      </c>
      <c r="K205" t="s">
        <v>127</v>
      </c>
      <c r="L205">
        <v>50</v>
      </c>
      <c r="M205">
        <v>937981</v>
      </c>
      <c r="N205">
        <v>6</v>
      </c>
      <c r="O205">
        <v>1</v>
      </c>
      <c r="P205" t="s">
        <v>128</v>
      </c>
      <c r="Q205" t="s">
        <v>129</v>
      </c>
      <c r="R205">
        <v>19</v>
      </c>
      <c r="T205">
        <v>5</v>
      </c>
      <c r="U205">
        <v>10</v>
      </c>
      <c r="V205">
        <v>4</v>
      </c>
      <c r="W205">
        <v>0</v>
      </c>
      <c r="X205">
        <v>4</v>
      </c>
      <c r="Y205">
        <v>0</v>
      </c>
      <c r="Z205">
        <v>9</v>
      </c>
      <c r="AA205">
        <v>14</v>
      </c>
      <c r="AB205">
        <v>50</v>
      </c>
      <c r="AC205">
        <v>10</v>
      </c>
      <c r="AD205">
        <v>6</v>
      </c>
      <c r="AE205">
        <v>0</v>
      </c>
      <c r="AF205">
        <v>16</v>
      </c>
      <c r="AG205">
        <v>0</v>
      </c>
      <c r="AH205">
        <v>40</v>
      </c>
      <c r="AI205">
        <v>34</v>
      </c>
      <c r="AJ205">
        <v>40</v>
      </c>
      <c r="AK205">
        <v>40</v>
      </c>
      <c r="AL205">
        <v>0</v>
      </c>
      <c r="AM205">
        <v>0.12</v>
      </c>
      <c r="AN205">
        <v>3.6363636363636367</v>
      </c>
      <c r="AO205">
        <v>0</v>
      </c>
      <c r="AP205" t="s">
        <v>130</v>
      </c>
      <c r="AQ205" t="s">
        <v>131</v>
      </c>
      <c r="AR205" t="s">
        <v>194</v>
      </c>
      <c r="AS205">
        <v>836</v>
      </c>
      <c r="AT205">
        <v>816</v>
      </c>
      <c r="AU205">
        <v>0</v>
      </c>
      <c r="AV205">
        <v>0</v>
      </c>
      <c r="AW205">
        <v>1.6519999999999999</v>
      </c>
      <c r="AX205">
        <v>0.16519999999999999</v>
      </c>
      <c r="AY205">
        <v>2.6431999999999998</v>
      </c>
      <c r="AZ205" t="s">
        <v>135</v>
      </c>
      <c r="BA205">
        <v>3.3568000000000002</v>
      </c>
      <c r="BB205">
        <v>20.319612590799036</v>
      </c>
      <c r="BC205" t="s">
        <v>133</v>
      </c>
      <c r="BD205">
        <v>0</v>
      </c>
      <c r="BE205" t="s">
        <v>133</v>
      </c>
      <c r="BF20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1.6519999999999999</v>
      </c>
    </row>
    <row r="206" spans="1:58" x14ac:dyDescent="0.25">
      <c r="A206" t="s">
        <v>412</v>
      </c>
      <c r="B206" t="s">
        <v>19</v>
      </c>
      <c r="C206">
        <v>1</v>
      </c>
      <c r="D206">
        <v>206</v>
      </c>
      <c r="E206" t="s">
        <v>2108</v>
      </c>
      <c r="F206" t="s">
        <v>123</v>
      </c>
      <c r="G206" t="s">
        <v>124</v>
      </c>
      <c r="H206" t="s">
        <v>125</v>
      </c>
      <c r="I206" t="s">
        <v>126</v>
      </c>
      <c r="J206" t="s">
        <v>126</v>
      </c>
      <c r="K206" t="s">
        <v>127</v>
      </c>
      <c r="L206">
        <v>50</v>
      </c>
      <c r="M206">
        <v>937983</v>
      </c>
      <c r="N206">
        <v>6</v>
      </c>
      <c r="O206">
        <v>1</v>
      </c>
      <c r="P206" t="s">
        <v>128</v>
      </c>
      <c r="Q206" t="s">
        <v>129</v>
      </c>
      <c r="R206">
        <v>19</v>
      </c>
      <c r="T206">
        <v>13</v>
      </c>
      <c r="U206">
        <v>18</v>
      </c>
      <c r="V206">
        <v>4</v>
      </c>
      <c r="W206">
        <v>0</v>
      </c>
      <c r="X206">
        <v>4</v>
      </c>
      <c r="Y206">
        <v>0</v>
      </c>
      <c r="Z206">
        <v>17</v>
      </c>
      <c r="AA206">
        <v>22</v>
      </c>
      <c r="AB206">
        <v>50</v>
      </c>
      <c r="AC206">
        <v>19</v>
      </c>
      <c r="AD206">
        <v>5</v>
      </c>
      <c r="AE206">
        <v>0</v>
      </c>
      <c r="AF206">
        <v>24</v>
      </c>
      <c r="AG206">
        <v>0</v>
      </c>
      <c r="AH206">
        <v>31</v>
      </c>
      <c r="AI206">
        <v>26</v>
      </c>
      <c r="AJ206">
        <v>31</v>
      </c>
      <c r="AK206">
        <v>31</v>
      </c>
      <c r="AL206">
        <v>0</v>
      </c>
      <c r="AM206">
        <v>0.12</v>
      </c>
      <c r="AN206">
        <v>2.8181818181818183</v>
      </c>
      <c r="AO206">
        <v>0</v>
      </c>
      <c r="AP206" t="s">
        <v>130</v>
      </c>
      <c r="AQ206" t="s">
        <v>131</v>
      </c>
      <c r="AR206" t="s">
        <v>194</v>
      </c>
      <c r="AS206">
        <v>2512</v>
      </c>
      <c r="AT206">
        <v>2499</v>
      </c>
      <c r="AU206">
        <v>0</v>
      </c>
      <c r="AV206">
        <v>0</v>
      </c>
      <c r="AW206">
        <v>5.0110000000000001</v>
      </c>
      <c r="AX206">
        <v>0.26373684210526316</v>
      </c>
      <c r="AY206">
        <v>6.3296842105263158</v>
      </c>
      <c r="AZ206" t="s">
        <v>135</v>
      </c>
      <c r="BA206">
        <v>-0.3296842105263158</v>
      </c>
      <c r="BB206">
        <v>-1.2500498902414687</v>
      </c>
      <c r="BC206" t="s">
        <v>133</v>
      </c>
      <c r="BD206">
        <v>0</v>
      </c>
      <c r="BE206" t="s">
        <v>133</v>
      </c>
      <c r="BF20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5.0110000000000001</v>
      </c>
    </row>
    <row r="207" spans="1:58" x14ac:dyDescent="0.25">
      <c r="A207" t="s">
        <v>413</v>
      </c>
      <c r="B207" t="s">
        <v>19</v>
      </c>
      <c r="C207">
        <v>1</v>
      </c>
      <c r="D207">
        <v>207</v>
      </c>
      <c r="E207" t="s">
        <v>2108</v>
      </c>
      <c r="F207" t="s">
        <v>123</v>
      </c>
      <c r="G207" t="s">
        <v>124</v>
      </c>
      <c r="H207" t="s">
        <v>125</v>
      </c>
      <c r="I207" t="s">
        <v>126</v>
      </c>
      <c r="J207" t="s">
        <v>126</v>
      </c>
      <c r="K207" t="s">
        <v>127</v>
      </c>
      <c r="L207">
        <v>50</v>
      </c>
      <c r="M207">
        <v>937985</v>
      </c>
      <c r="N207">
        <v>6</v>
      </c>
      <c r="O207">
        <v>1</v>
      </c>
      <c r="P207" t="s">
        <v>128</v>
      </c>
      <c r="Q207" t="s">
        <v>129</v>
      </c>
      <c r="R207">
        <v>19</v>
      </c>
      <c r="T207">
        <v>5</v>
      </c>
      <c r="U207">
        <v>10</v>
      </c>
      <c r="V207">
        <v>1</v>
      </c>
      <c r="W207">
        <v>0</v>
      </c>
      <c r="X207">
        <v>1</v>
      </c>
      <c r="Y207">
        <v>1</v>
      </c>
      <c r="Z207">
        <v>7</v>
      </c>
      <c r="AA207">
        <v>12</v>
      </c>
      <c r="AB207">
        <v>50</v>
      </c>
      <c r="AC207">
        <v>13</v>
      </c>
      <c r="AD207">
        <v>1</v>
      </c>
      <c r="AE207">
        <v>1</v>
      </c>
      <c r="AF207">
        <v>15</v>
      </c>
      <c r="AG207">
        <v>0</v>
      </c>
      <c r="AH207">
        <v>37</v>
      </c>
      <c r="AI207">
        <v>35</v>
      </c>
      <c r="AJ207">
        <v>36</v>
      </c>
      <c r="AK207">
        <v>37</v>
      </c>
      <c r="AL207">
        <v>0</v>
      </c>
      <c r="AM207">
        <v>0.12</v>
      </c>
      <c r="AN207">
        <v>3.2727272727272729</v>
      </c>
      <c r="AO207">
        <v>0</v>
      </c>
      <c r="AP207" t="s">
        <v>130</v>
      </c>
      <c r="AQ207" t="s">
        <v>131</v>
      </c>
      <c r="AR207" t="s">
        <v>194</v>
      </c>
      <c r="AS207">
        <v>970</v>
      </c>
      <c r="AT207">
        <v>966</v>
      </c>
      <c r="AU207">
        <v>0</v>
      </c>
      <c r="AV207">
        <v>0</v>
      </c>
      <c r="AW207">
        <v>1.9359999999999999</v>
      </c>
      <c r="AX207">
        <v>0.14892307692307691</v>
      </c>
      <c r="AY207">
        <v>2.2338461538461538</v>
      </c>
      <c r="AZ207" t="s">
        <v>135</v>
      </c>
      <c r="BA207">
        <v>3.7661538461538462</v>
      </c>
      <c r="BB207">
        <v>25.289256198347111</v>
      </c>
      <c r="BC207" t="s">
        <v>133</v>
      </c>
      <c r="BD207">
        <v>0</v>
      </c>
      <c r="BE207" t="s">
        <v>133</v>
      </c>
      <c r="BF20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1.9359999999999999</v>
      </c>
    </row>
    <row r="208" spans="1:58" x14ac:dyDescent="0.25">
      <c r="A208" t="s">
        <v>414</v>
      </c>
      <c r="B208" t="s">
        <v>19</v>
      </c>
      <c r="C208">
        <v>1</v>
      </c>
      <c r="D208">
        <v>208</v>
      </c>
      <c r="E208" t="s">
        <v>2108</v>
      </c>
      <c r="F208" t="s">
        <v>123</v>
      </c>
      <c r="G208" t="s">
        <v>124</v>
      </c>
      <c r="H208" t="s">
        <v>125</v>
      </c>
      <c r="I208" t="s">
        <v>126</v>
      </c>
      <c r="J208" t="s">
        <v>126</v>
      </c>
      <c r="K208" t="s">
        <v>127</v>
      </c>
      <c r="L208">
        <v>50</v>
      </c>
      <c r="M208">
        <v>937987</v>
      </c>
      <c r="N208">
        <v>6</v>
      </c>
      <c r="O208">
        <v>1</v>
      </c>
      <c r="P208" t="s">
        <v>128</v>
      </c>
      <c r="Q208" t="s">
        <v>129</v>
      </c>
      <c r="R208">
        <v>19</v>
      </c>
      <c r="T208">
        <v>6</v>
      </c>
      <c r="U208">
        <v>11</v>
      </c>
      <c r="V208">
        <v>1</v>
      </c>
      <c r="W208">
        <v>0</v>
      </c>
      <c r="X208">
        <v>1</v>
      </c>
      <c r="Y208">
        <v>0</v>
      </c>
      <c r="Z208">
        <v>7</v>
      </c>
      <c r="AA208">
        <v>12</v>
      </c>
      <c r="AB208">
        <v>50</v>
      </c>
      <c r="AC208">
        <v>20</v>
      </c>
      <c r="AD208">
        <v>2</v>
      </c>
      <c r="AE208">
        <v>0</v>
      </c>
      <c r="AF208">
        <v>22</v>
      </c>
      <c r="AG208">
        <v>0</v>
      </c>
      <c r="AH208">
        <v>30</v>
      </c>
      <c r="AI208">
        <v>28</v>
      </c>
      <c r="AJ208">
        <v>30</v>
      </c>
      <c r="AK208">
        <v>30</v>
      </c>
      <c r="AL208">
        <v>0</v>
      </c>
      <c r="AM208">
        <v>0.12</v>
      </c>
      <c r="AN208">
        <v>2.7272727272727275</v>
      </c>
      <c r="AO208">
        <v>0</v>
      </c>
      <c r="AP208" t="s">
        <v>130</v>
      </c>
      <c r="AQ208" t="s">
        <v>131</v>
      </c>
      <c r="AR208" t="s">
        <v>194</v>
      </c>
      <c r="AS208">
        <v>1336</v>
      </c>
      <c r="AT208">
        <v>1303</v>
      </c>
      <c r="AU208">
        <v>0</v>
      </c>
      <c r="AV208">
        <v>0</v>
      </c>
      <c r="AW208">
        <v>2.6389999999999998</v>
      </c>
      <c r="AX208">
        <v>0.13194999999999998</v>
      </c>
      <c r="AY208">
        <v>2.9028999999999998</v>
      </c>
      <c r="AZ208" t="s">
        <v>135</v>
      </c>
      <c r="BA208">
        <v>3.0971000000000002</v>
      </c>
      <c r="BB208">
        <v>23.471769609700647</v>
      </c>
      <c r="BC208" t="s">
        <v>133</v>
      </c>
      <c r="BD208">
        <v>0</v>
      </c>
      <c r="BE208" t="s">
        <v>133</v>
      </c>
      <c r="BF20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2.6389999999999998</v>
      </c>
    </row>
    <row r="209" spans="1:58" x14ac:dyDescent="0.25">
      <c r="A209" t="s">
        <v>415</v>
      </c>
      <c r="B209" t="s">
        <v>19</v>
      </c>
      <c r="C209">
        <v>1</v>
      </c>
      <c r="D209">
        <v>209</v>
      </c>
      <c r="E209" t="s">
        <v>2108</v>
      </c>
      <c r="F209" t="s">
        <v>123</v>
      </c>
      <c r="G209" t="s">
        <v>124</v>
      </c>
      <c r="H209" t="s">
        <v>125</v>
      </c>
      <c r="I209" t="s">
        <v>126</v>
      </c>
      <c r="J209" t="s">
        <v>126</v>
      </c>
      <c r="K209" t="s">
        <v>127</v>
      </c>
      <c r="L209">
        <v>50</v>
      </c>
      <c r="M209">
        <v>937989</v>
      </c>
      <c r="N209">
        <v>6</v>
      </c>
      <c r="O209">
        <v>1</v>
      </c>
      <c r="P209" t="s">
        <v>128</v>
      </c>
      <c r="Q209" t="s">
        <v>129</v>
      </c>
      <c r="R209">
        <v>19</v>
      </c>
      <c r="T209">
        <v>7</v>
      </c>
      <c r="U209">
        <v>12</v>
      </c>
      <c r="V209">
        <v>0</v>
      </c>
      <c r="W209">
        <v>0</v>
      </c>
      <c r="X209">
        <v>0</v>
      </c>
      <c r="Y209">
        <v>1</v>
      </c>
      <c r="Z209">
        <v>8</v>
      </c>
      <c r="AA209">
        <v>13</v>
      </c>
      <c r="AB209">
        <v>50</v>
      </c>
      <c r="AC209">
        <v>15</v>
      </c>
      <c r="AD209">
        <v>0</v>
      </c>
      <c r="AE209">
        <v>8</v>
      </c>
      <c r="AF209">
        <v>23</v>
      </c>
      <c r="AG209">
        <v>0</v>
      </c>
      <c r="AH209">
        <v>35</v>
      </c>
      <c r="AI209">
        <v>27</v>
      </c>
      <c r="AJ209">
        <v>27</v>
      </c>
      <c r="AK209">
        <v>35</v>
      </c>
      <c r="AL209">
        <v>0</v>
      </c>
      <c r="AM209">
        <v>0.12</v>
      </c>
      <c r="AN209">
        <v>2.4545454545454546</v>
      </c>
      <c r="AO209">
        <v>0</v>
      </c>
      <c r="AP209" t="s">
        <v>130</v>
      </c>
      <c r="AQ209" t="s">
        <v>131</v>
      </c>
      <c r="AR209" t="s">
        <v>194</v>
      </c>
      <c r="AS209">
        <v>881</v>
      </c>
      <c r="AT209">
        <v>876</v>
      </c>
      <c r="AU209">
        <v>0</v>
      </c>
      <c r="AV209">
        <v>0</v>
      </c>
      <c r="AW209">
        <v>1.7569999999999999</v>
      </c>
      <c r="AX209">
        <v>0.11713333333333333</v>
      </c>
      <c r="AY209">
        <v>2.6940666666666666</v>
      </c>
      <c r="AZ209" t="s">
        <v>135</v>
      </c>
      <c r="BA209">
        <v>3.3059333333333334</v>
      </c>
      <c r="BB209">
        <v>28.223676721684694</v>
      </c>
      <c r="BC209" t="s">
        <v>144</v>
      </c>
      <c r="BD209">
        <v>0</v>
      </c>
      <c r="BE209" t="s">
        <v>133</v>
      </c>
      <c r="BF20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1.7569999999999999</v>
      </c>
    </row>
    <row r="210" spans="1:58" x14ac:dyDescent="0.25">
      <c r="A210" t="s">
        <v>416</v>
      </c>
      <c r="B210" t="s">
        <v>19</v>
      </c>
      <c r="C210">
        <v>1</v>
      </c>
      <c r="D210">
        <v>210</v>
      </c>
      <c r="E210" t="s">
        <v>2108</v>
      </c>
      <c r="F210" t="s">
        <v>123</v>
      </c>
      <c r="G210" t="s">
        <v>124</v>
      </c>
      <c r="H210" t="s">
        <v>125</v>
      </c>
      <c r="I210" t="s">
        <v>126</v>
      </c>
      <c r="J210" t="s">
        <v>126</v>
      </c>
      <c r="K210" t="s">
        <v>127</v>
      </c>
      <c r="L210">
        <v>50</v>
      </c>
      <c r="M210">
        <v>937991</v>
      </c>
      <c r="N210">
        <v>6</v>
      </c>
      <c r="O210">
        <v>1</v>
      </c>
      <c r="P210" t="s">
        <v>128</v>
      </c>
      <c r="Q210" t="s">
        <v>129</v>
      </c>
      <c r="R210">
        <v>20</v>
      </c>
      <c r="T210">
        <v>10</v>
      </c>
      <c r="U210">
        <v>15</v>
      </c>
      <c r="V210">
        <v>4</v>
      </c>
      <c r="W210">
        <v>0</v>
      </c>
      <c r="X210">
        <v>4</v>
      </c>
      <c r="Y210">
        <v>0</v>
      </c>
      <c r="Z210">
        <v>14</v>
      </c>
      <c r="AA210">
        <v>19</v>
      </c>
      <c r="AB210">
        <v>50</v>
      </c>
      <c r="AC210">
        <v>17</v>
      </c>
      <c r="AD210">
        <v>7</v>
      </c>
      <c r="AE210">
        <v>0</v>
      </c>
      <c r="AF210">
        <v>24</v>
      </c>
      <c r="AG210">
        <v>0</v>
      </c>
      <c r="AH210">
        <v>33</v>
      </c>
      <c r="AI210">
        <v>26</v>
      </c>
      <c r="AJ210">
        <v>33</v>
      </c>
      <c r="AK210">
        <v>33</v>
      </c>
      <c r="AL210">
        <v>0</v>
      </c>
      <c r="AM210">
        <v>0.12</v>
      </c>
      <c r="AN210">
        <v>3</v>
      </c>
      <c r="AO210">
        <v>0</v>
      </c>
      <c r="AP210" t="s">
        <v>130</v>
      </c>
      <c r="AQ210" t="s">
        <v>131</v>
      </c>
      <c r="AR210" t="s">
        <v>194</v>
      </c>
      <c r="AS210">
        <v>1302</v>
      </c>
      <c r="AT210">
        <v>1319</v>
      </c>
      <c r="AU210">
        <v>0</v>
      </c>
      <c r="AV210">
        <v>0</v>
      </c>
      <c r="AW210">
        <v>2.621</v>
      </c>
      <c r="AX210">
        <v>0.1541764705882353</v>
      </c>
      <c r="AY210">
        <v>3.7002352941176473</v>
      </c>
      <c r="AZ210" t="s">
        <v>135</v>
      </c>
      <c r="BA210">
        <v>2.2997647058823527</v>
      </c>
      <c r="BB210">
        <v>14.916444105303317</v>
      </c>
      <c r="BC210" t="s">
        <v>132</v>
      </c>
      <c r="BD210">
        <v>0</v>
      </c>
      <c r="BE210" t="s">
        <v>133</v>
      </c>
      <c r="BF21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2.621</v>
      </c>
    </row>
    <row r="211" spans="1:58" x14ac:dyDescent="0.25">
      <c r="A211" t="s">
        <v>417</v>
      </c>
      <c r="B211" t="s">
        <v>19</v>
      </c>
      <c r="C211">
        <v>1</v>
      </c>
      <c r="D211">
        <v>211</v>
      </c>
      <c r="E211" t="s">
        <v>2108</v>
      </c>
      <c r="F211" t="s">
        <v>123</v>
      </c>
      <c r="G211" t="s">
        <v>124</v>
      </c>
      <c r="H211" t="s">
        <v>125</v>
      </c>
      <c r="I211" t="s">
        <v>126</v>
      </c>
      <c r="J211" t="s">
        <v>126</v>
      </c>
      <c r="K211" t="s">
        <v>127</v>
      </c>
      <c r="L211">
        <v>50</v>
      </c>
      <c r="M211">
        <v>937993</v>
      </c>
      <c r="N211">
        <v>6</v>
      </c>
      <c r="O211">
        <v>1</v>
      </c>
      <c r="P211" t="s">
        <v>128</v>
      </c>
      <c r="Q211" t="s">
        <v>129</v>
      </c>
      <c r="R211">
        <v>20</v>
      </c>
      <c r="T211">
        <v>5</v>
      </c>
      <c r="U211">
        <v>10</v>
      </c>
      <c r="V211">
        <v>10</v>
      </c>
      <c r="W211">
        <v>0</v>
      </c>
      <c r="X211">
        <v>10</v>
      </c>
      <c r="Y211">
        <v>1</v>
      </c>
      <c r="Z211">
        <v>16</v>
      </c>
      <c r="AA211">
        <v>21</v>
      </c>
      <c r="AB211">
        <v>50</v>
      </c>
      <c r="AC211">
        <v>12</v>
      </c>
      <c r="AD211">
        <v>11</v>
      </c>
      <c r="AE211">
        <v>1</v>
      </c>
      <c r="AF211">
        <v>24</v>
      </c>
      <c r="AG211">
        <v>0</v>
      </c>
      <c r="AH211">
        <v>38</v>
      </c>
      <c r="AI211">
        <v>26</v>
      </c>
      <c r="AJ211">
        <v>37</v>
      </c>
      <c r="AK211">
        <v>38</v>
      </c>
      <c r="AL211">
        <v>0</v>
      </c>
      <c r="AM211">
        <v>0.12</v>
      </c>
      <c r="AN211">
        <v>3.3636363636363638</v>
      </c>
      <c r="AO211">
        <v>0</v>
      </c>
      <c r="AP211" t="s">
        <v>130</v>
      </c>
      <c r="AQ211" t="s">
        <v>131</v>
      </c>
      <c r="AR211" t="s">
        <v>194</v>
      </c>
      <c r="AS211">
        <v>1485</v>
      </c>
      <c r="AT211">
        <v>1213</v>
      </c>
      <c r="AU211">
        <v>0</v>
      </c>
      <c r="AV211">
        <v>0</v>
      </c>
      <c r="AW211">
        <v>2.698</v>
      </c>
      <c r="AX211">
        <v>0.22483333333333333</v>
      </c>
      <c r="AY211">
        <v>5.3959999999999999</v>
      </c>
      <c r="AZ211" t="s">
        <v>135</v>
      </c>
      <c r="BA211">
        <v>0.60400000000000009</v>
      </c>
      <c r="BB211">
        <v>2.6864343958487775</v>
      </c>
      <c r="BC211" t="s">
        <v>133</v>
      </c>
      <c r="BD211">
        <v>0</v>
      </c>
      <c r="BE211" t="s">
        <v>133</v>
      </c>
      <c r="BF21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2.698</v>
      </c>
    </row>
    <row r="212" spans="1:58" x14ac:dyDescent="0.25">
      <c r="A212" t="s">
        <v>418</v>
      </c>
      <c r="B212" t="s">
        <v>19</v>
      </c>
      <c r="C212">
        <v>1</v>
      </c>
      <c r="D212">
        <v>212</v>
      </c>
      <c r="E212" t="s">
        <v>2108</v>
      </c>
      <c r="F212" t="s">
        <v>123</v>
      </c>
      <c r="G212" t="s">
        <v>124</v>
      </c>
      <c r="H212" t="s">
        <v>125</v>
      </c>
      <c r="I212" t="s">
        <v>126</v>
      </c>
      <c r="J212" t="s">
        <v>126</v>
      </c>
      <c r="K212" t="s">
        <v>127</v>
      </c>
      <c r="L212">
        <v>50</v>
      </c>
      <c r="M212">
        <v>937995</v>
      </c>
      <c r="N212">
        <v>6</v>
      </c>
      <c r="O212">
        <v>1</v>
      </c>
      <c r="P212" t="s">
        <v>128</v>
      </c>
      <c r="Q212" t="s">
        <v>129</v>
      </c>
      <c r="R212">
        <v>20</v>
      </c>
      <c r="T212">
        <v>6</v>
      </c>
      <c r="U212">
        <v>11</v>
      </c>
      <c r="V212">
        <v>5</v>
      </c>
      <c r="W212">
        <v>0</v>
      </c>
      <c r="X212">
        <v>5</v>
      </c>
      <c r="Y212">
        <v>1</v>
      </c>
      <c r="Z212">
        <v>12</v>
      </c>
      <c r="AA212">
        <v>17</v>
      </c>
      <c r="AB212">
        <v>50</v>
      </c>
      <c r="AC212">
        <v>12</v>
      </c>
      <c r="AD212">
        <v>7</v>
      </c>
      <c r="AE212">
        <v>2</v>
      </c>
      <c r="AF212">
        <v>21</v>
      </c>
      <c r="AG212">
        <v>0</v>
      </c>
      <c r="AH212">
        <v>38</v>
      </c>
      <c r="AI212">
        <v>29</v>
      </c>
      <c r="AJ212">
        <v>36</v>
      </c>
      <c r="AK212">
        <v>38</v>
      </c>
      <c r="AL212">
        <v>0</v>
      </c>
      <c r="AM212">
        <v>0.12</v>
      </c>
      <c r="AN212">
        <v>3.2727272727272729</v>
      </c>
      <c r="AO212">
        <v>0</v>
      </c>
      <c r="AP212" t="s">
        <v>130</v>
      </c>
      <c r="AQ212" t="s">
        <v>131</v>
      </c>
      <c r="AR212" t="s">
        <v>194</v>
      </c>
      <c r="AS212">
        <v>963</v>
      </c>
      <c r="AT212">
        <v>947</v>
      </c>
      <c r="AU212">
        <v>0</v>
      </c>
      <c r="AV212">
        <v>0</v>
      </c>
      <c r="AW212">
        <v>1.91</v>
      </c>
      <c r="AX212">
        <v>0.15916666666666665</v>
      </c>
      <c r="AY212">
        <v>3.3424999999999998</v>
      </c>
      <c r="AZ212" t="s">
        <v>135</v>
      </c>
      <c r="BA212">
        <v>2.6575000000000002</v>
      </c>
      <c r="BB212">
        <v>16.696335078534034</v>
      </c>
      <c r="BC212" t="s">
        <v>133</v>
      </c>
      <c r="BD212">
        <v>0</v>
      </c>
      <c r="BE212" t="s">
        <v>133</v>
      </c>
      <c r="BF21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1.91</v>
      </c>
    </row>
    <row r="213" spans="1:58" x14ac:dyDescent="0.25">
      <c r="A213" t="s">
        <v>419</v>
      </c>
      <c r="B213" t="s">
        <v>19</v>
      </c>
      <c r="C213">
        <v>1</v>
      </c>
      <c r="D213">
        <v>213</v>
      </c>
      <c r="E213" t="s">
        <v>2108</v>
      </c>
      <c r="F213" t="s">
        <v>123</v>
      </c>
      <c r="G213" t="s">
        <v>124</v>
      </c>
      <c r="H213" t="s">
        <v>125</v>
      </c>
      <c r="I213" t="s">
        <v>126</v>
      </c>
      <c r="J213" t="s">
        <v>126</v>
      </c>
      <c r="K213" t="s">
        <v>127</v>
      </c>
      <c r="L213">
        <v>50</v>
      </c>
      <c r="M213">
        <v>937997</v>
      </c>
      <c r="N213">
        <v>6</v>
      </c>
      <c r="O213">
        <v>1</v>
      </c>
      <c r="P213" t="s">
        <v>128</v>
      </c>
      <c r="Q213" t="s">
        <v>129</v>
      </c>
      <c r="R213">
        <v>20</v>
      </c>
      <c r="T213">
        <v>10</v>
      </c>
      <c r="U213">
        <v>15</v>
      </c>
      <c r="V213">
        <v>0</v>
      </c>
      <c r="W213">
        <v>0</v>
      </c>
      <c r="X213">
        <v>0</v>
      </c>
      <c r="Y213">
        <v>1</v>
      </c>
      <c r="Z213">
        <v>11</v>
      </c>
      <c r="AA213">
        <v>16</v>
      </c>
      <c r="AB213">
        <v>50</v>
      </c>
      <c r="AC213">
        <v>19</v>
      </c>
      <c r="AD213">
        <v>0</v>
      </c>
      <c r="AE213">
        <v>2</v>
      </c>
      <c r="AF213">
        <v>21</v>
      </c>
      <c r="AG213">
        <v>0</v>
      </c>
      <c r="AH213">
        <v>31</v>
      </c>
      <c r="AI213">
        <v>29</v>
      </c>
      <c r="AJ213">
        <v>29</v>
      </c>
      <c r="AK213">
        <v>31</v>
      </c>
      <c r="AL213">
        <v>0</v>
      </c>
      <c r="AM213">
        <v>0.12</v>
      </c>
      <c r="AN213">
        <v>2.6363636363636362</v>
      </c>
      <c r="AO213">
        <v>0</v>
      </c>
      <c r="AP213" t="s">
        <v>130</v>
      </c>
      <c r="AQ213" t="s">
        <v>131</v>
      </c>
      <c r="AR213" t="s">
        <v>194</v>
      </c>
      <c r="AS213">
        <v>990</v>
      </c>
      <c r="AT213">
        <v>980</v>
      </c>
      <c r="AU213">
        <v>0</v>
      </c>
      <c r="AV213">
        <v>0</v>
      </c>
      <c r="AW213">
        <v>1.97</v>
      </c>
      <c r="AX213">
        <v>0.10368421052631578</v>
      </c>
      <c r="AY213">
        <v>2.1773684210526314</v>
      </c>
      <c r="AZ213" t="s">
        <v>135</v>
      </c>
      <c r="BA213">
        <v>3.8226315789473686</v>
      </c>
      <c r="BB213">
        <v>36.868020304568532</v>
      </c>
      <c r="BC213" t="s">
        <v>133</v>
      </c>
      <c r="BD213">
        <v>0</v>
      </c>
      <c r="BE213" t="s">
        <v>133</v>
      </c>
      <c r="BF21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1.97</v>
      </c>
    </row>
    <row r="214" spans="1:58" x14ac:dyDescent="0.25">
      <c r="A214" t="s">
        <v>420</v>
      </c>
      <c r="B214" t="s">
        <v>19</v>
      </c>
      <c r="C214">
        <v>1</v>
      </c>
      <c r="D214">
        <v>214</v>
      </c>
      <c r="E214" t="s">
        <v>2108</v>
      </c>
      <c r="F214" t="s">
        <v>123</v>
      </c>
      <c r="G214" t="s">
        <v>124</v>
      </c>
      <c r="H214" t="s">
        <v>125</v>
      </c>
      <c r="I214" t="s">
        <v>126</v>
      </c>
      <c r="J214" t="s">
        <v>126</v>
      </c>
      <c r="K214" t="s">
        <v>127</v>
      </c>
      <c r="L214">
        <v>50</v>
      </c>
      <c r="M214">
        <v>937999</v>
      </c>
      <c r="N214">
        <v>6</v>
      </c>
      <c r="O214">
        <v>1</v>
      </c>
      <c r="P214" t="s">
        <v>128</v>
      </c>
      <c r="Q214" t="s">
        <v>129</v>
      </c>
      <c r="R214">
        <v>20</v>
      </c>
      <c r="T214">
        <v>15</v>
      </c>
      <c r="U214">
        <v>20</v>
      </c>
      <c r="V214">
        <v>3</v>
      </c>
      <c r="W214">
        <v>0</v>
      </c>
      <c r="X214">
        <v>3</v>
      </c>
      <c r="Y214">
        <v>1</v>
      </c>
      <c r="Z214">
        <v>19</v>
      </c>
      <c r="AA214">
        <v>24</v>
      </c>
      <c r="AB214">
        <v>50</v>
      </c>
      <c r="AC214">
        <v>24</v>
      </c>
      <c r="AD214">
        <v>4</v>
      </c>
      <c r="AE214">
        <v>1</v>
      </c>
      <c r="AF214">
        <v>29</v>
      </c>
      <c r="AG214">
        <v>0</v>
      </c>
      <c r="AH214">
        <v>26</v>
      </c>
      <c r="AI214">
        <v>21</v>
      </c>
      <c r="AJ214">
        <v>25</v>
      </c>
      <c r="AK214">
        <v>26</v>
      </c>
      <c r="AL214">
        <v>0</v>
      </c>
      <c r="AM214">
        <v>0.12</v>
      </c>
      <c r="AN214">
        <v>2.2727272727272729</v>
      </c>
      <c r="AO214">
        <v>0</v>
      </c>
      <c r="AP214" t="s">
        <v>130</v>
      </c>
      <c r="AQ214" t="s">
        <v>131</v>
      </c>
      <c r="AR214" t="s">
        <v>194</v>
      </c>
      <c r="AS214">
        <v>1975</v>
      </c>
      <c r="AT214">
        <v>1891</v>
      </c>
      <c r="AU214">
        <v>0</v>
      </c>
      <c r="AV214">
        <v>0</v>
      </c>
      <c r="AW214">
        <v>3.8660000000000001</v>
      </c>
      <c r="AX214">
        <v>0.16108333333333333</v>
      </c>
      <c r="AY214">
        <v>4.6714166666666666</v>
      </c>
      <c r="AZ214" t="s">
        <v>135</v>
      </c>
      <c r="BA214">
        <v>1.3285833333333334</v>
      </c>
      <c r="BB214">
        <v>8.2478013450594947</v>
      </c>
      <c r="BC214" t="s">
        <v>133</v>
      </c>
      <c r="BD214">
        <v>0</v>
      </c>
      <c r="BE214" t="s">
        <v>133</v>
      </c>
      <c r="BF21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3.8660000000000001</v>
      </c>
    </row>
    <row r="215" spans="1:58" x14ac:dyDescent="0.25">
      <c r="A215" t="s">
        <v>421</v>
      </c>
      <c r="B215" t="s">
        <v>19</v>
      </c>
      <c r="C215">
        <v>1</v>
      </c>
      <c r="D215">
        <v>215</v>
      </c>
      <c r="E215" t="s">
        <v>2108</v>
      </c>
      <c r="F215" t="s">
        <v>123</v>
      </c>
      <c r="G215" t="s">
        <v>124</v>
      </c>
      <c r="H215" t="s">
        <v>136</v>
      </c>
      <c r="I215" t="s">
        <v>137</v>
      </c>
      <c r="J215" t="s">
        <v>138</v>
      </c>
      <c r="K215" t="s">
        <v>127</v>
      </c>
      <c r="L215">
        <v>50</v>
      </c>
      <c r="M215">
        <v>938001</v>
      </c>
      <c r="N215">
        <v>5</v>
      </c>
      <c r="O215">
        <v>1</v>
      </c>
      <c r="P215" t="s">
        <v>128</v>
      </c>
      <c r="Q215" t="s">
        <v>129</v>
      </c>
      <c r="R215">
        <v>20</v>
      </c>
      <c r="T215">
        <v>0</v>
      </c>
      <c r="U215">
        <v>4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4</v>
      </c>
      <c r="AB215">
        <v>50</v>
      </c>
      <c r="AC215">
        <v>4</v>
      </c>
      <c r="AD215">
        <v>0</v>
      </c>
      <c r="AE215">
        <v>0</v>
      </c>
      <c r="AF215">
        <v>4</v>
      </c>
      <c r="AG215">
        <v>0</v>
      </c>
      <c r="AH215">
        <v>46</v>
      </c>
      <c r="AI215">
        <v>46</v>
      </c>
      <c r="AJ215">
        <v>46</v>
      </c>
      <c r="AK215">
        <v>46</v>
      </c>
      <c r="AL215">
        <v>0</v>
      </c>
      <c r="AM215">
        <v>0.1</v>
      </c>
      <c r="AN215">
        <v>4.1818181818181817</v>
      </c>
      <c r="AO215">
        <v>0</v>
      </c>
      <c r="AP215" t="s">
        <v>139</v>
      </c>
      <c r="AQ215" t="s">
        <v>131</v>
      </c>
      <c r="AR215" t="s">
        <v>194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 t="s">
        <v>134</v>
      </c>
      <c r="BA215">
        <v>5</v>
      </c>
      <c r="BB215">
        <v>0</v>
      </c>
      <c r="BC215" t="s">
        <v>133</v>
      </c>
      <c r="BD215">
        <v>0</v>
      </c>
      <c r="BE215" t="s">
        <v>133</v>
      </c>
      <c r="BF21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16" spans="1:58" x14ac:dyDescent="0.25">
      <c r="A216" t="s">
        <v>422</v>
      </c>
      <c r="B216" t="s">
        <v>19</v>
      </c>
      <c r="C216">
        <v>1</v>
      </c>
      <c r="D216">
        <v>216</v>
      </c>
      <c r="E216" t="s">
        <v>2108</v>
      </c>
      <c r="F216" t="s">
        <v>123</v>
      </c>
      <c r="G216" t="s">
        <v>124</v>
      </c>
      <c r="H216" t="s">
        <v>125</v>
      </c>
      <c r="I216" t="s">
        <v>126</v>
      </c>
      <c r="J216" t="s">
        <v>126</v>
      </c>
      <c r="K216" t="s">
        <v>127</v>
      </c>
      <c r="L216">
        <v>50</v>
      </c>
      <c r="M216">
        <v>938003</v>
      </c>
      <c r="N216">
        <v>6</v>
      </c>
      <c r="O216">
        <v>1</v>
      </c>
      <c r="P216" t="s">
        <v>128</v>
      </c>
      <c r="Q216" t="s">
        <v>129</v>
      </c>
      <c r="R216">
        <v>20</v>
      </c>
      <c r="T216">
        <v>6</v>
      </c>
      <c r="U216">
        <v>11</v>
      </c>
      <c r="V216">
        <v>3</v>
      </c>
      <c r="W216">
        <v>0</v>
      </c>
      <c r="X216">
        <v>3</v>
      </c>
      <c r="Y216">
        <v>1</v>
      </c>
      <c r="Z216">
        <v>10</v>
      </c>
      <c r="AA216">
        <v>15</v>
      </c>
      <c r="AB216">
        <v>50</v>
      </c>
      <c r="AC216">
        <v>16</v>
      </c>
      <c r="AD216">
        <v>4</v>
      </c>
      <c r="AE216">
        <v>1</v>
      </c>
      <c r="AF216">
        <v>21</v>
      </c>
      <c r="AG216">
        <v>0</v>
      </c>
      <c r="AH216">
        <v>34</v>
      </c>
      <c r="AI216">
        <v>29</v>
      </c>
      <c r="AJ216">
        <v>33</v>
      </c>
      <c r="AK216">
        <v>34</v>
      </c>
      <c r="AL216">
        <v>0</v>
      </c>
      <c r="AM216">
        <v>0.12</v>
      </c>
      <c r="AN216">
        <v>3</v>
      </c>
      <c r="AO216">
        <v>0</v>
      </c>
      <c r="AP216" t="s">
        <v>130</v>
      </c>
      <c r="AQ216" t="s">
        <v>131</v>
      </c>
      <c r="AR216" t="s">
        <v>194</v>
      </c>
      <c r="AS216">
        <v>1459</v>
      </c>
      <c r="AT216">
        <v>1343</v>
      </c>
      <c r="AU216">
        <v>0</v>
      </c>
      <c r="AV216">
        <v>0</v>
      </c>
      <c r="AW216">
        <v>2.802</v>
      </c>
      <c r="AX216">
        <v>0.175125</v>
      </c>
      <c r="AY216">
        <v>3.6776249999999999</v>
      </c>
      <c r="AZ216" t="s">
        <v>135</v>
      </c>
      <c r="BA216">
        <v>2.3223750000000001</v>
      </c>
      <c r="BB216">
        <v>13.261241970021414</v>
      </c>
      <c r="BC216" t="s">
        <v>133</v>
      </c>
      <c r="BD216">
        <v>0</v>
      </c>
      <c r="BE216" t="s">
        <v>133</v>
      </c>
      <c r="BF21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2.802</v>
      </c>
    </row>
    <row r="217" spans="1:58" x14ac:dyDescent="0.25">
      <c r="A217" t="s">
        <v>423</v>
      </c>
      <c r="B217" t="s">
        <v>19</v>
      </c>
      <c r="C217">
        <v>1</v>
      </c>
      <c r="D217">
        <v>217</v>
      </c>
      <c r="E217" t="s">
        <v>2108</v>
      </c>
      <c r="F217" t="s">
        <v>123</v>
      </c>
      <c r="G217" t="s">
        <v>124</v>
      </c>
      <c r="H217" t="s">
        <v>125</v>
      </c>
      <c r="I217" t="s">
        <v>126</v>
      </c>
      <c r="J217" t="s">
        <v>126</v>
      </c>
      <c r="K217" t="s">
        <v>127</v>
      </c>
      <c r="L217">
        <v>50</v>
      </c>
      <c r="M217">
        <v>938005</v>
      </c>
      <c r="N217">
        <v>6</v>
      </c>
      <c r="O217">
        <v>1</v>
      </c>
      <c r="P217" t="s">
        <v>128</v>
      </c>
      <c r="Q217" t="s">
        <v>129</v>
      </c>
      <c r="R217">
        <v>20</v>
      </c>
      <c r="T217">
        <v>8</v>
      </c>
      <c r="U217">
        <v>13</v>
      </c>
      <c r="V217">
        <v>3</v>
      </c>
      <c r="W217">
        <v>0</v>
      </c>
      <c r="X217">
        <v>3</v>
      </c>
      <c r="Y217">
        <v>0</v>
      </c>
      <c r="Z217">
        <v>11</v>
      </c>
      <c r="AA217">
        <v>16</v>
      </c>
      <c r="AB217">
        <v>50</v>
      </c>
      <c r="AC217">
        <v>14</v>
      </c>
      <c r="AD217">
        <v>3</v>
      </c>
      <c r="AE217">
        <v>0</v>
      </c>
      <c r="AF217">
        <v>17</v>
      </c>
      <c r="AG217">
        <v>0</v>
      </c>
      <c r="AH217">
        <v>36</v>
      </c>
      <c r="AI217">
        <v>33</v>
      </c>
      <c r="AJ217">
        <v>36</v>
      </c>
      <c r="AK217">
        <v>36</v>
      </c>
      <c r="AL217">
        <v>0</v>
      </c>
      <c r="AM217">
        <v>0.12</v>
      </c>
      <c r="AN217">
        <v>3.2727272727272729</v>
      </c>
      <c r="AO217">
        <v>0</v>
      </c>
      <c r="AP217" t="s">
        <v>130</v>
      </c>
      <c r="AQ217" t="s">
        <v>131</v>
      </c>
      <c r="AR217" t="s">
        <v>194</v>
      </c>
      <c r="AS217">
        <v>1298</v>
      </c>
      <c r="AT217">
        <v>1264</v>
      </c>
      <c r="AU217">
        <v>0</v>
      </c>
      <c r="AV217">
        <v>0</v>
      </c>
      <c r="AW217">
        <v>2.5619999999999998</v>
      </c>
      <c r="AX217">
        <v>0.183</v>
      </c>
      <c r="AY217">
        <v>3.1109999999999998</v>
      </c>
      <c r="AZ217" t="s">
        <v>135</v>
      </c>
      <c r="BA217">
        <v>2.8890000000000002</v>
      </c>
      <c r="BB217">
        <v>15.78688524590164</v>
      </c>
      <c r="BC217" t="s">
        <v>133</v>
      </c>
      <c r="BD217">
        <v>0</v>
      </c>
      <c r="BE217" t="s">
        <v>133</v>
      </c>
      <c r="BF21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2.5619999999999998</v>
      </c>
    </row>
    <row r="218" spans="1:58" x14ac:dyDescent="0.25">
      <c r="A218" t="s">
        <v>424</v>
      </c>
      <c r="B218" t="s">
        <v>19</v>
      </c>
      <c r="C218">
        <v>1</v>
      </c>
      <c r="D218">
        <v>218</v>
      </c>
      <c r="E218" t="s">
        <v>2108</v>
      </c>
      <c r="F218" t="s">
        <v>123</v>
      </c>
      <c r="G218" t="s">
        <v>124</v>
      </c>
      <c r="H218" t="s">
        <v>125</v>
      </c>
      <c r="I218" t="s">
        <v>126</v>
      </c>
      <c r="J218" t="s">
        <v>126</v>
      </c>
      <c r="K218" t="s">
        <v>127</v>
      </c>
      <c r="L218">
        <v>50</v>
      </c>
      <c r="M218">
        <v>938007</v>
      </c>
      <c r="N218">
        <v>6</v>
      </c>
      <c r="O218">
        <v>1</v>
      </c>
      <c r="P218" t="s">
        <v>128</v>
      </c>
      <c r="Q218" t="s">
        <v>129</v>
      </c>
      <c r="R218">
        <v>20</v>
      </c>
      <c r="T218">
        <v>9</v>
      </c>
      <c r="U218">
        <v>14</v>
      </c>
      <c r="V218">
        <v>6</v>
      </c>
      <c r="W218">
        <v>0</v>
      </c>
      <c r="X218">
        <v>6</v>
      </c>
      <c r="Y218">
        <v>0</v>
      </c>
      <c r="Z218">
        <v>15</v>
      </c>
      <c r="AA218">
        <v>20</v>
      </c>
      <c r="AB218">
        <v>50</v>
      </c>
      <c r="AC218">
        <v>15</v>
      </c>
      <c r="AD218">
        <v>8</v>
      </c>
      <c r="AE218">
        <v>0</v>
      </c>
      <c r="AF218">
        <v>23</v>
      </c>
      <c r="AG218">
        <v>0</v>
      </c>
      <c r="AH218">
        <v>35</v>
      </c>
      <c r="AI218">
        <v>27</v>
      </c>
      <c r="AJ218">
        <v>35</v>
      </c>
      <c r="AK218">
        <v>35</v>
      </c>
      <c r="AL218">
        <v>0</v>
      </c>
      <c r="AM218">
        <v>0.12</v>
      </c>
      <c r="AN218">
        <v>3.1818181818181821</v>
      </c>
      <c r="AO218">
        <v>0</v>
      </c>
      <c r="AP218" t="s">
        <v>130</v>
      </c>
      <c r="AQ218" t="s">
        <v>131</v>
      </c>
      <c r="AR218" t="s">
        <v>194</v>
      </c>
      <c r="AS218">
        <v>1548</v>
      </c>
      <c r="AT218">
        <v>1829</v>
      </c>
      <c r="AU218">
        <v>0</v>
      </c>
      <c r="AV218">
        <v>0</v>
      </c>
      <c r="AW218">
        <v>3.3769999999999998</v>
      </c>
      <c r="AX218">
        <v>0.22513333333333332</v>
      </c>
      <c r="AY218">
        <v>5.1780666666666662</v>
      </c>
      <c r="AZ218" t="s">
        <v>135</v>
      </c>
      <c r="BA218">
        <v>0.82193333333333385</v>
      </c>
      <c r="BB218">
        <v>3.650873556411018</v>
      </c>
      <c r="BC218" t="s">
        <v>133</v>
      </c>
      <c r="BD218">
        <v>0</v>
      </c>
      <c r="BE218" t="s">
        <v>133</v>
      </c>
      <c r="BF21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3.3769999999999998</v>
      </c>
    </row>
    <row r="219" spans="1:58" x14ac:dyDescent="0.25">
      <c r="A219" t="s">
        <v>425</v>
      </c>
      <c r="B219" t="s">
        <v>19</v>
      </c>
      <c r="C219">
        <v>1</v>
      </c>
      <c r="D219">
        <v>219</v>
      </c>
      <c r="E219" t="s">
        <v>2108</v>
      </c>
      <c r="F219" t="s">
        <v>123</v>
      </c>
      <c r="G219" t="s">
        <v>124</v>
      </c>
      <c r="H219" t="s">
        <v>125</v>
      </c>
      <c r="I219" t="s">
        <v>126</v>
      </c>
      <c r="J219" t="s">
        <v>126</v>
      </c>
      <c r="K219" t="s">
        <v>127</v>
      </c>
      <c r="L219">
        <v>50</v>
      </c>
      <c r="M219">
        <v>938009</v>
      </c>
      <c r="N219">
        <v>6</v>
      </c>
      <c r="O219">
        <v>1</v>
      </c>
      <c r="P219" t="s">
        <v>128</v>
      </c>
      <c r="Q219" t="s">
        <v>129</v>
      </c>
      <c r="R219">
        <v>20</v>
      </c>
      <c r="T219">
        <v>15</v>
      </c>
      <c r="U219">
        <v>20</v>
      </c>
      <c r="V219">
        <v>5</v>
      </c>
      <c r="W219">
        <v>0</v>
      </c>
      <c r="X219">
        <v>5</v>
      </c>
      <c r="Y219">
        <v>0</v>
      </c>
      <c r="Z219">
        <v>20</v>
      </c>
      <c r="AA219">
        <v>25</v>
      </c>
      <c r="AB219">
        <v>50</v>
      </c>
      <c r="AC219">
        <v>27</v>
      </c>
      <c r="AD219">
        <v>5</v>
      </c>
      <c r="AE219">
        <v>0</v>
      </c>
      <c r="AF219">
        <v>32</v>
      </c>
      <c r="AG219">
        <v>0</v>
      </c>
      <c r="AH219">
        <v>23</v>
      </c>
      <c r="AI219">
        <v>18</v>
      </c>
      <c r="AJ219">
        <v>23</v>
      </c>
      <c r="AK219">
        <v>23</v>
      </c>
      <c r="AL219">
        <v>0</v>
      </c>
      <c r="AM219">
        <v>0.12</v>
      </c>
      <c r="AN219">
        <v>2.0909090909090908</v>
      </c>
      <c r="AO219">
        <v>0</v>
      </c>
      <c r="AP219" t="s">
        <v>130</v>
      </c>
      <c r="AQ219" t="s">
        <v>131</v>
      </c>
      <c r="AR219" t="s">
        <v>194</v>
      </c>
      <c r="AS219">
        <v>1866</v>
      </c>
      <c r="AT219">
        <v>1629</v>
      </c>
      <c r="AU219">
        <v>0</v>
      </c>
      <c r="AV219">
        <v>0</v>
      </c>
      <c r="AW219">
        <v>3.4950000000000001</v>
      </c>
      <c r="AX219">
        <v>0.12944444444444445</v>
      </c>
      <c r="AY219">
        <v>4.1422222222222222</v>
      </c>
      <c r="AZ219" t="s">
        <v>135</v>
      </c>
      <c r="BA219">
        <v>1.8577777777777778</v>
      </c>
      <c r="BB219">
        <v>14.351931330472103</v>
      </c>
      <c r="BC219" t="s">
        <v>133</v>
      </c>
      <c r="BD219">
        <v>0</v>
      </c>
      <c r="BE219" t="s">
        <v>133</v>
      </c>
      <c r="BF21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3.4950000000000001</v>
      </c>
    </row>
    <row r="220" spans="1:58" x14ac:dyDescent="0.25">
      <c r="A220" t="s">
        <v>426</v>
      </c>
      <c r="B220" t="s">
        <v>19</v>
      </c>
      <c r="C220">
        <v>1</v>
      </c>
      <c r="D220">
        <v>220</v>
      </c>
      <c r="E220" t="s">
        <v>2108</v>
      </c>
      <c r="F220" t="s">
        <v>123</v>
      </c>
      <c r="G220" t="s">
        <v>124</v>
      </c>
      <c r="H220" t="s">
        <v>125</v>
      </c>
      <c r="I220" t="s">
        <v>126</v>
      </c>
      <c r="J220" t="s">
        <v>126</v>
      </c>
      <c r="K220" t="s">
        <v>127</v>
      </c>
      <c r="L220">
        <v>50</v>
      </c>
      <c r="M220">
        <v>938011</v>
      </c>
      <c r="N220">
        <v>6</v>
      </c>
      <c r="O220">
        <v>1</v>
      </c>
      <c r="P220" t="s">
        <v>128</v>
      </c>
      <c r="Q220" t="s">
        <v>129</v>
      </c>
      <c r="R220">
        <v>20</v>
      </c>
      <c r="T220">
        <v>5</v>
      </c>
      <c r="U220">
        <v>10</v>
      </c>
      <c r="V220">
        <v>4</v>
      </c>
      <c r="W220">
        <v>0</v>
      </c>
      <c r="X220">
        <v>4</v>
      </c>
      <c r="Y220">
        <v>0</v>
      </c>
      <c r="Z220">
        <v>9</v>
      </c>
      <c r="AA220">
        <v>14</v>
      </c>
      <c r="AB220">
        <v>50</v>
      </c>
      <c r="AC220">
        <v>11</v>
      </c>
      <c r="AD220">
        <v>4</v>
      </c>
      <c r="AE220">
        <v>0</v>
      </c>
      <c r="AF220">
        <v>15</v>
      </c>
      <c r="AG220">
        <v>0</v>
      </c>
      <c r="AH220">
        <v>39</v>
      </c>
      <c r="AI220">
        <v>35</v>
      </c>
      <c r="AJ220">
        <v>39</v>
      </c>
      <c r="AK220">
        <v>39</v>
      </c>
      <c r="AL220">
        <v>0</v>
      </c>
      <c r="AM220">
        <v>0.12</v>
      </c>
      <c r="AN220">
        <v>3.5454545454545454</v>
      </c>
      <c r="AO220">
        <v>0</v>
      </c>
      <c r="AP220" t="s">
        <v>130</v>
      </c>
      <c r="AQ220" t="s">
        <v>131</v>
      </c>
      <c r="AR220" t="s">
        <v>194</v>
      </c>
      <c r="AS220">
        <v>970</v>
      </c>
      <c r="AT220">
        <v>989</v>
      </c>
      <c r="AU220">
        <v>0</v>
      </c>
      <c r="AV220">
        <v>0</v>
      </c>
      <c r="AW220">
        <v>1.9590000000000001</v>
      </c>
      <c r="AX220">
        <v>0.17809090909090911</v>
      </c>
      <c r="AY220">
        <v>2.6713636363636364</v>
      </c>
      <c r="AZ220" t="s">
        <v>135</v>
      </c>
      <c r="BA220">
        <v>3.3286363636363636</v>
      </c>
      <c r="BB220">
        <v>18.690658499234303</v>
      </c>
      <c r="BC220" t="s">
        <v>144</v>
      </c>
      <c r="BD220">
        <v>0</v>
      </c>
      <c r="BE220" t="s">
        <v>133</v>
      </c>
      <c r="BF22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1.9590000000000001</v>
      </c>
    </row>
    <row r="221" spans="1:58" x14ac:dyDescent="0.25">
      <c r="A221" t="s">
        <v>427</v>
      </c>
      <c r="B221" t="s">
        <v>19</v>
      </c>
      <c r="C221">
        <v>1</v>
      </c>
      <c r="D221">
        <v>221</v>
      </c>
      <c r="E221" t="s">
        <v>2108</v>
      </c>
      <c r="F221" t="s">
        <v>123</v>
      </c>
      <c r="G221" t="s">
        <v>124</v>
      </c>
      <c r="H221" t="s">
        <v>125</v>
      </c>
      <c r="I221" t="s">
        <v>126</v>
      </c>
      <c r="J221" t="s">
        <v>126</v>
      </c>
      <c r="K221" t="s">
        <v>127</v>
      </c>
      <c r="L221">
        <v>50</v>
      </c>
      <c r="M221">
        <v>938013</v>
      </c>
      <c r="N221">
        <v>6</v>
      </c>
      <c r="O221">
        <v>1</v>
      </c>
      <c r="P221" t="s">
        <v>128</v>
      </c>
      <c r="Q221" t="s">
        <v>129</v>
      </c>
      <c r="R221">
        <v>21</v>
      </c>
      <c r="T221">
        <v>28</v>
      </c>
      <c r="U221">
        <v>33</v>
      </c>
      <c r="V221">
        <v>0</v>
      </c>
      <c r="W221">
        <v>0</v>
      </c>
      <c r="X221">
        <v>0</v>
      </c>
      <c r="Y221">
        <v>1</v>
      </c>
      <c r="Z221">
        <v>29</v>
      </c>
      <c r="AA221">
        <v>34</v>
      </c>
      <c r="AB221">
        <v>50</v>
      </c>
      <c r="AC221">
        <v>38</v>
      </c>
      <c r="AD221">
        <v>0</v>
      </c>
      <c r="AE221">
        <v>1</v>
      </c>
      <c r="AF221">
        <v>39</v>
      </c>
      <c r="AG221">
        <v>0</v>
      </c>
      <c r="AH221">
        <v>12</v>
      </c>
      <c r="AI221">
        <v>11</v>
      </c>
      <c r="AJ221">
        <v>11</v>
      </c>
      <c r="AK221">
        <v>12</v>
      </c>
      <c r="AL221">
        <v>0</v>
      </c>
      <c r="AM221">
        <v>0.12</v>
      </c>
      <c r="AN221">
        <v>1</v>
      </c>
      <c r="AO221">
        <v>0</v>
      </c>
      <c r="AP221" t="s">
        <v>130</v>
      </c>
      <c r="AQ221" t="s">
        <v>131</v>
      </c>
      <c r="AR221" t="s">
        <v>194</v>
      </c>
      <c r="AS221">
        <v>3684</v>
      </c>
      <c r="AT221">
        <v>3681</v>
      </c>
      <c r="AU221">
        <v>0</v>
      </c>
      <c r="AV221">
        <v>0</v>
      </c>
      <c r="AW221">
        <v>7.3650000000000002</v>
      </c>
      <c r="AX221">
        <v>0.19381578947368422</v>
      </c>
      <c r="AY221">
        <v>7.5588157894736847</v>
      </c>
      <c r="AZ221" t="s">
        <v>135</v>
      </c>
      <c r="BA221">
        <v>-1.5588157894736847</v>
      </c>
      <c r="BB221">
        <v>-8.0427698574338109</v>
      </c>
      <c r="BC221" t="s">
        <v>132</v>
      </c>
      <c r="BD221">
        <v>0</v>
      </c>
      <c r="BE221" t="s">
        <v>133</v>
      </c>
      <c r="BF22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7.3650000000000002</v>
      </c>
    </row>
    <row r="222" spans="1:58" x14ac:dyDescent="0.25">
      <c r="A222" t="s">
        <v>428</v>
      </c>
      <c r="B222" t="s">
        <v>19</v>
      </c>
      <c r="C222">
        <v>1</v>
      </c>
      <c r="D222">
        <v>222</v>
      </c>
      <c r="E222" t="s">
        <v>2108</v>
      </c>
      <c r="F222" t="s">
        <v>123</v>
      </c>
      <c r="G222" t="s">
        <v>124</v>
      </c>
      <c r="H222" t="s">
        <v>125</v>
      </c>
      <c r="I222" t="s">
        <v>126</v>
      </c>
      <c r="J222" t="s">
        <v>126</v>
      </c>
      <c r="K222" t="s">
        <v>127</v>
      </c>
      <c r="L222">
        <v>50</v>
      </c>
      <c r="M222">
        <v>938015</v>
      </c>
      <c r="N222">
        <v>6</v>
      </c>
      <c r="O222">
        <v>1</v>
      </c>
      <c r="P222" t="s">
        <v>128</v>
      </c>
      <c r="Q222" t="s">
        <v>129</v>
      </c>
      <c r="R222">
        <v>21</v>
      </c>
      <c r="T222">
        <v>26</v>
      </c>
      <c r="U222">
        <v>31</v>
      </c>
      <c r="V222">
        <v>2</v>
      </c>
      <c r="W222">
        <v>0</v>
      </c>
      <c r="X222">
        <v>2</v>
      </c>
      <c r="Y222">
        <v>0</v>
      </c>
      <c r="Z222">
        <v>28</v>
      </c>
      <c r="AA222">
        <v>33</v>
      </c>
      <c r="AB222">
        <v>50</v>
      </c>
      <c r="AC222">
        <v>33</v>
      </c>
      <c r="AD222">
        <v>2</v>
      </c>
      <c r="AE222">
        <v>0</v>
      </c>
      <c r="AF222">
        <v>35</v>
      </c>
      <c r="AG222">
        <v>0</v>
      </c>
      <c r="AH222">
        <v>17</v>
      </c>
      <c r="AI222">
        <v>15</v>
      </c>
      <c r="AJ222">
        <v>17</v>
      </c>
      <c r="AK222">
        <v>17</v>
      </c>
      <c r="AL222">
        <v>0</v>
      </c>
      <c r="AM222">
        <v>0.12</v>
      </c>
      <c r="AN222">
        <v>1.5454545454545454</v>
      </c>
      <c r="AO222">
        <v>0</v>
      </c>
      <c r="AP222" t="s">
        <v>130</v>
      </c>
      <c r="AQ222" t="s">
        <v>131</v>
      </c>
      <c r="AR222" t="s">
        <v>194</v>
      </c>
      <c r="AS222">
        <v>4304</v>
      </c>
      <c r="AT222">
        <v>4265</v>
      </c>
      <c r="AU222">
        <v>0</v>
      </c>
      <c r="AV222">
        <v>0</v>
      </c>
      <c r="AW222">
        <v>8.5690000000000008</v>
      </c>
      <c r="AX222">
        <v>0.25966666666666671</v>
      </c>
      <c r="AY222">
        <v>9.0883333333333347</v>
      </c>
      <c r="AZ222" t="s">
        <v>135</v>
      </c>
      <c r="BA222">
        <v>-3.0883333333333347</v>
      </c>
      <c r="BB222">
        <v>-11.893453145057769</v>
      </c>
      <c r="BC222" t="s">
        <v>133</v>
      </c>
      <c r="BD222">
        <v>0</v>
      </c>
      <c r="BE222" t="s">
        <v>133</v>
      </c>
      <c r="BF22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8.5690000000000008</v>
      </c>
    </row>
    <row r="223" spans="1:58" x14ac:dyDescent="0.25">
      <c r="A223" t="s">
        <v>429</v>
      </c>
      <c r="B223" t="s">
        <v>19</v>
      </c>
      <c r="C223">
        <v>1</v>
      </c>
      <c r="D223">
        <v>223</v>
      </c>
      <c r="E223" t="s">
        <v>2108</v>
      </c>
      <c r="F223" t="s">
        <v>123</v>
      </c>
      <c r="G223" t="s">
        <v>124</v>
      </c>
      <c r="H223" t="s">
        <v>125</v>
      </c>
      <c r="I223" t="s">
        <v>126</v>
      </c>
      <c r="J223" t="s">
        <v>126</v>
      </c>
      <c r="K223" t="s">
        <v>127</v>
      </c>
      <c r="L223">
        <v>50</v>
      </c>
      <c r="M223">
        <v>938017</v>
      </c>
      <c r="N223">
        <v>6</v>
      </c>
      <c r="O223">
        <v>1</v>
      </c>
      <c r="P223" t="s">
        <v>128</v>
      </c>
      <c r="Q223" t="s">
        <v>129</v>
      </c>
      <c r="R223">
        <v>21</v>
      </c>
      <c r="T223">
        <v>32</v>
      </c>
      <c r="U223">
        <v>37</v>
      </c>
      <c r="V223">
        <v>2</v>
      </c>
      <c r="W223">
        <v>0</v>
      </c>
      <c r="X223">
        <v>2</v>
      </c>
      <c r="Y223">
        <v>0</v>
      </c>
      <c r="Z223">
        <v>34</v>
      </c>
      <c r="AA223">
        <v>39</v>
      </c>
      <c r="AB223">
        <v>50</v>
      </c>
      <c r="AC223">
        <v>40</v>
      </c>
      <c r="AD223">
        <v>2</v>
      </c>
      <c r="AE223">
        <v>0</v>
      </c>
      <c r="AF223">
        <v>42</v>
      </c>
      <c r="AG223">
        <v>0</v>
      </c>
      <c r="AH223">
        <v>10</v>
      </c>
      <c r="AI223">
        <v>8</v>
      </c>
      <c r="AJ223">
        <v>10</v>
      </c>
      <c r="AK223">
        <v>10</v>
      </c>
      <c r="AL223">
        <v>0</v>
      </c>
      <c r="AM223">
        <v>0.12</v>
      </c>
      <c r="AN223">
        <v>0.90909090909090917</v>
      </c>
      <c r="AO223">
        <v>0</v>
      </c>
      <c r="AP223" t="s">
        <v>130</v>
      </c>
      <c r="AQ223" t="s">
        <v>131</v>
      </c>
      <c r="AR223" t="s">
        <v>194</v>
      </c>
      <c r="AS223">
        <v>4143</v>
      </c>
      <c r="AT223">
        <v>3682</v>
      </c>
      <c r="AU223">
        <v>0</v>
      </c>
      <c r="AV223">
        <v>0</v>
      </c>
      <c r="AW223">
        <v>7.8250000000000002</v>
      </c>
      <c r="AX223">
        <v>0.19562499999999999</v>
      </c>
      <c r="AY223">
        <v>8.2162500000000005</v>
      </c>
      <c r="AZ223" t="s">
        <v>135</v>
      </c>
      <c r="BA223">
        <v>-2.2162500000000005</v>
      </c>
      <c r="BB223">
        <v>-11.329073482428118</v>
      </c>
      <c r="BC223" t="s">
        <v>133</v>
      </c>
      <c r="BD223">
        <v>0</v>
      </c>
      <c r="BE223" t="s">
        <v>133</v>
      </c>
      <c r="BF22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7.8250000000000002</v>
      </c>
    </row>
    <row r="224" spans="1:58" x14ac:dyDescent="0.25">
      <c r="A224" t="s">
        <v>430</v>
      </c>
      <c r="B224" t="s">
        <v>19</v>
      </c>
      <c r="C224">
        <v>1</v>
      </c>
      <c r="D224">
        <v>224</v>
      </c>
      <c r="E224" t="s">
        <v>2108</v>
      </c>
      <c r="F224" t="s">
        <v>123</v>
      </c>
      <c r="G224" t="s">
        <v>124</v>
      </c>
      <c r="H224" t="s">
        <v>125</v>
      </c>
      <c r="I224" t="s">
        <v>126</v>
      </c>
      <c r="J224" t="s">
        <v>126</v>
      </c>
      <c r="K224" t="s">
        <v>127</v>
      </c>
      <c r="L224">
        <v>50</v>
      </c>
      <c r="M224">
        <v>938019</v>
      </c>
      <c r="N224">
        <v>6</v>
      </c>
      <c r="O224">
        <v>1</v>
      </c>
      <c r="P224" t="s">
        <v>128</v>
      </c>
      <c r="Q224" t="s">
        <v>129</v>
      </c>
      <c r="R224">
        <v>21</v>
      </c>
      <c r="T224">
        <v>16</v>
      </c>
      <c r="U224">
        <v>21</v>
      </c>
      <c r="V224">
        <v>3</v>
      </c>
      <c r="W224">
        <v>0</v>
      </c>
      <c r="X224">
        <v>3</v>
      </c>
      <c r="Y224">
        <v>4</v>
      </c>
      <c r="Z224">
        <v>23</v>
      </c>
      <c r="AA224">
        <v>28</v>
      </c>
      <c r="AB224">
        <v>50</v>
      </c>
      <c r="AC224">
        <v>23</v>
      </c>
      <c r="AD224">
        <v>4</v>
      </c>
      <c r="AE224">
        <v>4</v>
      </c>
      <c r="AF224">
        <v>31</v>
      </c>
      <c r="AG224">
        <v>0</v>
      </c>
      <c r="AH224">
        <v>27</v>
      </c>
      <c r="AI224">
        <v>19</v>
      </c>
      <c r="AJ224">
        <v>23</v>
      </c>
      <c r="AK224">
        <v>27</v>
      </c>
      <c r="AL224">
        <v>0</v>
      </c>
      <c r="AM224">
        <v>0.12</v>
      </c>
      <c r="AN224">
        <v>2.0909090909090908</v>
      </c>
      <c r="AO224">
        <v>0</v>
      </c>
      <c r="AP224" t="s">
        <v>130</v>
      </c>
      <c r="AQ224" t="s">
        <v>131</v>
      </c>
      <c r="AR224" t="s">
        <v>194</v>
      </c>
      <c r="AS224">
        <v>1799</v>
      </c>
      <c r="AT224">
        <v>1850</v>
      </c>
      <c r="AU224">
        <v>0</v>
      </c>
      <c r="AV224">
        <v>0</v>
      </c>
      <c r="AW224">
        <v>3.649</v>
      </c>
      <c r="AX224">
        <v>0.15865217391304348</v>
      </c>
      <c r="AY224">
        <v>4.9182173913043483</v>
      </c>
      <c r="AZ224" t="s">
        <v>135</v>
      </c>
      <c r="BA224">
        <v>1.0817826086956517</v>
      </c>
      <c r="BB224">
        <v>6.8185804329953381</v>
      </c>
      <c r="BC224" t="s">
        <v>133</v>
      </c>
      <c r="BD224">
        <v>0</v>
      </c>
      <c r="BE224" t="s">
        <v>133</v>
      </c>
      <c r="BF22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3.649</v>
      </c>
    </row>
    <row r="225" spans="1:58" x14ac:dyDescent="0.25">
      <c r="A225" t="s">
        <v>431</v>
      </c>
      <c r="B225" t="s">
        <v>19</v>
      </c>
      <c r="C225">
        <v>1</v>
      </c>
      <c r="D225">
        <v>225</v>
      </c>
      <c r="E225" t="s">
        <v>2108</v>
      </c>
      <c r="F225" t="s">
        <v>123</v>
      </c>
      <c r="G225" t="s">
        <v>124</v>
      </c>
      <c r="H225" t="s">
        <v>125</v>
      </c>
      <c r="I225" t="s">
        <v>126</v>
      </c>
      <c r="J225" t="s">
        <v>126</v>
      </c>
      <c r="K225" t="s">
        <v>127</v>
      </c>
      <c r="L225">
        <v>50</v>
      </c>
      <c r="M225">
        <v>938021</v>
      </c>
      <c r="N225">
        <v>6</v>
      </c>
      <c r="O225">
        <v>1</v>
      </c>
      <c r="P225" t="s">
        <v>128</v>
      </c>
      <c r="Q225" t="s">
        <v>129</v>
      </c>
      <c r="R225">
        <v>21</v>
      </c>
      <c r="T225">
        <v>15</v>
      </c>
      <c r="U225">
        <v>20</v>
      </c>
      <c r="V225">
        <v>7</v>
      </c>
      <c r="W225">
        <v>0</v>
      </c>
      <c r="X225">
        <v>7</v>
      </c>
      <c r="Y225">
        <v>1</v>
      </c>
      <c r="Z225">
        <v>23</v>
      </c>
      <c r="AA225">
        <v>28</v>
      </c>
      <c r="AB225">
        <v>50</v>
      </c>
      <c r="AC225">
        <v>21</v>
      </c>
      <c r="AD225">
        <v>7</v>
      </c>
      <c r="AE225">
        <v>1</v>
      </c>
      <c r="AF225">
        <v>29</v>
      </c>
      <c r="AG225">
        <v>0</v>
      </c>
      <c r="AH225">
        <v>29</v>
      </c>
      <c r="AI225">
        <v>21</v>
      </c>
      <c r="AJ225">
        <v>28</v>
      </c>
      <c r="AK225">
        <v>29</v>
      </c>
      <c r="AL225">
        <v>0</v>
      </c>
      <c r="AM225">
        <v>0.12</v>
      </c>
      <c r="AN225">
        <v>2.5454545454545454</v>
      </c>
      <c r="AO225">
        <v>0</v>
      </c>
      <c r="AP225" t="s">
        <v>130</v>
      </c>
      <c r="AQ225" t="s">
        <v>131</v>
      </c>
      <c r="AR225" t="s">
        <v>194</v>
      </c>
      <c r="AS225">
        <v>2197</v>
      </c>
      <c r="AT225">
        <v>2123</v>
      </c>
      <c r="AU225">
        <v>0</v>
      </c>
      <c r="AV225">
        <v>0</v>
      </c>
      <c r="AW225">
        <v>4.32</v>
      </c>
      <c r="AX225">
        <v>0.20571428571428574</v>
      </c>
      <c r="AY225">
        <v>5.9657142857142862</v>
      </c>
      <c r="AZ225" t="s">
        <v>135</v>
      </c>
      <c r="BA225">
        <v>3.4285714285713809E-2</v>
      </c>
      <c r="BB225">
        <v>0.16666666666666433</v>
      </c>
      <c r="BC225" t="s">
        <v>133</v>
      </c>
      <c r="BD225">
        <v>0</v>
      </c>
      <c r="BE225" t="s">
        <v>133</v>
      </c>
      <c r="BF22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4.32</v>
      </c>
    </row>
    <row r="226" spans="1:58" x14ac:dyDescent="0.25">
      <c r="A226" t="s">
        <v>432</v>
      </c>
      <c r="B226" t="s">
        <v>19</v>
      </c>
      <c r="C226">
        <v>1</v>
      </c>
      <c r="D226">
        <v>226</v>
      </c>
      <c r="E226" t="s">
        <v>2108</v>
      </c>
      <c r="F226" t="s">
        <v>123</v>
      </c>
      <c r="G226" t="s">
        <v>124</v>
      </c>
      <c r="H226" t="s">
        <v>136</v>
      </c>
      <c r="I226" t="s">
        <v>137</v>
      </c>
      <c r="J226" t="s">
        <v>138</v>
      </c>
      <c r="K226" t="s">
        <v>127</v>
      </c>
      <c r="L226">
        <v>50</v>
      </c>
      <c r="M226">
        <v>938023</v>
      </c>
      <c r="N226">
        <v>5</v>
      </c>
      <c r="O226">
        <v>1</v>
      </c>
      <c r="P226" t="s">
        <v>128</v>
      </c>
      <c r="Q226" t="s">
        <v>129</v>
      </c>
      <c r="R226">
        <v>21</v>
      </c>
      <c r="T226">
        <v>0</v>
      </c>
      <c r="U226">
        <v>4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4</v>
      </c>
      <c r="AB226">
        <v>50</v>
      </c>
      <c r="AC226">
        <v>4</v>
      </c>
      <c r="AD226">
        <v>0</v>
      </c>
      <c r="AE226">
        <v>0</v>
      </c>
      <c r="AF226">
        <v>4</v>
      </c>
      <c r="AG226">
        <v>0</v>
      </c>
      <c r="AH226">
        <v>46</v>
      </c>
      <c r="AI226">
        <v>46</v>
      </c>
      <c r="AJ226">
        <v>46</v>
      </c>
      <c r="AK226">
        <v>46</v>
      </c>
      <c r="AL226">
        <v>0</v>
      </c>
      <c r="AM226">
        <v>0.1</v>
      </c>
      <c r="AN226">
        <v>4.1818181818181817</v>
      </c>
      <c r="AO226">
        <v>0</v>
      </c>
      <c r="AP226" t="s">
        <v>139</v>
      </c>
      <c r="AQ226" t="s">
        <v>131</v>
      </c>
      <c r="AR226" t="s">
        <v>194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 t="s">
        <v>134</v>
      </c>
      <c r="BA226">
        <v>5</v>
      </c>
      <c r="BB226">
        <v>0</v>
      </c>
      <c r="BC226" t="s">
        <v>133</v>
      </c>
      <c r="BD226">
        <v>0</v>
      </c>
      <c r="BE226" t="s">
        <v>133</v>
      </c>
      <c r="BF22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27" spans="1:58" x14ac:dyDescent="0.25">
      <c r="A227" t="s">
        <v>433</v>
      </c>
      <c r="B227" t="s">
        <v>19</v>
      </c>
      <c r="C227">
        <v>1</v>
      </c>
      <c r="D227">
        <v>227</v>
      </c>
      <c r="E227" t="s">
        <v>2108</v>
      </c>
      <c r="F227" t="s">
        <v>123</v>
      </c>
      <c r="G227" t="s">
        <v>124</v>
      </c>
      <c r="H227" t="s">
        <v>125</v>
      </c>
      <c r="I227" t="s">
        <v>126</v>
      </c>
      <c r="J227" t="s">
        <v>126</v>
      </c>
      <c r="K227" t="s">
        <v>127</v>
      </c>
      <c r="L227">
        <v>50</v>
      </c>
      <c r="M227">
        <v>938025</v>
      </c>
      <c r="N227">
        <v>6</v>
      </c>
      <c r="O227">
        <v>1</v>
      </c>
      <c r="P227" t="s">
        <v>128</v>
      </c>
      <c r="Q227" t="s">
        <v>129</v>
      </c>
      <c r="R227">
        <v>21</v>
      </c>
      <c r="T227">
        <v>25</v>
      </c>
      <c r="U227">
        <v>30</v>
      </c>
      <c r="V227">
        <v>2</v>
      </c>
      <c r="W227">
        <v>0</v>
      </c>
      <c r="X227">
        <v>2</v>
      </c>
      <c r="Y227">
        <v>0</v>
      </c>
      <c r="Z227">
        <v>27</v>
      </c>
      <c r="AA227">
        <v>32</v>
      </c>
      <c r="AB227">
        <v>50</v>
      </c>
      <c r="AC227">
        <v>32</v>
      </c>
      <c r="AD227">
        <v>2</v>
      </c>
      <c r="AE227">
        <v>0</v>
      </c>
      <c r="AF227">
        <v>34</v>
      </c>
      <c r="AG227">
        <v>0</v>
      </c>
      <c r="AH227">
        <v>18</v>
      </c>
      <c r="AI227">
        <v>16</v>
      </c>
      <c r="AJ227">
        <v>18</v>
      </c>
      <c r="AK227">
        <v>18</v>
      </c>
      <c r="AL227">
        <v>0</v>
      </c>
      <c r="AM227">
        <v>0.12</v>
      </c>
      <c r="AN227">
        <v>1.6363636363636365</v>
      </c>
      <c r="AO227">
        <v>0</v>
      </c>
      <c r="AP227" t="s">
        <v>130</v>
      </c>
      <c r="AQ227" t="s">
        <v>131</v>
      </c>
      <c r="AR227" t="s">
        <v>194</v>
      </c>
      <c r="AS227">
        <v>4050</v>
      </c>
      <c r="AT227">
        <v>3961</v>
      </c>
      <c r="AU227">
        <v>0</v>
      </c>
      <c r="AV227">
        <v>0</v>
      </c>
      <c r="AW227">
        <v>8.0109999999999992</v>
      </c>
      <c r="AX227">
        <v>0.25034374999999998</v>
      </c>
      <c r="AY227">
        <v>8.511687499999999</v>
      </c>
      <c r="AZ227" t="s">
        <v>135</v>
      </c>
      <c r="BA227">
        <v>-2.511687499999999</v>
      </c>
      <c r="BB227">
        <v>-10.032954687304953</v>
      </c>
      <c r="BC227" t="s">
        <v>133</v>
      </c>
      <c r="BD227">
        <v>0</v>
      </c>
      <c r="BE227" t="s">
        <v>133</v>
      </c>
      <c r="BF22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8.0109999999999992</v>
      </c>
    </row>
    <row r="228" spans="1:58" x14ac:dyDescent="0.25">
      <c r="A228" t="s">
        <v>434</v>
      </c>
      <c r="B228" t="s">
        <v>19</v>
      </c>
      <c r="C228">
        <v>1</v>
      </c>
      <c r="D228">
        <v>228</v>
      </c>
      <c r="E228" t="s">
        <v>2108</v>
      </c>
      <c r="F228" t="s">
        <v>123</v>
      </c>
      <c r="G228" t="s">
        <v>124</v>
      </c>
      <c r="H228" t="s">
        <v>125</v>
      </c>
      <c r="I228" t="s">
        <v>126</v>
      </c>
      <c r="J228" t="s">
        <v>126</v>
      </c>
      <c r="K228" t="s">
        <v>127</v>
      </c>
      <c r="L228">
        <v>50</v>
      </c>
      <c r="M228">
        <v>938027</v>
      </c>
      <c r="N228">
        <v>6</v>
      </c>
      <c r="O228">
        <v>1</v>
      </c>
      <c r="P228" t="s">
        <v>128</v>
      </c>
      <c r="Q228" t="s">
        <v>129</v>
      </c>
      <c r="R228">
        <v>21</v>
      </c>
      <c r="T228">
        <v>25</v>
      </c>
      <c r="U228">
        <v>30</v>
      </c>
      <c r="V228">
        <v>7</v>
      </c>
      <c r="W228">
        <v>0</v>
      </c>
      <c r="X228">
        <v>7</v>
      </c>
      <c r="Y228">
        <v>0</v>
      </c>
      <c r="Z228">
        <v>32</v>
      </c>
      <c r="AA228">
        <v>37</v>
      </c>
      <c r="AB228">
        <v>50</v>
      </c>
      <c r="AC228">
        <v>31</v>
      </c>
      <c r="AD228">
        <v>14</v>
      </c>
      <c r="AE228">
        <v>0</v>
      </c>
      <c r="AF228">
        <v>45</v>
      </c>
      <c r="AG228">
        <v>0</v>
      </c>
      <c r="AH228">
        <v>19</v>
      </c>
      <c r="AI228">
        <v>5</v>
      </c>
      <c r="AJ228">
        <v>19</v>
      </c>
      <c r="AK228">
        <v>19</v>
      </c>
      <c r="AL228">
        <v>0</v>
      </c>
      <c r="AM228">
        <v>0.12</v>
      </c>
      <c r="AN228">
        <v>1.7272727272727273</v>
      </c>
      <c r="AO228">
        <v>0</v>
      </c>
      <c r="AP228" t="s">
        <v>130</v>
      </c>
      <c r="AQ228" t="s">
        <v>131</v>
      </c>
      <c r="AR228" t="s">
        <v>194</v>
      </c>
      <c r="AS228">
        <v>4178</v>
      </c>
      <c r="AT228">
        <v>4141</v>
      </c>
      <c r="AU228">
        <v>0</v>
      </c>
      <c r="AV228">
        <v>0</v>
      </c>
      <c r="AW228">
        <v>8.3190000000000008</v>
      </c>
      <c r="AX228">
        <v>0.26835483870967747</v>
      </c>
      <c r="AY228">
        <v>12.075967741935486</v>
      </c>
      <c r="AZ228" t="s">
        <v>135</v>
      </c>
      <c r="BA228">
        <v>-6.0759677419354858</v>
      </c>
      <c r="BB228">
        <v>-22.641543454742159</v>
      </c>
      <c r="BC228" t="s">
        <v>133</v>
      </c>
      <c r="BD228">
        <v>0</v>
      </c>
      <c r="BE228" t="s">
        <v>133</v>
      </c>
      <c r="BF22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8.3190000000000008</v>
      </c>
    </row>
    <row r="229" spans="1:58" x14ac:dyDescent="0.25">
      <c r="A229" t="s">
        <v>435</v>
      </c>
      <c r="B229" t="s">
        <v>19</v>
      </c>
      <c r="C229">
        <v>1</v>
      </c>
      <c r="D229">
        <v>229</v>
      </c>
      <c r="E229" t="s">
        <v>2108</v>
      </c>
      <c r="F229" t="s">
        <v>123</v>
      </c>
      <c r="G229" t="s">
        <v>124</v>
      </c>
      <c r="H229" t="s">
        <v>125</v>
      </c>
      <c r="I229" t="s">
        <v>126</v>
      </c>
      <c r="J229" t="s">
        <v>126</v>
      </c>
      <c r="K229" t="s">
        <v>127</v>
      </c>
      <c r="L229">
        <v>50</v>
      </c>
      <c r="M229">
        <v>938029</v>
      </c>
      <c r="N229">
        <v>6</v>
      </c>
      <c r="O229">
        <v>1</v>
      </c>
      <c r="P229" t="s">
        <v>128</v>
      </c>
      <c r="Q229" t="s">
        <v>129</v>
      </c>
      <c r="R229">
        <v>21</v>
      </c>
      <c r="T229">
        <v>35</v>
      </c>
      <c r="U229">
        <v>40</v>
      </c>
      <c r="V229">
        <v>2</v>
      </c>
      <c r="W229">
        <v>0</v>
      </c>
      <c r="X229">
        <v>2</v>
      </c>
      <c r="Y229">
        <v>0</v>
      </c>
      <c r="Z229">
        <v>37</v>
      </c>
      <c r="AA229">
        <v>42</v>
      </c>
      <c r="AB229">
        <v>50</v>
      </c>
      <c r="AC229">
        <v>40</v>
      </c>
      <c r="AD229">
        <v>2</v>
      </c>
      <c r="AE229">
        <v>0</v>
      </c>
      <c r="AF229">
        <v>42</v>
      </c>
      <c r="AG229">
        <v>0</v>
      </c>
      <c r="AH229">
        <v>10</v>
      </c>
      <c r="AI229">
        <v>8</v>
      </c>
      <c r="AJ229">
        <v>10</v>
      </c>
      <c r="AK229">
        <v>10</v>
      </c>
      <c r="AL229">
        <v>0</v>
      </c>
      <c r="AM229">
        <v>0.12</v>
      </c>
      <c r="AN229">
        <v>0.90909090909090917</v>
      </c>
      <c r="AO229">
        <v>0</v>
      </c>
      <c r="AP229" t="s">
        <v>130</v>
      </c>
      <c r="AQ229" t="s">
        <v>131</v>
      </c>
      <c r="AR229" t="s">
        <v>194</v>
      </c>
      <c r="AS229">
        <v>5408</v>
      </c>
      <c r="AT229">
        <v>5946</v>
      </c>
      <c r="AU229">
        <v>0</v>
      </c>
      <c r="AV229">
        <v>0</v>
      </c>
      <c r="AW229">
        <v>11.353999999999999</v>
      </c>
      <c r="AX229">
        <v>0.28384999999999999</v>
      </c>
      <c r="AY229">
        <v>11.9217</v>
      </c>
      <c r="AZ229" t="s">
        <v>135</v>
      </c>
      <c r="BA229">
        <v>-5.9216999999999995</v>
      </c>
      <c r="BB229">
        <v>-20.862075039633609</v>
      </c>
      <c r="BC229" t="s">
        <v>133</v>
      </c>
      <c r="BD229">
        <v>0</v>
      </c>
      <c r="BE229" t="s">
        <v>133</v>
      </c>
      <c r="BF22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11.353999999999999</v>
      </c>
    </row>
    <row r="230" spans="1:58" x14ac:dyDescent="0.25">
      <c r="A230" t="s">
        <v>436</v>
      </c>
      <c r="B230" t="s">
        <v>19</v>
      </c>
      <c r="C230">
        <v>1</v>
      </c>
      <c r="D230">
        <v>230</v>
      </c>
      <c r="E230" t="s">
        <v>2108</v>
      </c>
      <c r="F230" t="s">
        <v>123</v>
      </c>
      <c r="G230" t="s">
        <v>124</v>
      </c>
      <c r="H230" t="s">
        <v>125</v>
      </c>
      <c r="I230" t="s">
        <v>126</v>
      </c>
      <c r="J230" t="s">
        <v>126</v>
      </c>
      <c r="K230" t="s">
        <v>127</v>
      </c>
      <c r="L230">
        <v>50</v>
      </c>
      <c r="M230">
        <v>938031</v>
      </c>
      <c r="N230">
        <v>6</v>
      </c>
      <c r="O230">
        <v>1</v>
      </c>
      <c r="P230" t="s">
        <v>128</v>
      </c>
      <c r="Q230" t="s">
        <v>129</v>
      </c>
      <c r="R230">
        <v>21</v>
      </c>
      <c r="T230">
        <v>28</v>
      </c>
      <c r="U230">
        <v>33</v>
      </c>
      <c r="V230">
        <v>5</v>
      </c>
      <c r="W230">
        <v>0</v>
      </c>
      <c r="X230">
        <v>5</v>
      </c>
      <c r="Y230">
        <v>1</v>
      </c>
      <c r="Z230">
        <v>34</v>
      </c>
      <c r="AA230">
        <v>39</v>
      </c>
      <c r="AB230">
        <v>50</v>
      </c>
      <c r="AC230">
        <v>33</v>
      </c>
      <c r="AD230">
        <v>5</v>
      </c>
      <c r="AE230">
        <v>1</v>
      </c>
      <c r="AF230">
        <v>39</v>
      </c>
      <c r="AG230">
        <v>0</v>
      </c>
      <c r="AH230">
        <v>17</v>
      </c>
      <c r="AI230">
        <v>11</v>
      </c>
      <c r="AJ230">
        <v>16</v>
      </c>
      <c r="AK230">
        <v>17</v>
      </c>
      <c r="AL230">
        <v>0</v>
      </c>
      <c r="AM230">
        <v>0.12</v>
      </c>
      <c r="AN230">
        <v>1.4545454545454546</v>
      </c>
      <c r="AO230">
        <v>0</v>
      </c>
      <c r="AP230" t="s">
        <v>130</v>
      </c>
      <c r="AQ230" t="s">
        <v>131</v>
      </c>
      <c r="AR230" t="s">
        <v>194</v>
      </c>
      <c r="AS230">
        <v>2723</v>
      </c>
      <c r="AT230">
        <v>2611</v>
      </c>
      <c r="AU230">
        <v>0</v>
      </c>
      <c r="AV230">
        <v>0</v>
      </c>
      <c r="AW230">
        <v>5.3339999999999996</v>
      </c>
      <c r="AX230">
        <v>0.16163636363636363</v>
      </c>
      <c r="AY230">
        <v>6.3038181818181815</v>
      </c>
      <c r="AZ230" t="s">
        <v>135</v>
      </c>
      <c r="BA230">
        <v>-0.30381818181818154</v>
      </c>
      <c r="BB230">
        <v>-1.879640044994374</v>
      </c>
      <c r="BC230" t="s">
        <v>133</v>
      </c>
      <c r="BD230">
        <v>0</v>
      </c>
      <c r="BE230" t="s">
        <v>133</v>
      </c>
      <c r="BF23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5.3339999999999996</v>
      </c>
    </row>
    <row r="231" spans="1:58" x14ac:dyDescent="0.25">
      <c r="A231" t="s">
        <v>437</v>
      </c>
      <c r="B231" t="s">
        <v>19</v>
      </c>
      <c r="C231">
        <v>1</v>
      </c>
      <c r="D231">
        <v>231</v>
      </c>
      <c r="E231" t="s">
        <v>2108</v>
      </c>
      <c r="F231" t="s">
        <v>123</v>
      </c>
      <c r="G231" t="s">
        <v>124</v>
      </c>
      <c r="H231" t="s">
        <v>125</v>
      </c>
      <c r="I231" t="s">
        <v>126</v>
      </c>
      <c r="J231" t="s">
        <v>126</v>
      </c>
      <c r="K231" t="s">
        <v>127</v>
      </c>
      <c r="L231">
        <v>50</v>
      </c>
      <c r="M231">
        <v>938033</v>
      </c>
      <c r="N231">
        <v>6</v>
      </c>
      <c r="O231">
        <v>1</v>
      </c>
      <c r="P231" t="s">
        <v>128</v>
      </c>
      <c r="Q231" t="s">
        <v>129</v>
      </c>
      <c r="R231">
        <v>21</v>
      </c>
      <c r="T231">
        <v>25</v>
      </c>
      <c r="U231">
        <v>30</v>
      </c>
      <c r="V231">
        <v>11</v>
      </c>
      <c r="W231">
        <v>0</v>
      </c>
      <c r="X231">
        <v>11</v>
      </c>
      <c r="Y231">
        <v>0</v>
      </c>
      <c r="Z231">
        <v>36</v>
      </c>
      <c r="AA231">
        <v>41</v>
      </c>
      <c r="AB231">
        <v>50</v>
      </c>
      <c r="AC231">
        <v>30</v>
      </c>
      <c r="AD231">
        <v>11</v>
      </c>
      <c r="AE231">
        <v>0</v>
      </c>
      <c r="AF231">
        <v>41</v>
      </c>
      <c r="AG231">
        <v>0</v>
      </c>
      <c r="AH231">
        <v>20</v>
      </c>
      <c r="AI231">
        <v>9</v>
      </c>
      <c r="AJ231">
        <v>20</v>
      </c>
      <c r="AK231">
        <v>20</v>
      </c>
      <c r="AL231">
        <v>0</v>
      </c>
      <c r="AM231">
        <v>0.12</v>
      </c>
      <c r="AN231">
        <v>1.8181818181818183</v>
      </c>
      <c r="AO231">
        <v>0</v>
      </c>
      <c r="AP231" t="s">
        <v>130</v>
      </c>
      <c r="AQ231" t="s">
        <v>131</v>
      </c>
      <c r="AR231" t="s">
        <v>194</v>
      </c>
      <c r="AS231">
        <v>3102</v>
      </c>
      <c r="AT231">
        <v>3221</v>
      </c>
      <c r="AU231">
        <v>0</v>
      </c>
      <c r="AV231">
        <v>0</v>
      </c>
      <c r="AW231">
        <v>6.3230000000000004</v>
      </c>
      <c r="AX231">
        <v>0.21076666666666669</v>
      </c>
      <c r="AY231">
        <v>8.6414333333333335</v>
      </c>
      <c r="AZ231" t="s">
        <v>135</v>
      </c>
      <c r="BA231">
        <v>-2.6414333333333335</v>
      </c>
      <c r="BB231">
        <v>-12.532500395381939</v>
      </c>
      <c r="BC231" t="s">
        <v>144</v>
      </c>
      <c r="BD231">
        <v>0</v>
      </c>
      <c r="BE231" t="s">
        <v>133</v>
      </c>
      <c r="BF23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6.3230000000000004</v>
      </c>
    </row>
    <row r="232" spans="1:58" x14ac:dyDescent="0.25">
      <c r="A232" t="s">
        <v>438</v>
      </c>
      <c r="B232" t="s">
        <v>19</v>
      </c>
      <c r="C232">
        <v>1</v>
      </c>
      <c r="D232">
        <v>232</v>
      </c>
      <c r="E232" t="s">
        <v>2109</v>
      </c>
      <c r="F232" t="s">
        <v>123</v>
      </c>
      <c r="G232" t="s">
        <v>124</v>
      </c>
      <c r="H232" t="s">
        <v>125</v>
      </c>
      <c r="I232" t="s">
        <v>183</v>
      </c>
      <c r="J232" t="s">
        <v>140</v>
      </c>
      <c r="K232" t="s">
        <v>127</v>
      </c>
      <c r="L232">
        <v>0</v>
      </c>
      <c r="M232">
        <v>3405770</v>
      </c>
      <c r="N232">
        <v>20</v>
      </c>
      <c r="O232">
        <v>1</v>
      </c>
      <c r="P232" t="s">
        <v>128</v>
      </c>
      <c r="Q232" t="s">
        <v>129</v>
      </c>
      <c r="R232">
        <v>22</v>
      </c>
      <c r="S232" t="s">
        <v>439</v>
      </c>
      <c r="T232">
        <v>22</v>
      </c>
      <c r="U232">
        <v>25</v>
      </c>
      <c r="V232">
        <v>0</v>
      </c>
      <c r="W232">
        <v>0</v>
      </c>
      <c r="X232">
        <v>0</v>
      </c>
      <c r="Y232">
        <v>0</v>
      </c>
      <c r="Z232">
        <v>22</v>
      </c>
      <c r="AA232">
        <v>25</v>
      </c>
      <c r="AB232">
        <v>50</v>
      </c>
      <c r="AC232">
        <v>49</v>
      </c>
      <c r="AD232">
        <v>0</v>
      </c>
      <c r="AE232">
        <v>0</v>
      </c>
      <c r="AF232">
        <v>49</v>
      </c>
      <c r="AG232">
        <v>0</v>
      </c>
      <c r="AH232">
        <v>1</v>
      </c>
      <c r="AI232">
        <v>1</v>
      </c>
      <c r="AJ232">
        <v>1</v>
      </c>
      <c r="AK232">
        <v>1</v>
      </c>
      <c r="AL232">
        <v>0</v>
      </c>
      <c r="AM232">
        <v>0.4</v>
      </c>
      <c r="AN232">
        <v>9.0909090909090912E-2</v>
      </c>
      <c r="AO232">
        <v>0</v>
      </c>
      <c r="AP232" t="s">
        <v>188</v>
      </c>
      <c r="AQ232" t="s">
        <v>131</v>
      </c>
      <c r="AR232" t="s">
        <v>229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 t="s">
        <v>147</v>
      </c>
      <c r="BA232">
        <v>20</v>
      </c>
      <c r="BB232">
        <v>0</v>
      </c>
      <c r="BC232" t="s">
        <v>132</v>
      </c>
      <c r="BD232">
        <v>0</v>
      </c>
      <c r="BE232" t="s">
        <v>133</v>
      </c>
      <c r="BF23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33" spans="1:58" x14ac:dyDescent="0.25">
      <c r="A233" t="s">
        <v>440</v>
      </c>
      <c r="B233" t="s">
        <v>19</v>
      </c>
      <c r="C233">
        <v>1</v>
      </c>
      <c r="D233">
        <v>233</v>
      </c>
      <c r="E233" t="s">
        <v>2109</v>
      </c>
      <c r="F233" t="s">
        <v>123</v>
      </c>
      <c r="G233" t="s">
        <v>124</v>
      </c>
      <c r="H233" t="s">
        <v>125</v>
      </c>
      <c r="I233" t="s">
        <v>183</v>
      </c>
      <c r="J233" t="s">
        <v>140</v>
      </c>
      <c r="K233" t="s">
        <v>127</v>
      </c>
      <c r="L233">
        <v>0</v>
      </c>
      <c r="M233">
        <v>3405772</v>
      </c>
      <c r="N233">
        <v>20</v>
      </c>
      <c r="O233">
        <v>1</v>
      </c>
      <c r="P233" t="s">
        <v>128</v>
      </c>
      <c r="Q233" t="s">
        <v>129</v>
      </c>
      <c r="R233">
        <v>22</v>
      </c>
      <c r="S233" t="s">
        <v>439</v>
      </c>
      <c r="T233">
        <v>22</v>
      </c>
      <c r="U233">
        <v>25</v>
      </c>
      <c r="V233">
        <v>0</v>
      </c>
      <c r="W233">
        <v>0</v>
      </c>
      <c r="X233">
        <v>0</v>
      </c>
      <c r="Y233">
        <v>0</v>
      </c>
      <c r="Z233">
        <v>22</v>
      </c>
      <c r="AA233">
        <v>25</v>
      </c>
      <c r="AB233">
        <v>50</v>
      </c>
      <c r="AC233">
        <v>49</v>
      </c>
      <c r="AD233">
        <v>0</v>
      </c>
      <c r="AE233">
        <v>0</v>
      </c>
      <c r="AF233">
        <v>49</v>
      </c>
      <c r="AG233">
        <v>0</v>
      </c>
      <c r="AH233">
        <v>1</v>
      </c>
      <c r="AI233">
        <v>1</v>
      </c>
      <c r="AJ233">
        <v>1</v>
      </c>
      <c r="AK233">
        <v>1</v>
      </c>
      <c r="AL233">
        <v>0</v>
      </c>
      <c r="AM233">
        <v>0.4</v>
      </c>
      <c r="AN233">
        <v>9.0909090909090912E-2</v>
      </c>
      <c r="AO233">
        <v>0</v>
      </c>
      <c r="AP233" t="s">
        <v>188</v>
      </c>
      <c r="AQ233" t="s">
        <v>131</v>
      </c>
      <c r="AR233" t="s">
        <v>229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 t="s">
        <v>147</v>
      </c>
      <c r="BA233">
        <v>20</v>
      </c>
      <c r="BB233">
        <v>0</v>
      </c>
      <c r="BC233" t="s">
        <v>133</v>
      </c>
      <c r="BD233">
        <v>0</v>
      </c>
      <c r="BE233" t="s">
        <v>133</v>
      </c>
      <c r="BF23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34" spans="1:58" x14ac:dyDescent="0.25">
      <c r="A234" t="s">
        <v>441</v>
      </c>
      <c r="B234" t="s">
        <v>19</v>
      </c>
      <c r="C234">
        <v>1</v>
      </c>
      <c r="D234">
        <v>234</v>
      </c>
      <c r="E234" t="s">
        <v>2109</v>
      </c>
      <c r="F234" t="s">
        <v>123</v>
      </c>
      <c r="G234" t="s">
        <v>124</v>
      </c>
      <c r="H234" t="s">
        <v>125</v>
      </c>
      <c r="I234" t="s">
        <v>183</v>
      </c>
      <c r="J234" t="s">
        <v>140</v>
      </c>
      <c r="K234" t="s">
        <v>127</v>
      </c>
      <c r="L234">
        <v>0</v>
      </c>
      <c r="M234">
        <v>3405774</v>
      </c>
      <c r="N234">
        <v>20</v>
      </c>
      <c r="O234">
        <v>1</v>
      </c>
      <c r="P234" t="s">
        <v>128</v>
      </c>
      <c r="Q234" t="s">
        <v>129</v>
      </c>
      <c r="R234">
        <v>22</v>
      </c>
      <c r="S234" t="s">
        <v>439</v>
      </c>
      <c r="T234">
        <v>22</v>
      </c>
      <c r="U234">
        <v>25</v>
      </c>
      <c r="V234">
        <v>0</v>
      </c>
      <c r="W234">
        <v>0</v>
      </c>
      <c r="X234">
        <v>0</v>
      </c>
      <c r="Y234">
        <v>0</v>
      </c>
      <c r="Z234">
        <v>22</v>
      </c>
      <c r="AA234">
        <v>25</v>
      </c>
      <c r="AB234">
        <v>50</v>
      </c>
      <c r="AC234">
        <v>49</v>
      </c>
      <c r="AD234">
        <v>0</v>
      </c>
      <c r="AE234">
        <v>0</v>
      </c>
      <c r="AF234">
        <v>49</v>
      </c>
      <c r="AG234">
        <v>0</v>
      </c>
      <c r="AH234">
        <v>1</v>
      </c>
      <c r="AI234">
        <v>1</v>
      </c>
      <c r="AJ234">
        <v>1</v>
      </c>
      <c r="AK234">
        <v>1</v>
      </c>
      <c r="AL234">
        <v>0</v>
      </c>
      <c r="AM234">
        <v>0.4</v>
      </c>
      <c r="AN234">
        <v>9.0909090909090912E-2</v>
      </c>
      <c r="AO234">
        <v>0</v>
      </c>
      <c r="AP234" t="s">
        <v>188</v>
      </c>
      <c r="AQ234" t="s">
        <v>131</v>
      </c>
      <c r="AR234" t="s">
        <v>229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 t="s">
        <v>147</v>
      </c>
      <c r="BA234">
        <v>20</v>
      </c>
      <c r="BB234">
        <v>0</v>
      </c>
      <c r="BC234" t="s">
        <v>133</v>
      </c>
      <c r="BD234">
        <v>0</v>
      </c>
      <c r="BE234" t="s">
        <v>133</v>
      </c>
      <c r="BF23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35" spans="1:58" x14ac:dyDescent="0.25">
      <c r="A235" t="s">
        <v>442</v>
      </c>
      <c r="B235" t="s">
        <v>19</v>
      </c>
      <c r="C235">
        <v>1</v>
      </c>
      <c r="D235">
        <v>235</v>
      </c>
      <c r="E235" t="s">
        <v>2109</v>
      </c>
      <c r="F235" t="s">
        <v>123</v>
      </c>
      <c r="G235" t="s">
        <v>124</v>
      </c>
      <c r="H235" t="s">
        <v>125</v>
      </c>
      <c r="I235" t="s">
        <v>183</v>
      </c>
      <c r="J235" t="s">
        <v>140</v>
      </c>
      <c r="K235" t="s">
        <v>127</v>
      </c>
      <c r="L235">
        <v>50</v>
      </c>
      <c r="M235">
        <v>3458186</v>
      </c>
      <c r="N235">
        <v>20</v>
      </c>
      <c r="O235">
        <v>1</v>
      </c>
      <c r="P235" t="s">
        <v>128</v>
      </c>
      <c r="Q235" t="s">
        <v>129</v>
      </c>
      <c r="R235">
        <v>22</v>
      </c>
      <c r="S235" t="s">
        <v>443</v>
      </c>
      <c r="T235">
        <v>22</v>
      </c>
      <c r="U235">
        <v>25</v>
      </c>
      <c r="V235">
        <v>0</v>
      </c>
      <c r="W235">
        <v>0</v>
      </c>
      <c r="X235">
        <v>0</v>
      </c>
      <c r="Y235">
        <v>0</v>
      </c>
      <c r="Z235">
        <v>22</v>
      </c>
      <c r="AA235">
        <v>25</v>
      </c>
      <c r="AB235">
        <v>50</v>
      </c>
      <c r="AC235">
        <v>49</v>
      </c>
      <c r="AD235">
        <v>0</v>
      </c>
      <c r="AE235">
        <v>0</v>
      </c>
      <c r="AF235">
        <v>49</v>
      </c>
      <c r="AG235">
        <v>0</v>
      </c>
      <c r="AH235">
        <v>1</v>
      </c>
      <c r="AI235">
        <v>1</v>
      </c>
      <c r="AJ235">
        <v>1</v>
      </c>
      <c r="AK235">
        <v>1</v>
      </c>
      <c r="AL235">
        <v>0</v>
      </c>
      <c r="AM235">
        <v>0.4</v>
      </c>
      <c r="AN235">
        <v>9.0909090909090912E-2</v>
      </c>
      <c r="AO235">
        <v>0</v>
      </c>
      <c r="AP235" t="s">
        <v>188</v>
      </c>
      <c r="AQ235" t="s">
        <v>131</v>
      </c>
      <c r="AR235" t="s">
        <v>229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 t="s">
        <v>147</v>
      </c>
      <c r="BA235">
        <v>20</v>
      </c>
      <c r="BB235">
        <v>0</v>
      </c>
      <c r="BC235" t="s">
        <v>133</v>
      </c>
      <c r="BD235">
        <v>0</v>
      </c>
      <c r="BE235" t="s">
        <v>133</v>
      </c>
      <c r="BF23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36" spans="1:58" x14ac:dyDescent="0.25">
      <c r="A236" t="s">
        <v>444</v>
      </c>
      <c r="B236" t="s">
        <v>19</v>
      </c>
      <c r="C236">
        <v>1</v>
      </c>
      <c r="D236">
        <v>236</v>
      </c>
      <c r="E236" t="s">
        <v>2108</v>
      </c>
      <c r="F236" t="s">
        <v>123</v>
      </c>
      <c r="G236" t="s">
        <v>124</v>
      </c>
      <c r="H236" t="s">
        <v>125</v>
      </c>
      <c r="I236" t="s">
        <v>154</v>
      </c>
      <c r="J236" t="s">
        <v>154</v>
      </c>
      <c r="K236" t="s">
        <v>166</v>
      </c>
      <c r="L236">
        <v>50</v>
      </c>
      <c r="M236">
        <v>938043</v>
      </c>
      <c r="N236">
        <v>0</v>
      </c>
      <c r="O236">
        <v>1</v>
      </c>
      <c r="P236" t="s">
        <v>128</v>
      </c>
      <c r="Q236" t="s">
        <v>129</v>
      </c>
      <c r="R236">
        <v>22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50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50</v>
      </c>
      <c r="AI236">
        <v>50</v>
      </c>
      <c r="AJ236">
        <v>50</v>
      </c>
      <c r="AK236">
        <v>50</v>
      </c>
      <c r="AL236">
        <v>0</v>
      </c>
      <c r="AM236">
        <v>0</v>
      </c>
      <c r="AN236">
        <v>4.5454545454545459</v>
      </c>
      <c r="AO236">
        <v>0</v>
      </c>
      <c r="AP236" t="s">
        <v>167</v>
      </c>
      <c r="AQ236" t="s">
        <v>155</v>
      </c>
      <c r="AR236" t="s">
        <v>194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 t="s">
        <v>135</v>
      </c>
      <c r="BA236">
        <v>0</v>
      </c>
      <c r="BB236">
        <v>0</v>
      </c>
      <c r="BC236" t="s">
        <v>133</v>
      </c>
      <c r="BD236">
        <v>1</v>
      </c>
      <c r="BE236" t="s">
        <v>133</v>
      </c>
      <c r="BF23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37" spans="1:58" x14ac:dyDescent="0.25">
      <c r="A237" t="s">
        <v>445</v>
      </c>
      <c r="B237" t="s">
        <v>19</v>
      </c>
      <c r="C237">
        <v>1</v>
      </c>
      <c r="D237">
        <v>237</v>
      </c>
      <c r="E237" t="s">
        <v>2108</v>
      </c>
      <c r="F237" t="s">
        <v>123</v>
      </c>
      <c r="G237" t="s">
        <v>124</v>
      </c>
      <c r="H237" t="s">
        <v>125</v>
      </c>
      <c r="I237" t="s">
        <v>154</v>
      </c>
      <c r="J237" t="s">
        <v>154</v>
      </c>
      <c r="K237" t="s">
        <v>166</v>
      </c>
      <c r="L237">
        <v>50</v>
      </c>
      <c r="M237">
        <v>938045</v>
      </c>
      <c r="N237">
        <v>0</v>
      </c>
      <c r="O237">
        <v>1</v>
      </c>
      <c r="P237" t="s">
        <v>128</v>
      </c>
      <c r="Q237" t="s">
        <v>129</v>
      </c>
      <c r="R237">
        <v>22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50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50</v>
      </c>
      <c r="AI237">
        <v>50</v>
      </c>
      <c r="AJ237">
        <v>50</v>
      </c>
      <c r="AK237">
        <v>50</v>
      </c>
      <c r="AL237">
        <v>0</v>
      </c>
      <c r="AM237">
        <v>0</v>
      </c>
      <c r="AN237">
        <v>4.5454545454545459</v>
      </c>
      <c r="AO237">
        <v>0</v>
      </c>
      <c r="AP237" t="s">
        <v>167</v>
      </c>
      <c r="AQ237" t="s">
        <v>155</v>
      </c>
      <c r="AR237" t="s">
        <v>194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 t="s">
        <v>135</v>
      </c>
      <c r="BA237">
        <v>0</v>
      </c>
      <c r="BB237">
        <v>0</v>
      </c>
      <c r="BC237" t="s">
        <v>133</v>
      </c>
      <c r="BD237">
        <v>2</v>
      </c>
      <c r="BE237" t="s">
        <v>133</v>
      </c>
      <c r="BF23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38" spans="1:58" x14ac:dyDescent="0.25">
      <c r="A238" t="s">
        <v>446</v>
      </c>
      <c r="B238" t="s">
        <v>19</v>
      </c>
      <c r="C238">
        <v>1</v>
      </c>
      <c r="D238">
        <v>238</v>
      </c>
      <c r="E238" t="s">
        <v>2108</v>
      </c>
      <c r="F238" t="s">
        <v>123</v>
      </c>
      <c r="G238" t="s">
        <v>124</v>
      </c>
      <c r="H238" t="s">
        <v>125</v>
      </c>
      <c r="I238" t="s">
        <v>154</v>
      </c>
      <c r="J238" t="s">
        <v>154</v>
      </c>
      <c r="K238" t="s">
        <v>166</v>
      </c>
      <c r="L238">
        <v>50</v>
      </c>
      <c r="M238">
        <v>938047</v>
      </c>
      <c r="N238">
        <v>0</v>
      </c>
      <c r="O238">
        <v>1</v>
      </c>
      <c r="P238" t="s">
        <v>128</v>
      </c>
      <c r="Q238" t="s">
        <v>129</v>
      </c>
      <c r="R238">
        <v>22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50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50</v>
      </c>
      <c r="AI238">
        <v>50</v>
      </c>
      <c r="AJ238">
        <v>50</v>
      </c>
      <c r="AK238">
        <v>50</v>
      </c>
      <c r="AL238">
        <v>0</v>
      </c>
      <c r="AM238">
        <v>0</v>
      </c>
      <c r="AN238">
        <v>4.5454545454545459</v>
      </c>
      <c r="AO238">
        <v>0</v>
      </c>
      <c r="AP238" t="s">
        <v>167</v>
      </c>
      <c r="AQ238" t="s">
        <v>155</v>
      </c>
      <c r="AR238" t="s">
        <v>194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 t="s">
        <v>135</v>
      </c>
      <c r="BA238">
        <v>0</v>
      </c>
      <c r="BB238">
        <v>0</v>
      </c>
      <c r="BC238" t="s">
        <v>133</v>
      </c>
      <c r="BD238">
        <v>3</v>
      </c>
      <c r="BE238" t="s">
        <v>133</v>
      </c>
      <c r="BF23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39" spans="1:58" x14ac:dyDescent="0.25">
      <c r="A239" t="s">
        <v>447</v>
      </c>
      <c r="B239" t="s">
        <v>19</v>
      </c>
      <c r="C239">
        <v>1</v>
      </c>
      <c r="D239">
        <v>239</v>
      </c>
      <c r="E239" t="s">
        <v>2108</v>
      </c>
      <c r="F239" t="s">
        <v>123</v>
      </c>
      <c r="G239" t="s">
        <v>124</v>
      </c>
      <c r="H239" t="s">
        <v>125</v>
      </c>
      <c r="I239" t="s">
        <v>154</v>
      </c>
      <c r="J239" t="s">
        <v>154</v>
      </c>
      <c r="K239" t="s">
        <v>166</v>
      </c>
      <c r="L239">
        <v>50</v>
      </c>
      <c r="M239">
        <v>938049</v>
      </c>
      <c r="N239">
        <v>0</v>
      </c>
      <c r="O239">
        <v>1</v>
      </c>
      <c r="P239" t="s">
        <v>128</v>
      </c>
      <c r="Q239" t="s">
        <v>129</v>
      </c>
      <c r="R239">
        <v>22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50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50</v>
      </c>
      <c r="AI239">
        <v>50</v>
      </c>
      <c r="AJ239">
        <v>50</v>
      </c>
      <c r="AK239">
        <v>50</v>
      </c>
      <c r="AL239">
        <v>0</v>
      </c>
      <c r="AM239">
        <v>0</v>
      </c>
      <c r="AN239">
        <v>4.5454545454545459</v>
      </c>
      <c r="AO239">
        <v>0</v>
      </c>
      <c r="AP239" t="s">
        <v>167</v>
      </c>
      <c r="AQ239" t="s">
        <v>155</v>
      </c>
      <c r="AR239" t="s">
        <v>194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 t="s">
        <v>135</v>
      </c>
      <c r="BA239">
        <v>0</v>
      </c>
      <c r="BB239">
        <v>0</v>
      </c>
      <c r="BC239" t="s">
        <v>133</v>
      </c>
      <c r="BD239">
        <v>4</v>
      </c>
      <c r="BE239" t="s">
        <v>133</v>
      </c>
      <c r="BF23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40" spans="1:58" x14ac:dyDescent="0.25">
      <c r="A240" t="s">
        <v>448</v>
      </c>
      <c r="B240" t="s">
        <v>19</v>
      </c>
      <c r="C240">
        <v>1</v>
      </c>
      <c r="D240">
        <v>240</v>
      </c>
      <c r="E240" t="s">
        <v>2108</v>
      </c>
      <c r="F240" t="s">
        <v>123</v>
      </c>
      <c r="G240" t="s">
        <v>124</v>
      </c>
      <c r="H240" t="s">
        <v>125</v>
      </c>
      <c r="I240" t="s">
        <v>154</v>
      </c>
      <c r="J240" t="s">
        <v>154</v>
      </c>
      <c r="K240" t="s">
        <v>166</v>
      </c>
      <c r="L240">
        <v>50</v>
      </c>
      <c r="M240">
        <v>938051</v>
      </c>
      <c r="N240">
        <v>0</v>
      </c>
      <c r="O240">
        <v>1</v>
      </c>
      <c r="P240" t="s">
        <v>128</v>
      </c>
      <c r="Q240" t="s">
        <v>129</v>
      </c>
      <c r="R240">
        <v>22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50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50</v>
      </c>
      <c r="AI240">
        <v>50</v>
      </c>
      <c r="AJ240">
        <v>50</v>
      </c>
      <c r="AK240">
        <v>50</v>
      </c>
      <c r="AL240">
        <v>0</v>
      </c>
      <c r="AM240">
        <v>0</v>
      </c>
      <c r="AN240">
        <v>4.5454545454545459</v>
      </c>
      <c r="AO240">
        <v>0</v>
      </c>
      <c r="AP240" t="s">
        <v>167</v>
      </c>
      <c r="AQ240" t="s">
        <v>155</v>
      </c>
      <c r="AR240" t="s">
        <v>194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 t="s">
        <v>135</v>
      </c>
      <c r="BA240">
        <v>0</v>
      </c>
      <c r="BB240">
        <v>0</v>
      </c>
      <c r="BC240" t="s">
        <v>133</v>
      </c>
      <c r="BD240">
        <v>5</v>
      </c>
      <c r="BE240" t="s">
        <v>133</v>
      </c>
      <c r="BF24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41" spans="1:58" x14ac:dyDescent="0.25">
      <c r="A241" t="s">
        <v>449</v>
      </c>
      <c r="B241" t="s">
        <v>19</v>
      </c>
      <c r="C241">
        <v>1</v>
      </c>
      <c r="D241">
        <v>241</v>
      </c>
      <c r="E241" t="s">
        <v>2108</v>
      </c>
      <c r="F241" t="s">
        <v>123</v>
      </c>
      <c r="G241" t="s">
        <v>124</v>
      </c>
      <c r="H241" t="s">
        <v>125</v>
      </c>
      <c r="I241" t="s">
        <v>154</v>
      </c>
      <c r="J241" t="s">
        <v>154</v>
      </c>
      <c r="K241" t="s">
        <v>166</v>
      </c>
      <c r="L241">
        <v>50</v>
      </c>
      <c r="M241">
        <v>938053</v>
      </c>
      <c r="N241">
        <v>0</v>
      </c>
      <c r="O241">
        <v>1</v>
      </c>
      <c r="P241" t="s">
        <v>128</v>
      </c>
      <c r="Q241" t="s">
        <v>129</v>
      </c>
      <c r="R241">
        <v>22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50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50</v>
      </c>
      <c r="AI241">
        <v>50</v>
      </c>
      <c r="AJ241">
        <v>50</v>
      </c>
      <c r="AK241">
        <v>50</v>
      </c>
      <c r="AL241">
        <v>0</v>
      </c>
      <c r="AM241">
        <v>0</v>
      </c>
      <c r="AN241">
        <v>4.5454545454545459</v>
      </c>
      <c r="AO241">
        <v>0</v>
      </c>
      <c r="AP241" t="s">
        <v>167</v>
      </c>
      <c r="AQ241" t="s">
        <v>155</v>
      </c>
      <c r="AR241" t="s">
        <v>194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 t="s">
        <v>135</v>
      </c>
      <c r="BA241">
        <v>0</v>
      </c>
      <c r="BB241">
        <v>0</v>
      </c>
      <c r="BC241" t="s">
        <v>133</v>
      </c>
      <c r="BD241">
        <v>6</v>
      </c>
      <c r="BE241" t="s">
        <v>133</v>
      </c>
      <c r="BF24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42" spans="1:58" x14ac:dyDescent="0.25">
      <c r="A242" t="s">
        <v>450</v>
      </c>
      <c r="B242" t="s">
        <v>19</v>
      </c>
      <c r="C242">
        <v>1</v>
      </c>
      <c r="D242">
        <v>242</v>
      </c>
      <c r="E242" t="s">
        <v>2108</v>
      </c>
      <c r="F242" t="s">
        <v>123</v>
      </c>
      <c r="G242" t="s">
        <v>124</v>
      </c>
      <c r="H242" t="s">
        <v>125</v>
      </c>
      <c r="I242" t="s">
        <v>154</v>
      </c>
      <c r="J242" t="s">
        <v>154</v>
      </c>
      <c r="K242" t="s">
        <v>166</v>
      </c>
      <c r="L242">
        <v>50</v>
      </c>
      <c r="M242">
        <v>938055</v>
      </c>
      <c r="N242">
        <v>0</v>
      </c>
      <c r="O242">
        <v>1</v>
      </c>
      <c r="P242" t="s">
        <v>128</v>
      </c>
      <c r="Q242" t="s">
        <v>129</v>
      </c>
      <c r="R242">
        <v>22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50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50</v>
      </c>
      <c r="AI242">
        <v>50</v>
      </c>
      <c r="AJ242">
        <v>50</v>
      </c>
      <c r="AK242">
        <v>50</v>
      </c>
      <c r="AL242">
        <v>0</v>
      </c>
      <c r="AM242">
        <v>0</v>
      </c>
      <c r="AN242">
        <v>4.5454545454545459</v>
      </c>
      <c r="AO242">
        <v>0</v>
      </c>
      <c r="AP242" t="s">
        <v>167</v>
      </c>
      <c r="AQ242" t="s">
        <v>155</v>
      </c>
      <c r="AR242" t="s">
        <v>194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 t="s">
        <v>135</v>
      </c>
      <c r="BA242">
        <v>0</v>
      </c>
      <c r="BB242">
        <v>0</v>
      </c>
      <c r="BC242" t="s">
        <v>144</v>
      </c>
      <c r="BD242">
        <v>7</v>
      </c>
      <c r="BE242" t="s">
        <v>133</v>
      </c>
      <c r="BF24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43" spans="1:58" x14ac:dyDescent="0.25">
      <c r="A243" t="s">
        <v>451</v>
      </c>
      <c r="B243" t="s">
        <v>19</v>
      </c>
      <c r="C243">
        <v>1</v>
      </c>
      <c r="D243">
        <v>243</v>
      </c>
      <c r="E243" t="s">
        <v>2108</v>
      </c>
      <c r="F243" t="s">
        <v>123</v>
      </c>
      <c r="G243" t="s">
        <v>124</v>
      </c>
      <c r="H243" t="s">
        <v>125</v>
      </c>
      <c r="I243" t="s">
        <v>126</v>
      </c>
      <c r="J243" t="s">
        <v>126</v>
      </c>
      <c r="K243" t="s">
        <v>127</v>
      </c>
      <c r="L243">
        <v>50</v>
      </c>
      <c r="M243">
        <v>938057</v>
      </c>
      <c r="N243">
        <v>6</v>
      </c>
      <c r="O243">
        <v>1</v>
      </c>
      <c r="P243" t="s">
        <v>128</v>
      </c>
      <c r="Q243" t="s">
        <v>129</v>
      </c>
      <c r="R243">
        <v>23</v>
      </c>
      <c r="T243">
        <v>25</v>
      </c>
      <c r="U243">
        <v>30</v>
      </c>
      <c r="V243">
        <v>0</v>
      </c>
      <c r="W243">
        <v>0</v>
      </c>
      <c r="X243">
        <v>0</v>
      </c>
      <c r="Y243">
        <v>1</v>
      </c>
      <c r="Z243">
        <v>26</v>
      </c>
      <c r="AA243">
        <v>31</v>
      </c>
      <c r="AB243">
        <v>50</v>
      </c>
      <c r="AC243">
        <v>34</v>
      </c>
      <c r="AD243">
        <v>0</v>
      </c>
      <c r="AE243">
        <v>2</v>
      </c>
      <c r="AF243">
        <v>36</v>
      </c>
      <c r="AG243">
        <v>0</v>
      </c>
      <c r="AH243">
        <v>16</v>
      </c>
      <c r="AI243">
        <v>14</v>
      </c>
      <c r="AJ243">
        <v>14</v>
      </c>
      <c r="AK243">
        <v>16</v>
      </c>
      <c r="AL243">
        <v>0</v>
      </c>
      <c r="AM243">
        <v>0.12</v>
      </c>
      <c r="AN243">
        <v>1.2727272727272727</v>
      </c>
      <c r="AO243">
        <v>0</v>
      </c>
      <c r="AP243" t="s">
        <v>130</v>
      </c>
      <c r="AQ243" t="s">
        <v>131</v>
      </c>
      <c r="AR243" t="s">
        <v>194</v>
      </c>
      <c r="AS243">
        <v>3513</v>
      </c>
      <c r="AT243">
        <v>3157</v>
      </c>
      <c r="AU243">
        <v>0</v>
      </c>
      <c r="AV243">
        <v>0</v>
      </c>
      <c r="AW243">
        <v>6.67</v>
      </c>
      <c r="AX243">
        <v>0.19617647058823529</v>
      </c>
      <c r="AY243">
        <v>7.0623529411764707</v>
      </c>
      <c r="AZ243" t="s">
        <v>135</v>
      </c>
      <c r="BA243">
        <v>-1.0623529411764707</v>
      </c>
      <c r="BB243">
        <v>-5.415292353823089</v>
      </c>
      <c r="BC243" t="s">
        <v>132</v>
      </c>
      <c r="BD243">
        <v>0</v>
      </c>
      <c r="BE243" t="s">
        <v>133</v>
      </c>
      <c r="BF24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6.67</v>
      </c>
    </row>
    <row r="244" spans="1:58" x14ac:dyDescent="0.25">
      <c r="A244" t="s">
        <v>452</v>
      </c>
      <c r="B244" t="s">
        <v>19</v>
      </c>
      <c r="C244">
        <v>1</v>
      </c>
      <c r="D244">
        <v>244</v>
      </c>
      <c r="E244" t="s">
        <v>2108</v>
      </c>
      <c r="F244" t="s">
        <v>123</v>
      </c>
      <c r="G244" t="s">
        <v>124</v>
      </c>
      <c r="H244" t="s">
        <v>125</v>
      </c>
      <c r="I244" t="s">
        <v>126</v>
      </c>
      <c r="J244" t="s">
        <v>126</v>
      </c>
      <c r="K244" t="s">
        <v>127</v>
      </c>
      <c r="L244">
        <v>50</v>
      </c>
      <c r="M244">
        <v>938059</v>
      </c>
      <c r="N244">
        <v>6</v>
      </c>
      <c r="O244">
        <v>1</v>
      </c>
      <c r="P244" t="s">
        <v>128</v>
      </c>
      <c r="Q244" t="s">
        <v>129</v>
      </c>
      <c r="R244">
        <v>23</v>
      </c>
      <c r="T244">
        <v>29</v>
      </c>
      <c r="U244">
        <v>34</v>
      </c>
      <c r="V244">
        <v>4</v>
      </c>
      <c r="W244">
        <v>0</v>
      </c>
      <c r="X244">
        <v>4</v>
      </c>
      <c r="Y244">
        <v>0</v>
      </c>
      <c r="Z244">
        <v>33</v>
      </c>
      <c r="AA244">
        <v>38</v>
      </c>
      <c r="AB244">
        <v>50</v>
      </c>
      <c r="AC244">
        <v>35</v>
      </c>
      <c r="AD244">
        <v>6</v>
      </c>
      <c r="AE244">
        <v>0</v>
      </c>
      <c r="AF244">
        <v>41</v>
      </c>
      <c r="AG244">
        <v>0</v>
      </c>
      <c r="AH244">
        <v>15</v>
      </c>
      <c r="AI244">
        <v>9</v>
      </c>
      <c r="AJ244">
        <v>15</v>
      </c>
      <c r="AK244">
        <v>15</v>
      </c>
      <c r="AL244">
        <v>0</v>
      </c>
      <c r="AM244">
        <v>0.12</v>
      </c>
      <c r="AN244">
        <v>1.3636363636363638</v>
      </c>
      <c r="AO244">
        <v>0</v>
      </c>
      <c r="AP244" t="s">
        <v>130</v>
      </c>
      <c r="AQ244" t="s">
        <v>131</v>
      </c>
      <c r="AR244" t="s">
        <v>194</v>
      </c>
      <c r="AS244">
        <v>3727</v>
      </c>
      <c r="AT244">
        <v>3716</v>
      </c>
      <c r="AU244">
        <v>0</v>
      </c>
      <c r="AV244">
        <v>0</v>
      </c>
      <c r="AW244">
        <v>7.4429999999999996</v>
      </c>
      <c r="AX244">
        <v>0.21265714285714285</v>
      </c>
      <c r="AY244">
        <v>8.7189428571428564</v>
      </c>
      <c r="AZ244" t="s">
        <v>135</v>
      </c>
      <c r="BA244">
        <v>-2.7189428571428564</v>
      </c>
      <c r="BB244">
        <v>-12.78557033454252</v>
      </c>
      <c r="BC244" t="s">
        <v>133</v>
      </c>
      <c r="BD244">
        <v>0</v>
      </c>
      <c r="BE244" t="s">
        <v>133</v>
      </c>
      <c r="BF24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7.4429999999999996</v>
      </c>
    </row>
    <row r="245" spans="1:58" x14ac:dyDescent="0.25">
      <c r="A245" t="s">
        <v>453</v>
      </c>
      <c r="B245" t="s">
        <v>19</v>
      </c>
      <c r="C245">
        <v>1</v>
      </c>
      <c r="D245">
        <v>245</v>
      </c>
      <c r="E245" t="s">
        <v>2108</v>
      </c>
      <c r="F245" t="s">
        <v>123</v>
      </c>
      <c r="G245" t="s">
        <v>124</v>
      </c>
      <c r="H245" t="s">
        <v>125</v>
      </c>
      <c r="I245" t="s">
        <v>126</v>
      </c>
      <c r="J245" t="s">
        <v>126</v>
      </c>
      <c r="K245" t="s">
        <v>127</v>
      </c>
      <c r="L245">
        <v>50</v>
      </c>
      <c r="M245">
        <v>938061</v>
      </c>
      <c r="N245">
        <v>6</v>
      </c>
      <c r="O245">
        <v>1</v>
      </c>
      <c r="P245" t="s">
        <v>128</v>
      </c>
      <c r="Q245" t="s">
        <v>129</v>
      </c>
      <c r="R245">
        <v>23</v>
      </c>
      <c r="T245">
        <v>11</v>
      </c>
      <c r="U245">
        <v>16</v>
      </c>
      <c r="V245">
        <v>4</v>
      </c>
      <c r="W245">
        <v>0</v>
      </c>
      <c r="X245">
        <v>4</v>
      </c>
      <c r="Y245">
        <v>0</v>
      </c>
      <c r="Z245">
        <v>15</v>
      </c>
      <c r="AA245">
        <v>20</v>
      </c>
      <c r="AB245">
        <v>50</v>
      </c>
      <c r="AC245">
        <v>20</v>
      </c>
      <c r="AD245">
        <v>12</v>
      </c>
      <c r="AE245">
        <v>0</v>
      </c>
      <c r="AF245">
        <v>32</v>
      </c>
      <c r="AG245">
        <v>0</v>
      </c>
      <c r="AH245">
        <v>30</v>
      </c>
      <c r="AI245">
        <v>18</v>
      </c>
      <c r="AJ245">
        <v>30</v>
      </c>
      <c r="AK245">
        <v>30</v>
      </c>
      <c r="AL245">
        <v>0</v>
      </c>
      <c r="AM245">
        <v>0.12</v>
      </c>
      <c r="AN245">
        <v>2.7272727272727275</v>
      </c>
      <c r="AO245">
        <v>0</v>
      </c>
      <c r="AP245" t="s">
        <v>130</v>
      </c>
      <c r="AQ245" t="s">
        <v>131</v>
      </c>
      <c r="AR245" t="s">
        <v>194</v>
      </c>
      <c r="AS245">
        <v>1908</v>
      </c>
      <c r="AT245">
        <v>1858</v>
      </c>
      <c r="AU245">
        <v>0</v>
      </c>
      <c r="AV245">
        <v>0</v>
      </c>
      <c r="AW245">
        <v>3.766</v>
      </c>
      <c r="AX245">
        <v>0.1883</v>
      </c>
      <c r="AY245">
        <v>6.0255999999999998</v>
      </c>
      <c r="AZ245" t="s">
        <v>135</v>
      </c>
      <c r="BA245">
        <v>-2.5599999999999845E-2</v>
      </c>
      <c r="BB245">
        <v>-0.13595326606478941</v>
      </c>
      <c r="BC245" t="s">
        <v>133</v>
      </c>
      <c r="BD245">
        <v>0</v>
      </c>
      <c r="BE245" t="s">
        <v>133</v>
      </c>
      <c r="BF24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3.766</v>
      </c>
    </row>
    <row r="246" spans="1:58" x14ac:dyDescent="0.25">
      <c r="A246" t="s">
        <v>454</v>
      </c>
      <c r="B246" t="s">
        <v>19</v>
      </c>
      <c r="C246">
        <v>1</v>
      </c>
      <c r="D246">
        <v>246</v>
      </c>
      <c r="E246" t="s">
        <v>2108</v>
      </c>
      <c r="F246" t="s">
        <v>123</v>
      </c>
      <c r="G246" t="s">
        <v>124</v>
      </c>
      <c r="H246" t="s">
        <v>125</v>
      </c>
      <c r="I246" t="s">
        <v>126</v>
      </c>
      <c r="J246" t="s">
        <v>126</v>
      </c>
      <c r="K246" t="s">
        <v>127</v>
      </c>
      <c r="L246">
        <v>50</v>
      </c>
      <c r="M246">
        <v>938063</v>
      </c>
      <c r="N246">
        <v>6</v>
      </c>
      <c r="O246">
        <v>1</v>
      </c>
      <c r="P246" t="s">
        <v>128</v>
      </c>
      <c r="Q246" t="s">
        <v>129</v>
      </c>
      <c r="R246">
        <v>23</v>
      </c>
      <c r="T246">
        <v>18</v>
      </c>
      <c r="U246">
        <v>23</v>
      </c>
      <c r="V246">
        <v>4</v>
      </c>
      <c r="W246">
        <v>0</v>
      </c>
      <c r="X246">
        <v>4</v>
      </c>
      <c r="Y246">
        <v>0</v>
      </c>
      <c r="Z246">
        <v>22</v>
      </c>
      <c r="AA246">
        <v>27</v>
      </c>
      <c r="AB246">
        <v>50</v>
      </c>
      <c r="AC246">
        <v>26</v>
      </c>
      <c r="AD246">
        <v>5</v>
      </c>
      <c r="AE246">
        <v>0</v>
      </c>
      <c r="AF246">
        <v>31</v>
      </c>
      <c r="AG246">
        <v>0</v>
      </c>
      <c r="AH246">
        <v>24</v>
      </c>
      <c r="AI246">
        <v>19</v>
      </c>
      <c r="AJ246">
        <v>24</v>
      </c>
      <c r="AK246">
        <v>24</v>
      </c>
      <c r="AL246">
        <v>0</v>
      </c>
      <c r="AM246">
        <v>0.12</v>
      </c>
      <c r="AN246">
        <v>2.1818181818181817</v>
      </c>
      <c r="AO246">
        <v>0</v>
      </c>
      <c r="AP246" t="s">
        <v>130</v>
      </c>
      <c r="AQ246" t="s">
        <v>131</v>
      </c>
      <c r="AR246" t="s">
        <v>194</v>
      </c>
      <c r="AS246">
        <v>2907</v>
      </c>
      <c r="AT246">
        <v>2934</v>
      </c>
      <c r="AU246">
        <v>0</v>
      </c>
      <c r="AV246">
        <v>0</v>
      </c>
      <c r="AW246">
        <v>5.8410000000000002</v>
      </c>
      <c r="AX246">
        <v>0.22465384615384615</v>
      </c>
      <c r="AY246">
        <v>6.9642692307692302</v>
      </c>
      <c r="AZ246" t="s">
        <v>135</v>
      </c>
      <c r="BA246">
        <v>-0.96426923076923021</v>
      </c>
      <c r="BB246">
        <v>-4.2922444786851539</v>
      </c>
      <c r="BC246" t="s">
        <v>133</v>
      </c>
      <c r="BD246">
        <v>0</v>
      </c>
      <c r="BE246" t="s">
        <v>133</v>
      </c>
      <c r="BF24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5.8410000000000002</v>
      </c>
    </row>
    <row r="247" spans="1:58" x14ac:dyDescent="0.25">
      <c r="A247" t="s">
        <v>455</v>
      </c>
      <c r="B247" t="s">
        <v>19</v>
      </c>
      <c r="C247">
        <v>1</v>
      </c>
      <c r="D247">
        <v>247</v>
      </c>
      <c r="E247" t="s">
        <v>2108</v>
      </c>
      <c r="F247" t="s">
        <v>123</v>
      </c>
      <c r="G247" t="s">
        <v>124</v>
      </c>
      <c r="H247" t="s">
        <v>125</v>
      </c>
      <c r="I247" t="s">
        <v>126</v>
      </c>
      <c r="J247" t="s">
        <v>126</v>
      </c>
      <c r="K247" t="s">
        <v>127</v>
      </c>
      <c r="L247">
        <v>50</v>
      </c>
      <c r="M247">
        <v>938065</v>
      </c>
      <c r="N247">
        <v>6</v>
      </c>
      <c r="O247">
        <v>1</v>
      </c>
      <c r="P247" t="s">
        <v>128</v>
      </c>
      <c r="Q247" t="s">
        <v>129</v>
      </c>
      <c r="R247">
        <v>23</v>
      </c>
      <c r="T247">
        <v>19</v>
      </c>
      <c r="U247">
        <v>24</v>
      </c>
      <c r="V247">
        <v>1</v>
      </c>
      <c r="W247">
        <v>0</v>
      </c>
      <c r="X247">
        <v>1</v>
      </c>
      <c r="Y247">
        <v>0</v>
      </c>
      <c r="Z247">
        <v>20</v>
      </c>
      <c r="AA247">
        <v>25</v>
      </c>
      <c r="AB247">
        <v>50</v>
      </c>
      <c r="AC247">
        <v>28</v>
      </c>
      <c r="AD247">
        <v>8</v>
      </c>
      <c r="AE247">
        <v>0</v>
      </c>
      <c r="AF247">
        <v>36</v>
      </c>
      <c r="AG247">
        <v>0</v>
      </c>
      <c r="AH247">
        <v>22</v>
      </c>
      <c r="AI247">
        <v>14</v>
      </c>
      <c r="AJ247">
        <v>22</v>
      </c>
      <c r="AK247">
        <v>22</v>
      </c>
      <c r="AL247">
        <v>0</v>
      </c>
      <c r="AM247">
        <v>0.12</v>
      </c>
      <c r="AN247">
        <v>2</v>
      </c>
      <c r="AO247">
        <v>0</v>
      </c>
      <c r="AP247" t="s">
        <v>130</v>
      </c>
      <c r="AQ247" t="s">
        <v>131</v>
      </c>
      <c r="AR247" t="s">
        <v>194</v>
      </c>
      <c r="AS247">
        <v>3068</v>
      </c>
      <c r="AT247">
        <v>2926</v>
      </c>
      <c r="AU247">
        <v>0</v>
      </c>
      <c r="AV247">
        <v>0</v>
      </c>
      <c r="AW247">
        <v>5.9939999999999998</v>
      </c>
      <c r="AX247">
        <v>0.21407142857142855</v>
      </c>
      <c r="AY247">
        <v>7.7065714285714275</v>
      </c>
      <c r="AZ247" t="s">
        <v>135</v>
      </c>
      <c r="BA247">
        <v>-1.7065714285714275</v>
      </c>
      <c r="BB247">
        <v>-7.9719719719719677</v>
      </c>
      <c r="BC247" t="s">
        <v>133</v>
      </c>
      <c r="BD247">
        <v>0</v>
      </c>
      <c r="BE247" t="s">
        <v>133</v>
      </c>
      <c r="BF24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5.9939999999999998</v>
      </c>
    </row>
    <row r="248" spans="1:58" x14ac:dyDescent="0.25">
      <c r="A248" t="s">
        <v>456</v>
      </c>
      <c r="B248" t="s">
        <v>19</v>
      </c>
      <c r="C248">
        <v>1</v>
      </c>
      <c r="D248">
        <v>248</v>
      </c>
      <c r="E248" t="s">
        <v>2108</v>
      </c>
      <c r="F248" t="s">
        <v>123</v>
      </c>
      <c r="G248" t="s">
        <v>124</v>
      </c>
      <c r="H248" t="s">
        <v>136</v>
      </c>
      <c r="I248" t="s">
        <v>137</v>
      </c>
      <c r="J248" t="s">
        <v>138</v>
      </c>
      <c r="K248" t="s">
        <v>127</v>
      </c>
      <c r="L248">
        <v>50</v>
      </c>
      <c r="M248">
        <v>938067</v>
      </c>
      <c r="N248">
        <v>5</v>
      </c>
      <c r="O248">
        <v>1</v>
      </c>
      <c r="P248" t="s">
        <v>128</v>
      </c>
      <c r="Q248" t="s">
        <v>129</v>
      </c>
      <c r="R248">
        <v>23</v>
      </c>
      <c r="T248">
        <v>0</v>
      </c>
      <c r="U248">
        <v>4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4</v>
      </c>
      <c r="AB248">
        <v>50</v>
      </c>
      <c r="AC248">
        <v>4</v>
      </c>
      <c r="AD248">
        <v>0</v>
      </c>
      <c r="AE248">
        <v>0</v>
      </c>
      <c r="AF248">
        <v>4</v>
      </c>
      <c r="AG248">
        <v>0</v>
      </c>
      <c r="AH248">
        <v>46</v>
      </c>
      <c r="AI248">
        <v>46</v>
      </c>
      <c r="AJ248">
        <v>46</v>
      </c>
      <c r="AK248">
        <v>46</v>
      </c>
      <c r="AL248">
        <v>0</v>
      </c>
      <c r="AM248">
        <v>0.1</v>
      </c>
      <c r="AN248">
        <v>4.1818181818181817</v>
      </c>
      <c r="AO248">
        <v>0</v>
      </c>
      <c r="AP248" t="s">
        <v>139</v>
      </c>
      <c r="AQ248" t="s">
        <v>131</v>
      </c>
      <c r="AR248" t="s">
        <v>194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 t="s">
        <v>134</v>
      </c>
      <c r="BA248">
        <v>5</v>
      </c>
      <c r="BB248">
        <v>0</v>
      </c>
      <c r="BC248" t="s">
        <v>133</v>
      </c>
      <c r="BD248">
        <v>0</v>
      </c>
      <c r="BE248" t="s">
        <v>133</v>
      </c>
      <c r="BF24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49" spans="1:58" x14ac:dyDescent="0.25">
      <c r="A249" t="s">
        <v>457</v>
      </c>
      <c r="B249" t="s">
        <v>19</v>
      </c>
      <c r="C249">
        <v>1</v>
      </c>
      <c r="D249">
        <v>249</v>
      </c>
      <c r="E249" t="s">
        <v>2108</v>
      </c>
      <c r="F249" t="s">
        <v>123</v>
      </c>
      <c r="G249" t="s">
        <v>124</v>
      </c>
      <c r="H249" t="s">
        <v>125</v>
      </c>
      <c r="I249" t="s">
        <v>126</v>
      </c>
      <c r="J249" t="s">
        <v>126</v>
      </c>
      <c r="K249" t="s">
        <v>127</v>
      </c>
      <c r="L249">
        <v>50</v>
      </c>
      <c r="M249">
        <v>938069</v>
      </c>
      <c r="N249">
        <v>6</v>
      </c>
      <c r="O249">
        <v>1</v>
      </c>
      <c r="P249" t="s">
        <v>128</v>
      </c>
      <c r="Q249" t="s">
        <v>129</v>
      </c>
      <c r="R249">
        <v>23</v>
      </c>
      <c r="T249">
        <v>19</v>
      </c>
      <c r="U249">
        <v>24</v>
      </c>
      <c r="V249">
        <v>6</v>
      </c>
      <c r="W249">
        <v>0</v>
      </c>
      <c r="X249">
        <v>6</v>
      </c>
      <c r="Y249">
        <v>0</v>
      </c>
      <c r="Z249">
        <v>25</v>
      </c>
      <c r="AA249">
        <v>30</v>
      </c>
      <c r="AB249">
        <v>50</v>
      </c>
      <c r="AC249">
        <v>32</v>
      </c>
      <c r="AD249">
        <v>6</v>
      </c>
      <c r="AE249">
        <v>0</v>
      </c>
      <c r="AF249">
        <v>38</v>
      </c>
      <c r="AG249">
        <v>0</v>
      </c>
      <c r="AH249">
        <v>18</v>
      </c>
      <c r="AI249">
        <v>12</v>
      </c>
      <c r="AJ249">
        <v>18</v>
      </c>
      <c r="AK249">
        <v>18</v>
      </c>
      <c r="AL249">
        <v>0</v>
      </c>
      <c r="AM249">
        <v>0.12</v>
      </c>
      <c r="AN249">
        <v>1.6363636363636365</v>
      </c>
      <c r="AO249">
        <v>0</v>
      </c>
      <c r="AP249" t="s">
        <v>130</v>
      </c>
      <c r="AQ249" t="s">
        <v>131</v>
      </c>
      <c r="AR249" t="s">
        <v>194</v>
      </c>
      <c r="AS249">
        <v>2461</v>
      </c>
      <c r="AT249">
        <v>2476</v>
      </c>
      <c r="AU249">
        <v>0</v>
      </c>
      <c r="AV249">
        <v>0</v>
      </c>
      <c r="AW249">
        <v>4.9370000000000003</v>
      </c>
      <c r="AX249">
        <v>0.15428125000000001</v>
      </c>
      <c r="AY249">
        <v>5.8626875000000007</v>
      </c>
      <c r="AZ249" t="s">
        <v>135</v>
      </c>
      <c r="BA249">
        <v>0.13731249999999928</v>
      </c>
      <c r="BB249">
        <v>0.89001417865099797</v>
      </c>
      <c r="BC249" t="s">
        <v>133</v>
      </c>
      <c r="BD249">
        <v>0</v>
      </c>
      <c r="BE249" t="s">
        <v>133</v>
      </c>
      <c r="BF24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4.9370000000000003</v>
      </c>
    </row>
    <row r="250" spans="1:58" x14ac:dyDescent="0.25">
      <c r="A250" t="s">
        <v>458</v>
      </c>
      <c r="B250" t="s">
        <v>19</v>
      </c>
      <c r="C250">
        <v>1</v>
      </c>
      <c r="D250">
        <v>250</v>
      </c>
      <c r="E250" t="s">
        <v>2108</v>
      </c>
      <c r="F250" t="s">
        <v>123</v>
      </c>
      <c r="G250" t="s">
        <v>124</v>
      </c>
      <c r="H250" t="s">
        <v>125</v>
      </c>
      <c r="I250" t="s">
        <v>126</v>
      </c>
      <c r="J250" t="s">
        <v>126</v>
      </c>
      <c r="K250" t="s">
        <v>127</v>
      </c>
      <c r="L250">
        <v>50</v>
      </c>
      <c r="M250">
        <v>938071</v>
      </c>
      <c r="N250">
        <v>6</v>
      </c>
      <c r="O250">
        <v>1</v>
      </c>
      <c r="P250" t="s">
        <v>128</v>
      </c>
      <c r="Q250" t="s">
        <v>129</v>
      </c>
      <c r="R250">
        <v>23</v>
      </c>
      <c r="T250">
        <v>15</v>
      </c>
      <c r="U250">
        <v>20</v>
      </c>
      <c r="V250">
        <v>6</v>
      </c>
      <c r="W250">
        <v>0</v>
      </c>
      <c r="X250">
        <v>6</v>
      </c>
      <c r="Y250">
        <v>0</v>
      </c>
      <c r="Z250">
        <v>21</v>
      </c>
      <c r="AA250">
        <v>26</v>
      </c>
      <c r="AB250">
        <v>50</v>
      </c>
      <c r="AC250">
        <v>26</v>
      </c>
      <c r="AD250">
        <v>7</v>
      </c>
      <c r="AE250">
        <v>0</v>
      </c>
      <c r="AF250">
        <v>33</v>
      </c>
      <c r="AG250">
        <v>0</v>
      </c>
      <c r="AH250">
        <v>24</v>
      </c>
      <c r="AI250">
        <v>17</v>
      </c>
      <c r="AJ250">
        <v>24</v>
      </c>
      <c r="AK250">
        <v>24</v>
      </c>
      <c r="AL250">
        <v>0</v>
      </c>
      <c r="AM250">
        <v>0.12</v>
      </c>
      <c r="AN250">
        <v>2.1818181818181817</v>
      </c>
      <c r="AO250">
        <v>0</v>
      </c>
      <c r="AP250" t="s">
        <v>130</v>
      </c>
      <c r="AQ250" t="s">
        <v>131</v>
      </c>
      <c r="AR250" t="s">
        <v>194</v>
      </c>
      <c r="AS250">
        <v>2476</v>
      </c>
      <c r="AT250">
        <v>2509</v>
      </c>
      <c r="AU250">
        <v>0</v>
      </c>
      <c r="AV250">
        <v>0</v>
      </c>
      <c r="AW250">
        <v>4.9850000000000003</v>
      </c>
      <c r="AX250">
        <v>0.19173076923076923</v>
      </c>
      <c r="AY250">
        <v>6.3271153846153849</v>
      </c>
      <c r="AZ250" t="s">
        <v>135</v>
      </c>
      <c r="BA250">
        <v>-0.32711538461538492</v>
      </c>
      <c r="BB250">
        <v>-1.706118355065197</v>
      </c>
      <c r="BC250" t="s">
        <v>133</v>
      </c>
      <c r="BD250">
        <v>0</v>
      </c>
      <c r="BE250" t="s">
        <v>133</v>
      </c>
      <c r="BF25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4.9850000000000003</v>
      </c>
    </row>
    <row r="251" spans="1:58" x14ac:dyDescent="0.25">
      <c r="A251" t="s">
        <v>459</v>
      </c>
      <c r="B251" t="s">
        <v>19</v>
      </c>
      <c r="C251">
        <v>1</v>
      </c>
      <c r="D251">
        <v>251</v>
      </c>
      <c r="E251" t="s">
        <v>2108</v>
      </c>
      <c r="F251" t="s">
        <v>123</v>
      </c>
      <c r="G251" t="s">
        <v>124</v>
      </c>
      <c r="H251" t="s">
        <v>125</v>
      </c>
      <c r="I251" t="s">
        <v>126</v>
      </c>
      <c r="J251" t="s">
        <v>126</v>
      </c>
      <c r="K251" t="s">
        <v>127</v>
      </c>
      <c r="L251">
        <v>50</v>
      </c>
      <c r="M251">
        <v>938073</v>
      </c>
      <c r="N251">
        <v>6</v>
      </c>
      <c r="O251">
        <v>1</v>
      </c>
      <c r="P251" t="s">
        <v>128</v>
      </c>
      <c r="Q251" t="s">
        <v>129</v>
      </c>
      <c r="R251">
        <v>23</v>
      </c>
      <c r="T251">
        <v>17</v>
      </c>
      <c r="U251">
        <v>22</v>
      </c>
      <c r="V251">
        <v>3</v>
      </c>
      <c r="W251">
        <v>0</v>
      </c>
      <c r="X251">
        <v>3</v>
      </c>
      <c r="Y251">
        <v>1</v>
      </c>
      <c r="Z251">
        <v>21</v>
      </c>
      <c r="AA251">
        <v>26</v>
      </c>
      <c r="AB251">
        <v>50</v>
      </c>
      <c r="AC251">
        <v>25</v>
      </c>
      <c r="AD251">
        <v>5</v>
      </c>
      <c r="AE251">
        <v>1</v>
      </c>
      <c r="AF251">
        <v>31</v>
      </c>
      <c r="AG251">
        <v>0</v>
      </c>
      <c r="AH251">
        <v>25</v>
      </c>
      <c r="AI251">
        <v>19</v>
      </c>
      <c r="AJ251">
        <v>24</v>
      </c>
      <c r="AK251">
        <v>25</v>
      </c>
      <c r="AL251">
        <v>0</v>
      </c>
      <c r="AM251">
        <v>0.12</v>
      </c>
      <c r="AN251">
        <v>2.1818181818181817</v>
      </c>
      <c r="AO251">
        <v>0</v>
      </c>
      <c r="AP251" t="s">
        <v>130</v>
      </c>
      <c r="AQ251" t="s">
        <v>131</v>
      </c>
      <c r="AR251" t="s">
        <v>194</v>
      </c>
      <c r="AS251">
        <v>2804</v>
      </c>
      <c r="AT251">
        <v>2688</v>
      </c>
      <c r="AU251">
        <v>0</v>
      </c>
      <c r="AV251">
        <v>0</v>
      </c>
      <c r="AW251">
        <v>5.492</v>
      </c>
      <c r="AX251">
        <v>0.21967999999999999</v>
      </c>
      <c r="AY251">
        <v>6.8100799999999992</v>
      </c>
      <c r="AZ251" t="s">
        <v>135</v>
      </c>
      <c r="BA251">
        <v>-0.81007999999999925</v>
      </c>
      <c r="BB251">
        <v>-3.6875455207574621</v>
      </c>
      <c r="BC251" t="s">
        <v>133</v>
      </c>
      <c r="BD251">
        <v>0</v>
      </c>
      <c r="BE251" t="s">
        <v>133</v>
      </c>
      <c r="BF25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5.492</v>
      </c>
    </row>
    <row r="252" spans="1:58" x14ac:dyDescent="0.25">
      <c r="A252" t="s">
        <v>460</v>
      </c>
      <c r="B252" t="s">
        <v>19</v>
      </c>
      <c r="C252">
        <v>1</v>
      </c>
      <c r="D252">
        <v>252</v>
      </c>
      <c r="E252" t="s">
        <v>2108</v>
      </c>
      <c r="F252" t="s">
        <v>123</v>
      </c>
      <c r="G252" t="s">
        <v>124</v>
      </c>
      <c r="H252" t="s">
        <v>125</v>
      </c>
      <c r="I252" t="s">
        <v>126</v>
      </c>
      <c r="J252" t="s">
        <v>126</v>
      </c>
      <c r="K252" t="s">
        <v>127</v>
      </c>
      <c r="L252">
        <v>50</v>
      </c>
      <c r="M252">
        <v>938075</v>
      </c>
      <c r="N252">
        <v>6</v>
      </c>
      <c r="O252">
        <v>1</v>
      </c>
      <c r="P252" t="s">
        <v>128</v>
      </c>
      <c r="Q252" t="s">
        <v>129</v>
      </c>
      <c r="R252">
        <v>23</v>
      </c>
      <c r="T252">
        <v>10</v>
      </c>
      <c r="U252">
        <v>15</v>
      </c>
      <c r="V252">
        <v>6</v>
      </c>
      <c r="W252">
        <v>0</v>
      </c>
      <c r="X252">
        <v>6</v>
      </c>
      <c r="Y252">
        <v>1</v>
      </c>
      <c r="Z252">
        <v>17</v>
      </c>
      <c r="AA252">
        <v>22</v>
      </c>
      <c r="AB252">
        <v>50</v>
      </c>
      <c r="AC252">
        <v>18</v>
      </c>
      <c r="AD252">
        <v>10</v>
      </c>
      <c r="AE252">
        <v>1</v>
      </c>
      <c r="AF252">
        <v>29</v>
      </c>
      <c r="AG252">
        <v>0</v>
      </c>
      <c r="AH252">
        <v>32</v>
      </c>
      <c r="AI252">
        <v>21</v>
      </c>
      <c r="AJ252">
        <v>31</v>
      </c>
      <c r="AK252">
        <v>32</v>
      </c>
      <c r="AL252">
        <v>0</v>
      </c>
      <c r="AM252">
        <v>0.12</v>
      </c>
      <c r="AN252">
        <v>2.8181818181818183</v>
      </c>
      <c r="AO252">
        <v>0</v>
      </c>
      <c r="AP252" t="s">
        <v>130</v>
      </c>
      <c r="AQ252" t="s">
        <v>131</v>
      </c>
      <c r="AR252" t="s">
        <v>194</v>
      </c>
      <c r="AS252">
        <v>2076</v>
      </c>
      <c r="AT252">
        <v>2081</v>
      </c>
      <c r="AU252">
        <v>0</v>
      </c>
      <c r="AV252">
        <v>0</v>
      </c>
      <c r="AW252">
        <v>4.157</v>
      </c>
      <c r="AX252">
        <v>0.23094444444444445</v>
      </c>
      <c r="AY252">
        <v>6.6973888888888888</v>
      </c>
      <c r="AZ252" t="s">
        <v>135</v>
      </c>
      <c r="BA252">
        <v>-0.69738888888888884</v>
      </c>
      <c r="BB252">
        <v>-3.0197257637719508</v>
      </c>
      <c r="BC252" t="s">
        <v>133</v>
      </c>
      <c r="BD252">
        <v>0</v>
      </c>
      <c r="BE252" t="s">
        <v>133</v>
      </c>
      <c r="BF25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4.157</v>
      </c>
    </row>
    <row r="253" spans="1:58" x14ac:dyDescent="0.25">
      <c r="A253" t="s">
        <v>461</v>
      </c>
      <c r="B253" t="s">
        <v>19</v>
      </c>
      <c r="C253">
        <v>1</v>
      </c>
      <c r="D253">
        <v>253</v>
      </c>
      <c r="E253" t="s">
        <v>2108</v>
      </c>
      <c r="F253" t="s">
        <v>123</v>
      </c>
      <c r="G253" t="s">
        <v>124</v>
      </c>
      <c r="H253" t="s">
        <v>125</v>
      </c>
      <c r="I253" t="s">
        <v>126</v>
      </c>
      <c r="J253" t="s">
        <v>126</v>
      </c>
      <c r="K253" t="s">
        <v>127</v>
      </c>
      <c r="L253">
        <v>50</v>
      </c>
      <c r="M253">
        <v>938077</v>
      </c>
      <c r="N253">
        <v>6</v>
      </c>
      <c r="O253">
        <v>1</v>
      </c>
      <c r="P253" t="s">
        <v>128</v>
      </c>
      <c r="Q253" t="s">
        <v>129</v>
      </c>
      <c r="R253">
        <v>23</v>
      </c>
      <c r="T253">
        <v>15</v>
      </c>
      <c r="U253">
        <v>20</v>
      </c>
      <c r="V253">
        <v>6</v>
      </c>
      <c r="W253">
        <v>0</v>
      </c>
      <c r="X253">
        <v>6</v>
      </c>
      <c r="Y253">
        <v>0</v>
      </c>
      <c r="Z253">
        <v>21</v>
      </c>
      <c r="AA253">
        <v>26</v>
      </c>
      <c r="AB253">
        <v>50</v>
      </c>
      <c r="AC253">
        <v>21</v>
      </c>
      <c r="AD253">
        <v>13</v>
      </c>
      <c r="AE253">
        <v>0</v>
      </c>
      <c r="AF253">
        <v>34</v>
      </c>
      <c r="AG253">
        <v>0</v>
      </c>
      <c r="AH253">
        <v>29</v>
      </c>
      <c r="AI253">
        <v>16</v>
      </c>
      <c r="AJ253">
        <v>29</v>
      </c>
      <c r="AK253">
        <v>29</v>
      </c>
      <c r="AL253">
        <v>0</v>
      </c>
      <c r="AM253">
        <v>0.12</v>
      </c>
      <c r="AN253">
        <v>2.6363636363636362</v>
      </c>
      <c r="AO253">
        <v>0</v>
      </c>
      <c r="AP253" t="s">
        <v>130</v>
      </c>
      <c r="AQ253" t="s">
        <v>131</v>
      </c>
      <c r="AR253" t="s">
        <v>194</v>
      </c>
      <c r="AS253">
        <v>1834</v>
      </c>
      <c r="AT253">
        <v>1744</v>
      </c>
      <c r="AU253">
        <v>0</v>
      </c>
      <c r="AV253">
        <v>0</v>
      </c>
      <c r="AW253">
        <v>3.5779999999999998</v>
      </c>
      <c r="AX253">
        <v>0.17038095238095238</v>
      </c>
      <c r="AY253">
        <v>5.7929523809523813</v>
      </c>
      <c r="AZ253" t="s">
        <v>135</v>
      </c>
      <c r="BA253">
        <v>0.2070476190476187</v>
      </c>
      <c r="BB253">
        <v>1.2152040245947435</v>
      </c>
      <c r="BC253" t="s">
        <v>144</v>
      </c>
      <c r="BD253">
        <v>0</v>
      </c>
      <c r="BE253" t="s">
        <v>133</v>
      </c>
      <c r="BF25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3.5779999999999998</v>
      </c>
    </row>
    <row r="254" spans="1:58" x14ac:dyDescent="0.25">
      <c r="A254" t="s">
        <v>462</v>
      </c>
      <c r="B254" t="s">
        <v>19</v>
      </c>
      <c r="C254">
        <v>1</v>
      </c>
      <c r="D254">
        <v>254</v>
      </c>
      <c r="E254" t="s">
        <v>2108</v>
      </c>
      <c r="F254" t="s">
        <v>123</v>
      </c>
      <c r="G254" t="s">
        <v>124</v>
      </c>
      <c r="H254" t="s">
        <v>125</v>
      </c>
      <c r="I254" t="s">
        <v>126</v>
      </c>
      <c r="J254" t="s">
        <v>126</v>
      </c>
      <c r="K254" t="s">
        <v>127</v>
      </c>
      <c r="L254">
        <v>50</v>
      </c>
      <c r="M254">
        <v>938079</v>
      </c>
      <c r="N254">
        <v>6</v>
      </c>
      <c r="O254">
        <v>1</v>
      </c>
      <c r="P254" t="s">
        <v>128</v>
      </c>
      <c r="Q254" t="s">
        <v>129</v>
      </c>
      <c r="R254">
        <v>24</v>
      </c>
      <c r="T254">
        <v>25</v>
      </c>
      <c r="U254">
        <v>30</v>
      </c>
      <c r="V254">
        <v>3</v>
      </c>
      <c r="W254">
        <v>0</v>
      </c>
      <c r="X254">
        <v>3</v>
      </c>
      <c r="Y254">
        <v>0</v>
      </c>
      <c r="Z254">
        <v>28</v>
      </c>
      <c r="AA254">
        <v>33</v>
      </c>
      <c r="AB254">
        <v>50</v>
      </c>
      <c r="AC254">
        <v>34</v>
      </c>
      <c r="AD254">
        <v>3</v>
      </c>
      <c r="AE254">
        <v>0</v>
      </c>
      <c r="AF254">
        <v>37</v>
      </c>
      <c r="AG254">
        <v>0</v>
      </c>
      <c r="AH254">
        <v>16</v>
      </c>
      <c r="AI254">
        <v>13</v>
      </c>
      <c r="AJ254">
        <v>16</v>
      </c>
      <c r="AK254">
        <v>16</v>
      </c>
      <c r="AL254">
        <v>0</v>
      </c>
      <c r="AM254">
        <v>0.12</v>
      </c>
      <c r="AN254">
        <v>1.4545454545454546</v>
      </c>
      <c r="AO254">
        <v>0</v>
      </c>
      <c r="AP254" t="s">
        <v>130</v>
      </c>
      <c r="AQ254" t="s">
        <v>131</v>
      </c>
      <c r="AR254" t="s">
        <v>194</v>
      </c>
      <c r="AS254">
        <v>3766</v>
      </c>
      <c r="AT254">
        <v>3661</v>
      </c>
      <c r="AU254">
        <v>0</v>
      </c>
      <c r="AV254">
        <v>0</v>
      </c>
      <c r="AW254">
        <v>7.4269999999999996</v>
      </c>
      <c r="AX254">
        <v>0.21844117647058822</v>
      </c>
      <c r="AY254">
        <v>8.0823235294117648</v>
      </c>
      <c r="AZ254" t="s">
        <v>135</v>
      </c>
      <c r="BA254">
        <v>-2.0823235294117648</v>
      </c>
      <c r="BB254">
        <v>-9.5326511377406771</v>
      </c>
      <c r="BC254" t="s">
        <v>132</v>
      </c>
      <c r="BD254">
        <v>0</v>
      </c>
      <c r="BE254" t="s">
        <v>133</v>
      </c>
      <c r="BF25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7.4269999999999996</v>
      </c>
    </row>
    <row r="255" spans="1:58" x14ac:dyDescent="0.25">
      <c r="A255" t="s">
        <v>463</v>
      </c>
      <c r="B255" t="s">
        <v>19</v>
      </c>
      <c r="C255">
        <v>1</v>
      </c>
      <c r="D255">
        <v>255</v>
      </c>
      <c r="E255" t="s">
        <v>2108</v>
      </c>
      <c r="F255" t="s">
        <v>123</v>
      </c>
      <c r="G255" t="s">
        <v>124</v>
      </c>
      <c r="H255" t="s">
        <v>125</v>
      </c>
      <c r="I255" t="s">
        <v>126</v>
      </c>
      <c r="J255" t="s">
        <v>126</v>
      </c>
      <c r="K255" t="s">
        <v>127</v>
      </c>
      <c r="L255">
        <v>50</v>
      </c>
      <c r="M255">
        <v>938081</v>
      </c>
      <c r="N255">
        <v>6</v>
      </c>
      <c r="O255">
        <v>1</v>
      </c>
      <c r="P255" t="s">
        <v>128</v>
      </c>
      <c r="Q255" t="s">
        <v>129</v>
      </c>
      <c r="R255">
        <v>24</v>
      </c>
      <c r="T255">
        <v>12</v>
      </c>
      <c r="U255">
        <v>17</v>
      </c>
      <c r="V255">
        <v>4</v>
      </c>
      <c r="W255">
        <v>0</v>
      </c>
      <c r="X255">
        <v>4</v>
      </c>
      <c r="Y255">
        <v>0</v>
      </c>
      <c r="Z255">
        <v>16</v>
      </c>
      <c r="AA255">
        <v>21</v>
      </c>
      <c r="AB255">
        <v>50</v>
      </c>
      <c r="AC255">
        <v>18</v>
      </c>
      <c r="AD255">
        <v>5</v>
      </c>
      <c r="AE255">
        <v>0</v>
      </c>
      <c r="AF255">
        <v>23</v>
      </c>
      <c r="AG255">
        <v>0</v>
      </c>
      <c r="AH255">
        <v>32</v>
      </c>
      <c r="AI255">
        <v>27</v>
      </c>
      <c r="AJ255">
        <v>32</v>
      </c>
      <c r="AK255">
        <v>32</v>
      </c>
      <c r="AL255">
        <v>0</v>
      </c>
      <c r="AM255">
        <v>0.12</v>
      </c>
      <c r="AN255">
        <v>2.9090909090909092</v>
      </c>
      <c r="AO255">
        <v>0</v>
      </c>
      <c r="AP255" t="s">
        <v>130</v>
      </c>
      <c r="AQ255" t="s">
        <v>131</v>
      </c>
      <c r="AR255" t="s">
        <v>194</v>
      </c>
      <c r="AS255">
        <v>1412</v>
      </c>
      <c r="AT255">
        <v>1399</v>
      </c>
      <c r="AU255">
        <v>0</v>
      </c>
      <c r="AV255">
        <v>0</v>
      </c>
      <c r="AW255">
        <v>2.8109999999999999</v>
      </c>
      <c r="AX255">
        <v>0.15616666666666668</v>
      </c>
      <c r="AY255">
        <v>3.5918333333333337</v>
      </c>
      <c r="AZ255" t="s">
        <v>135</v>
      </c>
      <c r="BA255">
        <v>2.4081666666666663</v>
      </c>
      <c r="BB255">
        <v>15.420490928495195</v>
      </c>
      <c r="BC255" t="s">
        <v>133</v>
      </c>
      <c r="BD255">
        <v>0</v>
      </c>
      <c r="BE255" t="s">
        <v>133</v>
      </c>
      <c r="BF25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2.8109999999999999</v>
      </c>
    </row>
    <row r="256" spans="1:58" x14ac:dyDescent="0.25">
      <c r="A256" t="s">
        <v>464</v>
      </c>
      <c r="B256" t="s">
        <v>19</v>
      </c>
      <c r="C256">
        <v>1</v>
      </c>
      <c r="D256">
        <v>256</v>
      </c>
      <c r="E256" t="s">
        <v>2108</v>
      </c>
      <c r="F256" t="s">
        <v>123</v>
      </c>
      <c r="G256" t="s">
        <v>124</v>
      </c>
      <c r="H256" t="s">
        <v>125</v>
      </c>
      <c r="I256" t="s">
        <v>126</v>
      </c>
      <c r="J256" t="s">
        <v>126</v>
      </c>
      <c r="K256" t="s">
        <v>127</v>
      </c>
      <c r="L256">
        <v>50</v>
      </c>
      <c r="M256">
        <v>938083</v>
      </c>
      <c r="N256">
        <v>6</v>
      </c>
      <c r="O256">
        <v>1</v>
      </c>
      <c r="P256" t="s">
        <v>128</v>
      </c>
      <c r="Q256" t="s">
        <v>129</v>
      </c>
      <c r="R256">
        <v>24</v>
      </c>
      <c r="T256">
        <v>15</v>
      </c>
      <c r="U256">
        <v>20</v>
      </c>
      <c r="V256">
        <v>2</v>
      </c>
      <c r="W256">
        <v>0</v>
      </c>
      <c r="X256">
        <v>2</v>
      </c>
      <c r="Y256">
        <v>1</v>
      </c>
      <c r="Z256">
        <v>18</v>
      </c>
      <c r="AA256">
        <v>23</v>
      </c>
      <c r="AB256">
        <v>50</v>
      </c>
      <c r="AC256">
        <v>24</v>
      </c>
      <c r="AD256">
        <v>3</v>
      </c>
      <c r="AE256">
        <v>1</v>
      </c>
      <c r="AF256">
        <v>28</v>
      </c>
      <c r="AG256">
        <v>0</v>
      </c>
      <c r="AH256">
        <v>26</v>
      </c>
      <c r="AI256">
        <v>22</v>
      </c>
      <c r="AJ256">
        <v>25</v>
      </c>
      <c r="AK256">
        <v>26</v>
      </c>
      <c r="AL256">
        <v>0</v>
      </c>
      <c r="AM256">
        <v>0.12</v>
      </c>
      <c r="AN256">
        <v>2.2727272727272729</v>
      </c>
      <c r="AO256">
        <v>0</v>
      </c>
      <c r="AP256" t="s">
        <v>130</v>
      </c>
      <c r="AQ256" t="s">
        <v>131</v>
      </c>
      <c r="AR256" t="s">
        <v>194</v>
      </c>
      <c r="AS256">
        <v>2252</v>
      </c>
      <c r="AT256">
        <v>2281</v>
      </c>
      <c r="AU256">
        <v>0</v>
      </c>
      <c r="AV256">
        <v>0</v>
      </c>
      <c r="AW256">
        <v>4.5330000000000004</v>
      </c>
      <c r="AX256">
        <v>0.18887500000000002</v>
      </c>
      <c r="AY256">
        <v>5.2885000000000009</v>
      </c>
      <c r="AZ256" t="s">
        <v>135</v>
      </c>
      <c r="BA256">
        <v>0.71149999999999913</v>
      </c>
      <c r="BB256">
        <v>3.7670416942422187</v>
      </c>
      <c r="BC256" t="s">
        <v>133</v>
      </c>
      <c r="BD256">
        <v>0</v>
      </c>
      <c r="BE256" t="s">
        <v>133</v>
      </c>
      <c r="BF25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4.5330000000000004</v>
      </c>
    </row>
    <row r="257" spans="1:58" x14ac:dyDescent="0.25">
      <c r="A257" t="s">
        <v>465</v>
      </c>
      <c r="B257" t="s">
        <v>19</v>
      </c>
      <c r="C257">
        <v>1</v>
      </c>
      <c r="D257">
        <v>257</v>
      </c>
      <c r="E257" t="s">
        <v>2108</v>
      </c>
      <c r="F257" t="s">
        <v>123</v>
      </c>
      <c r="G257" t="s">
        <v>124</v>
      </c>
      <c r="H257" t="s">
        <v>125</v>
      </c>
      <c r="I257" t="s">
        <v>126</v>
      </c>
      <c r="J257" t="s">
        <v>126</v>
      </c>
      <c r="K257" t="s">
        <v>127</v>
      </c>
      <c r="L257">
        <v>50</v>
      </c>
      <c r="M257">
        <v>938085</v>
      </c>
      <c r="N257">
        <v>6</v>
      </c>
      <c r="O257">
        <v>1</v>
      </c>
      <c r="P257" t="s">
        <v>128</v>
      </c>
      <c r="Q257" t="s">
        <v>129</v>
      </c>
      <c r="R257">
        <v>24</v>
      </c>
      <c r="T257">
        <v>13</v>
      </c>
      <c r="U257">
        <v>18</v>
      </c>
      <c r="V257">
        <v>2</v>
      </c>
      <c r="W257">
        <v>0</v>
      </c>
      <c r="X257">
        <v>2</v>
      </c>
      <c r="Y257">
        <v>1</v>
      </c>
      <c r="Z257">
        <v>16</v>
      </c>
      <c r="AA257">
        <v>21</v>
      </c>
      <c r="AB257">
        <v>50</v>
      </c>
      <c r="AC257">
        <v>21</v>
      </c>
      <c r="AD257">
        <v>10</v>
      </c>
      <c r="AE257">
        <v>1</v>
      </c>
      <c r="AF257">
        <v>32</v>
      </c>
      <c r="AG257">
        <v>0</v>
      </c>
      <c r="AH257">
        <v>29</v>
      </c>
      <c r="AI257">
        <v>18</v>
      </c>
      <c r="AJ257">
        <v>28</v>
      </c>
      <c r="AK257">
        <v>29</v>
      </c>
      <c r="AL257">
        <v>0</v>
      </c>
      <c r="AM257">
        <v>0.12</v>
      </c>
      <c r="AN257">
        <v>2.5454545454545454</v>
      </c>
      <c r="AO257">
        <v>0</v>
      </c>
      <c r="AP257" t="s">
        <v>130</v>
      </c>
      <c r="AQ257" t="s">
        <v>131</v>
      </c>
      <c r="AR257" t="s">
        <v>194</v>
      </c>
      <c r="AS257">
        <v>1971</v>
      </c>
      <c r="AT257">
        <v>1919</v>
      </c>
      <c r="AU257">
        <v>0</v>
      </c>
      <c r="AV257">
        <v>0</v>
      </c>
      <c r="AW257">
        <v>3.89</v>
      </c>
      <c r="AX257">
        <v>0.18523809523809526</v>
      </c>
      <c r="AY257">
        <v>5.9276190476190482</v>
      </c>
      <c r="AZ257" t="s">
        <v>135</v>
      </c>
      <c r="BA257">
        <v>7.2380952380951769E-2</v>
      </c>
      <c r="BB257">
        <v>0.39074550128534369</v>
      </c>
      <c r="BC257" t="s">
        <v>133</v>
      </c>
      <c r="BD257">
        <v>0</v>
      </c>
      <c r="BE257" t="s">
        <v>133</v>
      </c>
      <c r="BF25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3.89</v>
      </c>
    </row>
    <row r="258" spans="1:58" x14ac:dyDescent="0.25">
      <c r="A258" t="s">
        <v>466</v>
      </c>
      <c r="B258" t="s">
        <v>19</v>
      </c>
      <c r="C258">
        <v>1</v>
      </c>
      <c r="D258">
        <v>258</v>
      </c>
      <c r="E258" t="s">
        <v>2108</v>
      </c>
      <c r="F258" t="s">
        <v>123</v>
      </c>
      <c r="G258" t="s">
        <v>124</v>
      </c>
      <c r="H258" t="s">
        <v>125</v>
      </c>
      <c r="I258" t="s">
        <v>126</v>
      </c>
      <c r="J258" t="s">
        <v>126</v>
      </c>
      <c r="K258" t="s">
        <v>127</v>
      </c>
      <c r="L258">
        <v>50</v>
      </c>
      <c r="M258">
        <v>938087</v>
      </c>
      <c r="N258">
        <v>6</v>
      </c>
      <c r="O258">
        <v>1</v>
      </c>
      <c r="P258" t="s">
        <v>128</v>
      </c>
      <c r="Q258" t="s">
        <v>129</v>
      </c>
      <c r="R258">
        <v>24</v>
      </c>
      <c r="T258">
        <v>9</v>
      </c>
      <c r="U258">
        <v>14</v>
      </c>
      <c r="V258">
        <v>3</v>
      </c>
      <c r="W258">
        <v>0</v>
      </c>
      <c r="X258">
        <v>3</v>
      </c>
      <c r="Y258">
        <v>0</v>
      </c>
      <c r="Z258">
        <v>12</v>
      </c>
      <c r="AA258">
        <v>17</v>
      </c>
      <c r="AB258">
        <v>50</v>
      </c>
      <c r="AC258">
        <v>16</v>
      </c>
      <c r="AD258">
        <v>5</v>
      </c>
      <c r="AE258">
        <v>0</v>
      </c>
      <c r="AF258">
        <v>21</v>
      </c>
      <c r="AG258">
        <v>0</v>
      </c>
      <c r="AH258">
        <v>34</v>
      </c>
      <c r="AI258">
        <v>29</v>
      </c>
      <c r="AJ258">
        <v>34</v>
      </c>
      <c r="AK258">
        <v>34</v>
      </c>
      <c r="AL258">
        <v>0</v>
      </c>
      <c r="AM258">
        <v>0.12</v>
      </c>
      <c r="AN258">
        <v>3.0909090909090908</v>
      </c>
      <c r="AO258">
        <v>0</v>
      </c>
      <c r="AP258" t="s">
        <v>130</v>
      </c>
      <c r="AQ258" t="s">
        <v>131</v>
      </c>
      <c r="AR258" t="s">
        <v>194</v>
      </c>
      <c r="AS258">
        <v>1205</v>
      </c>
      <c r="AT258">
        <v>1143</v>
      </c>
      <c r="AU258">
        <v>0</v>
      </c>
      <c r="AV258">
        <v>0</v>
      </c>
      <c r="AW258">
        <v>2.3479999999999999</v>
      </c>
      <c r="AX258">
        <v>0.14674999999999999</v>
      </c>
      <c r="AY258">
        <v>3.08175</v>
      </c>
      <c r="AZ258" t="s">
        <v>135</v>
      </c>
      <c r="BA258">
        <v>2.91825</v>
      </c>
      <c r="BB258">
        <v>19.885860306643952</v>
      </c>
      <c r="BC258" t="s">
        <v>133</v>
      </c>
      <c r="BD258">
        <v>0</v>
      </c>
      <c r="BE258" t="s">
        <v>133</v>
      </c>
      <c r="BF25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2.3479999999999999</v>
      </c>
    </row>
    <row r="259" spans="1:58" x14ac:dyDescent="0.25">
      <c r="A259" t="s">
        <v>467</v>
      </c>
      <c r="B259" t="s">
        <v>19</v>
      </c>
      <c r="C259">
        <v>1</v>
      </c>
      <c r="D259">
        <v>259</v>
      </c>
      <c r="E259" t="s">
        <v>2108</v>
      </c>
      <c r="F259" t="s">
        <v>123</v>
      </c>
      <c r="G259" t="s">
        <v>124</v>
      </c>
      <c r="H259" t="s">
        <v>136</v>
      </c>
      <c r="I259" t="s">
        <v>137</v>
      </c>
      <c r="J259" t="s">
        <v>138</v>
      </c>
      <c r="K259" t="s">
        <v>127</v>
      </c>
      <c r="L259">
        <v>50</v>
      </c>
      <c r="M259">
        <v>938089</v>
      </c>
      <c r="N259">
        <v>5</v>
      </c>
      <c r="O259">
        <v>1</v>
      </c>
      <c r="P259" t="s">
        <v>128</v>
      </c>
      <c r="Q259" t="s">
        <v>129</v>
      </c>
      <c r="R259">
        <v>24</v>
      </c>
      <c r="T259">
        <v>0</v>
      </c>
      <c r="U259">
        <v>4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4</v>
      </c>
      <c r="AB259">
        <v>50</v>
      </c>
      <c r="AC259">
        <v>4</v>
      </c>
      <c r="AD259">
        <v>0</v>
      </c>
      <c r="AE259">
        <v>0</v>
      </c>
      <c r="AF259">
        <v>4</v>
      </c>
      <c r="AG259">
        <v>0</v>
      </c>
      <c r="AH259">
        <v>46</v>
      </c>
      <c r="AI259">
        <v>46</v>
      </c>
      <c r="AJ259">
        <v>46</v>
      </c>
      <c r="AK259">
        <v>46</v>
      </c>
      <c r="AL259">
        <v>0</v>
      </c>
      <c r="AM259">
        <v>0.1</v>
      </c>
      <c r="AN259">
        <v>4.1818181818181817</v>
      </c>
      <c r="AO259">
        <v>0</v>
      </c>
      <c r="AP259" t="s">
        <v>139</v>
      </c>
      <c r="AQ259" t="s">
        <v>131</v>
      </c>
      <c r="AR259" t="s">
        <v>194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 t="s">
        <v>134</v>
      </c>
      <c r="BA259">
        <v>5</v>
      </c>
      <c r="BB259">
        <v>0</v>
      </c>
      <c r="BC259" t="s">
        <v>133</v>
      </c>
      <c r="BD259">
        <v>0</v>
      </c>
      <c r="BE259" t="s">
        <v>133</v>
      </c>
      <c r="BF25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60" spans="1:58" x14ac:dyDescent="0.25">
      <c r="A260" t="s">
        <v>468</v>
      </c>
      <c r="B260" t="s">
        <v>19</v>
      </c>
      <c r="C260">
        <v>1</v>
      </c>
      <c r="D260">
        <v>260</v>
      </c>
      <c r="E260" t="s">
        <v>2108</v>
      </c>
      <c r="F260" t="s">
        <v>123</v>
      </c>
      <c r="G260" t="s">
        <v>124</v>
      </c>
      <c r="H260" t="s">
        <v>125</v>
      </c>
      <c r="I260" t="s">
        <v>126</v>
      </c>
      <c r="J260" t="s">
        <v>126</v>
      </c>
      <c r="K260" t="s">
        <v>127</v>
      </c>
      <c r="L260">
        <v>50</v>
      </c>
      <c r="M260">
        <v>938091</v>
      </c>
      <c r="N260">
        <v>6</v>
      </c>
      <c r="O260">
        <v>1</v>
      </c>
      <c r="P260" t="s">
        <v>128</v>
      </c>
      <c r="Q260" t="s">
        <v>129</v>
      </c>
      <c r="R260">
        <v>24</v>
      </c>
      <c r="T260">
        <v>8</v>
      </c>
      <c r="U260">
        <v>13</v>
      </c>
      <c r="V260">
        <v>8</v>
      </c>
      <c r="W260">
        <v>0</v>
      </c>
      <c r="X260">
        <v>8</v>
      </c>
      <c r="Y260">
        <v>0</v>
      </c>
      <c r="Z260">
        <v>16</v>
      </c>
      <c r="AA260">
        <v>21</v>
      </c>
      <c r="AB260">
        <v>50</v>
      </c>
      <c r="AC260">
        <v>14</v>
      </c>
      <c r="AD260">
        <v>9</v>
      </c>
      <c r="AE260">
        <v>0</v>
      </c>
      <c r="AF260">
        <v>23</v>
      </c>
      <c r="AG260">
        <v>0</v>
      </c>
      <c r="AH260">
        <v>36</v>
      </c>
      <c r="AI260">
        <v>27</v>
      </c>
      <c r="AJ260">
        <v>36</v>
      </c>
      <c r="AK260">
        <v>36</v>
      </c>
      <c r="AL260">
        <v>0</v>
      </c>
      <c r="AM260">
        <v>0.12</v>
      </c>
      <c r="AN260">
        <v>3.2727272727272729</v>
      </c>
      <c r="AO260">
        <v>0</v>
      </c>
      <c r="AP260" t="s">
        <v>130</v>
      </c>
      <c r="AQ260" t="s">
        <v>131</v>
      </c>
      <c r="AR260" t="s">
        <v>194</v>
      </c>
      <c r="AS260">
        <v>1055</v>
      </c>
      <c r="AT260">
        <v>955</v>
      </c>
      <c r="AU260">
        <v>0</v>
      </c>
      <c r="AV260">
        <v>0</v>
      </c>
      <c r="AW260">
        <v>2.0099999999999998</v>
      </c>
      <c r="AX260">
        <v>0.14357142857142854</v>
      </c>
      <c r="AY260">
        <v>3.3021428571428566</v>
      </c>
      <c r="AZ260" t="s">
        <v>135</v>
      </c>
      <c r="BA260">
        <v>2.6978571428571434</v>
      </c>
      <c r="BB260">
        <v>18.79104477611941</v>
      </c>
      <c r="BC260" t="s">
        <v>133</v>
      </c>
      <c r="BD260">
        <v>0</v>
      </c>
      <c r="BE260" t="s">
        <v>133</v>
      </c>
      <c r="BF26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2.0099999999999998</v>
      </c>
    </row>
    <row r="261" spans="1:58" x14ac:dyDescent="0.25">
      <c r="A261" t="s">
        <v>469</v>
      </c>
      <c r="B261" t="s">
        <v>19</v>
      </c>
      <c r="C261">
        <v>1</v>
      </c>
      <c r="D261">
        <v>261</v>
      </c>
      <c r="E261" t="s">
        <v>2108</v>
      </c>
      <c r="F261" t="s">
        <v>123</v>
      </c>
      <c r="G261" t="s">
        <v>124</v>
      </c>
      <c r="H261" t="s">
        <v>125</v>
      </c>
      <c r="I261" t="s">
        <v>126</v>
      </c>
      <c r="J261" t="s">
        <v>126</v>
      </c>
      <c r="K261" t="s">
        <v>127</v>
      </c>
      <c r="L261">
        <v>50</v>
      </c>
      <c r="M261">
        <v>938093</v>
      </c>
      <c r="N261">
        <v>6</v>
      </c>
      <c r="O261">
        <v>1</v>
      </c>
      <c r="P261" t="s">
        <v>128</v>
      </c>
      <c r="Q261" t="s">
        <v>129</v>
      </c>
      <c r="R261">
        <v>24</v>
      </c>
      <c r="T261">
        <v>13</v>
      </c>
      <c r="U261">
        <v>18</v>
      </c>
      <c r="V261">
        <v>3</v>
      </c>
      <c r="W261">
        <v>0</v>
      </c>
      <c r="X261">
        <v>3</v>
      </c>
      <c r="Y261">
        <v>0</v>
      </c>
      <c r="Z261">
        <v>16</v>
      </c>
      <c r="AA261">
        <v>21</v>
      </c>
      <c r="AB261">
        <v>50</v>
      </c>
      <c r="AC261">
        <v>24</v>
      </c>
      <c r="AD261">
        <v>3</v>
      </c>
      <c r="AE261">
        <v>0</v>
      </c>
      <c r="AF261">
        <v>27</v>
      </c>
      <c r="AG261">
        <v>0</v>
      </c>
      <c r="AH261">
        <v>26</v>
      </c>
      <c r="AI261">
        <v>23</v>
      </c>
      <c r="AJ261">
        <v>26</v>
      </c>
      <c r="AK261">
        <v>26</v>
      </c>
      <c r="AL261">
        <v>0</v>
      </c>
      <c r="AM261">
        <v>0.12</v>
      </c>
      <c r="AN261">
        <v>2.3636363636363638</v>
      </c>
      <c r="AO261">
        <v>0</v>
      </c>
      <c r="AP261" t="s">
        <v>130</v>
      </c>
      <c r="AQ261" t="s">
        <v>131</v>
      </c>
      <c r="AR261" t="s">
        <v>194</v>
      </c>
      <c r="AS261">
        <v>1886</v>
      </c>
      <c r="AT261">
        <v>1861</v>
      </c>
      <c r="AU261">
        <v>0</v>
      </c>
      <c r="AV261">
        <v>0</v>
      </c>
      <c r="AW261">
        <v>3.7469999999999999</v>
      </c>
      <c r="AX261">
        <v>0.15612499999999999</v>
      </c>
      <c r="AY261">
        <v>4.2153749999999999</v>
      </c>
      <c r="AZ261" t="s">
        <v>135</v>
      </c>
      <c r="BA261">
        <v>1.7846250000000001</v>
      </c>
      <c r="BB261">
        <v>11.430744595676543</v>
      </c>
      <c r="BC261" t="s">
        <v>133</v>
      </c>
      <c r="BD261">
        <v>0</v>
      </c>
      <c r="BE261" t="s">
        <v>133</v>
      </c>
      <c r="BF26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3.7469999999999999</v>
      </c>
    </row>
    <row r="262" spans="1:58" x14ac:dyDescent="0.25">
      <c r="A262" t="s">
        <v>470</v>
      </c>
      <c r="B262" t="s">
        <v>19</v>
      </c>
      <c r="C262">
        <v>1</v>
      </c>
      <c r="D262">
        <v>262</v>
      </c>
      <c r="E262" t="s">
        <v>2108</v>
      </c>
      <c r="F262" t="s">
        <v>123</v>
      </c>
      <c r="G262" t="s">
        <v>124</v>
      </c>
      <c r="H262" t="s">
        <v>125</v>
      </c>
      <c r="I262" t="s">
        <v>126</v>
      </c>
      <c r="J262" t="s">
        <v>126</v>
      </c>
      <c r="K262" t="s">
        <v>127</v>
      </c>
      <c r="L262">
        <v>50</v>
      </c>
      <c r="M262">
        <v>938095</v>
      </c>
      <c r="N262">
        <v>6</v>
      </c>
      <c r="O262">
        <v>1</v>
      </c>
      <c r="P262" t="s">
        <v>128</v>
      </c>
      <c r="Q262" t="s">
        <v>129</v>
      </c>
      <c r="R262">
        <v>24</v>
      </c>
      <c r="T262">
        <v>12</v>
      </c>
      <c r="U262">
        <v>17</v>
      </c>
      <c r="V262">
        <v>0</v>
      </c>
      <c r="W262">
        <v>0</v>
      </c>
      <c r="X262">
        <v>0</v>
      </c>
      <c r="Y262">
        <v>3</v>
      </c>
      <c r="Z262">
        <v>15</v>
      </c>
      <c r="AA262">
        <v>20</v>
      </c>
      <c r="AB262">
        <v>50</v>
      </c>
      <c r="AC262">
        <v>22</v>
      </c>
      <c r="AD262">
        <v>0</v>
      </c>
      <c r="AE262">
        <v>5</v>
      </c>
      <c r="AF262">
        <v>27</v>
      </c>
      <c r="AG262">
        <v>0</v>
      </c>
      <c r="AH262">
        <v>28</v>
      </c>
      <c r="AI262">
        <v>23</v>
      </c>
      <c r="AJ262">
        <v>23</v>
      </c>
      <c r="AK262">
        <v>28</v>
      </c>
      <c r="AL262">
        <v>0</v>
      </c>
      <c r="AM262">
        <v>0.12</v>
      </c>
      <c r="AN262">
        <v>2.0909090909090908</v>
      </c>
      <c r="AO262">
        <v>0</v>
      </c>
      <c r="AP262" t="s">
        <v>130</v>
      </c>
      <c r="AQ262" t="s">
        <v>131</v>
      </c>
      <c r="AR262" t="s">
        <v>194</v>
      </c>
      <c r="AS262">
        <v>1589</v>
      </c>
      <c r="AT262">
        <v>1629</v>
      </c>
      <c r="AU262">
        <v>0</v>
      </c>
      <c r="AV262">
        <v>0</v>
      </c>
      <c r="AW262">
        <v>3.218</v>
      </c>
      <c r="AX262">
        <v>0.14627272727272728</v>
      </c>
      <c r="AY262">
        <v>3.9493636363636364</v>
      </c>
      <c r="AZ262" t="s">
        <v>135</v>
      </c>
      <c r="BA262">
        <v>2.0506363636363636</v>
      </c>
      <c r="BB262">
        <v>14.019266625233064</v>
      </c>
      <c r="BC262" t="s">
        <v>133</v>
      </c>
      <c r="BD262">
        <v>0</v>
      </c>
      <c r="BE262" t="s">
        <v>133</v>
      </c>
      <c r="BF26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3.218</v>
      </c>
    </row>
    <row r="263" spans="1:58" x14ac:dyDescent="0.25">
      <c r="A263" t="s">
        <v>471</v>
      </c>
      <c r="B263" t="s">
        <v>19</v>
      </c>
      <c r="C263">
        <v>1</v>
      </c>
      <c r="D263">
        <v>263</v>
      </c>
      <c r="E263" t="s">
        <v>2108</v>
      </c>
      <c r="F263" t="s">
        <v>123</v>
      </c>
      <c r="G263" t="s">
        <v>124</v>
      </c>
      <c r="H263" t="s">
        <v>125</v>
      </c>
      <c r="I263" t="s">
        <v>126</v>
      </c>
      <c r="J263" t="s">
        <v>126</v>
      </c>
      <c r="K263" t="s">
        <v>127</v>
      </c>
      <c r="L263">
        <v>50</v>
      </c>
      <c r="M263">
        <v>938097</v>
      </c>
      <c r="N263">
        <v>6</v>
      </c>
      <c r="O263">
        <v>1</v>
      </c>
      <c r="P263" t="s">
        <v>128</v>
      </c>
      <c r="Q263" t="s">
        <v>129</v>
      </c>
      <c r="R263">
        <v>24</v>
      </c>
      <c r="T263">
        <v>13</v>
      </c>
      <c r="U263">
        <v>18</v>
      </c>
      <c r="V263">
        <v>5</v>
      </c>
      <c r="W263">
        <v>0</v>
      </c>
      <c r="X263">
        <v>5</v>
      </c>
      <c r="Y263">
        <v>2</v>
      </c>
      <c r="Z263">
        <v>20</v>
      </c>
      <c r="AA263">
        <v>25</v>
      </c>
      <c r="AB263">
        <v>50</v>
      </c>
      <c r="AC263">
        <v>22</v>
      </c>
      <c r="AD263">
        <v>6</v>
      </c>
      <c r="AE263">
        <v>3</v>
      </c>
      <c r="AF263">
        <v>31</v>
      </c>
      <c r="AG263">
        <v>0</v>
      </c>
      <c r="AH263">
        <v>28</v>
      </c>
      <c r="AI263">
        <v>19</v>
      </c>
      <c r="AJ263">
        <v>25</v>
      </c>
      <c r="AK263">
        <v>28</v>
      </c>
      <c r="AL263">
        <v>0</v>
      </c>
      <c r="AM263">
        <v>0.12</v>
      </c>
      <c r="AN263">
        <v>2.2727272727272729</v>
      </c>
      <c r="AO263">
        <v>0</v>
      </c>
      <c r="AP263" t="s">
        <v>130</v>
      </c>
      <c r="AQ263" t="s">
        <v>131</v>
      </c>
      <c r="AR263" t="s">
        <v>194</v>
      </c>
      <c r="AS263">
        <v>1933</v>
      </c>
      <c r="AT263">
        <v>1855</v>
      </c>
      <c r="AU263">
        <v>0</v>
      </c>
      <c r="AV263">
        <v>0</v>
      </c>
      <c r="AW263">
        <v>3.7879999999999998</v>
      </c>
      <c r="AX263">
        <v>0.17218181818181819</v>
      </c>
      <c r="AY263">
        <v>5.3376363636363635</v>
      </c>
      <c r="AZ263" t="s">
        <v>135</v>
      </c>
      <c r="BA263">
        <v>0.66236363636363649</v>
      </c>
      <c r="BB263">
        <v>3.8468848996832108</v>
      </c>
      <c r="BC263" t="s">
        <v>133</v>
      </c>
      <c r="BD263">
        <v>0</v>
      </c>
      <c r="BE263" t="s">
        <v>133</v>
      </c>
      <c r="BF26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3.7879999999999998</v>
      </c>
    </row>
    <row r="264" spans="1:58" x14ac:dyDescent="0.25">
      <c r="A264" t="s">
        <v>472</v>
      </c>
      <c r="B264" t="s">
        <v>19</v>
      </c>
      <c r="C264">
        <v>1</v>
      </c>
      <c r="D264">
        <v>264</v>
      </c>
      <c r="E264" t="s">
        <v>2108</v>
      </c>
      <c r="F264" t="s">
        <v>123</v>
      </c>
      <c r="G264" t="s">
        <v>124</v>
      </c>
      <c r="H264" t="s">
        <v>125</v>
      </c>
      <c r="I264" t="s">
        <v>126</v>
      </c>
      <c r="J264" t="s">
        <v>126</v>
      </c>
      <c r="K264" t="s">
        <v>127</v>
      </c>
      <c r="L264">
        <v>50</v>
      </c>
      <c r="M264">
        <v>938099</v>
      </c>
      <c r="N264">
        <v>6</v>
      </c>
      <c r="O264">
        <v>1</v>
      </c>
      <c r="P264" t="s">
        <v>128</v>
      </c>
      <c r="Q264" t="s">
        <v>129</v>
      </c>
      <c r="R264">
        <v>24</v>
      </c>
      <c r="T264">
        <v>12</v>
      </c>
      <c r="U264">
        <v>17</v>
      </c>
      <c r="V264">
        <v>1</v>
      </c>
      <c r="W264">
        <v>0</v>
      </c>
      <c r="X264">
        <v>1</v>
      </c>
      <c r="Y264">
        <v>1</v>
      </c>
      <c r="Z264">
        <v>14</v>
      </c>
      <c r="AA264">
        <v>19</v>
      </c>
      <c r="AB264">
        <v>50</v>
      </c>
      <c r="AC264">
        <v>18</v>
      </c>
      <c r="AD264">
        <v>2</v>
      </c>
      <c r="AE264">
        <v>1</v>
      </c>
      <c r="AF264">
        <v>21</v>
      </c>
      <c r="AG264">
        <v>0</v>
      </c>
      <c r="AH264">
        <v>32</v>
      </c>
      <c r="AI264">
        <v>29</v>
      </c>
      <c r="AJ264">
        <v>31</v>
      </c>
      <c r="AK264">
        <v>32</v>
      </c>
      <c r="AL264">
        <v>0</v>
      </c>
      <c r="AM264">
        <v>0.12</v>
      </c>
      <c r="AN264">
        <v>2.8181818181818183</v>
      </c>
      <c r="AO264">
        <v>0</v>
      </c>
      <c r="AP264" t="s">
        <v>130</v>
      </c>
      <c r="AQ264" t="s">
        <v>131</v>
      </c>
      <c r="AR264" t="s">
        <v>194</v>
      </c>
      <c r="AS264">
        <v>1275</v>
      </c>
      <c r="AT264">
        <v>1282</v>
      </c>
      <c r="AU264">
        <v>0</v>
      </c>
      <c r="AV264">
        <v>0</v>
      </c>
      <c r="AW264">
        <v>2.5569999999999999</v>
      </c>
      <c r="AX264">
        <v>0.14205555555555555</v>
      </c>
      <c r="AY264">
        <v>2.9831666666666665</v>
      </c>
      <c r="AZ264" t="s">
        <v>135</v>
      </c>
      <c r="BA264">
        <v>3.0168333333333335</v>
      </c>
      <c r="BB264">
        <v>21.236996480250294</v>
      </c>
      <c r="BC264" t="s">
        <v>144</v>
      </c>
      <c r="BD264">
        <v>0</v>
      </c>
      <c r="BE264" t="s">
        <v>133</v>
      </c>
      <c r="BF26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2.5569999999999999</v>
      </c>
    </row>
    <row r="265" spans="1:58" x14ac:dyDescent="0.25">
      <c r="A265" t="s">
        <v>473</v>
      </c>
      <c r="B265" t="s">
        <v>19</v>
      </c>
      <c r="C265">
        <v>1</v>
      </c>
      <c r="D265">
        <v>265</v>
      </c>
      <c r="E265" t="s">
        <v>2109</v>
      </c>
      <c r="F265" t="s">
        <v>123</v>
      </c>
      <c r="G265" t="s">
        <v>124</v>
      </c>
      <c r="H265" t="s">
        <v>125</v>
      </c>
      <c r="I265" t="s">
        <v>183</v>
      </c>
      <c r="J265" t="s">
        <v>140</v>
      </c>
      <c r="K265" t="s">
        <v>127</v>
      </c>
      <c r="L265">
        <v>50</v>
      </c>
      <c r="M265">
        <v>3458556</v>
      </c>
      <c r="N265">
        <v>20</v>
      </c>
      <c r="O265">
        <v>1</v>
      </c>
      <c r="P265" t="s">
        <v>128</v>
      </c>
      <c r="Q265" t="s">
        <v>129</v>
      </c>
      <c r="R265">
        <v>25</v>
      </c>
      <c r="S265" t="s">
        <v>443</v>
      </c>
      <c r="T265">
        <v>22</v>
      </c>
      <c r="U265">
        <v>25</v>
      </c>
      <c r="V265">
        <v>0</v>
      </c>
      <c r="W265">
        <v>0</v>
      </c>
      <c r="X265">
        <v>0</v>
      </c>
      <c r="Y265">
        <v>0</v>
      </c>
      <c r="Z265">
        <v>22</v>
      </c>
      <c r="AA265">
        <v>25</v>
      </c>
      <c r="AB265">
        <v>50</v>
      </c>
      <c r="AC265">
        <v>49</v>
      </c>
      <c r="AD265">
        <v>0</v>
      </c>
      <c r="AE265">
        <v>0</v>
      </c>
      <c r="AF265">
        <v>49</v>
      </c>
      <c r="AG265">
        <v>0</v>
      </c>
      <c r="AH265">
        <v>1</v>
      </c>
      <c r="AI265">
        <v>1</v>
      </c>
      <c r="AJ265">
        <v>1</v>
      </c>
      <c r="AK265">
        <v>1</v>
      </c>
      <c r="AL265">
        <v>0</v>
      </c>
      <c r="AM265">
        <v>0.4</v>
      </c>
      <c r="AN265">
        <v>9.0909090909090912E-2</v>
      </c>
      <c r="AO265">
        <v>0</v>
      </c>
      <c r="AP265" t="s">
        <v>188</v>
      </c>
      <c r="AQ265" t="s">
        <v>131</v>
      </c>
      <c r="AR265" t="s">
        <v>229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 t="s">
        <v>147</v>
      </c>
      <c r="BA265">
        <v>20</v>
      </c>
      <c r="BB265">
        <v>0</v>
      </c>
      <c r="BC265" t="s">
        <v>132</v>
      </c>
      <c r="BD265">
        <v>0</v>
      </c>
      <c r="BE265" t="s">
        <v>133</v>
      </c>
      <c r="BF26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66" spans="1:58" x14ac:dyDescent="0.25">
      <c r="A266" t="s">
        <v>474</v>
      </c>
      <c r="B266" t="s">
        <v>19</v>
      </c>
      <c r="C266">
        <v>1</v>
      </c>
      <c r="D266">
        <v>266</v>
      </c>
      <c r="E266" t="s">
        <v>2109</v>
      </c>
      <c r="F266" t="s">
        <v>123</v>
      </c>
      <c r="G266" t="s">
        <v>124</v>
      </c>
      <c r="H266" t="s">
        <v>125</v>
      </c>
      <c r="I266" t="s">
        <v>183</v>
      </c>
      <c r="J266" t="s">
        <v>140</v>
      </c>
      <c r="K266" t="s">
        <v>127</v>
      </c>
      <c r="L266">
        <v>50</v>
      </c>
      <c r="M266">
        <v>3458558</v>
      </c>
      <c r="N266">
        <v>20</v>
      </c>
      <c r="O266">
        <v>1</v>
      </c>
      <c r="P266" t="s">
        <v>128</v>
      </c>
      <c r="Q266" t="s">
        <v>129</v>
      </c>
      <c r="R266">
        <v>25</v>
      </c>
      <c r="S266" t="s">
        <v>443</v>
      </c>
      <c r="T266">
        <v>22</v>
      </c>
      <c r="U266">
        <v>25</v>
      </c>
      <c r="V266">
        <v>0</v>
      </c>
      <c r="W266">
        <v>0</v>
      </c>
      <c r="X266">
        <v>0</v>
      </c>
      <c r="Y266">
        <v>0</v>
      </c>
      <c r="Z266">
        <v>22</v>
      </c>
      <c r="AA266">
        <v>25</v>
      </c>
      <c r="AB266">
        <v>50</v>
      </c>
      <c r="AC266">
        <v>49</v>
      </c>
      <c r="AD266">
        <v>0</v>
      </c>
      <c r="AE266">
        <v>0</v>
      </c>
      <c r="AF266">
        <v>49</v>
      </c>
      <c r="AG266">
        <v>0</v>
      </c>
      <c r="AH266">
        <v>1</v>
      </c>
      <c r="AI266">
        <v>1</v>
      </c>
      <c r="AJ266">
        <v>1</v>
      </c>
      <c r="AK266">
        <v>1</v>
      </c>
      <c r="AL266">
        <v>0</v>
      </c>
      <c r="AM266">
        <v>0.4</v>
      </c>
      <c r="AN266">
        <v>9.0909090909090912E-2</v>
      </c>
      <c r="AO266">
        <v>0</v>
      </c>
      <c r="AP266" t="s">
        <v>188</v>
      </c>
      <c r="AQ266" t="s">
        <v>131</v>
      </c>
      <c r="AR266" t="s">
        <v>229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 t="s">
        <v>147</v>
      </c>
      <c r="BA266">
        <v>20</v>
      </c>
      <c r="BB266">
        <v>0</v>
      </c>
      <c r="BC266" t="s">
        <v>133</v>
      </c>
      <c r="BD266">
        <v>0</v>
      </c>
      <c r="BE266" t="s">
        <v>133</v>
      </c>
      <c r="BF26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67" spans="1:58" x14ac:dyDescent="0.25">
      <c r="A267" t="s">
        <v>475</v>
      </c>
      <c r="B267" t="s">
        <v>19</v>
      </c>
      <c r="C267">
        <v>1</v>
      </c>
      <c r="D267">
        <v>267</v>
      </c>
      <c r="E267" t="s">
        <v>2109</v>
      </c>
      <c r="F267" t="s">
        <v>123</v>
      </c>
      <c r="G267" t="s">
        <v>124</v>
      </c>
      <c r="H267" t="s">
        <v>125</v>
      </c>
      <c r="I267" t="s">
        <v>183</v>
      </c>
      <c r="J267" t="s">
        <v>140</v>
      </c>
      <c r="K267" t="s">
        <v>166</v>
      </c>
      <c r="L267">
        <v>50</v>
      </c>
      <c r="M267">
        <v>937855</v>
      </c>
      <c r="N267">
        <v>20</v>
      </c>
      <c r="O267">
        <v>1</v>
      </c>
      <c r="P267" t="s">
        <v>128</v>
      </c>
      <c r="Q267" t="s">
        <v>129</v>
      </c>
      <c r="R267">
        <v>25</v>
      </c>
      <c r="S267" t="s">
        <v>476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50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50</v>
      </c>
      <c r="AI267">
        <v>50</v>
      </c>
      <c r="AJ267">
        <v>50</v>
      </c>
      <c r="AK267">
        <v>50</v>
      </c>
      <c r="AL267">
        <v>0</v>
      </c>
      <c r="AM267">
        <v>0.4</v>
      </c>
      <c r="AN267">
        <v>4.5454545454545459</v>
      </c>
      <c r="AO267">
        <v>0</v>
      </c>
      <c r="AP267" t="s">
        <v>184</v>
      </c>
      <c r="AQ267" t="s">
        <v>155</v>
      </c>
      <c r="AR267" t="s">
        <v>229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 t="s">
        <v>135</v>
      </c>
      <c r="BA267">
        <v>20</v>
      </c>
      <c r="BB267">
        <v>0</v>
      </c>
      <c r="BC267" t="s">
        <v>133</v>
      </c>
      <c r="BD267">
        <v>0</v>
      </c>
      <c r="BE267" t="s">
        <v>133</v>
      </c>
      <c r="BF26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68" spans="1:58" x14ac:dyDescent="0.25">
      <c r="A268" t="s">
        <v>477</v>
      </c>
      <c r="B268" t="s">
        <v>19</v>
      </c>
      <c r="C268">
        <v>1</v>
      </c>
      <c r="D268">
        <v>268</v>
      </c>
      <c r="E268" t="s">
        <v>2109</v>
      </c>
      <c r="F268" t="s">
        <v>123</v>
      </c>
      <c r="G268" t="s">
        <v>124</v>
      </c>
      <c r="H268" t="s">
        <v>125</v>
      </c>
      <c r="I268" t="s">
        <v>183</v>
      </c>
      <c r="J268" t="s">
        <v>140</v>
      </c>
      <c r="K268" t="s">
        <v>166</v>
      </c>
      <c r="L268">
        <v>50</v>
      </c>
      <c r="M268">
        <v>937857</v>
      </c>
      <c r="N268">
        <v>20</v>
      </c>
      <c r="O268">
        <v>1</v>
      </c>
      <c r="P268" t="s">
        <v>128</v>
      </c>
      <c r="Q268" t="s">
        <v>129</v>
      </c>
      <c r="R268">
        <v>25</v>
      </c>
      <c r="S268" t="s">
        <v>476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50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50</v>
      </c>
      <c r="AI268">
        <v>50</v>
      </c>
      <c r="AJ268">
        <v>50</v>
      </c>
      <c r="AK268">
        <v>50</v>
      </c>
      <c r="AL268">
        <v>0</v>
      </c>
      <c r="AM268">
        <v>0.4</v>
      </c>
      <c r="AN268">
        <v>4.5454545454545459</v>
      </c>
      <c r="AO268">
        <v>0</v>
      </c>
      <c r="AP268" t="s">
        <v>184</v>
      </c>
      <c r="AQ268" t="s">
        <v>155</v>
      </c>
      <c r="AR268" t="s">
        <v>229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 t="s">
        <v>135</v>
      </c>
      <c r="BA268">
        <v>20</v>
      </c>
      <c r="BB268">
        <v>0</v>
      </c>
      <c r="BC268" t="s">
        <v>133</v>
      </c>
      <c r="BD268">
        <v>0</v>
      </c>
      <c r="BE268" t="s">
        <v>133</v>
      </c>
      <c r="BF26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69" spans="1:58" x14ac:dyDescent="0.25">
      <c r="A269" t="s">
        <v>478</v>
      </c>
      <c r="B269" t="s">
        <v>19</v>
      </c>
      <c r="C269">
        <v>1</v>
      </c>
      <c r="D269">
        <v>269</v>
      </c>
      <c r="E269" t="s">
        <v>2109</v>
      </c>
      <c r="F269" t="s">
        <v>123</v>
      </c>
      <c r="G269" t="s">
        <v>124</v>
      </c>
      <c r="H269" t="s">
        <v>125</v>
      </c>
      <c r="I269" t="s">
        <v>154</v>
      </c>
      <c r="J269" t="s">
        <v>154</v>
      </c>
      <c r="K269" t="s">
        <v>151</v>
      </c>
      <c r="L269">
        <v>50</v>
      </c>
      <c r="M269">
        <v>937859</v>
      </c>
      <c r="N269">
        <v>0</v>
      </c>
      <c r="O269">
        <v>1</v>
      </c>
      <c r="P269" t="s">
        <v>128</v>
      </c>
      <c r="Q269" t="s">
        <v>129</v>
      </c>
      <c r="R269">
        <v>25</v>
      </c>
      <c r="S269" t="s">
        <v>189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50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50</v>
      </c>
      <c r="AJ269">
        <v>50</v>
      </c>
      <c r="AK269">
        <v>50</v>
      </c>
      <c r="AL269">
        <v>50</v>
      </c>
      <c r="AM269">
        <v>0</v>
      </c>
      <c r="AN269">
        <v>4.5454545454545459</v>
      </c>
      <c r="AO269">
        <v>0</v>
      </c>
      <c r="AP269" t="s">
        <v>172</v>
      </c>
      <c r="AQ269" t="s">
        <v>155</v>
      </c>
      <c r="AR269" t="s">
        <v>229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 t="s">
        <v>147</v>
      </c>
      <c r="BA269">
        <v>0</v>
      </c>
      <c r="BB269">
        <v>0</v>
      </c>
      <c r="BC269" t="s">
        <v>133</v>
      </c>
      <c r="BD269">
        <v>1</v>
      </c>
      <c r="BE269" t="s">
        <v>133</v>
      </c>
      <c r="BF26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70" spans="1:58" x14ac:dyDescent="0.25">
      <c r="A270" t="s">
        <v>479</v>
      </c>
      <c r="B270" t="s">
        <v>19</v>
      </c>
      <c r="C270">
        <v>1</v>
      </c>
      <c r="D270">
        <v>270</v>
      </c>
      <c r="E270" t="s">
        <v>2109</v>
      </c>
      <c r="F270" t="s">
        <v>123</v>
      </c>
      <c r="G270" t="s">
        <v>124</v>
      </c>
      <c r="H270" t="s">
        <v>125</v>
      </c>
      <c r="I270" t="s">
        <v>154</v>
      </c>
      <c r="J270" t="s">
        <v>154</v>
      </c>
      <c r="K270" t="s">
        <v>151</v>
      </c>
      <c r="L270">
        <v>50</v>
      </c>
      <c r="M270">
        <v>937861</v>
      </c>
      <c r="N270">
        <v>0</v>
      </c>
      <c r="O270">
        <v>1</v>
      </c>
      <c r="P270" t="s">
        <v>128</v>
      </c>
      <c r="Q270" t="s">
        <v>129</v>
      </c>
      <c r="R270">
        <v>25</v>
      </c>
      <c r="S270" t="s">
        <v>189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50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50</v>
      </c>
      <c r="AJ270">
        <v>50</v>
      </c>
      <c r="AK270">
        <v>50</v>
      </c>
      <c r="AL270">
        <v>50</v>
      </c>
      <c r="AM270">
        <v>0</v>
      </c>
      <c r="AN270">
        <v>4.5454545454545459</v>
      </c>
      <c r="AO270">
        <v>0</v>
      </c>
      <c r="AP270" t="s">
        <v>172</v>
      </c>
      <c r="AQ270" t="s">
        <v>155</v>
      </c>
      <c r="AR270" t="s">
        <v>229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 t="s">
        <v>147</v>
      </c>
      <c r="BA270">
        <v>0</v>
      </c>
      <c r="BB270">
        <v>0</v>
      </c>
      <c r="BC270" t="s">
        <v>133</v>
      </c>
      <c r="BD270">
        <v>2</v>
      </c>
      <c r="BE270" t="s">
        <v>133</v>
      </c>
      <c r="BF27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71" spans="1:58" x14ac:dyDescent="0.25">
      <c r="A271" t="s">
        <v>480</v>
      </c>
      <c r="B271" t="s">
        <v>19</v>
      </c>
      <c r="C271">
        <v>1</v>
      </c>
      <c r="D271">
        <v>271</v>
      </c>
      <c r="E271" t="s">
        <v>2109</v>
      </c>
      <c r="F271" t="s">
        <v>123</v>
      </c>
      <c r="G271" t="s">
        <v>124</v>
      </c>
      <c r="H271" t="s">
        <v>125</v>
      </c>
      <c r="I271" t="s">
        <v>154</v>
      </c>
      <c r="J271" t="s">
        <v>154</v>
      </c>
      <c r="K271" t="s">
        <v>151</v>
      </c>
      <c r="L271">
        <v>50</v>
      </c>
      <c r="M271">
        <v>937863</v>
      </c>
      <c r="N271">
        <v>0</v>
      </c>
      <c r="O271">
        <v>1</v>
      </c>
      <c r="P271" t="s">
        <v>128</v>
      </c>
      <c r="Q271" t="s">
        <v>129</v>
      </c>
      <c r="R271">
        <v>25</v>
      </c>
      <c r="S271" t="s">
        <v>189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50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50</v>
      </c>
      <c r="AJ271">
        <v>50</v>
      </c>
      <c r="AK271">
        <v>50</v>
      </c>
      <c r="AL271">
        <v>50</v>
      </c>
      <c r="AM271">
        <v>0</v>
      </c>
      <c r="AN271">
        <v>4.5454545454545459</v>
      </c>
      <c r="AO271">
        <v>0</v>
      </c>
      <c r="AP271" t="s">
        <v>172</v>
      </c>
      <c r="AQ271" t="s">
        <v>155</v>
      </c>
      <c r="AR271" t="s">
        <v>229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 t="s">
        <v>147</v>
      </c>
      <c r="BA271">
        <v>0</v>
      </c>
      <c r="BB271">
        <v>0</v>
      </c>
      <c r="BC271" t="s">
        <v>133</v>
      </c>
      <c r="BD271">
        <v>3</v>
      </c>
      <c r="BE271" t="s">
        <v>133</v>
      </c>
      <c r="BF27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72" spans="1:58" x14ac:dyDescent="0.25">
      <c r="A272" t="s">
        <v>481</v>
      </c>
      <c r="B272" t="s">
        <v>19</v>
      </c>
      <c r="C272">
        <v>1</v>
      </c>
      <c r="D272">
        <v>272</v>
      </c>
      <c r="E272" t="s">
        <v>2109</v>
      </c>
      <c r="F272" t="s">
        <v>123</v>
      </c>
      <c r="G272" t="s">
        <v>124</v>
      </c>
      <c r="H272" t="s">
        <v>125</v>
      </c>
      <c r="I272" t="s">
        <v>154</v>
      </c>
      <c r="J272" t="s">
        <v>154</v>
      </c>
      <c r="K272" t="s">
        <v>151</v>
      </c>
      <c r="L272">
        <v>50</v>
      </c>
      <c r="M272">
        <v>937865</v>
      </c>
      <c r="N272">
        <v>0</v>
      </c>
      <c r="O272">
        <v>1</v>
      </c>
      <c r="P272" t="s">
        <v>128</v>
      </c>
      <c r="Q272" t="s">
        <v>129</v>
      </c>
      <c r="R272">
        <v>25</v>
      </c>
      <c r="S272" t="s">
        <v>189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50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50</v>
      </c>
      <c r="AJ272">
        <v>50</v>
      </c>
      <c r="AK272">
        <v>50</v>
      </c>
      <c r="AL272">
        <v>50</v>
      </c>
      <c r="AM272">
        <v>0</v>
      </c>
      <c r="AN272">
        <v>4.5454545454545459</v>
      </c>
      <c r="AO272">
        <v>0</v>
      </c>
      <c r="AP272" t="s">
        <v>172</v>
      </c>
      <c r="AQ272" t="s">
        <v>155</v>
      </c>
      <c r="AR272" t="s">
        <v>229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 t="s">
        <v>147</v>
      </c>
      <c r="BA272">
        <v>0</v>
      </c>
      <c r="BB272">
        <v>0</v>
      </c>
      <c r="BC272" t="s">
        <v>133</v>
      </c>
      <c r="BD272">
        <v>4</v>
      </c>
      <c r="BE272" t="s">
        <v>133</v>
      </c>
      <c r="BF27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73" spans="1:58" x14ac:dyDescent="0.25">
      <c r="A273" t="s">
        <v>482</v>
      </c>
      <c r="B273" t="s">
        <v>19</v>
      </c>
      <c r="C273">
        <v>1</v>
      </c>
      <c r="D273">
        <v>273</v>
      </c>
      <c r="E273" t="s">
        <v>2109</v>
      </c>
      <c r="F273" t="s">
        <v>123</v>
      </c>
      <c r="G273" t="s">
        <v>124</v>
      </c>
      <c r="H273" t="s">
        <v>125</v>
      </c>
      <c r="I273" t="s">
        <v>154</v>
      </c>
      <c r="J273" t="s">
        <v>154</v>
      </c>
      <c r="K273" t="s">
        <v>151</v>
      </c>
      <c r="L273">
        <v>50</v>
      </c>
      <c r="M273">
        <v>937867</v>
      </c>
      <c r="N273">
        <v>0</v>
      </c>
      <c r="O273">
        <v>1</v>
      </c>
      <c r="P273" t="s">
        <v>128</v>
      </c>
      <c r="Q273" t="s">
        <v>129</v>
      </c>
      <c r="R273">
        <v>25</v>
      </c>
      <c r="S273" t="s">
        <v>189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50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50</v>
      </c>
      <c r="AJ273">
        <v>50</v>
      </c>
      <c r="AK273">
        <v>50</v>
      </c>
      <c r="AL273">
        <v>50</v>
      </c>
      <c r="AM273">
        <v>0</v>
      </c>
      <c r="AN273">
        <v>4.5454545454545459</v>
      </c>
      <c r="AO273">
        <v>0</v>
      </c>
      <c r="AP273" t="s">
        <v>172</v>
      </c>
      <c r="AQ273" t="s">
        <v>155</v>
      </c>
      <c r="AR273" t="s">
        <v>229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 t="s">
        <v>147</v>
      </c>
      <c r="BA273">
        <v>0</v>
      </c>
      <c r="BB273">
        <v>0</v>
      </c>
      <c r="BC273" t="s">
        <v>133</v>
      </c>
      <c r="BD273">
        <v>5</v>
      </c>
      <c r="BE273" t="s">
        <v>133</v>
      </c>
      <c r="BF27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74" spans="1:58" x14ac:dyDescent="0.25">
      <c r="A274" t="s">
        <v>483</v>
      </c>
      <c r="B274" t="s">
        <v>19</v>
      </c>
      <c r="C274">
        <v>1</v>
      </c>
      <c r="D274">
        <v>274</v>
      </c>
      <c r="E274" t="s">
        <v>2109</v>
      </c>
      <c r="F274" t="s">
        <v>123</v>
      </c>
      <c r="G274" t="s">
        <v>124</v>
      </c>
      <c r="H274" t="s">
        <v>125</v>
      </c>
      <c r="I274" t="s">
        <v>154</v>
      </c>
      <c r="J274" t="s">
        <v>154</v>
      </c>
      <c r="K274" t="s">
        <v>151</v>
      </c>
      <c r="L274">
        <v>50</v>
      </c>
      <c r="M274">
        <v>937869</v>
      </c>
      <c r="N274">
        <v>0</v>
      </c>
      <c r="O274">
        <v>1</v>
      </c>
      <c r="P274" t="s">
        <v>128</v>
      </c>
      <c r="Q274" t="s">
        <v>129</v>
      </c>
      <c r="R274">
        <v>25</v>
      </c>
      <c r="S274" t="s">
        <v>189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50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50</v>
      </c>
      <c r="AJ274">
        <v>50</v>
      </c>
      <c r="AK274">
        <v>50</v>
      </c>
      <c r="AL274">
        <v>50</v>
      </c>
      <c r="AM274">
        <v>0</v>
      </c>
      <c r="AN274">
        <v>4.5454545454545459</v>
      </c>
      <c r="AO274">
        <v>0</v>
      </c>
      <c r="AP274" t="s">
        <v>172</v>
      </c>
      <c r="AQ274" t="s">
        <v>155</v>
      </c>
      <c r="AR274" t="s">
        <v>229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 t="s">
        <v>147</v>
      </c>
      <c r="BA274">
        <v>0</v>
      </c>
      <c r="BB274">
        <v>0</v>
      </c>
      <c r="BC274" t="s">
        <v>133</v>
      </c>
      <c r="BD274">
        <v>6</v>
      </c>
      <c r="BE274" t="s">
        <v>133</v>
      </c>
      <c r="BF27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75" spans="1:58" x14ac:dyDescent="0.25">
      <c r="A275" t="s">
        <v>484</v>
      </c>
      <c r="B275" t="s">
        <v>19</v>
      </c>
      <c r="C275">
        <v>1</v>
      </c>
      <c r="D275">
        <v>275</v>
      </c>
      <c r="E275" t="s">
        <v>2109</v>
      </c>
      <c r="F275" t="s">
        <v>123</v>
      </c>
      <c r="G275" t="s">
        <v>124</v>
      </c>
      <c r="H275" t="s">
        <v>125</v>
      </c>
      <c r="I275" t="s">
        <v>154</v>
      </c>
      <c r="J275" t="s">
        <v>154</v>
      </c>
      <c r="K275" t="s">
        <v>151</v>
      </c>
      <c r="L275">
        <v>50</v>
      </c>
      <c r="M275">
        <v>937871</v>
      </c>
      <c r="N275">
        <v>0</v>
      </c>
      <c r="O275">
        <v>1</v>
      </c>
      <c r="P275" t="s">
        <v>128</v>
      </c>
      <c r="Q275" t="s">
        <v>129</v>
      </c>
      <c r="R275">
        <v>25</v>
      </c>
      <c r="S275" t="s">
        <v>189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50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50</v>
      </c>
      <c r="AJ275">
        <v>50</v>
      </c>
      <c r="AK275">
        <v>50</v>
      </c>
      <c r="AL275">
        <v>50</v>
      </c>
      <c r="AM275">
        <v>0</v>
      </c>
      <c r="AN275">
        <v>4.5454545454545459</v>
      </c>
      <c r="AO275">
        <v>0</v>
      </c>
      <c r="AP275" t="s">
        <v>172</v>
      </c>
      <c r="AQ275" t="s">
        <v>155</v>
      </c>
      <c r="AR275" t="s">
        <v>229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 t="s">
        <v>147</v>
      </c>
      <c r="BA275">
        <v>0</v>
      </c>
      <c r="BB275">
        <v>0</v>
      </c>
      <c r="BC275" t="s">
        <v>144</v>
      </c>
      <c r="BD275">
        <v>7</v>
      </c>
      <c r="BE275" t="s">
        <v>133</v>
      </c>
      <c r="BF27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76" spans="1:58" x14ac:dyDescent="0.25">
      <c r="A276" t="s">
        <v>485</v>
      </c>
      <c r="B276" t="s">
        <v>19</v>
      </c>
      <c r="C276">
        <v>1</v>
      </c>
      <c r="D276">
        <v>276</v>
      </c>
      <c r="E276" t="s">
        <v>2109</v>
      </c>
      <c r="F276" t="s">
        <v>123</v>
      </c>
      <c r="G276" t="s">
        <v>124</v>
      </c>
      <c r="H276" t="s">
        <v>125</v>
      </c>
      <c r="I276" t="s">
        <v>183</v>
      </c>
      <c r="J276" t="s">
        <v>190</v>
      </c>
      <c r="K276" t="s">
        <v>166</v>
      </c>
      <c r="L276">
        <v>50</v>
      </c>
      <c r="M276">
        <v>937873</v>
      </c>
      <c r="N276">
        <v>20</v>
      </c>
      <c r="O276">
        <v>1</v>
      </c>
      <c r="P276" t="s">
        <v>128</v>
      </c>
      <c r="Q276" t="s">
        <v>129</v>
      </c>
      <c r="R276">
        <v>26</v>
      </c>
      <c r="S276" t="s">
        <v>486</v>
      </c>
      <c r="T276">
        <v>0</v>
      </c>
      <c r="U276">
        <v>0</v>
      </c>
      <c r="V276">
        <v>12</v>
      </c>
      <c r="W276">
        <v>0</v>
      </c>
      <c r="X276">
        <v>12</v>
      </c>
      <c r="Y276">
        <v>14</v>
      </c>
      <c r="Z276">
        <v>26</v>
      </c>
      <c r="AA276">
        <v>26</v>
      </c>
      <c r="AB276">
        <v>50</v>
      </c>
      <c r="AC276">
        <v>0</v>
      </c>
      <c r="AD276">
        <v>17</v>
      </c>
      <c r="AE276">
        <v>26</v>
      </c>
      <c r="AF276">
        <v>43</v>
      </c>
      <c r="AG276">
        <v>0</v>
      </c>
      <c r="AH276">
        <v>50</v>
      </c>
      <c r="AI276">
        <v>7</v>
      </c>
      <c r="AJ276">
        <v>24</v>
      </c>
      <c r="AK276">
        <v>50</v>
      </c>
      <c r="AL276">
        <v>0</v>
      </c>
      <c r="AM276">
        <v>0.4</v>
      </c>
      <c r="AN276">
        <v>2.1818181818181817</v>
      </c>
      <c r="AO276">
        <v>0</v>
      </c>
      <c r="AP276" t="s">
        <v>184</v>
      </c>
      <c r="AQ276" t="s">
        <v>131</v>
      </c>
      <c r="AR276" t="s">
        <v>229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 t="s">
        <v>135</v>
      </c>
      <c r="BA276">
        <v>20</v>
      </c>
      <c r="BB276">
        <v>0</v>
      </c>
      <c r="BC276" t="s">
        <v>132</v>
      </c>
      <c r="BD276">
        <v>0</v>
      </c>
      <c r="BE276" t="s">
        <v>133</v>
      </c>
      <c r="BF27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77" spans="1:58" x14ac:dyDescent="0.25">
      <c r="A277" t="s">
        <v>487</v>
      </c>
      <c r="B277" t="s">
        <v>19</v>
      </c>
      <c r="C277">
        <v>1</v>
      </c>
      <c r="D277">
        <v>277</v>
      </c>
      <c r="E277" t="s">
        <v>2109</v>
      </c>
      <c r="F277" t="s">
        <v>123</v>
      </c>
      <c r="G277" t="s">
        <v>124</v>
      </c>
      <c r="H277" t="s">
        <v>125</v>
      </c>
      <c r="I277" t="s">
        <v>183</v>
      </c>
      <c r="J277" t="s">
        <v>190</v>
      </c>
      <c r="K277" t="s">
        <v>166</v>
      </c>
      <c r="L277">
        <v>50</v>
      </c>
      <c r="M277">
        <v>937875</v>
      </c>
      <c r="N277">
        <v>20</v>
      </c>
      <c r="O277">
        <v>1</v>
      </c>
      <c r="P277" t="s">
        <v>128</v>
      </c>
      <c r="Q277" t="s">
        <v>129</v>
      </c>
      <c r="R277">
        <v>26</v>
      </c>
      <c r="S277" t="s">
        <v>488</v>
      </c>
      <c r="T277">
        <v>0</v>
      </c>
      <c r="U277">
        <v>0</v>
      </c>
      <c r="V277">
        <v>13</v>
      </c>
      <c r="W277">
        <v>0</v>
      </c>
      <c r="X277">
        <v>13</v>
      </c>
      <c r="Y277">
        <v>13</v>
      </c>
      <c r="Z277">
        <v>26</v>
      </c>
      <c r="AA277">
        <v>26</v>
      </c>
      <c r="AB277">
        <v>50</v>
      </c>
      <c r="AC277">
        <v>0</v>
      </c>
      <c r="AD277">
        <v>21</v>
      </c>
      <c r="AE277">
        <v>20</v>
      </c>
      <c r="AF277">
        <v>41</v>
      </c>
      <c r="AG277">
        <v>0</v>
      </c>
      <c r="AH277">
        <v>50</v>
      </c>
      <c r="AI277">
        <v>9</v>
      </c>
      <c r="AJ277">
        <v>30</v>
      </c>
      <c r="AK277">
        <v>50</v>
      </c>
      <c r="AL277">
        <v>0</v>
      </c>
      <c r="AM277">
        <v>0.4</v>
      </c>
      <c r="AN277">
        <v>2.7272727272727275</v>
      </c>
      <c r="AO277">
        <v>0</v>
      </c>
      <c r="AP277" t="s">
        <v>184</v>
      </c>
      <c r="AQ277" t="s">
        <v>131</v>
      </c>
      <c r="AR277" t="s">
        <v>229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 t="s">
        <v>135</v>
      </c>
      <c r="BA277">
        <v>20</v>
      </c>
      <c r="BB277">
        <v>0</v>
      </c>
      <c r="BC277" t="s">
        <v>133</v>
      </c>
      <c r="BD277">
        <v>0</v>
      </c>
      <c r="BE277" t="s">
        <v>133</v>
      </c>
      <c r="BF27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78" spans="1:58" x14ac:dyDescent="0.25">
      <c r="A278" t="s">
        <v>489</v>
      </c>
      <c r="B278" t="s">
        <v>19</v>
      </c>
      <c r="C278">
        <v>1</v>
      </c>
      <c r="D278">
        <v>278</v>
      </c>
      <c r="E278" t="s">
        <v>2109</v>
      </c>
      <c r="F278" t="s">
        <v>123</v>
      </c>
      <c r="G278" t="s">
        <v>124</v>
      </c>
      <c r="H278" t="s">
        <v>125</v>
      </c>
      <c r="I278" t="s">
        <v>183</v>
      </c>
      <c r="J278" t="s">
        <v>190</v>
      </c>
      <c r="K278" t="s">
        <v>166</v>
      </c>
      <c r="L278">
        <v>50</v>
      </c>
      <c r="M278">
        <v>937877</v>
      </c>
      <c r="N278">
        <v>20</v>
      </c>
      <c r="O278">
        <v>1</v>
      </c>
      <c r="P278" t="s">
        <v>128</v>
      </c>
      <c r="Q278" t="s">
        <v>129</v>
      </c>
      <c r="R278">
        <v>26</v>
      </c>
      <c r="S278" t="s">
        <v>490</v>
      </c>
      <c r="T278">
        <v>0</v>
      </c>
      <c r="U278">
        <v>0</v>
      </c>
      <c r="V278">
        <v>4</v>
      </c>
      <c r="W278">
        <v>0</v>
      </c>
      <c r="X278">
        <v>4</v>
      </c>
      <c r="Y278">
        <v>22</v>
      </c>
      <c r="Z278">
        <v>26</v>
      </c>
      <c r="AA278">
        <v>26</v>
      </c>
      <c r="AB278">
        <v>50</v>
      </c>
      <c r="AC278">
        <v>0</v>
      </c>
      <c r="AD278">
        <v>5</v>
      </c>
      <c r="AE278">
        <v>35</v>
      </c>
      <c r="AF278">
        <v>40</v>
      </c>
      <c r="AG278">
        <v>0</v>
      </c>
      <c r="AH278">
        <v>50</v>
      </c>
      <c r="AI278">
        <v>10</v>
      </c>
      <c r="AJ278">
        <v>15</v>
      </c>
      <c r="AK278">
        <v>50</v>
      </c>
      <c r="AL278">
        <v>0</v>
      </c>
      <c r="AM278">
        <v>0.4</v>
      </c>
      <c r="AN278">
        <v>1.3636363636363638</v>
      </c>
      <c r="AO278">
        <v>0</v>
      </c>
      <c r="AP278" t="s">
        <v>184</v>
      </c>
      <c r="AQ278" t="s">
        <v>131</v>
      </c>
      <c r="AR278" t="s">
        <v>229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 t="s">
        <v>135</v>
      </c>
      <c r="BA278">
        <v>20</v>
      </c>
      <c r="BB278">
        <v>0</v>
      </c>
      <c r="BC278" t="s">
        <v>133</v>
      </c>
      <c r="BD278">
        <v>0</v>
      </c>
      <c r="BE278" t="s">
        <v>133</v>
      </c>
      <c r="BF27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79" spans="1:58" x14ac:dyDescent="0.25">
      <c r="A279" t="s">
        <v>491</v>
      </c>
      <c r="B279" t="s">
        <v>19</v>
      </c>
      <c r="C279">
        <v>1</v>
      </c>
      <c r="D279">
        <v>279</v>
      </c>
      <c r="E279" t="s">
        <v>2109</v>
      </c>
      <c r="F279" t="s">
        <v>123</v>
      </c>
      <c r="G279" t="s">
        <v>124</v>
      </c>
      <c r="H279" t="s">
        <v>125</v>
      </c>
      <c r="I279" t="s">
        <v>183</v>
      </c>
      <c r="J279" t="s">
        <v>190</v>
      </c>
      <c r="K279" t="s">
        <v>166</v>
      </c>
      <c r="L279">
        <v>50</v>
      </c>
      <c r="M279">
        <v>937879</v>
      </c>
      <c r="N279">
        <v>20</v>
      </c>
      <c r="O279">
        <v>1</v>
      </c>
      <c r="P279" t="s">
        <v>128</v>
      </c>
      <c r="Q279" t="s">
        <v>129</v>
      </c>
      <c r="R279">
        <v>26</v>
      </c>
      <c r="S279" t="s">
        <v>492</v>
      </c>
      <c r="T279">
        <v>0</v>
      </c>
      <c r="U279">
        <v>0</v>
      </c>
      <c r="V279">
        <v>11</v>
      </c>
      <c r="W279">
        <v>0</v>
      </c>
      <c r="X279">
        <v>11</v>
      </c>
      <c r="Y279">
        <v>15</v>
      </c>
      <c r="Z279">
        <v>26</v>
      </c>
      <c r="AA279">
        <v>26</v>
      </c>
      <c r="AB279">
        <v>50</v>
      </c>
      <c r="AC279">
        <v>0</v>
      </c>
      <c r="AD279">
        <v>15</v>
      </c>
      <c r="AE279">
        <v>25</v>
      </c>
      <c r="AF279">
        <v>40</v>
      </c>
      <c r="AG279">
        <v>0</v>
      </c>
      <c r="AH279">
        <v>50</v>
      </c>
      <c r="AI279">
        <v>10</v>
      </c>
      <c r="AJ279">
        <v>25</v>
      </c>
      <c r="AK279">
        <v>50</v>
      </c>
      <c r="AL279">
        <v>0</v>
      </c>
      <c r="AM279">
        <v>0.4</v>
      </c>
      <c r="AN279">
        <v>2.2727272727272729</v>
      </c>
      <c r="AO279">
        <v>0</v>
      </c>
      <c r="AP279" t="s">
        <v>184</v>
      </c>
      <c r="AQ279" t="s">
        <v>131</v>
      </c>
      <c r="AR279" t="s">
        <v>229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 t="s">
        <v>135</v>
      </c>
      <c r="BA279">
        <v>20</v>
      </c>
      <c r="BB279">
        <v>0</v>
      </c>
      <c r="BC279" t="s">
        <v>133</v>
      </c>
      <c r="BD279">
        <v>0</v>
      </c>
      <c r="BE279" t="s">
        <v>133</v>
      </c>
      <c r="BF27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80" spans="1:58" x14ac:dyDescent="0.25">
      <c r="A280" t="s">
        <v>493</v>
      </c>
      <c r="B280" t="s">
        <v>19</v>
      </c>
      <c r="C280">
        <v>1</v>
      </c>
      <c r="D280">
        <v>280</v>
      </c>
      <c r="E280" t="s">
        <v>2108</v>
      </c>
      <c r="F280" t="s">
        <v>123</v>
      </c>
      <c r="G280" t="s">
        <v>124</v>
      </c>
      <c r="H280" t="s">
        <v>125</v>
      </c>
      <c r="I280" t="s">
        <v>154</v>
      </c>
      <c r="J280" t="s">
        <v>154</v>
      </c>
      <c r="K280" t="s">
        <v>166</v>
      </c>
      <c r="L280">
        <v>50</v>
      </c>
      <c r="M280">
        <v>937881</v>
      </c>
      <c r="N280">
        <v>0</v>
      </c>
      <c r="O280">
        <v>1</v>
      </c>
      <c r="P280" t="s">
        <v>128</v>
      </c>
      <c r="Q280" t="s">
        <v>129</v>
      </c>
      <c r="R280">
        <v>26</v>
      </c>
      <c r="T280">
        <v>0</v>
      </c>
      <c r="U280">
        <v>0</v>
      </c>
      <c r="V280">
        <v>15</v>
      </c>
      <c r="W280">
        <v>0</v>
      </c>
      <c r="X280">
        <v>15</v>
      </c>
      <c r="Y280">
        <v>16</v>
      </c>
      <c r="Z280">
        <v>31</v>
      </c>
      <c r="AA280">
        <v>31</v>
      </c>
      <c r="AB280">
        <v>50</v>
      </c>
      <c r="AC280">
        <v>0</v>
      </c>
      <c r="AD280">
        <v>25</v>
      </c>
      <c r="AE280">
        <v>19</v>
      </c>
      <c r="AF280">
        <v>44</v>
      </c>
      <c r="AG280">
        <v>0</v>
      </c>
      <c r="AH280">
        <v>50</v>
      </c>
      <c r="AI280">
        <v>6</v>
      </c>
      <c r="AJ280">
        <v>31</v>
      </c>
      <c r="AK280">
        <v>50</v>
      </c>
      <c r="AL280">
        <v>0</v>
      </c>
      <c r="AM280">
        <v>0</v>
      </c>
      <c r="AN280">
        <v>2.8181818181818183</v>
      </c>
      <c r="AO280">
        <v>0</v>
      </c>
      <c r="AP280" t="s">
        <v>167</v>
      </c>
      <c r="AQ280" t="s">
        <v>131</v>
      </c>
      <c r="AR280" t="s">
        <v>194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 t="s">
        <v>135</v>
      </c>
      <c r="BA280">
        <v>0</v>
      </c>
      <c r="BB280">
        <v>0</v>
      </c>
      <c r="BC280" t="s">
        <v>133</v>
      </c>
      <c r="BD280">
        <v>1</v>
      </c>
      <c r="BE280" t="s">
        <v>133</v>
      </c>
      <c r="BF28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81" spans="1:58" x14ac:dyDescent="0.25">
      <c r="A281" t="s">
        <v>494</v>
      </c>
      <c r="B281" t="s">
        <v>19</v>
      </c>
      <c r="C281">
        <v>1</v>
      </c>
      <c r="D281">
        <v>281</v>
      </c>
      <c r="E281" t="s">
        <v>2108</v>
      </c>
      <c r="F281" t="s">
        <v>123</v>
      </c>
      <c r="G281" t="s">
        <v>124</v>
      </c>
      <c r="H281" t="s">
        <v>125</v>
      </c>
      <c r="I281" t="s">
        <v>154</v>
      </c>
      <c r="J281" t="s">
        <v>154</v>
      </c>
      <c r="K281" t="s">
        <v>166</v>
      </c>
      <c r="L281">
        <v>50</v>
      </c>
      <c r="M281">
        <v>937883</v>
      </c>
      <c r="N281">
        <v>0</v>
      </c>
      <c r="O281">
        <v>1</v>
      </c>
      <c r="P281" t="s">
        <v>128</v>
      </c>
      <c r="Q281" t="s">
        <v>129</v>
      </c>
      <c r="R281">
        <v>26</v>
      </c>
      <c r="T281">
        <v>0</v>
      </c>
      <c r="U281">
        <v>0</v>
      </c>
      <c r="V281">
        <v>8</v>
      </c>
      <c r="W281">
        <v>0</v>
      </c>
      <c r="X281">
        <v>8</v>
      </c>
      <c r="Y281">
        <v>22</v>
      </c>
      <c r="Z281">
        <v>30</v>
      </c>
      <c r="AA281">
        <v>30</v>
      </c>
      <c r="AB281">
        <v>50</v>
      </c>
      <c r="AC281">
        <v>0</v>
      </c>
      <c r="AD281">
        <v>13</v>
      </c>
      <c r="AE281">
        <v>24</v>
      </c>
      <c r="AF281">
        <v>37</v>
      </c>
      <c r="AG281">
        <v>0</v>
      </c>
      <c r="AH281">
        <v>50</v>
      </c>
      <c r="AI281">
        <v>13</v>
      </c>
      <c r="AJ281">
        <v>26</v>
      </c>
      <c r="AK281">
        <v>50</v>
      </c>
      <c r="AL281">
        <v>0</v>
      </c>
      <c r="AM281">
        <v>0</v>
      </c>
      <c r="AN281">
        <v>2.3636363636363638</v>
      </c>
      <c r="AO281">
        <v>0</v>
      </c>
      <c r="AP281" t="s">
        <v>167</v>
      </c>
      <c r="AQ281" t="s">
        <v>131</v>
      </c>
      <c r="AR281" t="s">
        <v>194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 t="s">
        <v>135</v>
      </c>
      <c r="BA281">
        <v>0</v>
      </c>
      <c r="BB281">
        <v>0</v>
      </c>
      <c r="BC281" t="s">
        <v>133</v>
      </c>
      <c r="BD281">
        <v>2</v>
      </c>
      <c r="BE281" t="s">
        <v>133</v>
      </c>
      <c r="BF28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82" spans="1:58" x14ac:dyDescent="0.25">
      <c r="A282" t="s">
        <v>495</v>
      </c>
      <c r="B282" t="s">
        <v>19</v>
      </c>
      <c r="C282">
        <v>1</v>
      </c>
      <c r="D282">
        <v>282</v>
      </c>
      <c r="E282" t="s">
        <v>2108</v>
      </c>
      <c r="F282" t="s">
        <v>123</v>
      </c>
      <c r="G282" t="s">
        <v>124</v>
      </c>
      <c r="H282" t="s">
        <v>125</v>
      </c>
      <c r="I282" t="s">
        <v>154</v>
      </c>
      <c r="J282" t="s">
        <v>154</v>
      </c>
      <c r="K282" t="s">
        <v>166</v>
      </c>
      <c r="L282">
        <v>50</v>
      </c>
      <c r="M282">
        <v>937885</v>
      </c>
      <c r="N282">
        <v>0</v>
      </c>
      <c r="O282">
        <v>1</v>
      </c>
      <c r="P282" t="s">
        <v>128</v>
      </c>
      <c r="Q282" t="s">
        <v>129</v>
      </c>
      <c r="R282">
        <v>26</v>
      </c>
      <c r="T282">
        <v>0</v>
      </c>
      <c r="U282">
        <v>0</v>
      </c>
      <c r="V282">
        <v>6</v>
      </c>
      <c r="W282">
        <v>0</v>
      </c>
      <c r="X282">
        <v>6</v>
      </c>
      <c r="Y282">
        <v>19</v>
      </c>
      <c r="Z282">
        <v>25</v>
      </c>
      <c r="AA282">
        <v>25</v>
      </c>
      <c r="AB282">
        <v>50</v>
      </c>
      <c r="AC282">
        <v>0</v>
      </c>
      <c r="AD282">
        <v>8</v>
      </c>
      <c r="AE282">
        <v>31</v>
      </c>
      <c r="AF282">
        <v>39</v>
      </c>
      <c r="AG282">
        <v>0</v>
      </c>
      <c r="AH282">
        <v>50</v>
      </c>
      <c r="AI282">
        <v>11</v>
      </c>
      <c r="AJ282">
        <v>19</v>
      </c>
      <c r="AK282">
        <v>50</v>
      </c>
      <c r="AL282">
        <v>0</v>
      </c>
      <c r="AM282">
        <v>0</v>
      </c>
      <c r="AN282">
        <v>1.7272727272727273</v>
      </c>
      <c r="AO282">
        <v>0</v>
      </c>
      <c r="AP282" t="s">
        <v>167</v>
      </c>
      <c r="AQ282" t="s">
        <v>131</v>
      </c>
      <c r="AR282" t="s">
        <v>194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 t="s">
        <v>135</v>
      </c>
      <c r="BA282">
        <v>0</v>
      </c>
      <c r="BB282">
        <v>0</v>
      </c>
      <c r="BC282" t="s">
        <v>133</v>
      </c>
      <c r="BD282">
        <v>3</v>
      </c>
      <c r="BE282" t="s">
        <v>133</v>
      </c>
      <c r="BF28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83" spans="1:58" x14ac:dyDescent="0.25">
      <c r="A283" t="s">
        <v>496</v>
      </c>
      <c r="B283" t="s">
        <v>19</v>
      </c>
      <c r="C283">
        <v>1</v>
      </c>
      <c r="D283">
        <v>283</v>
      </c>
      <c r="E283" t="s">
        <v>2108</v>
      </c>
      <c r="F283" t="s">
        <v>123</v>
      </c>
      <c r="G283" t="s">
        <v>124</v>
      </c>
      <c r="H283" t="s">
        <v>125</v>
      </c>
      <c r="I283" t="s">
        <v>154</v>
      </c>
      <c r="J283" t="s">
        <v>154</v>
      </c>
      <c r="K283" t="s">
        <v>166</v>
      </c>
      <c r="L283">
        <v>50</v>
      </c>
      <c r="M283">
        <v>937887</v>
      </c>
      <c r="N283">
        <v>0</v>
      </c>
      <c r="O283">
        <v>1</v>
      </c>
      <c r="P283" t="s">
        <v>128</v>
      </c>
      <c r="Q283" t="s">
        <v>129</v>
      </c>
      <c r="R283">
        <v>26</v>
      </c>
      <c r="T283">
        <v>0</v>
      </c>
      <c r="U283">
        <v>0</v>
      </c>
      <c r="V283">
        <v>11</v>
      </c>
      <c r="W283">
        <v>0</v>
      </c>
      <c r="X283">
        <v>11</v>
      </c>
      <c r="Y283">
        <v>12</v>
      </c>
      <c r="Z283">
        <v>23</v>
      </c>
      <c r="AA283">
        <v>23</v>
      </c>
      <c r="AB283">
        <v>50</v>
      </c>
      <c r="AC283">
        <v>0</v>
      </c>
      <c r="AD283">
        <v>12</v>
      </c>
      <c r="AE283">
        <v>24</v>
      </c>
      <c r="AF283">
        <v>36</v>
      </c>
      <c r="AG283">
        <v>0</v>
      </c>
      <c r="AH283">
        <v>50</v>
      </c>
      <c r="AI283">
        <v>14</v>
      </c>
      <c r="AJ283">
        <v>26</v>
      </c>
      <c r="AK283">
        <v>50</v>
      </c>
      <c r="AL283">
        <v>0</v>
      </c>
      <c r="AM283">
        <v>0</v>
      </c>
      <c r="AN283">
        <v>2.3636363636363638</v>
      </c>
      <c r="AO283">
        <v>0</v>
      </c>
      <c r="AP283" t="s">
        <v>167</v>
      </c>
      <c r="AQ283" t="s">
        <v>131</v>
      </c>
      <c r="AR283" t="s">
        <v>194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 t="s">
        <v>135</v>
      </c>
      <c r="BA283">
        <v>0</v>
      </c>
      <c r="BB283">
        <v>0</v>
      </c>
      <c r="BC283" t="s">
        <v>133</v>
      </c>
      <c r="BD283">
        <v>4</v>
      </c>
      <c r="BE283" t="s">
        <v>133</v>
      </c>
      <c r="BF28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84" spans="1:58" x14ac:dyDescent="0.25">
      <c r="A284" t="s">
        <v>497</v>
      </c>
      <c r="B284" t="s">
        <v>19</v>
      </c>
      <c r="C284">
        <v>1</v>
      </c>
      <c r="D284">
        <v>284</v>
      </c>
      <c r="E284" t="s">
        <v>2108</v>
      </c>
      <c r="F284" t="s">
        <v>123</v>
      </c>
      <c r="G284" t="s">
        <v>124</v>
      </c>
      <c r="H284" t="s">
        <v>125</v>
      </c>
      <c r="I284" t="s">
        <v>154</v>
      </c>
      <c r="J284" t="s">
        <v>154</v>
      </c>
      <c r="K284" t="s">
        <v>166</v>
      </c>
      <c r="L284">
        <v>50</v>
      </c>
      <c r="M284">
        <v>937889</v>
      </c>
      <c r="N284">
        <v>0</v>
      </c>
      <c r="O284">
        <v>1</v>
      </c>
      <c r="P284" t="s">
        <v>128</v>
      </c>
      <c r="Q284" t="s">
        <v>129</v>
      </c>
      <c r="R284">
        <v>26</v>
      </c>
      <c r="T284">
        <v>0</v>
      </c>
      <c r="U284">
        <v>0</v>
      </c>
      <c r="V284">
        <v>11</v>
      </c>
      <c r="W284">
        <v>0</v>
      </c>
      <c r="X284">
        <v>11</v>
      </c>
      <c r="Y284">
        <v>19</v>
      </c>
      <c r="Z284">
        <v>30</v>
      </c>
      <c r="AA284">
        <v>30</v>
      </c>
      <c r="AB284">
        <v>50</v>
      </c>
      <c r="AC284">
        <v>0</v>
      </c>
      <c r="AD284">
        <v>16</v>
      </c>
      <c r="AE284">
        <v>29</v>
      </c>
      <c r="AF284">
        <v>45</v>
      </c>
      <c r="AG284">
        <v>0</v>
      </c>
      <c r="AH284">
        <v>50</v>
      </c>
      <c r="AI284">
        <v>5</v>
      </c>
      <c r="AJ284">
        <v>21</v>
      </c>
      <c r="AK284">
        <v>50</v>
      </c>
      <c r="AL284">
        <v>0</v>
      </c>
      <c r="AM284">
        <v>0</v>
      </c>
      <c r="AN284">
        <v>1.9090909090909092</v>
      </c>
      <c r="AO284">
        <v>0</v>
      </c>
      <c r="AP284" t="s">
        <v>167</v>
      </c>
      <c r="AQ284" t="s">
        <v>131</v>
      </c>
      <c r="AR284" t="s">
        <v>194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 t="s">
        <v>135</v>
      </c>
      <c r="BA284">
        <v>0</v>
      </c>
      <c r="BB284">
        <v>0</v>
      </c>
      <c r="BC284" t="s">
        <v>133</v>
      </c>
      <c r="BD284">
        <v>5</v>
      </c>
      <c r="BE284" t="s">
        <v>133</v>
      </c>
      <c r="BF28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85" spans="1:58" x14ac:dyDescent="0.25">
      <c r="A285" t="s">
        <v>498</v>
      </c>
      <c r="B285" t="s">
        <v>19</v>
      </c>
      <c r="C285">
        <v>1</v>
      </c>
      <c r="D285">
        <v>285</v>
      </c>
      <c r="E285" t="s">
        <v>2108</v>
      </c>
      <c r="F285" t="s">
        <v>123</v>
      </c>
      <c r="G285" t="s">
        <v>124</v>
      </c>
      <c r="H285" t="s">
        <v>125</v>
      </c>
      <c r="I285" t="s">
        <v>154</v>
      </c>
      <c r="J285" t="s">
        <v>154</v>
      </c>
      <c r="K285" t="s">
        <v>166</v>
      </c>
      <c r="L285">
        <v>50</v>
      </c>
      <c r="M285">
        <v>937891</v>
      </c>
      <c r="N285">
        <v>0</v>
      </c>
      <c r="O285">
        <v>1</v>
      </c>
      <c r="P285" t="s">
        <v>128</v>
      </c>
      <c r="Q285" t="s">
        <v>129</v>
      </c>
      <c r="R285">
        <v>26</v>
      </c>
      <c r="T285">
        <v>0</v>
      </c>
      <c r="U285">
        <v>0</v>
      </c>
      <c r="V285">
        <v>5</v>
      </c>
      <c r="W285">
        <v>0</v>
      </c>
      <c r="X285">
        <v>5</v>
      </c>
      <c r="Y285">
        <v>31</v>
      </c>
      <c r="Z285">
        <v>36</v>
      </c>
      <c r="AA285">
        <v>36</v>
      </c>
      <c r="AB285">
        <v>50</v>
      </c>
      <c r="AC285">
        <v>0</v>
      </c>
      <c r="AD285">
        <v>6</v>
      </c>
      <c r="AE285">
        <v>40</v>
      </c>
      <c r="AF285">
        <v>46</v>
      </c>
      <c r="AG285">
        <v>0</v>
      </c>
      <c r="AH285">
        <v>50</v>
      </c>
      <c r="AI285">
        <v>4</v>
      </c>
      <c r="AJ285">
        <v>10</v>
      </c>
      <c r="AK285">
        <v>50</v>
      </c>
      <c r="AL285">
        <v>0</v>
      </c>
      <c r="AM285">
        <v>0</v>
      </c>
      <c r="AN285">
        <v>0.90909090909090917</v>
      </c>
      <c r="AO285">
        <v>0</v>
      </c>
      <c r="AP285" t="s">
        <v>167</v>
      </c>
      <c r="AQ285" t="s">
        <v>131</v>
      </c>
      <c r="AR285" t="s">
        <v>194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 t="s">
        <v>135</v>
      </c>
      <c r="BA285">
        <v>0</v>
      </c>
      <c r="BB285">
        <v>0</v>
      </c>
      <c r="BC285" t="s">
        <v>133</v>
      </c>
      <c r="BD285">
        <v>6</v>
      </c>
      <c r="BE285" t="s">
        <v>133</v>
      </c>
      <c r="BF28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86" spans="1:58" x14ac:dyDescent="0.25">
      <c r="A286" t="s">
        <v>499</v>
      </c>
      <c r="B286" t="s">
        <v>19</v>
      </c>
      <c r="C286">
        <v>1</v>
      </c>
      <c r="D286">
        <v>286</v>
      </c>
      <c r="E286" t="s">
        <v>2108</v>
      </c>
      <c r="F286" t="s">
        <v>123</v>
      </c>
      <c r="G286" t="s">
        <v>124</v>
      </c>
      <c r="H286" t="s">
        <v>125</v>
      </c>
      <c r="I286" t="s">
        <v>154</v>
      </c>
      <c r="J286" t="s">
        <v>154</v>
      </c>
      <c r="K286" t="s">
        <v>166</v>
      </c>
      <c r="L286">
        <v>50</v>
      </c>
      <c r="M286">
        <v>937893</v>
      </c>
      <c r="N286">
        <v>0</v>
      </c>
      <c r="O286">
        <v>1</v>
      </c>
      <c r="P286" t="s">
        <v>128</v>
      </c>
      <c r="Q286" t="s">
        <v>129</v>
      </c>
      <c r="R286">
        <v>26</v>
      </c>
      <c r="T286">
        <v>0</v>
      </c>
      <c r="U286">
        <v>0</v>
      </c>
      <c r="V286">
        <v>8</v>
      </c>
      <c r="W286">
        <v>0</v>
      </c>
      <c r="X286">
        <v>8</v>
      </c>
      <c r="Y286">
        <v>32</v>
      </c>
      <c r="Z286">
        <v>40</v>
      </c>
      <c r="AA286">
        <v>40</v>
      </c>
      <c r="AB286">
        <v>50</v>
      </c>
      <c r="AC286">
        <v>0</v>
      </c>
      <c r="AD286">
        <v>9</v>
      </c>
      <c r="AE286">
        <v>40</v>
      </c>
      <c r="AF286">
        <v>49</v>
      </c>
      <c r="AG286">
        <v>0</v>
      </c>
      <c r="AH286">
        <v>50</v>
      </c>
      <c r="AI286">
        <v>1</v>
      </c>
      <c r="AJ286">
        <v>10</v>
      </c>
      <c r="AK286">
        <v>50</v>
      </c>
      <c r="AL286">
        <v>0</v>
      </c>
      <c r="AM286">
        <v>0</v>
      </c>
      <c r="AN286">
        <v>0.90909090909090917</v>
      </c>
      <c r="AO286">
        <v>0</v>
      </c>
      <c r="AP286" t="s">
        <v>167</v>
      </c>
      <c r="AQ286" t="s">
        <v>131</v>
      </c>
      <c r="AR286" t="s">
        <v>194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 t="s">
        <v>135</v>
      </c>
      <c r="BA286">
        <v>0</v>
      </c>
      <c r="BB286">
        <v>0</v>
      </c>
      <c r="BC286" t="s">
        <v>144</v>
      </c>
      <c r="BD286">
        <v>7</v>
      </c>
      <c r="BE286" t="s">
        <v>133</v>
      </c>
      <c r="BF28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87" spans="1:58" x14ac:dyDescent="0.25">
      <c r="A287" t="s">
        <v>500</v>
      </c>
      <c r="B287" t="s">
        <v>19</v>
      </c>
      <c r="C287">
        <v>1</v>
      </c>
      <c r="D287">
        <v>287</v>
      </c>
      <c r="E287" t="s">
        <v>2108</v>
      </c>
      <c r="F287" t="s">
        <v>123</v>
      </c>
      <c r="G287" t="s">
        <v>124</v>
      </c>
      <c r="H287" t="s">
        <v>125</v>
      </c>
      <c r="I287" t="s">
        <v>140</v>
      </c>
      <c r="J287" t="s">
        <v>141</v>
      </c>
      <c r="K287" t="s">
        <v>127</v>
      </c>
      <c r="L287">
        <v>50</v>
      </c>
      <c r="M287">
        <v>937895</v>
      </c>
      <c r="N287">
        <v>10</v>
      </c>
      <c r="O287">
        <v>1</v>
      </c>
      <c r="P287" t="s">
        <v>128</v>
      </c>
      <c r="Q287" t="s">
        <v>129</v>
      </c>
      <c r="R287">
        <v>27</v>
      </c>
      <c r="T287">
        <v>4</v>
      </c>
      <c r="U287">
        <v>9</v>
      </c>
      <c r="V287">
        <v>7</v>
      </c>
      <c r="W287">
        <v>0</v>
      </c>
      <c r="X287">
        <v>7</v>
      </c>
      <c r="Y287">
        <v>12</v>
      </c>
      <c r="Z287">
        <v>23</v>
      </c>
      <c r="AA287">
        <v>28</v>
      </c>
      <c r="AB287">
        <v>50</v>
      </c>
      <c r="AC287">
        <v>9</v>
      </c>
      <c r="AD287">
        <v>7</v>
      </c>
      <c r="AE287">
        <v>12</v>
      </c>
      <c r="AF287">
        <v>28</v>
      </c>
      <c r="AG287">
        <v>0</v>
      </c>
      <c r="AH287">
        <v>41</v>
      </c>
      <c r="AI287">
        <v>22</v>
      </c>
      <c r="AJ287">
        <v>29</v>
      </c>
      <c r="AK287">
        <v>41</v>
      </c>
      <c r="AL287">
        <v>0</v>
      </c>
      <c r="AM287">
        <v>0.2</v>
      </c>
      <c r="AN287">
        <v>2.6363636363636362</v>
      </c>
      <c r="AO287">
        <v>0</v>
      </c>
      <c r="AP287" t="s">
        <v>142</v>
      </c>
      <c r="AQ287" t="s">
        <v>131</v>
      </c>
      <c r="AR287" t="s">
        <v>194</v>
      </c>
      <c r="AS287">
        <v>2347</v>
      </c>
      <c r="AT287">
        <v>2294</v>
      </c>
      <c r="AU287">
        <v>0</v>
      </c>
      <c r="AV287">
        <v>0</v>
      </c>
      <c r="AW287">
        <v>4.641</v>
      </c>
      <c r="AX287">
        <v>0.51566666666666672</v>
      </c>
      <c r="AY287">
        <v>14.438666666666668</v>
      </c>
      <c r="AZ287" t="s">
        <v>135</v>
      </c>
      <c r="BA287">
        <v>-4.4386666666666681</v>
      </c>
      <c r="BB287">
        <v>-8.6076276664511973</v>
      </c>
      <c r="BC287" t="s">
        <v>132</v>
      </c>
      <c r="BD287">
        <v>0</v>
      </c>
      <c r="BE287" t="s">
        <v>133</v>
      </c>
      <c r="BF28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4.641</v>
      </c>
    </row>
    <row r="288" spans="1:58" x14ac:dyDescent="0.25">
      <c r="A288" t="s">
        <v>501</v>
      </c>
      <c r="B288" t="s">
        <v>19</v>
      </c>
      <c r="C288">
        <v>1</v>
      </c>
      <c r="D288">
        <v>288</v>
      </c>
      <c r="E288" t="s">
        <v>2108</v>
      </c>
      <c r="F288" t="s">
        <v>123</v>
      </c>
      <c r="G288" t="s">
        <v>124</v>
      </c>
      <c r="H288" t="s">
        <v>125</v>
      </c>
      <c r="I288" t="s">
        <v>140</v>
      </c>
      <c r="J288" t="s">
        <v>141</v>
      </c>
      <c r="K288" t="s">
        <v>127</v>
      </c>
      <c r="L288">
        <v>50</v>
      </c>
      <c r="M288">
        <v>937897</v>
      </c>
      <c r="N288">
        <v>10</v>
      </c>
      <c r="O288">
        <v>1</v>
      </c>
      <c r="P288" t="s">
        <v>128</v>
      </c>
      <c r="Q288" t="s">
        <v>129</v>
      </c>
      <c r="R288">
        <v>27</v>
      </c>
      <c r="T288">
        <v>8</v>
      </c>
      <c r="U288">
        <v>13</v>
      </c>
      <c r="V288">
        <v>5</v>
      </c>
      <c r="W288">
        <v>0</v>
      </c>
      <c r="X288">
        <v>5</v>
      </c>
      <c r="Y288">
        <v>7</v>
      </c>
      <c r="Z288">
        <v>20</v>
      </c>
      <c r="AA288">
        <v>25</v>
      </c>
      <c r="AB288">
        <v>50</v>
      </c>
      <c r="AC288">
        <v>13</v>
      </c>
      <c r="AD288">
        <v>5</v>
      </c>
      <c r="AE288">
        <v>7</v>
      </c>
      <c r="AF288">
        <v>25</v>
      </c>
      <c r="AG288">
        <v>0</v>
      </c>
      <c r="AH288">
        <v>37</v>
      </c>
      <c r="AI288">
        <v>25</v>
      </c>
      <c r="AJ288">
        <v>30</v>
      </c>
      <c r="AK288">
        <v>37</v>
      </c>
      <c r="AL288">
        <v>0</v>
      </c>
      <c r="AM288">
        <v>0.2</v>
      </c>
      <c r="AN288">
        <v>2.7272727272727275</v>
      </c>
      <c r="AO288">
        <v>0</v>
      </c>
      <c r="AP288" t="s">
        <v>142</v>
      </c>
      <c r="AQ288" t="s">
        <v>131</v>
      </c>
      <c r="AR288" t="s">
        <v>194</v>
      </c>
      <c r="AS288">
        <v>2548</v>
      </c>
      <c r="AT288">
        <v>2521</v>
      </c>
      <c r="AU288">
        <v>0</v>
      </c>
      <c r="AV288">
        <v>0</v>
      </c>
      <c r="AW288">
        <v>5.069</v>
      </c>
      <c r="AX288">
        <v>0.38992307692307693</v>
      </c>
      <c r="AY288">
        <v>9.7480769230769226</v>
      </c>
      <c r="AZ288" t="s">
        <v>135</v>
      </c>
      <c r="BA288">
        <v>0.25192307692307736</v>
      </c>
      <c r="BB288">
        <v>0.64608404024462529</v>
      </c>
      <c r="BC288" t="s">
        <v>133</v>
      </c>
      <c r="BD288">
        <v>0</v>
      </c>
      <c r="BE288" t="s">
        <v>133</v>
      </c>
      <c r="BF28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5.069</v>
      </c>
    </row>
    <row r="289" spans="1:58" x14ac:dyDescent="0.25">
      <c r="A289" t="s">
        <v>502</v>
      </c>
      <c r="B289" t="s">
        <v>19</v>
      </c>
      <c r="C289">
        <v>1</v>
      </c>
      <c r="D289">
        <v>289</v>
      </c>
      <c r="E289" t="s">
        <v>2108</v>
      </c>
      <c r="F289" t="s">
        <v>123</v>
      </c>
      <c r="G289" t="s">
        <v>124</v>
      </c>
      <c r="H289" t="s">
        <v>125</v>
      </c>
      <c r="I289" t="s">
        <v>140</v>
      </c>
      <c r="J289" t="s">
        <v>141</v>
      </c>
      <c r="K289" t="s">
        <v>127</v>
      </c>
      <c r="L289">
        <v>50</v>
      </c>
      <c r="M289">
        <v>937899</v>
      </c>
      <c r="N289">
        <v>10</v>
      </c>
      <c r="O289">
        <v>1</v>
      </c>
      <c r="P289" t="s">
        <v>128</v>
      </c>
      <c r="Q289" t="s">
        <v>129</v>
      </c>
      <c r="R289">
        <v>27</v>
      </c>
      <c r="T289">
        <v>7</v>
      </c>
      <c r="U289">
        <v>12</v>
      </c>
      <c r="V289">
        <v>6</v>
      </c>
      <c r="W289">
        <v>0</v>
      </c>
      <c r="X289">
        <v>6</v>
      </c>
      <c r="Y289">
        <v>9</v>
      </c>
      <c r="Z289">
        <v>22</v>
      </c>
      <c r="AA289">
        <v>27</v>
      </c>
      <c r="AB289">
        <v>50</v>
      </c>
      <c r="AC289">
        <v>12</v>
      </c>
      <c r="AD289">
        <v>6</v>
      </c>
      <c r="AE289">
        <v>9</v>
      </c>
      <c r="AF289">
        <v>27</v>
      </c>
      <c r="AG289">
        <v>0</v>
      </c>
      <c r="AH289">
        <v>38</v>
      </c>
      <c r="AI289">
        <v>23</v>
      </c>
      <c r="AJ289">
        <v>29</v>
      </c>
      <c r="AK289">
        <v>38</v>
      </c>
      <c r="AL289">
        <v>0</v>
      </c>
      <c r="AM289">
        <v>0.2</v>
      </c>
      <c r="AN289">
        <v>2.6363636363636362</v>
      </c>
      <c r="AO289">
        <v>0</v>
      </c>
      <c r="AP289" t="s">
        <v>142</v>
      </c>
      <c r="AQ289" t="s">
        <v>131</v>
      </c>
      <c r="AR289" t="s">
        <v>194</v>
      </c>
      <c r="AS289">
        <v>2429</v>
      </c>
      <c r="AT289">
        <v>2424</v>
      </c>
      <c r="AU289">
        <v>0</v>
      </c>
      <c r="AV289">
        <v>0</v>
      </c>
      <c r="AW289">
        <v>4.8529999999999998</v>
      </c>
      <c r="AX289">
        <v>0.40441666666666665</v>
      </c>
      <c r="AY289">
        <v>10.91925</v>
      </c>
      <c r="AZ289" t="s">
        <v>135</v>
      </c>
      <c r="BA289">
        <v>-0.9192499999999999</v>
      </c>
      <c r="BB289">
        <v>-2.2730269936121985</v>
      </c>
      <c r="BC289" t="s">
        <v>133</v>
      </c>
      <c r="BD289">
        <v>0</v>
      </c>
      <c r="BE289" t="s">
        <v>133</v>
      </c>
      <c r="BF28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4.8529999999999998</v>
      </c>
    </row>
    <row r="290" spans="1:58" x14ac:dyDescent="0.25">
      <c r="A290" t="s">
        <v>503</v>
      </c>
      <c r="B290" t="s">
        <v>19</v>
      </c>
      <c r="C290">
        <v>1</v>
      </c>
      <c r="D290">
        <v>290</v>
      </c>
      <c r="E290" t="s">
        <v>2108</v>
      </c>
      <c r="F290" t="s">
        <v>123</v>
      </c>
      <c r="G290" t="s">
        <v>124</v>
      </c>
      <c r="H290" t="s">
        <v>125</v>
      </c>
      <c r="I290" t="s">
        <v>140</v>
      </c>
      <c r="J290" t="s">
        <v>141</v>
      </c>
      <c r="K290" t="s">
        <v>127</v>
      </c>
      <c r="L290">
        <v>50</v>
      </c>
      <c r="M290">
        <v>937901</v>
      </c>
      <c r="N290">
        <v>10</v>
      </c>
      <c r="O290">
        <v>1</v>
      </c>
      <c r="P290" t="s">
        <v>128</v>
      </c>
      <c r="Q290" t="s">
        <v>129</v>
      </c>
      <c r="R290">
        <v>27</v>
      </c>
      <c r="T290">
        <v>37</v>
      </c>
      <c r="U290">
        <v>42</v>
      </c>
      <c r="V290">
        <v>1</v>
      </c>
      <c r="W290">
        <v>0</v>
      </c>
      <c r="X290">
        <v>1</v>
      </c>
      <c r="Y290">
        <v>1</v>
      </c>
      <c r="Z290">
        <v>39</v>
      </c>
      <c r="AA290">
        <v>44</v>
      </c>
      <c r="AB290">
        <v>50</v>
      </c>
      <c r="AC290">
        <v>42</v>
      </c>
      <c r="AD290">
        <v>1</v>
      </c>
      <c r="AE290">
        <v>1</v>
      </c>
      <c r="AF290">
        <v>44</v>
      </c>
      <c r="AG290">
        <v>0</v>
      </c>
      <c r="AH290">
        <v>8</v>
      </c>
      <c r="AI290">
        <v>6</v>
      </c>
      <c r="AJ290">
        <v>7</v>
      </c>
      <c r="AK290">
        <v>8</v>
      </c>
      <c r="AL290">
        <v>0</v>
      </c>
      <c r="AM290">
        <v>0.2</v>
      </c>
      <c r="AN290">
        <v>0.63636363636363635</v>
      </c>
      <c r="AO290">
        <v>0</v>
      </c>
      <c r="AP290" t="s">
        <v>142</v>
      </c>
      <c r="AQ290" t="s">
        <v>131</v>
      </c>
      <c r="AR290" t="s">
        <v>194</v>
      </c>
      <c r="AS290">
        <v>5464</v>
      </c>
      <c r="AT290">
        <v>3709</v>
      </c>
      <c r="AU290">
        <v>0</v>
      </c>
      <c r="AV290">
        <v>0</v>
      </c>
      <c r="AW290">
        <v>9.173</v>
      </c>
      <c r="AX290">
        <v>0.21840476190476191</v>
      </c>
      <c r="AY290">
        <v>9.609809523809524</v>
      </c>
      <c r="AZ290" t="s">
        <v>135</v>
      </c>
      <c r="BA290">
        <v>0.39019047619047598</v>
      </c>
      <c r="BB290">
        <v>1.7865474762891083</v>
      </c>
      <c r="BC290" t="s">
        <v>133</v>
      </c>
      <c r="BD290">
        <v>0</v>
      </c>
      <c r="BE290" t="s">
        <v>133</v>
      </c>
      <c r="BF29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9.173</v>
      </c>
    </row>
    <row r="291" spans="1:58" x14ac:dyDescent="0.25">
      <c r="A291" t="s">
        <v>504</v>
      </c>
      <c r="B291" t="s">
        <v>19</v>
      </c>
      <c r="C291">
        <v>1</v>
      </c>
      <c r="D291">
        <v>291</v>
      </c>
      <c r="E291" t="s">
        <v>2108</v>
      </c>
      <c r="F291" t="s">
        <v>123</v>
      </c>
      <c r="G291" t="s">
        <v>124</v>
      </c>
      <c r="H291" t="s">
        <v>125</v>
      </c>
      <c r="I291" t="s">
        <v>140</v>
      </c>
      <c r="J291" t="s">
        <v>141</v>
      </c>
      <c r="K291" t="s">
        <v>127</v>
      </c>
      <c r="L291">
        <v>50</v>
      </c>
      <c r="M291">
        <v>937903</v>
      </c>
      <c r="N291">
        <v>10</v>
      </c>
      <c r="O291">
        <v>1</v>
      </c>
      <c r="P291" t="s">
        <v>128</v>
      </c>
      <c r="Q291" t="s">
        <v>129</v>
      </c>
      <c r="R291">
        <v>27</v>
      </c>
      <c r="T291">
        <v>36</v>
      </c>
      <c r="U291">
        <v>41</v>
      </c>
      <c r="V291">
        <v>1</v>
      </c>
      <c r="W291">
        <v>0</v>
      </c>
      <c r="X291">
        <v>1</v>
      </c>
      <c r="Y291">
        <v>0</v>
      </c>
      <c r="Z291">
        <v>37</v>
      </c>
      <c r="AA291">
        <v>42</v>
      </c>
      <c r="AB291">
        <v>50</v>
      </c>
      <c r="AC291">
        <v>41</v>
      </c>
      <c r="AD291">
        <v>1</v>
      </c>
      <c r="AE291">
        <v>0</v>
      </c>
      <c r="AF291">
        <v>42</v>
      </c>
      <c r="AG291">
        <v>0</v>
      </c>
      <c r="AH291">
        <v>9</v>
      </c>
      <c r="AI291">
        <v>8</v>
      </c>
      <c r="AJ291">
        <v>9</v>
      </c>
      <c r="AK291">
        <v>9</v>
      </c>
      <c r="AL291">
        <v>0</v>
      </c>
      <c r="AM291">
        <v>0.2</v>
      </c>
      <c r="AN291">
        <v>0.81818181818181823</v>
      </c>
      <c r="AO291">
        <v>0</v>
      </c>
      <c r="AP291" t="s">
        <v>142</v>
      </c>
      <c r="AQ291" t="s">
        <v>131</v>
      </c>
      <c r="AR291" t="s">
        <v>194</v>
      </c>
      <c r="AS291">
        <v>4670</v>
      </c>
      <c r="AT291">
        <v>5100</v>
      </c>
      <c r="AU291">
        <v>0</v>
      </c>
      <c r="AV291">
        <v>0</v>
      </c>
      <c r="AW291">
        <v>9.77</v>
      </c>
      <c r="AX291">
        <v>0.23829268292682926</v>
      </c>
      <c r="AY291">
        <v>10.008292682926829</v>
      </c>
      <c r="AZ291" t="s">
        <v>135</v>
      </c>
      <c r="BA291">
        <v>-8.2926829268288316E-3</v>
      </c>
      <c r="BB291">
        <v>-3.4800409416579539E-2</v>
      </c>
      <c r="BC291" t="s">
        <v>133</v>
      </c>
      <c r="BD291">
        <v>0</v>
      </c>
      <c r="BE291" t="s">
        <v>133</v>
      </c>
      <c r="BF29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9.77</v>
      </c>
    </row>
    <row r="292" spans="1:58" x14ac:dyDescent="0.25">
      <c r="A292" t="s">
        <v>505</v>
      </c>
      <c r="B292" t="s">
        <v>19</v>
      </c>
      <c r="C292">
        <v>1</v>
      </c>
      <c r="D292">
        <v>292</v>
      </c>
      <c r="E292" t="s">
        <v>2108</v>
      </c>
      <c r="F292" t="s">
        <v>123</v>
      </c>
      <c r="G292" t="s">
        <v>124</v>
      </c>
      <c r="H292" t="s">
        <v>136</v>
      </c>
      <c r="I292" t="s">
        <v>137</v>
      </c>
      <c r="J292" t="s">
        <v>138</v>
      </c>
      <c r="K292" t="s">
        <v>127</v>
      </c>
      <c r="L292">
        <v>50</v>
      </c>
      <c r="M292">
        <v>937905</v>
      </c>
      <c r="N292">
        <v>5</v>
      </c>
      <c r="O292">
        <v>1</v>
      </c>
      <c r="P292" t="s">
        <v>128</v>
      </c>
      <c r="Q292" t="s">
        <v>129</v>
      </c>
      <c r="R292">
        <v>27</v>
      </c>
      <c r="T292">
        <v>0</v>
      </c>
      <c r="U292">
        <v>4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4</v>
      </c>
      <c r="AB292">
        <v>50</v>
      </c>
      <c r="AC292">
        <v>4</v>
      </c>
      <c r="AD292">
        <v>0</v>
      </c>
      <c r="AE292">
        <v>0</v>
      </c>
      <c r="AF292">
        <v>4</v>
      </c>
      <c r="AG292">
        <v>0</v>
      </c>
      <c r="AH292">
        <v>46</v>
      </c>
      <c r="AI292">
        <v>46</v>
      </c>
      <c r="AJ292">
        <v>46</v>
      </c>
      <c r="AK292">
        <v>46</v>
      </c>
      <c r="AL292">
        <v>0</v>
      </c>
      <c r="AM292">
        <v>0.1</v>
      </c>
      <c r="AN292">
        <v>4.1818181818181817</v>
      </c>
      <c r="AO292">
        <v>0</v>
      </c>
      <c r="AP292" t="s">
        <v>139</v>
      </c>
      <c r="AQ292" t="s">
        <v>131</v>
      </c>
      <c r="AR292" t="s">
        <v>194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 t="s">
        <v>134</v>
      </c>
      <c r="BA292">
        <v>5</v>
      </c>
      <c r="BB292">
        <v>0</v>
      </c>
      <c r="BC292" t="s">
        <v>133</v>
      </c>
      <c r="BD292">
        <v>0</v>
      </c>
      <c r="BE292" t="s">
        <v>133</v>
      </c>
      <c r="BF29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293" spans="1:58" x14ac:dyDescent="0.25">
      <c r="A293" t="s">
        <v>506</v>
      </c>
      <c r="B293" t="s">
        <v>19</v>
      </c>
      <c r="C293">
        <v>1</v>
      </c>
      <c r="D293">
        <v>293</v>
      </c>
      <c r="E293" t="s">
        <v>2108</v>
      </c>
      <c r="F293" t="s">
        <v>123</v>
      </c>
      <c r="G293" t="s">
        <v>124</v>
      </c>
      <c r="H293" t="s">
        <v>125</v>
      </c>
      <c r="I293" t="s">
        <v>140</v>
      </c>
      <c r="J293" t="s">
        <v>141</v>
      </c>
      <c r="K293" t="s">
        <v>127</v>
      </c>
      <c r="L293">
        <v>50</v>
      </c>
      <c r="M293">
        <v>937907</v>
      </c>
      <c r="N293">
        <v>10</v>
      </c>
      <c r="O293">
        <v>1</v>
      </c>
      <c r="P293" t="s">
        <v>128</v>
      </c>
      <c r="Q293" t="s">
        <v>129</v>
      </c>
      <c r="R293">
        <v>27</v>
      </c>
      <c r="T293">
        <v>39</v>
      </c>
      <c r="U293">
        <v>44</v>
      </c>
      <c r="V293">
        <v>1</v>
      </c>
      <c r="W293">
        <v>0</v>
      </c>
      <c r="X293">
        <v>1</v>
      </c>
      <c r="Y293">
        <v>0</v>
      </c>
      <c r="Z293">
        <v>40</v>
      </c>
      <c r="AA293">
        <v>45</v>
      </c>
      <c r="AB293">
        <v>50</v>
      </c>
      <c r="AC293">
        <v>44</v>
      </c>
      <c r="AD293">
        <v>1</v>
      </c>
      <c r="AE293">
        <v>0</v>
      </c>
      <c r="AF293">
        <v>45</v>
      </c>
      <c r="AG293">
        <v>0</v>
      </c>
      <c r="AH293">
        <v>6</v>
      </c>
      <c r="AI293">
        <v>5</v>
      </c>
      <c r="AJ293">
        <v>6</v>
      </c>
      <c r="AK293">
        <v>6</v>
      </c>
      <c r="AL293">
        <v>0</v>
      </c>
      <c r="AM293">
        <v>0.2</v>
      </c>
      <c r="AN293">
        <v>0.54545454545454541</v>
      </c>
      <c r="AO293">
        <v>0</v>
      </c>
      <c r="AP293" t="s">
        <v>142</v>
      </c>
      <c r="AQ293" t="s">
        <v>131</v>
      </c>
      <c r="AR293" t="s">
        <v>194</v>
      </c>
      <c r="AS293">
        <v>4563</v>
      </c>
      <c r="AT293">
        <v>4879</v>
      </c>
      <c r="AU293">
        <v>0</v>
      </c>
      <c r="AV293">
        <v>0</v>
      </c>
      <c r="AW293">
        <v>9.4420000000000002</v>
      </c>
      <c r="AX293">
        <v>0.21459090909090908</v>
      </c>
      <c r="AY293">
        <v>9.6565909090909088</v>
      </c>
      <c r="AZ293" t="s">
        <v>135</v>
      </c>
      <c r="BA293">
        <v>0.34340909090909122</v>
      </c>
      <c r="BB293">
        <v>1.6002965473416664</v>
      </c>
      <c r="BC293" t="s">
        <v>133</v>
      </c>
      <c r="BD293">
        <v>0</v>
      </c>
      <c r="BE293" t="s">
        <v>133</v>
      </c>
      <c r="BF29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9.4420000000000002</v>
      </c>
    </row>
    <row r="294" spans="1:58" x14ac:dyDescent="0.25">
      <c r="A294" t="s">
        <v>507</v>
      </c>
      <c r="B294" t="s">
        <v>19</v>
      </c>
      <c r="C294">
        <v>1</v>
      </c>
      <c r="D294">
        <v>294</v>
      </c>
      <c r="E294" t="s">
        <v>2108</v>
      </c>
      <c r="F294" t="s">
        <v>123</v>
      </c>
      <c r="G294" t="s">
        <v>124</v>
      </c>
      <c r="H294" t="s">
        <v>125</v>
      </c>
      <c r="I294" t="s">
        <v>140</v>
      </c>
      <c r="J294" t="s">
        <v>141</v>
      </c>
      <c r="K294" t="s">
        <v>127</v>
      </c>
      <c r="L294">
        <v>50</v>
      </c>
      <c r="M294">
        <v>937909</v>
      </c>
      <c r="N294">
        <v>10</v>
      </c>
      <c r="O294">
        <v>1</v>
      </c>
      <c r="P294" t="s">
        <v>128</v>
      </c>
      <c r="Q294" t="s">
        <v>129</v>
      </c>
      <c r="R294">
        <v>27</v>
      </c>
      <c r="T294">
        <v>38</v>
      </c>
      <c r="U294">
        <v>43</v>
      </c>
      <c r="V294">
        <v>2</v>
      </c>
      <c r="W294">
        <v>0</v>
      </c>
      <c r="X294">
        <v>2</v>
      </c>
      <c r="Y294">
        <v>1</v>
      </c>
      <c r="Z294">
        <v>41</v>
      </c>
      <c r="AA294">
        <v>46</v>
      </c>
      <c r="AB294">
        <v>50</v>
      </c>
      <c r="AC294">
        <v>43</v>
      </c>
      <c r="AD294">
        <v>2</v>
      </c>
      <c r="AE294">
        <v>1</v>
      </c>
      <c r="AF294">
        <v>46</v>
      </c>
      <c r="AG294">
        <v>0</v>
      </c>
      <c r="AH294">
        <v>7</v>
      </c>
      <c r="AI294">
        <v>4</v>
      </c>
      <c r="AJ294">
        <v>6</v>
      </c>
      <c r="AK294">
        <v>7</v>
      </c>
      <c r="AL294">
        <v>0</v>
      </c>
      <c r="AM294">
        <v>0.2</v>
      </c>
      <c r="AN294">
        <v>0.54545454545454541</v>
      </c>
      <c r="AO294">
        <v>0</v>
      </c>
      <c r="AP294" t="s">
        <v>142</v>
      </c>
      <c r="AQ294" t="s">
        <v>131</v>
      </c>
      <c r="AR294" t="s">
        <v>194</v>
      </c>
      <c r="AS294">
        <v>5348</v>
      </c>
      <c r="AT294">
        <v>4255</v>
      </c>
      <c r="AU294">
        <v>0</v>
      </c>
      <c r="AV294">
        <v>0</v>
      </c>
      <c r="AW294">
        <v>9.6029999999999998</v>
      </c>
      <c r="AX294">
        <v>0.22332558139534883</v>
      </c>
      <c r="AY294">
        <v>10.272976744186046</v>
      </c>
      <c r="AZ294" t="s">
        <v>135</v>
      </c>
      <c r="BA294">
        <v>-0.27297674418604601</v>
      </c>
      <c r="BB294">
        <v>-1.2223263563469726</v>
      </c>
      <c r="BC294" t="s">
        <v>133</v>
      </c>
      <c r="BD294">
        <v>0</v>
      </c>
      <c r="BE294" t="s">
        <v>133</v>
      </c>
      <c r="BF29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9.6029999999999998</v>
      </c>
    </row>
    <row r="295" spans="1:58" x14ac:dyDescent="0.25">
      <c r="A295" t="s">
        <v>508</v>
      </c>
      <c r="B295" t="s">
        <v>19</v>
      </c>
      <c r="C295">
        <v>1</v>
      </c>
      <c r="D295">
        <v>295</v>
      </c>
      <c r="E295" t="s">
        <v>2108</v>
      </c>
      <c r="F295" t="s">
        <v>123</v>
      </c>
      <c r="G295" t="s">
        <v>124</v>
      </c>
      <c r="H295" t="s">
        <v>125</v>
      </c>
      <c r="I295" t="s">
        <v>140</v>
      </c>
      <c r="J295" t="s">
        <v>141</v>
      </c>
      <c r="K295" t="s">
        <v>127</v>
      </c>
      <c r="L295">
        <v>50</v>
      </c>
      <c r="M295">
        <v>937911</v>
      </c>
      <c r="N295">
        <v>10</v>
      </c>
      <c r="O295">
        <v>1</v>
      </c>
      <c r="P295" t="s">
        <v>128</v>
      </c>
      <c r="Q295" t="s">
        <v>129</v>
      </c>
      <c r="R295">
        <v>27</v>
      </c>
      <c r="T295">
        <v>38</v>
      </c>
      <c r="U295">
        <v>43</v>
      </c>
      <c r="V295">
        <v>2</v>
      </c>
      <c r="W295">
        <v>0</v>
      </c>
      <c r="X295">
        <v>2</v>
      </c>
      <c r="Y295">
        <v>1</v>
      </c>
      <c r="Z295">
        <v>41</v>
      </c>
      <c r="AA295">
        <v>46</v>
      </c>
      <c r="AB295">
        <v>50</v>
      </c>
      <c r="AC295">
        <v>43</v>
      </c>
      <c r="AD295">
        <v>2</v>
      </c>
      <c r="AE295">
        <v>1</v>
      </c>
      <c r="AF295">
        <v>46</v>
      </c>
      <c r="AG295">
        <v>0</v>
      </c>
      <c r="AH295">
        <v>7</v>
      </c>
      <c r="AI295">
        <v>4</v>
      </c>
      <c r="AJ295">
        <v>6</v>
      </c>
      <c r="AK295">
        <v>7</v>
      </c>
      <c r="AL295">
        <v>0</v>
      </c>
      <c r="AM295">
        <v>0.2</v>
      </c>
      <c r="AN295">
        <v>0.54545454545454541</v>
      </c>
      <c r="AO295">
        <v>0</v>
      </c>
      <c r="AP295" t="s">
        <v>142</v>
      </c>
      <c r="AQ295" t="s">
        <v>131</v>
      </c>
      <c r="AR295" t="s">
        <v>194</v>
      </c>
      <c r="AS295">
        <v>5143</v>
      </c>
      <c r="AT295">
        <v>3598</v>
      </c>
      <c r="AU295">
        <v>0</v>
      </c>
      <c r="AV295">
        <v>0</v>
      </c>
      <c r="AW295">
        <v>8.7409999999999997</v>
      </c>
      <c r="AX295">
        <v>0.20327906976744184</v>
      </c>
      <c r="AY295">
        <v>9.3508372093023251</v>
      </c>
      <c r="AZ295" t="s">
        <v>135</v>
      </c>
      <c r="BA295">
        <v>0.64916279069767491</v>
      </c>
      <c r="BB295">
        <v>3.1934561263013412</v>
      </c>
      <c r="BC295" t="s">
        <v>133</v>
      </c>
      <c r="BD295">
        <v>0</v>
      </c>
      <c r="BE295" t="s">
        <v>133</v>
      </c>
      <c r="BF29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8.7409999999999997</v>
      </c>
    </row>
    <row r="296" spans="1:58" x14ac:dyDescent="0.25">
      <c r="A296" t="s">
        <v>509</v>
      </c>
      <c r="B296" t="s">
        <v>19</v>
      </c>
      <c r="C296">
        <v>1</v>
      </c>
      <c r="D296">
        <v>296</v>
      </c>
      <c r="E296" t="s">
        <v>2108</v>
      </c>
      <c r="F296" t="s">
        <v>123</v>
      </c>
      <c r="G296" t="s">
        <v>124</v>
      </c>
      <c r="H296" t="s">
        <v>125</v>
      </c>
      <c r="I296" t="s">
        <v>140</v>
      </c>
      <c r="J296" t="s">
        <v>141</v>
      </c>
      <c r="K296" t="s">
        <v>127</v>
      </c>
      <c r="L296">
        <v>50</v>
      </c>
      <c r="M296">
        <v>938113</v>
      </c>
      <c r="N296">
        <v>10</v>
      </c>
      <c r="O296">
        <v>1</v>
      </c>
      <c r="P296" t="s">
        <v>128</v>
      </c>
      <c r="Q296" t="s">
        <v>129</v>
      </c>
      <c r="R296">
        <v>27</v>
      </c>
      <c r="T296">
        <v>40</v>
      </c>
      <c r="U296">
        <v>45</v>
      </c>
      <c r="V296">
        <v>1</v>
      </c>
      <c r="W296">
        <v>0</v>
      </c>
      <c r="X296">
        <v>1</v>
      </c>
      <c r="Y296">
        <v>0</v>
      </c>
      <c r="Z296">
        <v>41</v>
      </c>
      <c r="AA296">
        <v>46</v>
      </c>
      <c r="AB296">
        <v>50</v>
      </c>
      <c r="AC296">
        <v>45</v>
      </c>
      <c r="AD296">
        <v>1</v>
      </c>
      <c r="AE296">
        <v>0</v>
      </c>
      <c r="AF296">
        <v>46</v>
      </c>
      <c r="AG296">
        <v>0</v>
      </c>
      <c r="AH296">
        <v>5</v>
      </c>
      <c r="AI296">
        <v>4</v>
      </c>
      <c r="AJ296">
        <v>5</v>
      </c>
      <c r="AK296">
        <v>5</v>
      </c>
      <c r="AL296">
        <v>0</v>
      </c>
      <c r="AM296">
        <v>0.2</v>
      </c>
      <c r="AN296">
        <v>0.45454545454545459</v>
      </c>
      <c r="AO296">
        <v>0</v>
      </c>
      <c r="AP296" t="s">
        <v>142</v>
      </c>
      <c r="AQ296" t="s">
        <v>131</v>
      </c>
      <c r="AR296" t="s">
        <v>194</v>
      </c>
      <c r="AS296">
        <v>4992</v>
      </c>
      <c r="AT296">
        <v>4157</v>
      </c>
      <c r="AU296">
        <v>0</v>
      </c>
      <c r="AV296">
        <v>0</v>
      </c>
      <c r="AW296">
        <v>9.1489999999999991</v>
      </c>
      <c r="AX296">
        <v>0.20331111111111108</v>
      </c>
      <c r="AY296">
        <v>9.3523111111111099</v>
      </c>
      <c r="AZ296" t="s">
        <v>135</v>
      </c>
      <c r="BA296">
        <v>0.64768888888889009</v>
      </c>
      <c r="BB296">
        <v>3.1857033555579908</v>
      </c>
      <c r="BC296" t="s">
        <v>133</v>
      </c>
      <c r="BD296">
        <v>0</v>
      </c>
      <c r="BE296" t="s">
        <v>133</v>
      </c>
      <c r="BF29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9.1489999999999991</v>
      </c>
    </row>
    <row r="297" spans="1:58" x14ac:dyDescent="0.25">
      <c r="A297" t="s">
        <v>510</v>
      </c>
      <c r="B297" t="s">
        <v>19</v>
      </c>
      <c r="C297">
        <v>1</v>
      </c>
      <c r="D297">
        <v>297</v>
      </c>
      <c r="E297" t="s">
        <v>2108</v>
      </c>
      <c r="F297" t="s">
        <v>123</v>
      </c>
      <c r="G297" t="s">
        <v>124</v>
      </c>
      <c r="H297" t="s">
        <v>125</v>
      </c>
      <c r="I297" t="s">
        <v>140</v>
      </c>
      <c r="J297" t="s">
        <v>141</v>
      </c>
      <c r="K297" t="s">
        <v>127</v>
      </c>
      <c r="L297">
        <v>50</v>
      </c>
      <c r="M297">
        <v>938115</v>
      </c>
      <c r="N297">
        <v>10</v>
      </c>
      <c r="O297">
        <v>1</v>
      </c>
      <c r="P297" t="s">
        <v>128</v>
      </c>
      <c r="Q297" t="s">
        <v>129</v>
      </c>
      <c r="R297">
        <v>27</v>
      </c>
      <c r="T297">
        <v>35</v>
      </c>
      <c r="U297">
        <v>40</v>
      </c>
      <c r="V297">
        <v>0</v>
      </c>
      <c r="W297">
        <v>0</v>
      </c>
      <c r="X297">
        <v>0</v>
      </c>
      <c r="Y297">
        <v>2</v>
      </c>
      <c r="Z297">
        <v>37</v>
      </c>
      <c r="AA297">
        <v>42</v>
      </c>
      <c r="AB297">
        <v>50</v>
      </c>
      <c r="AC297">
        <v>40</v>
      </c>
      <c r="AD297">
        <v>0</v>
      </c>
      <c r="AE297">
        <v>2</v>
      </c>
      <c r="AF297">
        <v>42</v>
      </c>
      <c r="AG297">
        <v>0</v>
      </c>
      <c r="AH297">
        <v>10</v>
      </c>
      <c r="AI297">
        <v>8</v>
      </c>
      <c r="AJ297">
        <v>8</v>
      </c>
      <c r="AK297">
        <v>10</v>
      </c>
      <c r="AL297">
        <v>0</v>
      </c>
      <c r="AM297">
        <v>0.2</v>
      </c>
      <c r="AN297">
        <v>0.72727272727272729</v>
      </c>
      <c r="AO297">
        <v>0</v>
      </c>
      <c r="AP297" t="s">
        <v>142</v>
      </c>
      <c r="AQ297" t="s">
        <v>131</v>
      </c>
      <c r="AR297" t="s">
        <v>194</v>
      </c>
      <c r="AS297">
        <v>3223</v>
      </c>
      <c r="AT297">
        <v>4601</v>
      </c>
      <c r="AU297">
        <v>0</v>
      </c>
      <c r="AV297">
        <v>0</v>
      </c>
      <c r="AW297">
        <v>7.8239999999999998</v>
      </c>
      <c r="AX297">
        <v>0.1956</v>
      </c>
      <c r="AY297">
        <v>8.2151999999999994</v>
      </c>
      <c r="AZ297" t="s">
        <v>135</v>
      </c>
      <c r="BA297">
        <v>1.7848000000000006</v>
      </c>
      <c r="BB297">
        <v>9.1247443762781213</v>
      </c>
      <c r="BC297" t="s">
        <v>144</v>
      </c>
      <c r="BD297">
        <v>0</v>
      </c>
      <c r="BE297" t="s">
        <v>133</v>
      </c>
      <c r="BF29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7.8239999999999998</v>
      </c>
    </row>
    <row r="298" spans="1:58" x14ac:dyDescent="0.25">
      <c r="A298" t="s">
        <v>511</v>
      </c>
      <c r="B298" t="s">
        <v>19</v>
      </c>
      <c r="C298">
        <v>1</v>
      </c>
      <c r="D298">
        <v>298</v>
      </c>
      <c r="E298" t="s">
        <v>2108</v>
      </c>
      <c r="F298" t="s">
        <v>123</v>
      </c>
      <c r="G298" t="s">
        <v>124</v>
      </c>
      <c r="H298" t="s">
        <v>125</v>
      </c>
      <c r="I298" t="s">
        <v>126</v>
      </c>
      <c r="J298" t="s">
        <v>126</v>
      </c>
      <c r="K298" t="s">
        <v>127</v>
      </c>
      <c r="L298">
        <v>50</v>
      </c>
      <c r="M298">
        <v>938117</v>
      </c>
      <c r="N298">
        <v>6</v>
      </c>
      <c r="O298">
        <v>1</v>
      </c>
      <c r="P298" t="s">
        <v>128</v>
      </c>
      <c r="Q298" t="s">
        <v>129</v>
      </c>
      <c r="R298">
        <v>28</v>
      </c>
      <c r="T298">
        <v>15</v>
      </c>
      <c r="U298">
        <v>20</v>
      </c>
      <c r="V298">
        <v>9</v>
      </c>
      <c r="W298">
        <v>0</v>
      </c>
      <c r="X298">
        <v>9</v>
      </c>
      <c r="Y298">
        <v>3</v>
      </c>
      <c r="Z298">
        <v>27</v>
      </c>
      <c r="AA298">
        <v>32</v>
      </c>
      <c r="AB298">
        <v>50</v>
      </c>
      <c r="AC298">
        <v>25</v>
      </c>
      <c r="AD298">
        <v>11</v>
      </c>
      <c r="AE298">
        <v>3</v>
      </c>
      <c r="AF298">
        <v>39</v>
      </c>
      <c r="AG298">
        <v>0</v>
      </c>
      <c r="AH298">
        <v>25</v>
      </c>
      <c r="AI298">
        <v>11</v>
      </c>
      <c r="AJ298">
        <v>22</v>
      </c>
      <c r="AK298">
        <v>25</v>
      </c>
      <c r="AL298">
        <v>0</v>
      </c>
      <c r="AM298">
        <v>0.12</v>
      </c>
      <c r="AN298">
        <v>2</v>
      </c>
      <c r="AO298">
        <v>0</v>
      </c>
      <c r="AP298" t="s">
        <v>130</v>
      </c>
      <c r="AQ298" t="s">
        <v>131</v>
      </c>
      <c r="AR298" t="s">
        <v>194</v>
      </c>
      <c r="AS298">
        <v>2268</v>
      </c>
      <c r="AT298">
        <v>1955</v>
      </c>
      <c r="AU298">
        <v>0</v>
      </c>
      <c r="AV298">
        <v>0</v>
      </c>
      <c r="AW298">
        <v>4.2229999999999999</v>
      </c>
      <c r="AX298">
        <v>0.16891999999999999</v>
      </c>
      <c r="AY298">
        <v>6.5878799999999993</v>
      </c>
      <c r="AZ298" t="s">
        <v>135</v>
      </c>
      <c r="BA298">
        <v>-0.58787999999999929</v>
      </c>
      <c r="BB298">
        <v>-3.4802273265451062</v>
      </c>
      <c r="BC298" t="s">
        <v>132</v>
      </c>
      <c r="BD298">
        <v>0</v>
      </c>
      <c r="BE298" t="s">
        <v>133</v>
      </c>
      <c r="BF29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4.2229999999999999</v>
      </c>
    </row>
    <row r="299" spans="1:58" x14ac:dyDescent="0.25">
      <c r="A299" t="s">
        <v>512</v>
      </c>
      <c r="B299" t="s">
        <v>19</v>
      </c>
      <c r="C299">
        <v>1</v>
      </c>
      <c r="D299">
        <v>299</v>
      </c>
      <c r="E299" t="s">
        <v>2108</v>
      </c>
      <c r="F299" t="s">
        <v>123</v>
      </c>
      <c r="G299" t="s">
        <v>124</v>
      </c>
      <c r="H299" t="s">
        <v>125</v>
      </c>
      <c r="I299" t="s">
        <v>126</v>
      </c>
      <c r="J299" t="s">
        <v>126</v>
      </c>
      <c r="K299" t="s">
        <v>127</v>
      </c>
      <c r="L299">
        <v>50</v>
      </c>
      <c r="M299">
        <v>938119</v>
      </c>
      <c r="N299">
        <v>6</v>
      </c>
      <c r="O299">
        <v>1</v>
      </c>
      <c r="P299" t="s">
        <v>128</v>
      </c>
      <c r="Q299" t="s">
        <v>129</v>
      </c>
      <c r="R299">
        <v>28</v>
      </c>
      <c r="T299">
        <v>20</v>
      </c>
      <c r="U299">
        <v>25</v>
      </c>
      <c r="V299">
        <v>10</v>
      </c>
      <c r="W299">
        <v>0</v>
      </c>
      <c r="X299">
        <v>10</v>
      </c>
      <c r="Y299">
        <v>1</v>
      </c>
      <c r="Z299">
        <v>31</v>
      </c>
      <c r="AA299">
        <v>36</v>
      </c>
      <c r="AB299">
        <v>50</v>
      </c>
      <c r="AC299">
        <v>27</v>
      </c>
      <c r="AD299">
        <v>14</v>
      </c>
      <c r="AE299">
        <v>1</v>
      </c>
      <c r="AF299">
        <v>42</v>
      </c>
      <c r="AG299">
        <v>0</v>
      </c>
      <c r="AH299">
        <v>23</v>
      </c>
      <c r="AI299">
        <v>8</v>
      </c>
      <c r="AJ299">
        <v>22</v>
      </c>
      <c r="AK299">
        <v>23</v>
      </c>
      <c r="AL299">
        <v>0</v>
      </c>
      <c r="AM299">
        <v>0.12</v>
      </c>
      <c r="AN299">
        <v>2</v>
      </c>
      <c r="AO299">
        <v>0</v>
      </c>
      <c r="AP299" t="s">
        <v>130</v>
      </c>
      <c r="AQ299" t="s">
        <v>131</v>
      </c>
      <c r="AR299" t="s">
        <v>194</v>
      </c>
      <c r="AS299">
        <v>2987</v>
      </c>
      <c r="AT299">
        <v>2974</v>
      </c>
      <c r="AU299">
        <v>0</v>
      </c>
      <c r="AV299">
        <v>0</v>
      </c>
      <c r="AW299">
        <v>5.9610000000000003</v>
      </c>
      <c r="AX299">
        <v>0.22077777777777779</v>
      </c>
      <c r="AY299">
        <v>9.2726666666666677</v>
      </c>
      <c r="AZ299" t="s">
        <v>135</v>
      </c>
      <c r="BA299">
        <v>-3.2726666666666677</v>
      </c>
      <c r="BB299">
        <v>-14.823351786612989</v>
      </c>
      <c r="BC299" t="s">
        <v>133</v>
      </c>
      <c r="BD299">
        <v>0</v>
      </c>
      <c r="BE299" t="s">
        <v>133</v>
      </c>
      <c r="BF29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5.9610000000000003</v>
      </c>
    </row>
    <row r="300" spans="1:58" x14ac:dyDescent="0.25">
      <c r="A300" t="s">
        <v>513</v>
      </c>
      <c r="B300" t="s">
        <v>19</v>
      </c>
      <c r="C300">
        <v>1</v>
      </c>
      <c r="D300">
        <v>300</v>
      </c>
      <c r="E300" t="s">
        <v>2108</v>
      </c>
      <c r="F300" t="s">
        <v>123</v>
      </c>
      <c r="G300" t="s">
        <v>124</v>
      </c>
      <c r="H300" t="s">
        <v>125</v>
      </c>
      <c r="I300" t="s">
        <v>126</v>
      </c>
      <c r="J300" t="s">
        <v>126</v>
      </c>
      <c r="K300" t="s">
        <v>127</v>
      </c>
      <c r="L300">
        <v>50</v>
      </c>
      <c r="M300">
        <v>938121</v>
      </c>
      <c r="N300">
        <v>6</v>
      </c>
      <c r="O300">
        <v>1</v>
      </c>
      <c r="P300" t="s">
        <v>128</v>
      </c>
      <c r="Q300" t="s">
        <v>129</v>
      </c>
      <c r="R300">
        <v>28</v>
      </c>
      <c r="T300">
        <v>19</v>
      </c>
      <c r="U300">
        <v>24</v>
      </c>
      <c r="V300">
        <v>9</v>
      </c>
      <c r="W300">
        <v>0</v>
      </c>
      <c r="X300">
        <v>9</v>
      </c>
      <c r="Y300">
        <v>3</v>
      </c>
      <c r="Z300">
        <v>31</v>
      </c>
      <c r="AA300">
        <v>36</v>
      </c>
      <c r="AB300">
        <v>50</v>
      </c>
      <c r="AC300">
        <v>28</v>
      </c>
      <c r="AD300">
        <v>11</v>
      </c>
      <c r="AE300">
        <v>3</v>
      </c>
      <c r="AF300">
        <v>42</v>
      </c>
      <c r="AG300">
        <v>0</v>
      </c>
      <c r="AH300">
        <v>22</v>
      </c>
      <c r="AI300">
        <v>8</v>
      </c>
      <c r="AJ300">
        <v>19</v>
      </c>
      <c r="AK300">
        <v>22</v>
      </c>
      <c r="AL300">
        <v>0</v>
      </c>
      <c r="AM300">
        <v>0.12</v>
      </c>
      <c r="AN300">
        <v>1.7272727272727273</v>
      </c>
      <c r="AO300">
        <v>0</v>
      </c>
      <c r="AP300" t="s">
        <v>130</v>
      </c>
      <c r="AQ300" t="s">
        <v>131</v>
      </c>
      <c r="AR300" t="s">
        <v>194</v>
      </c>
      <c r="AS300">
        <v>2392</v>
      </c>
      <c r="AT300">
        <v>2707</v>
      </c>
      <c r="AU300">
        <v>0</v>
      </c>
      <c r="AV300">
        <v>0</v>
      </c>
      <c r="AW300">
        <v>5.0990000000000002</v>
      </c>
      <c r="AX300">
        <v>0.18210714285714286</v>
      </c>
      <c r="AY300">
        <v>7.6485000000000003</v>
      </c>
      <c r="AZ300" t="s">
        <v>135</v>
      </c>
      <c r="BA300">
        <v>-1.6485000000000003</v>
      </c>
      <c r="BB300">
        <v>-9.0523632084722507</v>
      </c>
      <c r="BC300" t="s">
        <v>133</v>
      </c>
      <c r="BD300">
        <v>0</v>
      </c>
      <c r="BE300" t="s">
        <v>133</v>
      </c>
      <c r="BF30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5.0990000000000002</v>
      </c>
    </row>
    <row r="301" spans="1:58" x14ac:dyDescent="0.25">
      <c r="A301" t="s">
        <v>514</v>
      </c>
      <c r="B301" t="s">
        <v>19</v>
      </c>
      <c r="C301">
        <v>1</v>
      </c>
      <c r="D301">
        <v>301</v>
      </c>
      <c r="E301" t="s">
        <v>2108</v>
      </c>
      <c r="F301" t="s">
        <v>123</v>
      </c>
      <c r="G301" t="s">
        <v>124</v>
      </c>
      <c r="H301" t="s">
        <v>125</v>
      </c>
      <c r="I301" t="s">
        <v>126</v>
      </c>
      <c r="J301" t="s">
        <v>126</v>
      </c>
      <c r="K301" t="s">
        <v>127</v>
      </c>
      <c r="L301">
        <v>50</v>
      </c>
      <c r="M301">
        <v>938123</v>
      </c>
      <c r="N301">
        <v>6</v>
      </c>
      <c r="O301">
        <v>1</v>
      </c>
      <c r="P301" t="s">
        <v>128</v>
      </c>
      <c r="Q301" t="s">
        <v>129</v>
      </c>
      <c r="R301">
        <v>28</v>
      </c>
      <c r="T301">
        <v>18</v>
      </c>
      <c r="U301">
        <v>23</v>
      </c>
      <c r="V301">
        <v>9</v>
      </c>
      <c r="W301">
        <v>0</v>
      </c>
      <c r="X301">
        <v>9</v>
      </c>
      <c r="Y301">
        <v>1</v>
      </c>
      <c r="Z301">
        <v>28</v>
      </c>
      <c r="AA301">
        <v>33</v>
      </c>
      <c r="AB301">
        <v>50</v>
      </c>
      <c r="AC301">
        <v>33</v>
      </c>
      <c r="AD301">
        <v>11</v>
      </c>
      <c r="AE301">
        <v>1</v>
      </c>
      <c r="AF301">
        <v>45</v>
      </c>
      <c r="AG301">
        <v>0</v>
      </c>
      <c r="AH301">
        <v>17</v>
      </c>
      <c r="AI301">
        <v>5</v>
      </c>
      <c r="AJ301">
        <v>16</v>
      </c>
      <c r="AK301">
        <v>17</v>
      </c>
      <c r="AL301">
        <v>0</v>
      </c>
      <c r="AM301">
        <v>0.12</v>
      </c>
      <c r="AN301">
        <v>1.4545454545454546</v>
      </c>
      <c r="AO301">
        <v>0</v>
      </c>
      <c r="AP301" t="s">
        <v>130</v>
      </c>
      <c r="AQ301" t="s">
        <v>131</v>
      </c>
      <c r="AR301" t="s">
        <v>194</v>
      </c>
      <c r="AS301">
        <v>2625</v>
      </c>
      <c r="AT301">
        <v>2313</v>
      </c>
      <c r="AU301">
        <v>0</v>
      </c>
      <c r="AV301">
        <v>0</v>
      </c>
      <c r="AW301">
        <v>4.9379999999999997</v>
      </c>
      <c r="AX301">
        <v>0.14963636363636362</v>
      </c>
      <c r="AY301">
        <v>6.7336363636363634</v>
      </c>
      <c r="AZ301" t="s">
        <v>135</v>
      </c>
      <c r="BA301">
        <v>-0.73363636363636342</v>
      </c>
      <c r="BB301">
        <v>-4.9027946537059526</v>
      </c>
      <c r="BC301" t="s">
        <v>133</v>
      </c>
      <c r="BD301">
        <v>0</v>
      </c>
      <c r="BE301" t="s">
        <v>133</v>
      </c>
      <c r="BF30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4.9379999999999997</v>
      </c>
    </row>
    <row r="302" spans="1:58" x14ac:dyDescent="0.25">
      <c r="A302" t="s">
        <v>515</v>
      </c>
      <c r="B302" t="s">
        <v>19</v>
      </c>
      <c r="C302">
        <v>1</v>
      </c>
      <c r="D302">
        <v>302</v>
      </c>
      <c r="E302" t="s">
        <v>2108</v>
      </c>
      <c r="F302" t="s">
        <v>123</v>
      </c>
      <c r="G302" t="s">
        <v>124</v>
      </c>
      <c r="H302" t="s">
        <v>125</v>
      </c>
      <c r="I302" t="s">
        <v>126</v>
      </c>
      <c r="J302" t="s">
        <v>126</v>
      </c>
      <c r="K302" t="s">
        <v>127</v>
      </c>
      <c r="L302">
        <v>50</v>
      </c>
      <c r="M302">
        <v>938125</v>
      </c>
      <c r="N302">
        <v>6</v>
      </c>
      <c r="O302">
        <v>1</v>
      </c>
      <c r="P302" t="s">
        <v>128</v>
      </c>
      <c r="Q302" t="s">
        <v>129</v>
      </c>
      <c r="R302">
        <v>28</v>
      </c>
      <c r="T302">
        <v>21</v>
      </c>
      <c r="U302">
        <v>26</v>
      </c>
      <c r="V302">
        <v>2</v>
      </c>
      <c r="W302">
        <v>0</v>
      </c>
      <c r="X302">
        <v>2</v>
      </c>
      <c r="Y302">
        <v>0</v>
      </c>
      <c r="Z302">
        <v>23</v>
      </c>
      <c r="AA302">
        <v>28</v>
      </c>
      <c r="AB302">
        <v>50</v>
      </c>
      <c r="AC302">
        <v>30</v>
      </c>
      <c r="AD302">
        <v>3</v>
      </c>
      <c r="AE302">
        <v>0</v>
      </c>
      <c r="AF302">
        <v>33</v>
      </c>
      <c r="AG302">
        <v>0</v>
      </c>
      <c r="AH302">
        <v>20</v>
      </c>
      <c r="AI302">
        <v>17</v>
      </c>
      <c r="AJ302">
        <v>20</v>
      </c>
      <c r="AK302">
        <v>20</v>
      </c>
      <c r="AL302">
        <v>0</v>
      </c>
      <c r="AM302">
        <v>0.12</v>
      </c>
      <c r="AN302">
        <v>1.8181818181818183</v>
      </c>
      <c r="AO302">
        <v>0</v>
      </c>
      <c r="AP302" t="s">
        <v>130</v>
      </c>
      <c r="AQ302" t="s">
        <v>131</v>
      </c>
      <c r="AR302" t="s">
        <v>194</v>
      </c>
      <c r="AS302">
        <v>2680</v>
      </c>
      <c r="AT302">
        <v>2671</v>
      </c>
      <c r="AU302">
        <v>0</v>
      </c>
      <c r="AV302">
        <v>0</v>
      </c>
      <c r="AW302">
        <v>5.351</v>
      </c>
      <c r="AX302">
        <v>0.17836666666666667</v>
      </c>
      <c r="AY302">
        <v>5.8860999999999999</v>
      </c>
      <c r="AZ302" t="s">
        <v>135</v>
      </c>
      <c r="BA302">
        <v>0.11390000000000011</v>
      </c>
      <c r="BB302">
        <v>0.63857222948981562</v>
      </c>
      <c r="BC302" t="s">
        <v>133</v>
      </c>
      <c r="BD302">
        <v>0</v>
      </c>
      <c r="BE302" t="s">
        <v>133</v>
      </c>
      <c r="BF30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5.351</v>
      </c>
    </row>
    <row r="303" spans="1:58" x14ac:dyDescent="0.25">
      <c r="A303" t="s">
        <v>516</v>
      </c>
      <c r="B303" t="s">
        <v>19</v>
      </c>
      <c r="C303">
        <v>1</v>
      </c>
      <c r="D303">
        <v>303</v>
      </c>
      <c r="E303" t="s">
        <v>2108</v>
      </c>
      <c r="F303" t="s">
        <v>123</v>
      </c>
      <c r="G303" t="s">
        <v>124</v>
      </c>
      <c r="H303" t="s">
        <v>136</v>
      </c>
      <c r="I303" t="s">
        <v>137</v>
      </c>
      <c r="J303" t="s">
        <v>138</v>
      </c>
      <c r="K303" t="s">
        <v>127</v>
      </c>
      <c r="L303">
        <v>50</v>
      </c>
      <c r="M303">
        <v>938127</v>
      </c>
      <c r="N303">
        <v>5</v>
      </c>
      <c r="O303">
        <v>1</v>
      </c>
      <c r="P303" t="s">
        <v>128</v>
      </c>
      <c r="Q303" t="s">
        <v>129</v>
      </c>
      <c r="R303">
        <v>28</v>
      </c>
      <c r="T303">
        <v>0</v>
      </c>
      <c r="U303">
        <v>4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4</v>
      </c>
      <c r="AB303">
        <v>50</v>
      </c>
      <c r="AC303">
        <v>4</v>
      </c>
      <c r="AD303">
        <v>0</v>
      </c>
      <c r="AE303">
        <v>0</v>
      </c>
      <c r="AF303">
        <v>4</v>
      </c>
      <c r="AG303">
        <v>0</v>
      </c>
      <c r="AH303">
        <v>46</v>
      </c>
      <c r="AI303">
        <v>46</v>
      </c>
      <c r="AJ303">
        <v>46</v>
      </c>
      <c r="AK303">
        <v>46</v>
      </c>
      <c r="AL303">
        <v>0</v>
      </c>
      <c r="AM303">
        <v>0.1</v>
      </c>
      <c r="AN303">
        <v>4.1818181818181817</v>
      </c>
      <c r="AO303">
        <v>0</v>
      </c>
      <c r="AP303" t="s">
        <v>139</v>
      </c>
      <c r="AQ303" t="s">
        <v>131</v>
      </c>
      <c r="AR303" t="s">
        <v>194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 t="s">
        <v>134</v>
      </c>
      <c r="BA303">
        <v>5</v>
      </c>
      <c r="BB303">
        <v>0</v>
      </c>
      <c r="BC303" t="s">
        <v>133</v>
      </c>
      <c r="BD303">
        <v>0</v>
      </c>
      <c r="BE303" t="s">
        <v>133</v>
      </c>
      <c r="BF30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304" spans="1:58" x14ac:dyDescent="0.25">
      <c r="A304" t="s">
        <v>517</v>
      </c>
      <c r="B304" t="s">
        <v>19</v>
      </c>
      <c r="C304">
        <v>1</v>
      </c>
      <c r="D304">
        <v>304</v>
      </c>
      <c r="E304" t="s">
        <v>2108</v>
      </c>
      <c r="F304" t="s">
        <v>123</v>
      </c>
      <c r="G304" t="s">
        <v>124</v>
      </c>
      <c r="H304" t="s">
        <v>125</v>
      </c>
      <c r="I304" t="s">
        <v>126</v>
      </c>
      <c r="J304" t="s">
        <v>126</v>
      </c>
      <c r="K304" t="s">
        <v>127</v>
      </c>
      <c r="L304">
        <v>50</v>
      </c>
      <c r="M304">
        <v>938129</v>
      </c>
      <c r="N304">
        <v>6</v>
      </c>
      <c r="O304">
        <v>1</v>
      </c>
      <c r="P304" t="s">
        <v>128</v>
      </c>
      <c r="Q304" t="s">
        <v>129</v>
      </c>
      <c r="R304">
        <v>28</v>
      </c>
      <c r="T304">
        <v>12</v>
      </c>
      <c r="U304">
        <v>17</v>
      </c>
      <c r="V304">
        <v>4</v>
      </c>
      <c r="W304">
        <v>0</v>
      </c>
      <c r="X304">
        <v>4</v>
      </c>
      <c r="Y304">
        <v>3</v>
      </c>
      <c r="Z304">
        <v>19</v>
      </c>
      <c r="AA304">
        <v>24</v>
      </c>
      <c r="AB304">
        <v>50</v>
      </c>
      <c r="AC304">
        <v>17</v>
      </c>
      <c r="AD304">
        <v>6</v>
      </c>
      <c r="AE304">
        <v>4</v>
      </c>
      <c r="AF304">
        <v>27</v>
      </c>
      <c r="AG304">
        <v>0</v>
      </c>
      <c r="AH304">
        <v>33</v>
      </c>
      <c r="AI304">
        <v>23</v>
      </c>
      <c r="AJ304">
        <v>29</v>
      </c>
      <c r="AK304">
        <v>33</v>
      </c>
      <c r="AL304">
        <v>0</v>
      </c>
      <c r="AM304">
        <v>0.12</v>
      </c>
      <c r="AN304">
        <v>2.6363636363636362</v>
      </c>
      <c r="AO304">
        <v>0</v>
      </c>
      <c r="AP304" t="s">
        <v>130</v>
      </c>
      <c r="AQ304" t="s">
        <v>131</v>
      </c>
      <c r="AR304" t="s">
        <v>194</v>
      </c>
      <c r="AS304">
        <v>1373</v>
      </c>
      <c r="AT304">
        <v>1630</v>
      </c>
      <c r="AU304">
        <v>0</v>
      </c>
      <c r="AV304">
        <v>0</v>
      </c>
      <c r="AW304">
        <v>3.0030000000000001</v>
      </c>
      <c r="AX304">
        <v>0.17664705882352941</v>
      </c>
      <c r="AY304">
        <v>4.7694705882352944</v>
      </c>
      <c r="AZ304" t="s">
        <v>135</v>
      </c>
      <c r="BA304">
        <v>1.2305294117647056</v>
      </c>
      <c r="BB304">
        <v>6.9660339660339652</v>
      </c>
      <c r="BC304" t="s">
        <v>133</v>
      </c>
      <c r="BD304">
        <v>0</v>
      </c>
      <c r="BE304" t="s">
        <v>133</v>
      </c>
      <c r="BF30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3.0030000000000001</v>
      </c>
    </row>
    <row r="305" spans="1:58" x14ac:dyDescent="0.25">
      <c r="A305" t="s">
        <v>518</v>
      </c>
      <c r="B305" t="s">
        <v>19</v>
      </c>
      <c r="C305">
        <v>1</v>
      </c>
      <c r="D305">
        <v>305</v>
      </c>
      <c r="E305" t="s">
        <v>2108</v>
      </c>
      <c r="F305" t="s">
        <v>123</v>
      </c>
      <c r="G305" t="s">
        <v>124</v>
      </c>
      <c r="H305" t="s">
        <v>125</v>
      </c>
      <c r="I305" t="s">
        <v>126</v>
      </c>
      <c r="J305" t="s">
        <v>126</v>
      </c>
      <c r="K305" t="s">
        <v>127</v>
      </c>
      <c r="L305">
        <v>50</v>
      </c>
      <c r="M305">
        <v>938131</v>
      </c>
      <c r="N305">
        <v>6</v>
      </c>
      <c r="O305">
        <v>1</v>
      </c>
      <c r="P305" t="s">
        <v>128</v>
      </c>
      <c r="Q305" t="s">
        <v>129</v>
      </c>
      <c r="R305">
        <v>28</v>
      </c>
      <c r="T305">
        <v>36</v>
      </c>
      <c r="U305">
        <v>41</v>
      </c>
      <c r="V305">
        <v>1</v>
      </c>
      <c r="W305">
        <v>0</v>
      </c>
      <c r="X305">
        <v>1</v>
      </c>
      <c r="Y305">
        <v>2</v>
      </c>
      <c r="Z305">
        <v>39</v>
      </c>
      <c r="AA305">
        <v>44</v>
      </c>
      <c r="AB305">
        <v>50</v>
      </c>
      <c r="AC305">
        <v>41</v>
      </c>
      <c r="AD305">
        <v>1</v>
      </c>
      <c r="AE305">
        <v>2</v>
      </c>
      <c r="AF305">
        <v>44</v>
      </c>
      <c r="AG305">
        <v>0</v>
      </c>
      <c r="AH305">
        <v>9</v>
      </c>
      <c r="AI305">
        <v>6</v>
      </c>
      <c r="AJ305">
        <v>7</v>
      </c>
      <c r="AK305">
        <v>9</v>
      </c>
      <c r="AL305">
        <v>0</v>
      </c>
      <c r="AM305">
        <v>0.12</v>
      </c>
      <c r="AN305">
        <v>0.63636363636363635</v>
      </c>
      <c r="AO305">
        <v>0</v>
      </c>
      <c r="AP305" t="s">
        <v>130</v>
      </c>
      <c r="AQ305" t="s">
        <v>131</v>
      </c>
      <c r="AR305" t="s">
        <v>194</v>
      </c>
      <c r="AS305">
        <v>5659</v>
      </c>
      <c r="AT305">
        <v>5733</v>
      </c>
      <c r="AU305">
        <v>0</v>
      </c>
      <c r="AV305">
        <v>0</v>
      </c>
      <c r="AW305">
        <v>11.391999999999999</v>
      </c>
      <c r="AX305">
        <v>0.27785365853658534</v>
      </c>
      <c r="AY305">
        <v>12.225560975609755</v>
      </c>
      <c r="AZ305" t="s">
        <v>135</v>
      </c>
      <c r="BA305">
        <v>-6.2255609756097545</v>
      </c>
      <c r="BB305">
        <v>-22.405898876404493</v>
      </c>
      <c r="BC305" t="s">
        <v>133</v>
      </c>
      <c r="BD305">
        <v>0</v>
      </c>
      <c r="BE305" t="s">
        <v>133</v>
      </c>
      <c r="BF30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11.391999999999999</v>
      </c>
    </row>
    <row r="306" spans="1:58" x14ac:dyDescent="0.25">
      <c r="A306" t="s">
        <v>519</v>
      </c>
      <c r="B306" t="s">
        <v>19</v>
      </c>
      <c r="C306">
        <v>1</v>
      </c>
      <c r="D306">
        <v>306</v>
      </c>
      <c r="E306" t="s">
        <v>2108</v>
      </c>
      <c r="F306" t="s">
        <v>123</v>
      </c>
      <c r="G306" t="s">
        <v>124</v>
      </c>
      <c r="H306" t="s">
        <v>125</v>
      </c>
      <c r="I306" t="s">
        <v>126</v>
      </c>
      <c r="J306" t="s">
        <v>126</v>
      </c>
      <c r="K306" t="s">
        <v>127</v>
      </c>
      <c r="L306">
        <v>50</v>
      </c>
      <c r="M306">
        <v>938133</v>
      </c>
      <c r="N306">
        <v>6</v>
      </c>
      <c r="O306">
        <v>1</v>
      </c>
      <c r="P306" t="s">
        <v>128</v>
      </c>
      <c r="Q306" t="s">
        <v>129</v>
      </c>
      <c r="R306">
        <v>28</v>
      </c>
      <c r="T306">
        <v>18</v>
      </c>
      <c r="U306">
        <v>23</v>
      </c>
      <c r="V306">
        <v>2</v>
      </c>
      <c r="W306">
        <v>0</v>
      </c>
      <c r="X306">
        <v>2</v>
      </c>
      <c r="Y306">
        <v>5</v>
      </c>
      <c r="Z306">
        <v>25</v>
      </c>
      <c r="AA306">
        <v>30</v>
      </c>
      <c r="AB306">
        <v>50</v>
      </c>
      <c r="AC306">
        <v>25</v>
      </c>
      <c r="AD306">
        <v>2</v>
      </c>
      <c r="AE306">
        <v>6</v>
      </c>
      <c r="AF306">
        <v>33</v>
      </c>
      <c r="AG306">
        <v>0</v>
      </c>
      <c r="AH306">
        <v>25</v>
      </c>
      <c r="AI306">
        <v>17</v>
      </c>
      <c r="AJ306">
        <v>19</v>
      </c>
      <c r="AK306">
        <v>25</v>
      </c>
      <c r="AL306">
        <v>0</v>
      </c>
      <c r="AM306">
        <v>0.12</v>
      </c>
      <c r="AN306">
        <v>1.7272727272727273</v>
      </c>
      <c r="AO306">
        <v>0</v>
      </c>
      <c r="AP306" t="s">
        <v>130</v>
      </c>
      <c r="AQ306" t="s">
        <v>131</v>
      </c>
      <c r="AR306" t="s">
        <v>194</v>
      </c>
      <c r="AS306">
        <v>2160</v>
      </c>
      <c r="AT306">
        <v>2162</v>
      </c>
      <c r="AU306">
        <v>0</v>
      </c>
      <c r="AV306">
        <v>0</v>
      </c>
      <c r="AW306">
        <v>4.3220000000000001</v>
      </c>
      <c r="AX306">
        <v>0.17288000000000001</v>
      </c>
      <c r="AY306">
        <v>5.7050400000000003</v>
      </c>
      <c r="AZ306" t="s">
        <v>135</v>
      </c>
      <c r="BA306">
        <v>0.29495999999999967</v>
      </c>
      <c r="BB306">
        <v>1.7061545580749633</v>
      </c>
      <c r="BC306" t="s">
        <v>133</v>
      </c>
      <c r="BD306">
        <v>0</v>
      </c>
      <c r="BE306" t="s">
        <v>133</v>
      </c>
      <c r="BF30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4.3220000000000001</v>
      </c>
    </row>
    <row r="307" spans="1:58" x14ac:dyDescent="0.25">
      <c r="A307" t="s">
        <v>520</v>
      </c>
      <c r="B307" t="s">
        <v>19</v>
      </c>
      <c r="C307">
        <v>1</v>
      </c>
      <c r="D307">
        <v>307</v>
      </c>
      <c r="E307" t="s">
        <v>2108</v>
      </c>
      <c r="F307" t="s">
        <v>123</v>
      </c>
      <c r="G307" t="s">
        <v>124</v>
      </c>
      <c r="H307" t="s">
        <v>125</v>
      </c>
      <c r="I307" t="s">
        <v>126</v>
      </c>
      <c r="J307" t="s">
        <v>126</v>
      </c>
      <c r="K307" t="s">
        <v>127</v>
      </c>
      <c r="L307">
        <v>50</v>
      </c>
      <c r="M307">
        <v>938135</v>
      </c>
      <c r="N307">
        <v>6</v>
      </c>
      <c r="O307">
        <v>1</v>
      </c>
      <c r="P307" t="s">
        <v>128</v>
      </c>
      <c r="Q307" t="s">
        <v>129</v>
      </c>
      <c r="R307">
        <v>28</v>
      </c>
      <c r="T307">
        <v>10</v>
      </c>
      <c r="U307">
        <v>15</v>
      </c>
      <c r="V307">
        <v>0</v>
      </c>
      <c r="W307">
        <v>0</v>
      </c>
      <c r="X307">
        <v>0</v>
      </c>
      <c r="Y307">
        <v>0</v>
      </c>
      <c r="Z307">
        <v>10</v>
      </c>
      <c r="AA307">
        <v>15</v>
      </c>
      <c r="AB307">
        <v>50</v>
      </c>
      <c r="AC307">
        <v>40</v>
      </c>
      <c r="AD307">
        <v>0</v>
      </c>
      <c r="AE307">
        <v>0</v>
      </c>
      <c r="AF307">
        <v>40</v>
      </c>
      <c r="AG307">
        <v>0</v>
      </c>
      <c r="AH307">
        <v>10</v>
      </c>
      <c r="AI307">
        <v>10</v>
      </c>
      <c r="AJ307">
        <v>10</v>
      </c>
      <c r="AK307">
        <v>10</v>
      </c>
      <c r="AL307">
        <v>0</v>
      </c>
      <c r="AM307">
        <v>0.12</v>
      </c>
      <c r="AN307">
        <v>0.90909090909090917</v>
      </c>
      <c r="AO307">
        <v>0</v>
      </c>
      <c r="AP307" t="s">
        <v>130</v>
      </c>
      <c r="AQ307" t="s">
        <v>131</v>
      </c>
      <c r="AR307" t="s">
        <v>194</v>
      </c>
      <c r="AS307">
        <v>2440</v>
      </c>
      <c r="AT307">
        <v>2735</v>
      </c>
      <c r="AU307">
        <v>0</v>
      </c>
      <c r="AV307">
        <v>0</v>
      </c>
      <c r="AW307">
        <v>5.1749999999999998</v>
      </c>
      <c r="AX307">
        <v>0.12937499999999999</v>
      </c>
      <c r="AY307">
        <v>5.1749999999999998</v>
      </c>
      <c r="AZ307" t="s">
        <v>135</v>
      </c>
      <c r="BA307">
        <v>0.82500000000000018</v>
      </c>
      <c r="BB307">
        <v>6.3768115942029002</v>
      </c>
      <c r="BC307" t="s">
        <v>133</v>
      </c>
      <c r="BD307">
        <v>0</v>
      </c>
      <c r="BE307" t="s">
        <v>133</v>
      </c>
      <c r="BF30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5.1749999999999998</v>
      </c>
    </row>
    <row r="308" spans="1:58" x14ac:dyDescent="0.25">
      <c r="A308" t="s">
        <v>521</v>
      </c>
      <c r="B308" t="s">
        <v>19</v>
      </c>
      <c r="C308">
        <v>1</v>
      </c>
      <c r="D308">
        <v>308</v>
      </c>
      <c r="E308" t="s">
        <v>2108</v>
      </c>
      <c r="F308" t="s">
        <v>123</v>
      </c>
      <c r="G308" t="s">
        <v>124</v>
      </c>
      <c r="H308" t="s">
        <v>125</v>
      </c>
      <c r="I308" t="s">
        <v>126</v>
      </c>
      <c r="J308" t="s">
        <v>126</v>
      </c>
      <c r="K308" t="s">
        <v>127</v>
      </c>
      <c r="L308">
        <v>50</v>
      </c>
      <c r="M308">
        <v>938137</v>
      </c>
      <c r="N308">
        <v>6</v>
      </c>
      <c r="O308">
        <v>1</v>
      </c>
      <c r="P308" t="s">
        <v>128</v>
      </c>
      <c r="Q308" t="s">
        <v>129</v>
      </c>
      <c r="R308">
        <v>28</v>
      </c>
      <c r="T308">
        <v>1</v>
      </c>
      <c r="U308">
        <v>6</v>
      </c>
      <c r="V308">
        <v>3</v>
      </c>
      <c r="W308">
        <v>0</v>
      </c>
      <c r="X308">
        <v>3</v>
      </c>
      <c r="Y308">
        <v>1</v>
      </c>
      <c r="Z308">
        <v>5</v>
      </c>
      <c r="AA308">
        <v>10</v>
      </c>
      <c r="AB308">
        <v>50</v>
      </c>
      <c r="AC308">
        <v>7</v>
      </c>
      <c r="AD308">
        <v>5</v>
      </c>
      <c r="AE308">
        <v>1</v>
      </c>
      <c r="AF308">
        <v>13</v>
      </c>
      <c r="AG308">
        <v>0</v>
      </c>
      <c r="AH308">
        <v>43</v>
      </c>
      <c r="AI308">
        <v>37</v>
      </c>
      <c r="AJ308">
        <v>42</v>
      </c>
      <c r="AK308">
        <v>43</v>
      </c>
      <c r="AL308">
        <v>0</v>
      </c>
      <c r="AM308">
        <v>0.12</v>
      </c>
      <c r="AN308">
        <v>3.8181818181818183</v>
      </c>
      <c r="AO308">
        <v>0</v>
      </c>
      <c r="AP308" t="s">
        <v>130</v>
      </c>
      <c r="AQ308" t="s">
        <v>131</v>
      </c>
      <c r="AR308" t="s">
        <v>194</v>
      </c>
      <c r="AS308">
        <v>518</v>
      </c>
      <c r="AT308">
        <v>616</v>
      </c>
      <c r="AU308">
        <v>0</v>
      </c>
      <c r="AV308">
        <v>0</v>
      </c>
      <c r="AW308">
        <v>1.1339999999999999</v>
      </c>
      <c r="AX308">
        <v>0.16199999999999998</v>
      </c>
      <c r="AY308">
        <v>2.1059999999999999</v>
      </c>
      <c r="AZ308" t="s">
        <v>135</v>
      </c>
      <c r="BA308">
        <v>3.8940000000000001</v>
      </c>
      <c r="BB308">
        <v>24.037037037037042</v>
      </c>
      <c r="BC308" t="s">
        <v>144</v>
      </c>
      <c r="BD308">
        <v>0</v>
      </c>
      <c r="BE308" t="s">
        <v>133</v>
      </c>
      <c r="BF30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1.1339999999999999</v>
      </c>
    </row>
    <row r="309" spans="1:58" x14ac:dyDescent="0.25">
      <c r="A309" t="s">
        <v>522</v>
      </c>
      <c r="B309" t="s">
        <v>19</v>
      </c>
      <c r="C309">
        <v>1</v>
      </c>
      <c r="D309">
        <v>309</v>
      </c>
      <c r="E309" t="s">
        <v>2110</v>
      </c>
      <c r="F309" t="s">
        <v>123</v>
      </c>
      <c r="G309" t="s">
        <v>124</v>
      </c>
      <c r="H309" t="s">
        <v>125</v>
      </c>
      <c r="I309" t="s">
        <v>126</v>
      </c>
      <c r="J309" t="s">
        <v>145</v>
      </c>
      <c r="K309" t="s">
        <v>127</v>
      </c>
      <c r="L309">
        <v>50</v>
      </c>
      <c r="M309">
        <v>1017293</v>
      </c>
      <c r="N309">
        <v>6</v>
      </c>
      <c r="O309">
        <v>2</v>
      </c>
      <c r="P309" t="s">
        <v>128</v>
      </c>
      <c r="Q309" t="s">
        <v>129</v>
      </c>
      <c r="R309">
        <v>29</v>
      </c>
      <c r="T309">
        <v>9</v>
      </c>
      <c r="U309">
        <v>23</v>
      </c>
      <c r="V309">
        <v>2</v>
      </c>
      <c r="W309">
        <v>0</v>
      </c>
      <c r="X309">
        <v>2</v>
      </c>
      <c r="Y309">
        <v>0</v>
      </c>
      <c r="Z309">
        <v>9</v>
      </c>
      <c r="AA309">
        <v>25</v>
      </c>
      <c r="AB309">
        <v>50</v>
      </c>
      <c r="AC309">
        <v>35</v>
      </c>
      <c r="AD309">
        <v>2</v>
      </c>
      <c r="AE309">
        <v>0</v>
      </c>
      <c r="AF309">
        <v>37</v>
      </c>
      <c r="AG309">
        <v>0</v>
      </c>
      <c r="AH309">
        <v>15</v>
      </c>
      <c r="AI309">
        <v>13</v>
      </c>
      <c r="AJ309">
        <v>15</v>
      </c>
      <c r="AK309">
        <v>15</v>
      </c>
      <c r="AL309">
        <v>0</v>
      </c>
      <c r="AM309">
        <v>0.12</v>
      </c>
      <c r="AN309">
        <v>1.3636363636363638</v>
      </c>
      <c r="AO309">
        <v>0</v>
      </c>
      <c r="AP309" t="s">
        <v>130</v>
      </c>
      <c r="AQ309" t="s">
        <v>131</v>
      </c>
      <c r="AR309" t="s">
        <v>523</v>
      </c>
      <c r="AS309">
        <v>1152</v>
      </c>
      <c r="AT309">
        <v>1114</v>
      </c>
      <c r="AU309">
        <v>0</v>
      </c>
      <c r="AV309">
        <v>0</v>
      </c>
      <c r="AW309">
        <v>2.266</v>
      </c>
      <c r="AX309">
        <v>6.4742857142857144E-2</v>
      </c>
      <c r="AY309">
        <v>2.3954857142857144</v>
      </c>
      <c r="AZ309" t="s">
        <v>135</v>
      </c>
      <c r="BA309">
        <v>3.6045142857142856</v>
      </c>
      <c r="BB309">
        <v>55.674315975286845</v>
      </c>
      <c r="BC309" t="s">
        <v>132</v>
      </c>
      <c r="BD309">
        <v>0</v>
      </c>
      <c r="BE309" t="s">
        <v>133</v>
      </c>
      <c r="BF30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2.266</v>
      </c>
    </row>
    <row r="310" spans="1:58" x14ac:dyDescent="0.25">
      <c r="A310" t="s">
        <v>524</v>
      </c>
      <c r="B310" t="s">
        <v>19</v>
      </c>
      <c r="C310">
        <v>1</v>
      </c>
      <c r="D310">
        <v>310</v>
      </c>
      <c r="E310" t="s">
        <v>2110</v>
      </c>
      <c r="F310" t="s">
        <v>123</v>
      </c>
      <c r="G310" t="s">
        <v>124</v>
      </c>
      <c r="H310" t="s">
        <v>125</v>
      </c>
      <c r="I310" t="s">
        <v>126</v>
      </c>
      <c r="J310" t="s">
        <v>126</v>
      </c>
      <c r="K310" t="s">
        <v>127</v>
      </c>
      <c r="L310">
        <v>50</v>
      </c>
      <c r="M310">
        <v>1017295</v>
      </c>
      <c r="N310">
        <v>6</v>
      </c>
      <c r="O310">
        <v>2</v>
      </c>
      <c r="P310" t="s">
        <v>128</v>
      </c>
      <c r="Q310" t="s">
        <v>129</v>
      </c>
      <c r="R310">
        <v>29</v>
      </c>
      <c r="T310">
        <v>7</v>
      </c>
      <c r="U310">
        <v>12</v>
      </c>
      <c r="V310">
        <v>3</v>
      </c>
      <c r="W310">
        <v>0</v>
      </c>
      <c r="X310">
        <v>3</v>
      </c>
      <c r="Y310">
        <v>3</v>
      </c>
      <c r="Z310">
        <v>13</v>
      </c>
      <c r="AA310">
        <v>18</v>
      </c>
      <c r="AB310">
        <v>50</v>
      </c>
      <c r="AC310">
        <v>12</v>
      </c>
      <c r="AD310">
        <v>8</v>
      </c>
      <c r="AE310">
        <v>5</v>
      </c>
      <c r="AF310">
        <v>25</v>
      </c>
      <c r="AG310">
        <v>0</v>
      </c>
      <c r="AH310">
        <v>38</v>
      </c>
      <c r="AI310">
        <v>25</v>
      </c>
      <c r="AJ310">
        <v>33</v>
      </c>
      <c r="AK310">
        <v>38</v>
      </c>
      <c r="AL310">
        <v>0</v>
      </c>
      <c r="AM310">
        <v>0.12</v>
      </c>
      <c r="AN310">
        <v>3</v>
      </c>
      <c r="AO310">
        <v>0</v>
      </c>
      <c r="AP310" t="s">
        <v>130</v>
      </c>
      <c r="AQ310" t="s">
        <v>131</v>
      </c>
      <c r="AR310" t="s">
        <v>523</v>
      </c>
      <c r="AS310">
        <v>1380</v>
      </c>
      <c r="AT310">
        <v>1235</v>
      </c>
      <c r="AU310">
        <v>0</v>
      </c>
      <c r="AV310">
        <v>0</v>
      </c>
      <c r="AW310">
        <v>2.6150000000000002</v>
      </c>
      <c r="AX310">
        <v>0.21791666666666668</v>
      </c>
      <c r="AY310">
        <v>5.447916666666667</v>
      </c>
      <c r="AZ310" t="s">
        <v>135</v>
      </c>
      <c r="BA310">
        <v>0.55208333333333304</v>
      </c>
      <c r="BB310">
        <v>2.5334608030592718</v>
      </c>
      <c r="BC310" t="s">
        <v>133</v>
      </c>
      <c r="BD310">
        <v>0</v>
      </c>
      <c r="BE310" t="s">
        <v>133</v>
      </c>
      <c r="BF31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2.6150000000000002</v>
      </c>
    </row>
    <row r="311" spans="1:58" x14ac:dyDescent="0.25">
      <c r="A311" t="s">
        <v>525</v>
      </c>
      <c r="B311" t="s">
        <v>19</v>
      </c>
      <c r="C311">
        <v>1</v>
      </c>
      <c r="D311">
        <v>311</v>
      </c>
      <c r="E311" t="s">
        <v>2110</v>
      </c>
      <c r="F311" t="s">
        <v>123</v>
      </c>
      <c r="G311" t="s">
        <v>124</v>
      </c>
      <c r="H311" t="s">
        <v>125</v>
      </c>
      <c r="I311" t="s">
        <v>126</v>
      </c>
      <c r="J311" t="s">
        <v>126</v>
      </c>
      <c r="K311" t="s">
        <v>127</v>
      </c>
      <c r="L311">
        <v>50</v>
      </c>
      <c r="M311">
        <v>1017297</v>
      </c>
      <c r="N311">
        <v>6</v>
      </c>
      <c r="O311">
        <v>2</v>
      </c>
      <c r="P311" t="s">
        <v>128</v>
      </c>
      <c r="Q311" t="s">
        <v>129</v>
      </c>
      <c r="R311">
        <v>29</v>
      </c>
      <c r="T311">
        <v>19</v>
      </c>
      <c r="U311">
        <v>24</v>
      </c>
      <c r="V311">
        <v>12</v>
      </c>
      <c r="W311">
        <v>0</v>
      </c>
      <c r="X311">
        <v>12</v>
      </c>
      <c r="Y311">
        <v>2</v>
      </c>
      <c r="Z311">
        <v>33</v>
      </c>
      <c r="AA311">
        <v>38</v>
      </c>
      <c r="AB311">
        <v>50</v>
      </c>
      <c r="AC311">
        <v>24</v>
      </c>
      <c r="AD311">
        <v>14</v>
      </c>
      <c r="AE311">
        <v>4</v>
      </c>
      <c r="AF311">
        <v>42</v>
      </c>
      <c r="AG311">
        <v>0</v>
      </c>
      <c r="AH311">
        <v>26</v>
      </c>
      <c r="AI311">
        <v>8</v>
      </c>
      <c r="AJ311">
        <v>22</v>
      </c>
      <c r="AK311">
        <v>26</v>
      </c>
      <c r="AL311">
        <v>0</v>
      </c>
      <c r="AM311">
        <v>0.12</v>
      </c>
      <c r="AN311">
        <v>2</v>
      </c>
      <c r="AO311">
        <v>0</v>
      </c>
      <c r="AP311" t="s">
        <v>130</v>
      </c>
      <c r="AQ311" t="s">
        <v>131</v>
      </c>
      <c r="AR311" t="s">
        <v>523</v>
      </c>
      <c r="AS311">
        <v>4009</v>
      </c>
      <c r="AT311">
        <v>3997</v>
      </c>
      <c r="AU311">
        <v>0</v>
      </c>
      <c r="AV311">
        <v>0</v>
      </c>
      <c r="AW311">
        <v>8.0060000000000002</v>
      </c>
      <c r="AX311">
        <v>0.33358333333333334</v>
      </c>
      <c r="AY311">
        <v>14.0105</v>
      </c>
      <c r="AZ311" t="s">
        <v>135</v>
      </c>
      <c r="BA311">
        <v>-8.0105000000000004</v>
      </c>
      <c r="BB311">
        <v>-24.013489882588061</v>
      </c>
      <c r="BC311" t="s">
        <v>133</v>
      </c>
      <c r="BD311">
        <v>0</v>
      </c>
      <c r="BE311" t="s">
        <v>133</v>
      </c>
      <c r="BF31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8.0060000000000002</v>
      </c>
    </row>
    <row r="312" spans="1:58" x14ac:dyDescent="0.25">
      <c r="A312" t="s">
        <v>526</v>
      </c>
      <c r="B312" t="s">
        <v>19</v>
      </c>
      <c r="C312">
        <v>1</v>
      </c>
      <c r="D312">
        <v>312</v>
      </c>
      <c r="E312" t="s">
        <v>2110</v>
      </c>
      <c r="F312" t="s">
        <v>123</v>
      </c>
      <c r="G312" t="s">
        <v>124</v>
      </c>
      <c r="H312" t="s">
        <v>125</v>
      </c>
      <c r="I312" t="s">
        <v>126</v>
      </c>
      <c r="J312" t="s">
        <v>126</v>
      </c>
      <c r="K312" t="s">
        <v>127</v>
      </c>
      <c r="L312">
        <v>50</v>
      </c>
      <c r="M312">
        <v>1017299</v>
      </c>
      <c r="N312">
        <v>6</v>
      </c>
      <c r="O312">
        <v>2</v>
      </c>
      <c r="P312" t="s">
        <v>128</v>
      </c>
      <c r="Q312" t="s">
        <v>129</v>
      </c>
      <c r="R312">
        <v>29</v>
      </c>
      <c r="T312">
        <v>17</v>
      </c>
      <c r="U312">
        <v>22</v>
      </c>
      <c r="V312">
        <v>8</v>
      </c>
      <c r="W312">
        <v>0</v>
      </c>
      <c r="X312">
        <v>8</v>
      </c>
      <c r="Y312">
        <v>2</v>
      </c>
      <c r="Z312">
        <v>27</v>
      </c>
      <c r="AA312">
        <v>32</v>
      </c>
      <c r="AB312">
        <v>50</v>
      </c>
      <c r="AC312">
        <v>23</v>
      </c>
      <c r="AD312">
        <v>8</v>
      </c>
      <c r="AE312">
        <v>2</v>
      </c>
      <c r="AF312">
        <v>33</v>
      </c>
      <c r="AG312">
        <v>0</v>
      </c>
      <c r="AH312">
        <v>27</v>
      </c>
      <c r="AI312">
        <v>17</v>
      </c>
      <c r="AJ312">
        <v>25</v>
      </c>
      <c r="AK312">
        <v>27</v>
      </c>
      <c r="AL312">
        <v>0</v>
      </c>
      <c r="AM312">
        <v>0.12</v>
      </c>
      <c r="AN312">
        <v>2.2727272727272729</v>
      </c>
      <c r="AO312">
        <v>0</v>
      </c>
      <c r="AP312" t="s">
        <v>130</v>
      </c>
      <c r="AQ312" t="s">
        <v>131</v>
      </c>
      <c r="AR312" t="s">
        <v>523</v>
      </c>
      <c r="AS312">
        <v>2699</v>
      </c>
      <c r="AT312">
        <v>2648</v>
      </c>
      <c r="AU312">
        <v>0</v>
      </c>
      <c r="AV312">
        <v>0</v>
      </c>
      <c r="AW312">
        <v>5.3470000000000004</v>
      </c>
      <c r="AX312">
        <v>0.23247826086956525</v>
      </c>
      <c r="AY312">
        <v>7.6717826086956533</v>
      </c>
      <c r="AZ312" t="s">
        <v>135</v>
      </c>
      <c r="BA312">
        <v>-1.6717826086956533</v>
      </c>
      <c r="BB312">
        <v>-7.1911352160089814</v>
      </c>
      <c r="BC312" t="s">
        <v>133</v>
      </c>
      <c r="BD312">
        <v>0</v>
      </c>
      <c r="BE312" t="s">
        <v>133</v>
      </c>
      <c r="BF31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5.3470000000000004</v>
      </c>
    </row>
    <row r="313" spans="1:58" x14ac:dyDescent="0.25">
      <c r="A313" t="s">
        <v>527</v>
      </c>
      <c r="B313" t="s">
        <v>19</v>
      </c>
      <c r="C313">
        <v>1</v>
      </c>
      <c r="D313">
        <v>313</v>
      </c>
      <c r="E313" t="s">
        <v>2110</v>
      </c>
      <c r="F313" t="s">
        <v>123</v>
      </c>
      <c r="G313" t="s">
        <v>124</v>
      </c>
      <c r="H313" t="s">
        <v>125</v>
      </c>
      <c r="I313" t="s">
        <v>126</v>
      </c>
      <c r="J313" t="s">
        <v>126</v>
      </c>
      <c r="K313" t="s">
        <v>127</v>
      </c>
      <c r="L313">
        <v>50</v>
      </c>
      <c r="M313">
        <v>1017301</v>
      </c>
      <c r="N313">
        <v>6</v>
      </c>
      <c r="O313">
        <v>2</v>
      </c>
      <c r="P313" t="s">
        <v>128</v>
      </c>
      <c r="Q313" t="s">
        <v>129</v>
      </c>
      <c r="R313">
        <v>29</v>
      </c>
      <c r="T313">
        <v>8</v>
      </c>
      <c r="U313">
        <v>13</v>
      </c>
      <c r="V313">
        <v>8</v>
      </c>
      <c r="W313">
        <v>0</v>
      </c>
      <c r="X313">
        <v>8</v>
      </c>
      <c r="Y313">
        <v>1</v>
      </c>
      <c r="Z313">
        <v>17</v>
      </c>
      <c r="AA313">
        <v>22</v>
      </c>
      <c r="AB313">
        <v>50</v>
      </c>
      <c r="AC313">
        <v>19</v>
      </c>
      <c r="AD313">
        <v>11</v>
      </c>
      <c r="AE313">
        <v>1</v>
      </c>
      <c r="AF313">
        <v>31</v>
      </c>
      <c r="AG313">
        <v>0</v>
      </c>
      <c r="AH313">
        <v>31</v>
      </c>
      <c r="AI313">
        <v>19</v>
      </c>
      <c r="AJ313">
        <v>30</v>
      </c>
      <c r="AK313">
        <v>31</v>
      </c>
      <c r="AL313">
        <v>0</v>
      </c>
      <c r="AM313">
        <v>0.12</v>
      </c>
      <c r="AN313">
        <v>2.7272727272727275</v>
      </c>
      <c r="AO313">
        <v>0</v>
      </c>
      <c r="AP313" t="s">
        <v>130</v>
      </c>
      <c r="AQ313" t="s">
        <v>131</v>
      </c>
      <c r="AR313" t="s">
        <v>523</v>
      </c>
      <c r="AS313">
        <v>1816</v>
      </c>
      <c r="AT313">
        <v>1511</v>
      </c>
      <c r="AU313">
        <v>0</v>
      </c>
      <c r="AV313">
        <v>0</v>
      </c>
      <c r="AW313">
        <v>3.327</v>
      </c>
      <c r="AX313">
        <v>0.17510526315789474</v>
      </c>
      <c r="AY313">
        <v>5.4282631578947367</v>
      </c>
      <c r="AZ313" t="s">
        <v>135</v>
      </c>
      <c r="BA313">
        <v>0.57173684210526332</v>
      </c>
      <c r="BB313">
        <v>3.265103697024347</v>
      </c>
      <c r="BC313" t="s">
        <v>133</v>
      </c>
      <c r="BD313">
        <v>0</v>
      </c>
      <c r="BE313" t="s">
        <v>133</v>
      </c>
      <c r="BF31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3.327</v>
      </c>
    </row>
    <row r="314" spans="1:58" x14ac:dyDescent="0.25">
      <c r="A314" t="s">
        <v>528</v>
      </c>
      <c r="B314" t="s">
        <v>19</v>
      </c>
      <c r="C314">
        <v>1</v>
      </c>
      <c r="D314">
        <v>314</v>
      </c>
      <c r="E314" t="s">
        <v>2110</v>
      </c>
      <c r="F314" t="s">
        <v>123</v>
      </c>
      <c r="G314" t="s">
        <v>124</v>
      </c>
      <c r="H314" t="s">
        <v>136</v>
      </c>
      <c r="I314" t="s">
        <v>137</v>
      </c>
      <c r="J314" t="s">
        <v>138</v>
      </c>
      <c r="K314" t="s">
        <v>127</v>
      </c>
      <c r="L314">
        <v>50</v>
      </c>
      <c r="M314">
        <v>1017303</v>
      </c>
      <c r="N314">
        <v>5</v>
      </c>
      <c r="O314">
        <v>2</v>
      </c>
      <c r="P314" t="s">
        <v>128</v>
      </c>
      <c r="Q314" t="s">
        <v>129</v>
      </c>
      <c r="R314">
        <v>29</v>
      </c>
      <c r="T314">
        <v>0</v>
      </c>
      <c r="U314">
        <v>4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4</v>
      </c>
      <c r="AB314">
        <v>50</v>
      </c>
      <c r="AC314">
        <v>4</v>
      </c>
      <c r="AD314">
        <v>0</v>
      </c>
      <c r="AE314">
        <v>0</v>
      </c>
      <c r="AF314">
        <v>4</v>
      </c>
      <c r="AG314">
        <v>0</v>
      </c>
      <c r="AH314">
        <v>46</v>
      </c>
      <c r="AI314">
        <v>46</v>
      </c>
      <c r="AJ314">
        <v>46</v>
      </c>
      <c r="AK314">
        <v>46</v>
      </c>
      <c r="AL314">
        <v>0</v>
      </c>
      <c r="AM314">
        <v>0.1</v>
      </c>
      <c r="AN314">
        <v>4.1818181818181817</v>
      </c>
      <c r="AO314">
        <v>0</v>
      </c>
      <c r="AP314" t="s">
        <v>139</v>
      </c>
      <c r="AQ314" t="s">
        <v>131</v>
      </c>
      <c r="AR314" t="s">
        <v>523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 t="s">
        <v>134</v>
      </c>
      <c r="BA314">
        <v>5</v>
      </c>
      <c r="BB314">
        <v>0</v>
      </c>
      <c r="BC314" t="s">
        <v>133</v>
      </c>
      <c r="BD314">
        <v>0</v>
      </c>
      <c r="BE314" t="s">
        <v>133</v>
      </c>
      <c r="BF31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315" spans="1:58" x14ac:dyDescent="0.25">
      <c r="A315" t="s">
        <v>529</v>
      </c>
      <c r="B315" t="s">
        <v>19</v>
      </c>
      <c r="C315">
        <v>1</v>
      </c>
      <c r="D315">
        <v>315</v>
      </c>
      <c r="E315" t="s">
        <v>2110</v>
      </c>
      <c r="F315" t="s">
        <v>123</v>
      </c>
      <c r="G315" t="s">
        <v>124</v>
      </c>
      <c r="H315" t="s">
        <v>125</v>
      </c>
      <c r="I315" t="s">
        <v>126</v>
      </c>
      <c r="J315" t="s">
        <v>126</v>
      </c>
      <c r="K315" t="s">
        <v>127</v>
      </c>
      <c r="L315">
        <v>50</v>
      </c>
      <c r="M315">
        <v>1017305</v>
      </c>
      <c r="N315">
        <v>6</v>
      </c>
      <c r="O315">
        <v>2</v>
      </c>
      <c r="P315" t="s">
        <v>128</v>
      </c>
      <c r="Q315" t="s">
        <v>129</v>
      </c>
      <c r="R315">
        <v>29</v>
      </c>
      <c r="T315">
        <v>3</v>
      </c>
      <c r="U315">
        <v>8</v>
      </c>
      <c r="V315">
        <v>18</v>
      </c>
      <c r="W315">
        <v>0</v>
      </c>
      <c r="X315">
        <v>18</v>
      </c>
      <c r="Y315">
        <v>1</v>
      </c>
      <c r="Z315">
        <v>22</v>
      </c>
      <c r="AA315">
        <v>27</v>
      </c>
      <c r="AB315">
        <v>50</v>
      </c>
      <c r="AC315">
        <v>9</v>
      </c>
      <c r="AD315">
        <v>26</v>
      </c>
      <c r="AE315">
        <v>2</v>
      </c>
      <c r="AF315">
        <v>37</v>
      </c>
      <c r="AG315">
        <v>0</v>
      </c>
      <c r="AH315">
        <v>41</v>
      </c>
      <c r="AI315">
        <v>13</v>
      </c>
      <c r="AJ315">
        <v>39</v>
      </c>
      <c r="AK315">
        <v>41</v>
      </c>
      <c r="AL315">
        <v>0</v>
      </c>
      <c r="AM315">
        <v>0.12</v>
      </c>
      <c r="AN315">
        <v>3.5454545454545454</v>
      </c>
      <c r="AO315">
        <v>0</v>
      </c>
      <c r="AP315" t="s">
        <v>130</v>
      </c>
      <c r="AQ315" t="s">
        <v>131</v>
      </c>
      <c r="AR315" t="s">
        <v>523</v>
      </c>
      <c r="AS315">
        <v>749</v>
      </c>
      <c r="AT315">
        <v>752</v>
      </c>
      <c r="AU315">
        <v>0</v>
      </c>
      <c r="AV315">
        <v>0</v>
      </c>
      <c r="AW315">
        <v>1.5009999999999999</v>
      </c>
      <c r="AX315">
        <v>0.16677777777777777</v>
      </c>
      <c r="AY315">
        <v>6.1707777777777775</v>
      </c>
      <c r="AZ315" t="s">
        <v>135</v>
      </c>
      <c r="BA315">
        <v>-0.17077777777777747</v>
      </c>
      <c r="BB315">
        <v>-1.0239840106595586</v>
      </c>
      <c r="BC315" t="s">
        <v>133</v>
      </c>
      <c r="BD315">
        <v>0</v>
      </c>
      <c r="BE315" t="s">
        <v>133</v>
      </c>
      <c r="BF31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1.5009999999999999</v>
      </c>
    </row>
    <row r="316" spans="1:58" x14ac:dyDescent="0.25">
      <c r="A316" t="s">
        <v>530</v>
      </c>
      <c r="B316" t="s">
        <v>19</v>
      </c>
      <c r="C316">
        <v>1</v>
      </c>
      <c r="D316">
        <v>316</v>
      </c>
      <c r="E316" t="s">
        <v>2110</v>
      </c>
      <c r="F316" t="s">
        <v>123</v>
      </c>
      <c r="G316" t="s">
        <v>124</v>
      </c>
      <c r="H316" t="s">
        <v>125</v>
      </c>
      <c r="I316" t="s">
        <v>126</v>
      </c>
      <c r="J316" t="s">
        <v>126</v>
      </c>
      <c r="K316" t="s">
        <v>127</v>
      </c>
      <c r="L316">
        <v>50</v>
      </c>
      <c r="M316">
        <v>1017307</v>
      </c>
      <c r="N316">
        <v>6</v>
      </c>
      <c r="O316">
        <v>2</v>
      </c>
      <c r="P316" t="s">
        <v>128</v>
      </c>
      <c r="Q316" t="s">
        <v>129</v>
      </c>
      <c r="R316">
        <v>29</v>
      </c>
      <c r="T316">
        <v>7</v>
      </c>
      <c r="U316">
        <v>12</v>
      </c>
      <c r="V316">
        <v>10</v>
      </c>
      <c r="W316">
        <v>0</v>
      </c>
      <c r="X316">
        <v>10</v>
      </c>
      <c r="Y316">
        <v>0</v>
      </c>
      <c r="Z316">
        <v>17</v>
      </c>
      <c r="AA316">
        <v>22</v>
      </c>
      <c r="AB316">
        <v>50</v>
      </c>
      <c r="AC316">
        <v>16</v>
      </c>
      <c r="AD316">
        <v>17</v>
      </c>
      <c r="AE316">
        <v>0</v>
      </c>
      <c r="AF316">
        <v>33</v>
      </c>
      <c r="AG316">
        <v>0</v>
      </c>
      <c r="AH316">
        <v>34</v>
      </c>
      <c r="AI316">
        <v>17</v>
      </c>
      <c r="AJ316">
        <v>34</v>
      </c>
      <c r="AK316">
        <v>34</v>
      </c>
      <c r="AL316">
        <v>0</v>
      </c>
      <c r="AM316">
        <v>0.12</v>
      </c>
      <c r="AN316">
        <v>3.0909090909090908</v>
      </c>
      <c r="AO316">
        <v>0</v>
      </c>
      <c r="AP316" t="s">
        <v>130</v>
      </c>
      <c r="AQ316" t="s">
        <v>131</v>
      </c>
      <c r="AR316" t="s">
        <v>523</v>
      </c>
      <c r="AS316">
        <v>1059</v>
      </c>
      <c r="AT316">
        <v>1014</v>
      </c>
      <c r="AU316">
        <v>0</v>
      </c>
      <c r="AV316">
        <v>0</v>
      </c>
      <c r="AW316">
        <v>2.073</v>
      </c>
      <c r="AX316">
        <v>0.1295625</v>
      </c>
      <c r="AY316">
        <v>4.2755624999999995</v>
      </c>
      <c r="AZ316" t="s">
        <v>135</v>
      </c>
      <c r="BA316">
        <v>1.7244375000000005</v>
      </c>
      <c r="BB316">
        <v>13.309696092619397</v>
      </c>
      <c r="BC316" t="s">
        <v>133</v>
      </c>
      <c r="BD316">
        <v>0</v>
      </c>
      <c r="BE316" t="s">
        <v>133</v>
      </c>
      <c r="BF31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2.073</v>
      </c>
    </row>
    <row r="317" spans="1:58" x14ac:dyDescent="0.25">
      <c r="A317" t="s">
        <v>531</v>
      </c>
      <c r="B317" t="s">
        <v>19</v>
      </c>
      <c r="C317">
        <v>1</v>
      </c>
      <c r="D317">
        <v>317</v>
      </c>
      <c r="E317" t="s">
        <v>2110</v>
      </c>
      <c r="F317" t="s">
        <v>123</v>
      </c>
      <c r="G317" t="s">
        <v>124</v>
      </c>
      <c r="H317" t="s">
        <v>125</v>
      </c>
      <c r="I317" t="s">
        <v>126</v>
      </c>
      <c r="J317" t="s">
        <v>126</v>
      </c>
      <c r="K317" t="s">
        <v>127</v>
      </c>
      <c r="L317">
        <v>50</v>
      </c>
      <c r="M317">
        <v>1017309</v>
      </c>
      <c r="N317">
        <v>6</v>
      </c>
      <c r="O317">
        <v>2</v>
      </c>
      <c r="P317" t="s">
        <v>128</v>
      </c>
      <c r="Q317" t="s">
        <v>129</v>
      </c>
      <c r="R317">
        <v>29</v>
      </c>
      <c r="T317">
        <v>0</v>
      </c>
      <c r="U317">
        <v>5</v>
      </c>
      <c r="V317">
        <v>19</v>
      </c>
      <c r="W317">
        <v>2</v>
      </c>
      <c r="X317">
        <v>17</v>
      </c>
      <c r="Y317">
        <v>2</v>
      </c>
      <c r="Z317">
        <v>21</v>
      </c>
      <c r="AA317">
        <v>26</v>
      </c>
      <c r="AB317">
        <v>50</v>
      </c>
      <c r="AC317">
        <v>5</v>
      </c>
      <c r="AD317">
        <v>30</v>
      </c>
      <c r="AE317">
        <v>2</v>
      </c>
      <c r="AF317">
        <v>39</v>
      </c>
      <c r="AG317">
        <v>2</v>
      </c>
      <c r="AH317">
        <v>45</v>
      </c>
      <c r="AI317">
        <v>11</v>
      </c>
      <c r="AJ317">
        <v>41</v>
      </c>
      <c r="AK317">
        <v>43</v>
      </c>
      <c r="AL317">
        <v>0</v>
      </c>
      <c r="AM317">
        <v>0.12</v>
      </c>
      <c r="AN317">
        <v>3.7272727272727275</v>
      </c>
      <c r="AO317">
        <v>0.27272727272727271</v>
      </c>
      <c r="AP317" t="s">
        <v>130</v>
      </c>
      <c r="AQ317" t="s">
        <v>131</v>
      </c>
      <c r="AR317" t="s">
        <v>523</v>
      </c>
      <c r="AS317">
        <v>510</v>
      </c>
      <c r="AT317">
        <v>240</v>
      </c>
      <c r="AU317">
        <v>0</v>
      </c>
      <c r="AV317">
        <v>0</v>
      </c>
      <c r="AW317">
        <v>0.75</v>
      </c>
      <c r="AX317">
        <v>0.15</v>
      </c>
      <c r="AY317">
        <v>5.85</v>
      </c>
      <c r="AZ317" t="s">
        <v>135</v>
      </c>
      <c r="BA317">
        <v>0.15000000000000036</v>
      </c>
      <c r="BB317">
        <v>1.0000000000000024</v>
      </c>
      <c r="BC317" t="s">
        <v>133</v>
      </c>
      <c r="BD317">
        <v>1</v>
      </c>
      <c r="BE317" t="s">
        <v>133</v>
      </c>
      <c r="BF31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0.75</v>
      </c>
    </row>
    <row r="318" spans="1:58" x14ac:dyDescent="0.25">
      <c r="A318" t="s">
        <v>532</v>
      </c>
      <c r="B318" t="s">
        <v>19</v>
      </c>
      <c r="C318">
        <v>1</v>
      </c>
      <c r="D318">
        <v>318</v>
      </c>
      <c r="E318" t="s">
        <v>2110</v>
      </c>
      <c r="F318" t="s">
        <v>123</v>
      </c>
      <c r="G318" t="s">
        <v>124</v>
      </c>
      <c r="H318" t="s">
        <v>125</v>
      </c>
      <c r="I318" t="s">
        <v>126</v>
      </c>
      <c r="J318" t="s">
        <v>126</v>
      </c>
      <c r="K318" t="s">
        <v>127</v>
      </c>
      <c r="L318">
        <v>50</v>
      </c>
      <c r="M318">
        <v>1017311</v>
      </c>
      <c r="N318">
        <v>6</v>
      </c>
      <c r="O318">
        <v>2</v>
      </c>
      <c r="P318" t="s">
        <v>128</v>
      </c>
      <c r="Q318" t="s">
        <v>129</v>
      </c>
      <c r="R318">
        <v>29</v>
      </c>
      <c r="T318">
        <v>2</v>
      </c>
      <c r="U318">
        <v>7</v>
      </c>
      <c r="V318">
        <v>19</v>
      </c>
      <c r="W318">
        <v>2</v>
      </c>
      <c r="X318">
        <v>17</v>
      </c>
      <c r="Y318">
        <v>0</v>
      </c>
      <c r="Z318">
        <v>21</v>
      </c>
      <c r="AA318">
        <v>26</v>
      </c>
      <c r="AB318">
        <v>50</v>
      </c>
      <c r="AC318">
        <v>7</v>
      </c>
      <c r="AD318">
        <v>25</v>
      </c>
      <c r="AE318">
        <v>0</v>
      </c>
      <c r="AF318">
        <v>34</v>
      </c>
      <c r="AG318">
        <v>2</v>
      </c>
      <c r="AH318">
        <v>43</v>
      </c>
      <c r="AI318">
        <v>16</v>
      </c>
      <c r="AJ318">
        <v>41</v>
      </c>
      <c r="AK318">
        <v>41</v>
      </c>
      <c r="AL318">
        <v>0</v>
      </c>
      <c r="AM318">
        <v>0.12</v>
      </c>
      <c r="AN318">
        <v>3.7272727272727275</v>
      </c>
      <c r="AO318">
        <v>0.27272727272727271</v>
      </c>
      <c r="AP318" t="s">
        <v>130</v>
      </c>
      <c r="AQ318" t="s">
        <v>131</v>
      </c>
      <c r="AR318" t="s">
        <v>523</v>
      </c>
      <c r="AS318">
        <v>702</v>
      </c>
      <c r="AT318">
        <v>700</v>
      </c>
      <c r="AU318">
        <v>0</v>
      </c>
      <c r="AV318">
        <v>0</v>
      </c>
      <c r="AW318">
        <v>1.4019999999999999</v>
      </c>
      <c r="AX318">
        <v>0.20028571428571426</v>
      </c>
      <c r="AY318">
        <v>6.8097142857142847</v>
      </c>
      <c r="AZ318" t="s">
        <v>135</v>
      </c>
      <c r="BA318">
        <v>-0.80971428571428472</v>
      </c>
      <c r="BB318">
        <v>-4.0427960057061298</v>
      </c>
      <c r="BC318" t="s">
        <v>133</v>
      </c>
      <c r="BD318">
        <v>0</v>
      </c>
      <c r="BE318" t="s">
        <v>133</v>
      </c>
      <c r="BF31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1.4019999999999999</v>
      </c>
    </row>
    <row r="319" spans="1:58" x14ac:dyDescent="0.25">
      <c r="A319" t="s">
        <v>533</v>
      </c>
      <c r="B319" t="s">
        <v>19</v>
      </c>
      <c r="C319">
        <v>1</v>
      </c>
      <c r="D319">
        <v>319</v>
      </c>
      <c r="E319" t="s">
        <v>2110</v>
      </c>
      <c r="F319" t="s">
        <v>123</v>
      </c>
      <c r="G319" t="s">
        <v>124</v>
      </c>
      <c r="H319" t="s">
        <v>125</v>
      </c>
      <c r="I319" t="s">
        <v>126</v>
      </c>
      <c r="J319" t="s">
        <v>126</v>
      </c>
      <c r="K319" t="s">
        <v>127</v>
      </c>
      <c r="L319">
        <v>50</v>
      </c>
      <c r="M319">
        <v>1017313</v>
      </c>
      <c r="N319">
        <v>6</v>
      </c>
      <c r="O319">
        <v>2</v>
      </c>
      <c r="P319" t="s">
        <v>128</v>
      </c>
      <c r="Q319" t="s">
        <v>129</v>
      </c>
      <c r="R319">
        <v>29</v>
      </c>
      <c r="T319">
        <v>8</v>
      </c>
      <c r="U319">
        <v>13</v>
      </c>
      <c r="V319">
        <v>16</v>
      </c>
      <c r="W319">
        <v>0</v>
      </c>
      <c r="X319">
        <v>16</v>
      </c>
      <c r="Y319">
        <v>2</v>
      </c>
      <c r="Z319">
        <v>26</v>
      </c>
      <c r="AA319">
        <v>31</v>
      </c>
      <c r="AB319">
        <v>50</v>
      </c>
      <c r="AC319">
        <v>16</v>
      </c>
      <c r="AD319">
        <v>18</v>
      </c>
      <c r="AE319">
        <v>3</v>
      </c>
      <c r="AF319">
        <v>37</v>
      </c>
      <c r="AG319">
        <v>0</v>
      </c>
      <c r="AH319">
        <v>34</v>
      </c>
      <c r="AI319">
        <v>13</v>
      </c>
      <c r="AJ319">
        <v>31</v>
      </c>
      <c r="AK319">
        <v>34</v>
      </c>
      <c r="AL319">
        <v>0</v>
      </c>
      <c r="AM319">
        <v>0.12</v>
      </c>
      <c r="AN319">
        <v>2.8181818181818183</v>
      </c>
      <c r="AO319">
        <v>0</v>
      </c>
      <c r="AP319" t="s">
        <v>130</v>
      </c>
      <c r="AQ319" t="s">
        <v>131</v>
      </c>
      <c r="AR319" t="s">
        <v>523</v>
      </c>
      <c r="AS319">
        <v>1235</v>
      </c>
      <c r="AT319">
        <v>1180</v>
      </c>
      <c r="AU319">
        <v>0</v>
      </c>
      <c r="AV319">
        <v>0</v>
      </c>
      <c r="AW319">
        <v>2.415</v>
      </c>
      <c r="AX319">
        <v>0.1509375</v>
      </c>
      <c r="AY319">
        <v>5.5846875000000002</v>
      </c>
      <c r="AZ319" t="s">
        <v>135</v>
      </c>
      <c r="BA319">
        <v>0.41531249999999975</v>
      </c>
      <c r="BB319">
        <v>2.7515527950310541</v>
      </c>
      <c r="BC319" t="s">
        <v>144</v>
      </c>
      <c r="BD319">
        <v>0</v>
      </c>
      <c r="BE319" t="s">
        <v>133</v>
      </c>
      <c r="BF31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2.415</v>
      </c>
    </row>
    <row r="320" spans="1:58" x14ac:dyDescent="0.25">
      <c r="A320" t="s">
        <v>534</v>
      </c>
      <c r="B320" t="s">
        <v>19</v>
      </c>
      <c r="C320">
        <v>1</v>
      </c>
      <c r="D320">
        <v>320</v>
      </c>
      <c r="E320" t="s">
        <v>2110</v>
      </c>
      <c r="F320" t="s">
        <v>123</v>
      </c>
      <c r="G320" t="s">
        <v>124</v>
      </c>
      <c r="H320" t="s">
        <v>125</v>
      </c>
      <c r="I320" t="s">
        <v>140</v>
      </c>
      <c r="J320" t="s">
        <v>141</v>
      </c>
      <c r="K320" t="s">
        <v>127</v>
      </c>
      <c r="L320">
        <v>50</v>
      </c>
      <c r="M320">
        <v>1017315</v>
      </c>
      <c r="N320">
        <v>10</v>
      </c>
      <c r="O320">
        <v>2</v>
      </c>
      <c r="P320" t="s">
        <v>128</v>
      </c>
      <c r="Q320" t="s">
        <v>129</v>
      </c>
      <c r="R320">
        <v>30</v>
      </c>
      <c r="T320">
        <v>24</v>
      </c>
      <c r="U320">
        <v>29</v>
      </c>
      <c r="V320">
        <v>17</v>
      </c>
      <c r="W320">
        <v>0</v>
      </c>
      <c r="X320">
        <v>17</v>
      </c>
      <c r="Y320">
        <v>1</v>
      </c>
      <c r="Z320">
        <v>42</v>
      </c>
      <c r="AA320">
        <v>47</v>
      </c>
      <c r="AB320">
        <v>50</v>
      </c>
      <c r="AC320">
        <v>29</v>
      </c>
      <c r="AD320">
        <v>17</v>
      </c>
      <c r="AE320">
        <v>1</v>
      </c>
      <c r="AF320">
        <v>47</v>
      </c>
      <c r="AG320">
        <v>0</v>
      </c>
      <c r="AH320">
        <v>21</v>
      </c>
      <c r="AI320">
        <v>3</v>
      </c>
      <c r="AJ320">
        <v>20</v>
      </c>
      <c r="AK320">
        <v>21</v>
      </c>
      <c r="AL320">
        <v>0</v>
      </c>
      <c r="AM320">
        <v>0.2</v>
      </c>
      <c r="AN320">
        <v>1.8181818181818183</v>
      </c>
      <c r="AO320">
        <v>0</v>
      </c>
      <c r="AP320" t="s">
        <v>142</v>
      </c>
      <c r="AQ320" t="s">
        <v>131</v>
      </c>
      <c r="AR320" t="s">
        <v>523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 t="s">
        <v>143</v>
      </c>
      <c r="BA320">
        <v>10</v>
      </c>
      <c r="BB320">
        <v>0</v>
      </c>
      <c r="BC320" t="s">
        <v>132</v>
      </c>
      <c r="BD320">
        <v>0</v>
      </c>
      <c r="BE320" t="s">
        <v>133</v>
      </c>
      <c r="BF32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321" spans="1:58" x14ac:dyDescent="0.25">
      <c r="A321" t="s">
        <v>535</v>
      </c>
      <c r="B321" t="s">
        <v>19</v>
      </c>
      <c r="C321">
        <v>1</v>
      </c>
      <c r="D321">
        <v>321</v>
      </c>
      <c r="E321" t="s">
        <v>2110</v>
      </c>
      <c r="F321" t="s">
        <v>123</v>
      </c>
      <c r="G321" t="s">
        <v>124</v>
      </c>
      <c r="H321" t="s">
        <v>125</v>
      </c>
      <c r="I321" t="s">
        <v>140</v>
      </c>
      <c r="J321" t="s">
        <v>141</v>
      </c>
      <c r="K321" t="s">
        <v>127</v>
      </c>
      <c r="L321">
        <v>50</v>
      </c>
      <c r="M321">
        <v>1017317</v>
      </c>
      <c r="N321">
        <v>10</v>
      </c>
      <c r="O321">
        <v>2</v>
      </c>
      <c r="P321" t="s">
        <v>128</v>
      </c>
      <c r="Q321" t="s">
        <v>129</v>
      </c>
      <c r="R321">
        <v>30</v>
      </c>
      <c r="T321">
        <v>27</v>
      </c>
      <c r="U321">
        <v>32</v>
      </c>
      <c r="V321">
        <v>12</v>
      </c>
      <c r="W321">
        <v>0</v>
      </c>
      <c r="X321">
        <v>12</v>
      </c>
      <c r="Y321">
        <v>1</v>
      </c>
      <c r="Z321">
        <v>40</v>
      </c>
      <c r="AA321">
        <v>45</v>
      </c>
      <c r="AB321">
        <v>50</v>
      </c>
      <c r="AC321">
        <v>32</v>
      </c>
      <c r="AD321">
        <v>12</v>
      </c>
      <c r="AE321">
        <v>1</v>
      </c>
      <c r="AF321">
        <v>45</v>
      </c>
      <c r="AG321">
        <v>0</v>
      </c>
      <c r="AH321">
        <v>18</v>
      </c>
      <c r="AI321">
        <v>5</v>
      </c>
      <c r="AJ321">
        <v>17</v>
      </c>
      <c r="AK321">
        <v>18</v>
      </c>
      <c r="AL321">
        <v>0</v>
      </c>
      <c r="AM321">
        <v>0.2</v>
      </c>
      <c r="AN321">
        <v>1.5454545454545454</v>
      </c>
      <c r="AO321">
        <v>0</v>
      </c>
      <c r="AP321" t="s">
        <v>142</v>
      </c>
      <c r="AQ321" t="s">
        <v>131</v>
      </c>
      <c r="AR321" t="s">
        <v>523</v>
      </c>
      <c r="AS321">
        <v>4800</v>
      </c>
      <c r="AT321">
        <v>3910</v>
      </c>
      <c r="AU321">
        <v>0</v>
      </c>
      <c r="AV321">
        <v>0</v>
      </c>
      <c r="AW321">
        <v>8.7100000000000009</v>
      </c>
      <c r="AX321">
        <v>0.27218750000000003</v>
      </c>
      <c r="AY321">
        <v>12.248437500000001</v>
      </c>
      <c r="AZ321" t="s">
        <v>135</v>
      </c>
      <c r="BA321">
        <v>-2.2484375000000014</v>
      </c>
      <c r="BB321">
        <v>-8.2606199770378925</v>
      </c>
      <c r="BC321" t="s">
        <v>133</v>
      </c>
      <c r="BD321">
        <v>0</v>
      </c>
      <c r="BE321" t="s">
        <v>133</v>
      </c>
      <c r="BF32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8.7100000000000009</v>
      </c>
    </row>
    <row r="322" spans="1:58" x14ac:dyDescent="0.25">
      <c r="A322" t="s">
        <v>536</v>
      </c>
      <c r="B322" t="s">
        <v>19</v>
      </c>
      <c r="C322">
        <v>1</v>
      </c>
      <c r="D322">
        <v>322</v>
      </c>
      <c r="E322" t="s">
        <v>2110</v>
      </c>
      <c r="F322" t="s">
        <v>123</v>
      </c>
      <c r="G322" t="s">
        <v>124</v>
      </c>
      <c r="H322" t="s">
        <v>125</v>
      </c>
      <c r="I322" t="s">
        <v>140</v>
      </c>
      <c r="J322" t="s">
        <v>141</v>
      </c>
      <c r="K322" t="s">
        <v>127</v>
      </c>
      <c r="L322">
        <v>50</v>
      </c>
      <c r="M322">
        <v>1017319</v>
      </c>
      <c r="N322">
        <v>10</v>
      </c>
      <c r="O322">
        <v>2</v>
      </c>
      <c r="P322" t="s">
        <v>128</v>
      </c>
      <c r="Q322" t="s">
        <v>129</v>
      </c>
      <c r="R322">
        <v>30</v>
      </c>
      <c r="T322">
        <v>27</v>
      </c>
      <c r="U322">
        <v>32</v>
      </c>
      <c r="V322">
        <v>12</v>
      </c>
      <c r="W322">
        <v>0</v>
      </c>
      <c r="X322">
        <v>12</v>
      </c>
      <c r="Y322">
        <v>3</v>
      </c>
      <c r="Z322">
        <v>42</v>
      </c>
      <c r="AA322">
        <v>47</v>
      </c>
      <c r="AB322">
        <v>50</v>
      </c>
      <c r="AC322">
        <v>32</v>
      </c>
      <c r="AD322">
        <v>12</v>
      </c>
      <c r="AE322">
        <v>3</v>
      </c>
      <c r="AF322">
        <v>47</v>
      </c>
      <c r="AG322">
        <v>0</v>
      </c>
      <c r="AH322">
        <v>18</v>
      </c>
      <c r="AI322">
        <v>3</v>
      </c>
      <c r="AJ322">
        <v>15</v>
      </c>
      <c r="AK322">
        <v>18</v>
      </c>
      <c r="AL322">
        <v>0</v>
      </c>
      <c r="AM322">
        <v>0.2</v>
      </c>
      <c r="AN322">
        <v>1.3636363636363638</v>
      </c>
      <c r="AO322">
        <v>0</v>
      </c>
      <c r="AP322" t="s">
        <v>142</v>
      </c>
      <c r="AQ322" t="s">
        <v>131</v>
      </c>
      <c r="AR322" t="s">
        <v>523</v>
      </c>
      <c r="AS322">
        <v>4590</v>
      </c>
      <c r="AT322">
        <v>4125</v>
      </c>
      <c r="AU322">
        <v>0</v>
      </c>
      <c r="AV322">
        <v>0</v>
      </c>
      <c r="AW322">
        <v>8.7149999999999999</v>
      </c>
      <c r="AX322">
        <v>0.27234375</v>
      </c>
      <c r="AY322">
        <v>12.800156250000001</v>
      </c>
      <c r="AZ322" t="s">
        <v>135</v>
      </c>
      <c r="BA322">
        <v>-2.8001562500000006</v>
      </c>
      <c r="BB322">
        <v>-10.28169822145726</v>
      </c>
      <c r="BC322" t="s">
        <v>133</v>
      </c>
      <c r="BD322">
        <v>0</v>
      </c>
      <c r="BE322" t="s">
        <v>133</v>
      </c>
      <c r="BF32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8.7149999999999999</v>
      </c>
    </row>
    <row r="323" spans="1:58" x14ac:dyDescent="0.25">
      <c r="A323" t="s">
        <v>537</v>
      </c>
      <c r="B323" t="s">
        <v>19</v>
      </c>
      <c r="C323">
        <v>1</v>
      </c>
      <c r="D323">
        <v>323</v>
      </c>
      <c r="E323" t="s">
        <v>2110</v>
      </c>
      <c r="F323" t="s">
        <v>123</v>
      </c>
      <c r="G323" t="s">
        <v>124</v>
      </c>
      <c r="H323" t="s">
        <v>125</v>
      </c>
      <c r="I323" t="s">
        <v>140</v>
      </c>
      <c r="J323" t="s">
        <v>141</v>
      </c>
      <c r="K323" t="s">
        <v>127</v>
      </c>
      <c r="L323">
        <v>50</v>
      </c>
      <c r="M323">
        <v>1017321</v>
      </c>
      <c r="N323">
        <v>10</v>
      </c>
      <c r="O323">
        <v>2</v>
      </c>
      <c r="P323" t="s">
        <v>128</v>
      </c>
      <c r="Q323" t="s">
        <v>129</v>
      </c>
      <c r="R323">
        <v>30</v>
      </c>
      <c r="T323">
        <v>26</v>
      </c>
      <c r="U323">
        <v>31</v>
      </c>
      <c r="V323">
        <v>15</v>
      </c>
      <c r="W323">
        <v>0</v>
      </c>
      <c r="X323">
        <v>15</v>
      </c>
      <c r="Y323">
        <v>2</v>
      </c>
      <c r="Z323">
        <v>43</v>
      </c>
      <c r="AA323">
        <v>48</v>
      </c>
      <c r="AB323">
        <v>50</v>
      </c>
      <c r="AC323">
        <v>31</v>
      </c>
      <c r="AD323">
        <v>15</v>
      </c>
      <c r="AE323">
        <v>2</v>
      </c>
      <c r="AF323">
        <v>48</v>
      </c>
      <c r="AG323">
        <v>0</v>
      </c>
      <c r="AH323">
        <v>19</v>
      </c>
      <c r="AI323">
        <v>2</v>
      </c>
      <c r="AJ323">
        <v>17</v>
      </c>
      <c r="AK323">
        <v>19</v>
      </c>
      <c r="AL323">
        <v>0</v>
      </c>
      <c r="AM323">
        <v>0.2</v>
      </c>
      <c r="AN323">
        <v>1.5454545454545454</v>
      </c>
      <c r="AO323">
        <v>0</v>
      </c>
      <c r="AP323" t="s">
        <v>142</v>
      </c>
      <c r="AQ323" t="s">
        <v>131</v>
      </c>
      <c r="AR323" t="s">
        <v>523</v>
      </c>
      <c r="AS323">
        <v>4737</v>
      </c>
      <c r="AT323">
        <v>3940</v>
      </c>
      <c r="AU323">
        <v>0</v>
      </c>
      <c r="AV323">
        <v>0</v>
      </c>
      <c r="AW323">
        <v>8.6769999999999996</v>
      </c>
      <c r="AX323">
        <v>0.27990322580645161</v>
      </c>
      <c r="AY323">
        <v>13.435354838709678</v>
      </c>
      <c r="AZ323" t="s">
        <v>135</v>
      </c>
      <c r="BA323">
        <v>-3.4353548387096779</v>
      </c>
      <c r="BB323">
        <v>-12.273366370865508</v>
      </c>
      <c r="BC323" t="s">
        <v>133</v>
      </c>
      <c r="BD323">
        <v>0</v>
      </c>
      <c r="BE323" t="s">
        <v>133</v>
      </c>
      <c r="BF32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8.6769999999999996</v>
      </c>
    </row>
    <row r="324" spans="1:58" x14ac:dyDescent="0.25">
      <c r="A324" t="s">
        <v>538</v>
      </c>
      <c r="B324" t="s">
        <v>19</v>
      </c>
      <c r="C324">
        <v>1</v>
      </c>
      <c r="D324">
        <v>324</v>
      </c>
      <c r="E324" t="s">
        <v>2110</v>
      </c>
      <c r="F324" t="s">
        <v>123</v>
      </c>
      <c r="G324" t="s">
        <v>124</v>
      </c>
      <c r="H324" t="s">
        <v>125</v>
      </c>
      <c r="I324" t="s">
        <v>140</v>
      </c>
      <c r="J324" t="s">
        <v>141</v>
      </c>
      <c r="K324" t="s">
        <v>127</v>
      </c>
      <c r="L324">
        <v>50</v>
      </c>
      <c r="M324">
        <v>1017323</v>
      </c>
      <c r="N324">
        <v>10</v>
      </c>
      <c r="O324">
        <v>2</v>
      </c>
      <c r="P324" t="s">
        <v>128</v>
      </c>
      <c r="Q324" t="s">
        <v>129</v>
      </c>
      <c r="R324">
        <v>30</v>
      </c>
      <c r="T324">
        <v>30</v>
      </c>
      <c r="U324">
        <v>35</v>
      </c>
      <c r="V324">
        <v>12</v>
      </c>
      <c r="W324">
        <v>0</v>
      </c>
      <c r="X324">
        <v>12</v>
      </c>
      <c r="Y324">
        <v>1</v>
      </c>
      <c r="Z324">
        <v>43</v>
      </c>
      <c r="AA324">
        <v>48</v>
      </c>
      <c r="AB324">
        <v>50</v>
      </c>
      <c r="AC324">
        <v>35</v>
      </c>
      <c r="AD324">
        <v>12</v>
      </c>
      <c r="AE324">
        <v>1</v>
      </c>
      <c r="AF324">
        <v>48</v>
      </c>
      <c r="AG324">
        <v>0</v>
      </c>
      <c r="AH324">
        <v>15</v>
      </c>
      <c r="AI324">
        <v>2</v>
      </c>
      <c r="AJ324">
        <v>14</v>
      </c>
      <c r="AK324">
        <v>15</v>
      </c>
      <c r="AL324">
        <v>0</v>
      </c>
      <c r="AM324">
        <v>0.2</v>
      </c>
      <c r="AN324">
        <v>1.2727272727272727</v>
      </c>
      <c r="AO324">
        <v>0</v>
      </c>
      <c r="AP324" t="s">
        <v>142</v>
      </c>
      <c r="AQ324" t="s">
        <v>131</v>
      </c>
      <c r="AR324" t="s">
        <v>523</v>
      </c>
      <c r="AS324">
        <v>5697</v>
      </c>
      <c r="AT324">
        <v>3520</v>
      </c>
      <c r="AU324">
        <v>0</v>
      </c>
      <c r="AV324">
        <v>0</v>
      </c>
      <c r="AW324">
        <v>9.2170000000000005</v>
      </c>
      <c r="AX324">
        <v>0.26334285714285716</v>
      </c>
      <c r="AY324">
        <v>12.640457142857144</v>
      </c>
      <c r="AZ324" t="s">
        <v>135</v>
      </c>
      <c r="BA324">
        <v>-2.6404571428571444</v>
      </c>
      <c r="BB324">
        <v>-10.026689812303358</v>
      </c>
      <c r="BC324" t="s">
        <v>133</v>
      </c>
      <c r="BD324">
        <v>0</v>
      </c>
      <c r="BE324" t="s">
        <v>133</v>
      </c>
      <c r="BF32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9.2170000000000005</v>
      </c>
    </row>
    <row r="325" spans="1:58" x14ac:dyDescent="0.25">
      <c r="A325" t="s">
        <v>539</v>
      </c>
      <c r="B325" t="s">
        <v>19</v>
      </c>
      <c r="C325">
        <v>1</v>
      </c>
      <c r="D325">
        <v>325</v>
      </c>
      <c r="E325" t="s">
        <v>2110</v>
      </c>
      <c r="F325" t="s">
        <v>123</v>
      </c>
      <c r="G325" t="s">
        <v>124</v>
      </c>
      <c r="H325" t="s">
        <v>136</v>
      </c>
      <c r="I325" t="s">
        <v>137</v>
      </c>
      <c r="J325" t="s">
        <v>138</v>
      </c>
      <c r="K325" t="s">
        <v>127</v>
      </c>
      <c r="L325">
        <v>50</v>
      </c>
      <c r="M325">
        <v>1017325</v>
      </c>
      <c r="N325">
        <v>5</v>
      </c>
      <c r="O325">
        <v>2</v>
      </c>
      <c r="P325" t="s">
        <v>128</v>
      </c>
      <c r="Q325" t="s">
        <v>129</v>
      </c>
      <c r="R325">
        <v>30</v>
      </c>
      <c r="T325">
        <v>0</v>
      </c>
      <c r="U325">
        <v>4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4</v>
      </c>
      <c r="AB325">
        <v>50</v>
      </c>
      <c r="AC325">
        <v>4</v>
      </c>
      <c r="AD325">
        <v>0</v>
      </c>
      <c r="AE325">
        <v>0</v>
      </c>
      <c r="AF325">
        <v>4</v>
      </c>
      <c r="AG325">
        <v>0</v>
      </c>
      <c r="AH325">
        <v>46</v>
      </c>
      <c r="AI325">
        <v>46</v>
      </c>
      <c r="AJ325">
        <v>46</v>
      </c>
      <c r="AK325">
        <v>46</v>
      </c>
      <c r="AL325">
        <v>0</v>
      </c>
      <c r="AM325">
        <v>0.1</v>
      </c>
      <c r="AN325">
        <v>4.1818181818181817</v>
      </c>
      <c r="AO325">
        <v>0</v>
      </c>
      <c r="AP325" t="s">
        <v>139</v>
      </c>
      <c r="AQ325" t="s">
        <v>131</v>
      </c>
      <c r="AR325" t="s">
        <v>523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 t="s">
        <v>134</v>
      </c>
      <c r="BA325">
        <v>5</v>
      </c>
      <c r="BB325">
        <v>0</v>
      </c>
      <c r="BC325" t="s">
        <v>133</v>
      </c>
      <c r="BD325">
        <v>0</v>
      </c>
      <c r="BE325" t="s">
        <v>133</v>
      </c>
      <c r="BF32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326" spans="1:58" x14ac:dyDescent="0.25">
      <c r="A326" t="s">
        <v>540</v>
      </c>
      <c r="B326" t="s">
        <v>19</v>
      </c>
      <c r="C326">
        <v>1</v>
      </c>
      <c r="D326">
        <v>326</v>
      </c>
      <c r="E326" t="s">
        <v>2110</v>
      </c>
      <c r="F326" t="s">
        <v>123</v>
      </c>
      <c r="G326" t="s">
        <v>124</v>
      </c>
      <c r="H326" t="s">
        <v>125</v>
      </c>
      <c r="I326" t="s">
        <v>140</v>
      </c>
      <c r="J326" t="s">
        <v>141</v>
      </c>
      <c r="K326" t="s">
        <v>127</v>
      </c>
      <c r="L326">
        <v>50</v>
      </c>
      <c r="M326">
        <v>1017327</v>
      </c>
      <c r="N326">
        <v>10</v>
      </c>
      <c r="O326">
        <v>2</v>
      </c>
      <c r="P326" t="s">
        <v>128</v>
      </c>
      <c r="Q326" t="s">
        <v>129</v>
      </c>
      <c r="R326">
        <v>30</v>
      </c>
      <c r="T326">
        <v>36</v>
      </c>
      <c r="U326">
        <v>41</v>
      </c>
      <c r="V326">
        <v>4</v>
      </c>
      <c r="W326">
        <v>0</v>
      </c>
      <c r="X326">
        <v>4</v>
      </c>
      <c r="Y326">
        <v>1</v>
      </c>
      <c r="Z326">
        <v>41</v>
      </c>
      <c r="AA326">
        <v>46</v>
      </c>
      <c r="AB326">
        <v>50</v>
      </c>
      <c r="AC326">
        <v>41</v>
      </c>
      <c r="AD326">
        <v>4</v>
      </c>
      <c r="AE326">
        <v>1</v>
      </c>
      <c r="AF326">
        <v>46</v>
      </c>
      <c r="AG326">
        <v>0</v>
      </c>
      <c r="AH326">
        <v>9</v>
      </c>
      <c r="AI326">
        <v>4</v>
      </c>
      <c r="AJ326">
        <v>8</v>
      </c>
      <c r="AK326">
        <v>9</v>
      </c>
      <c r="AL326">
        <v>0</v>
      </c>
      <c r="AM326">
        <v>0.2</v>
      </c>
      <c r="AN326">
        <v>0.72727272727272729</v>
      </c>
      <c r="AO326">
        <v>0</v>
      </c>
      <c r="AP326" t="s">
        <v>142</v>
      </c>
      <c r="AQ326" t="s">
        <v>131</v>
      </c>
      <c r="AR326" t="s">
        <v>523</v>
      </c>
      <c r="AS326">
        <v>5170</v>
      </c>
      <c r="AT326">
        <v>4490</v>
      </c>
      <c r="AU326">
        <v>0</v>
      </c>
      <c r="AV326">
        <v>0</v>
      </c>
      <c r="AW326">
        <v>9.66</v>
      </c>
      <c r="AX326">
        <v>0.23560975609756099</v>
      </c>
      <c r="AY326">
        <v>10.838048780487805</v>
      </c>
      <c r="AZ326" t="s">
        <v>135</v>
      </c>
      <c r="BA326">
        <v>-0.83804878048780473</v>
      </c>
      <c r="BB326">
        <v>-3.5569358178053823</v>
      </c>
      <c r="BC326" t="s">
        <v>133</v>
      </c>
      <c r="BD326">
        <v>0</v>
      </c>
      <c r="BE326" t="s">
        <v>133</v>
      </c>
      <c r="BF32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9.66</v>
      </c>
    </row>
    <row r="327" spans="1:58" x14ac:dyDescent="0.25">
      <c r="A327" t="s">
        <v>541</v>
      </c>
      <c r="B327" t="s">
        <v>19</v>
      </c>
      <c r="C327">
        <v>1</v>
      </c>
      <c r="D327">
        <v>327</v>
      </c>
      <c r="E327" t="s">
        <v>2110</v>
      </c>
      <c r="F327" t="s">
        <v>123</v>
      </c>
      <c r="G327" t="s">
        <v>124</v>
      </c>
      <c r="H327" t="s">
        <v>125</v>
      </c>
      <c r="I327" t="s">
        <v>140</v>
      </c>
      <c r="J327" t="s">
        <v>141</v>
      </c>
      <c r="K327" t="s">
        <v>127</v>
      </c>
      <c r="L327">
        <v>50</v>
      </c>
      <c r="M327">
        <v>1017329</v>
      </c>
      <c r="N327">
        <v>10</v>
      </c>
      <c r="O327">
        <v>2</v>
      </c>
      <c r="P327" t="s">
        <v>128</v>
      </c>
      <c r="Q327" t="s">
        <v>129</v>
      </c>
      <c r="R327">
        <v>30</v>
      </c>
      <c r="T327">
        <v>27</v>
      </c>
      <c r="U327">
        <v>32</v>
      </c>
      <c r="V327">
        <v>13</v>
      </c>
      <c r="W327">
        <v>0</v>
      </c>
      <c r="X327">
        <v>13</v>
      </c>
      <c r="Y327">
        <v>3</v>
      </c>
      <c r="Z327">
        <v>43</v>
      </c>
      <c r="AA327">
        <v>48</v>
      </c>
      <c r="AB327">
        <v>50</v>
      </c>
      <c r="AC327">
        <v>32</v>
      </c>
      <c r="AD327">
        <v>13</v>
      </c>
      <c r="AE327">
        <v>3</v>
      </c>
      <c r="AF327">
        <v>48</v>
      </c>
      <c r="AG327">
        <v>0</v>
      </c>
      <c r="AH327">
        <v>18</v>
      </c>
      <c r="AI327">
        <v>2</v>
      </c>
      <c r="AJ327">
        <v>15</v>
      </c>
      <c r="AK327">
        <v>18</v>
      </c>
      <c r="AL327">
        <v>0</v>
      </c>
      <c r="AM327">
        <v>0.2</v>
      </c>
      <c r="AN327">
        <v>1.3636363636363638</v>
      </c>
      <c r="AO327">
        <v>0</v>
      </c>
      <c r="AP327" t="s">
        <v>142</v>
      </c>
      <c r="AQ327" t="s">
        <v>131</v>
      </c>
      <c r="AR327" t="s">
        <v>523</v>
      </c>
      <c r="AS327">
        <v>5112</v>
      </c>
      <c r="AT327">
        <v>4417</v>
      </c>
      <c r="AU327">
        <v>0</v>
      </c>
      <c r="AV327">
        <v>0</v>
      </c>
      <c r="AW327">
        <v>9.5289999999999999</v>
      </c>
      <c r="AX327">
        <v>0.29778125</v>
      </c>
      <c r="AY327">
        <v>14.2935</v>
      </c>
      <c r="AZ327" t="s">
        <v>135</v>
      </c>
      <c r="BA327">
        <v>-4.2934999999999999</v>
      </c>
      <c r="BB327">
        <v>-14.418302025396159</v>
      </c>
      <c r="BC327" t="s">
        <v>133</v>
      </c>
      <c r="BD327">
        <v>0</v>
      </c>
      <c r="BE327" t="s">
        <v>133</v>
      </c>
      <c r="BF32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9.5289999999999999</v>
      </c>
    </row>
    <row r="328" spans="1:58" x14ac:dyDescent="0.25">
      <c r="A328" t="s">
        <v>542</v>
      </c>
      <c r="B328" t="s">
        <v>19</v>
      </c>
      <c r="C328">
        <v>1</v>
      </c>
      <c r="D328">
        <v>328</v>
      </c>
      <c r="E328" t="s">
        <v>2110</v>
      </c>
      <c r="F328" t="s">
        <v>123</v>
      </c>
      <c r="G328" t="s">
        <v>124</v>
      </c>
      <c r="H328" t="s">
        <v>125</v>
      </c>
      <c r="I328" t="s">
        <v>140</v>
      </c>
      <c r="J328" t="s">
        <v>141</v>
      </c>
      <c r="K328" t="s">
        <v>127</v>
      </c>
      <c r="L328">
        <v>50</v>
      </c>
      <c r="M328">
        <v>1017331</v>
      </c>
      <c r="N328">
        <v>10</v>
      </c>
      <c r="O328">
        <v>2</v>
      </c>
      <c r="P328" t="s">
        <v>128</v>
      </c>
      <c r="Q328" t="s">
        <v>129</v>
      </c>
      <c r="R328">
        <v>30</v>
      </c>
      <c r="T328">
        <v>19</v>
      </c>
      <c r="U328">
        <v>24</v>
      </c>
      <c r="V328">
        <v>18</v>
      </c>
      <c r="W328">
        <v>0</v>
      </c>
      <c r="X328">
        <v>18</v>
      </c>
      <c r="Y328">
        <v>6</v>
      </c>
      <c r="Z328">
        <v>43</v>
      </c>
      <c r="AA328">
        <v>48</v>
      </c>
      <c r="AB328">
        <v>50</v>
      </c>
      <c r="AC328">
        <v>24</v>
      </c>
      <c r="AD328">
        <v>18</v>
      </c>
      <c r="AE328">
        <v>6</v>
      </c>
      <c r="AF328">
        <v>48</v>
      </c>
      <c r="AG328">
        <v>0</v>
      </c>
      <c r="AH328">
        <v>26</v>
      </c>
      <c r="AI328">
        <v>2</v>
      </c>
      <c r="AJ328">
        <v>20</v>
      </c>
      <c r="AK328">
        <v>26</v>
      </c>
      <c r="AL328">
        <v>0</v>
      </c>
      <c r="AM328">
        <v>0.2</v>
      </c>
      <c r="AN328">
        <v>1.8181818181818183</v>
      </c>
      <c r="AO328">
        <v>0</v>
      </c>
      <c r="AP328" t="s">
        <v>142</v>
      </c>
      <c r="AQ328" t="s">
        <v>131</v>
      </c>
      <c r="AR328" t="s">
        <v>523</v>
      </c>
      <c r="AS328">
        <v>4211</v>
      </c>
      <c r="AT328">
        <v>4354</v>
      </c>
      <c r="AU328">
        <v>0</v>
      </c>
      <c r="AV328">
        <v>0</v>
      </c>
      <c r="AW328">
        <v>8.5649999999999995</v>
      </c>
      <c r="AX328">
        <v>0.356875</v>
      </c>
      <c r="AY328">
        <v>17.13</v>
      </c>
      <c r="AZ328" t="s">
        <v>135</v>
      </c>
      <c r="BA328">
        <v>-7.129999999999999</v>
      </c>
      <c r="BB328">
        <v>-19.978984238178633</v>
      </c>
      <c r="BC328" t="s">
        <v>133</v>
      </c>
      <c r="BD328">
        <v>0</v>
      </c>
      <c r="BE328" t="s">
        <v>133</v>
      </c>
      <c r="BF32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8.5649999999999995</v>
      </c>
    </row>
    <row r="329" spans="1:58" x14ac:dyDescent="0.25">
      <c r="A329" t="s">
        <v>543</v>
      </c>
      <c r="B329" t="s">
        <v>19</v>
      </c>
      <c r="C329">
        <v>1</v>
      </c>
      <c r="D329">
        <v>329</v>
      </c>
      <c r="E329" t="s">
        <v>2110</v>
      </c>
      <c r="F329" t="s">
        <v>123</v>
      </c>
      <c r="G329" t="s">
        <v>124</v>
      </c>
      <c r="H329" t="s">
        <v>125</v>
      </c>
      <c r="I329" t="s">
        <v>140</v>
      </c>
      <c r="J329" t="s">
        <v>141</v>
      </c>
      <c r="K329" t="s">
        <v>127</v>
      </c>
      <c r="L329">
        <v>50</v>
      </c>
      <c r="M329">
        <v>1017333</v>
      </c>
      <c r="N329">
        <v>10</v>
      </c>
      <c r="O329">
        <v>2</v>
      </c>
      <c r="P329" t="s">
        <v>128</v>
      </c>
      <c r="Q329" t="s">
        <v>129</v>
      </c>
      <c r="R329">
        <v>30</v>
      </c>
      <c r="T329">
        <v>22</v>
      </c>
      <c r="U329">
        <v>27</v>
      </c>
      <c r="V329">
        <v>15</v>
      </c>
      <c r="W329">
        <v>0</v>
      </c>
      <c r="X329">
        <v>15</v>
      </c>
      <c r="Y329">
        <v>3</v>
      </c>
      <c r="Z329">
        <v>40</v>
      </c>
      <c r="AA329">
        <v>45</v>
      </c>
      <c r="AB329">
        <v>50</v>
      </c>
      <c r="AC329">
        <v>27</v>
      </c>
      <c r="AD329">
        <v>15</v>
      </c>
      <c r="AE329">
        <v>3</v>
      </c>
      <c r="AF329">
        <v>45</v>
      </c>
      <c r="AG329">
        <v>0</v>
      </c>
      <c r="AH329">
        <v>23</v>
      </c>
      <c r="AI329">
        <v>5</v>
      </c>
      <c r="AJ329">
        <v>20</v>
      </c>
      <c r="AK329">
        <v>23</v>
      </c>
      <c r="AL329">
        <v>0</v>
      </c>
      <c r="AM329">
        <v>0.2</v>
      </c>
      <c r="AN329">
        <v>1.8181818181818183</v>
      </c>
      <c r="AO329">
        <v>0</v>
      </c>
      <c r="AP329" t="s">
        <v>142</v>
      </c>
      <c r="AQ329" t="s">
        <v>131</v>
      </c>
      <c r="AR329" t="s">
        <v>523</v>
      </c>
      <c r="AS329">
        <v>4375</v>
      </c>
      <c r="AT329">
        <v>3943</v>
      </c>
      <c r="AU329">
        <v>0</v>
      </c>
      <c r="AV329">
        <v>0</v>
      </c>
      <c r="AW329">
        <v>8.3179999999999996</v>
      </c>
      <c r="AX329">
        <v>0.30807407407407406</v>
      </c>
      <c r="AY329">
        <v>13.863333333333333</v>
      </c>
      <c r="AZ329" t="s">
        <v>135</v>
      </c>
      <c r="BA329">
        <v>-3.8633333333333333</v>
      </c>
      <c r="BB329">
        <v>-12.540274104352008</v>
      </c>
      <c r="BC329" t="s">
        <v>133</v>
      </c>
      <c r="BD329">
        <v>0</v>
      </c>
      <c r="BE329" t="s">
        <v>133</v>
      </c>
      <c r="BF32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8.3179999999999996</v>
      </c>
    </row>
    <row r="330" spans="1:58" x14ac:dyDescent="0.25">
      <c r="A330" t="s">
        <v>544</v>
      </c>
      <c r="B330" t="s">
        <v>19</v>
      </c>
      <c r="C330">
        <v>1</v>
      </c>
      <c r="D330">
        <v>330</v>
      </c>
      <c r="E330" t="s">
        <v>2110</v>
      </c>
      <c r="F330" t="s">
        <v>123</v>
      </c>
      <c r="G330" t="s">
        <v>124</v>
      </c>
      <c r="H330" t="s">
        <v>125</v>
      </c>
      <c r="I330" t="s">
        <v>140</v>
      </c>
      <c r="J330" t="s">
        <v>141</v>
      </c>
      <c r="K330" t="s">
        <v>127</v>
      </c>
      <c r="L330">
        <v>50</v>
      </c>
      <c r="M330">
        <v>1017335</v>
      </c>
      <c r="N330">
        <v>10</v>
      </c>
      <c r="O330">
        <v>2</v>
      </c>
      <c r="P330" t="s">
        <v>128</v>
      </c>
      <c r="Q330" t="s">
        <v>129</v>
      </c>
      <c r="R330">
        <v>30</v>
      </c>
      <c r="T330">
        <v>26</v>
      </c>
      <c r="U330">
        <v>31</v>
      </c>
      <c r="V330">
        <v>12</v>
      </c>
      <c r="W330">
        <v>0</v>
      </c>
      <c r="X330">
        <v>12</v>
      </c>
      <c r="Y330">
        <v>4</v>
      </c>
      <c r="Z330">
        <v>42</v>
      </c>
      <c r="AA330">
        <v>47</v>
      </c>
      <c r="AB330">
        <v>50</v>
      </c>
      <c r="AC330">
        <v>31</v>
      </c>
      <c r="AD330">
        <v>12</v>
      </c>
      <c r="AE330">
        <v>4</v>
      </c>
      <c r="AF330">
        <v>47</v>
      </c>
      <c r="AG330">
        <v>0</v>
      </c>
      <c r="AH330">
        <v>19</v>
      </c>
      <c r="AI330">
        <v>3</v>
      </c>
      <c r="AJ330">
        <v>15</v>
      </c>
      <c r="AK330">
        <v>19</v>
      </c>
      <c r="AL330">
        <v>0</v>
      </c>
      <c r="AM330">
        <v>0.2</v>
      </c>
      <c r="AN330">
        <v>1.3636363636363638</v>
      </c>
      <c r="AO330">
        <v>0</v>
      </c>
      <c r="AP330" t="s">
        <v>142</v>
      </c>
      <c r="AQ330" t="s">
        <v>131</v>
      </c>
      <c r="AR330" t="s">
        <v>523</v>
      </c>
      <c r="AS330">
        <v>4681</v>
      </c>
      <c r="AT330">
        <v>4354</v>
      </c>
      <c r="AU330">
        <v>0</v>
      </c>
      <c r="AV330">
        <v>0</v>
      </c>
      <c r="AW330">
        <v>9.0350000000000001</v>
      </c>
      <c r="AX330">
        <v>0.2914516129032258</v>
      </c>
      <c r="AY330">
        <v>13.698225806451612</v>
      </c>
      <c r="AZ330" t="s">
        <v>135</v>
      </c>
      <c r="BA330">
        <v>-3.698225806451612</v>
      </c>
      <c r="BB330">
        <v>-12.688987271721082</v>
      </c>
      <c r="BC330" t="s">
        <v>144</v>
      </c>
      <c r="BD330">
        <v>0</v>
      </c>
      <c r="BE330" t="s">
        <v>133</v>
      </c>
      <c r="BF33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9.0350000000000001</v>
      </c>
    </row>
    <row r="331" spans="1:58" x14ac:dyDescent="0.25">
      <c r="A331" t="s">
        <v>545</v>
      </c>
      <c r="B331" t="s">
        <v>19</v>
      </c>
      <c r="C331">
        <v>1</v>
      </c>
      <c r="D331">
        <v>331</v>
      </c>
      <c r="E331" t="s">
        <v>2109</v>
      </c>
      <c r="F331" t="s">
        <v>123</v>
      </c>
      <c r="G331" t="s">
        <v>124</v>
      </c>
      <c r="H331" t="s">
        <v>125</v>
      </c>
      <c r="I331" t="s">
        <v>183</v>
      </c>
      <c r="J331" t="s">
        <v>140</v>
      </c>
      <c r="K331" t="s">
        <v>166</v>
      </c>
      <c r="L331">
        <v>50</v>
      </c>
      <c r="M331">
        <v>1017337</v>
      </c>
      <c r="N331">
        <v>20</v>
      </c>
      <c r="O331">
        <v>2</v>
      </c>
      <c r="P331" t="s">
        <v>128</v>
      </c>
      <c r="Q331" t="s">
        <v>129</v>
      </c>
      <c r="R331">
        <v>31</v>
      </c>
      <c r="S331" t="s">
        <v>546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50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50</v>
      </c>
      <c r="AI331">
        <v>50</v>
      </c>
      <c r="AJ331">
        <v>50</v>
      </c>
      <c r="AK331">
        <v>50</v>
      </c>
      <c r="AL331">
        <v>0</v>
      </c>
      <c r="AM331">
        <v>0.4</v>
      </c>
      <c r="AN331">
        <v>4.5454545454545459</v>
      </c>
      <c r="AO331">
        <v>0</v>
      </c>
      <c r="AP331" t="s">
        <v>184</v>
      </c>
      <c r="AQ331" t="s">
        <v>155</v>
      </c>
      <c r="AR331" t="s">
        <v>229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 t="s">
        <v>135</v>
      </c>
      <c r="BA331">
        <v>20</v>
      </c>
      <c r="BB331">
        <v>0</v>
      </c>
      <c r="BC331" t="s">
        <v>132</v>
      </c>
      <c r="BD331">
        <v>0</v>
      </c>
      <c r="BE331" t="s">
        <v>133</v>
      </c>
      <c r="BF33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332" spans="1:58" x14ac:dyDescent="0.25">
      <c r="A332" t="s">
        <v>547</v>
      </c>
      <c r="B332" t="s">
        <v>19</v>
      </c>
      <c r="C332">
        <v>1</v>
      </c>
      <c r="D332">
        <v>332</v>
      </c>
      <c r="E332" t="s">
        <v>2109</v>
      </c>
      <c r="F332" t="s">
        <v>123</v>
      </c>
      <c r="G332" t="s">
        <v>124</v>
      </c>
      <c r="H332" t="s">
        <v>125</v>
      </c>
      <c r="I332" t="s">
        <v>183</v>
      </c>
      <c r="J332" t="s">
        <v>140</v>
      </c>
      <c r="K332" t="s">
        <v>166</v>
      </c>
      <c r="L332">
        <v>50</v>
      </c>
      <c r="M332">
        <v>3458664</v>
      </c>
      <c r="N332">
        <v>20</v>
      </c>
      <c r="O332">
        <v>2</v>
      </c>
      <c r="P332" t="s">
        <v>128</v>
      </c>
      <c r="Q332" t="s">
        <v>129</v>
      </c>
      <c r="R332">
        <v>31</v>
      </c>
      <c r="S332" t="s">
        <v>548</v>
      </c>
      <c r="T332">
        <v>20</v>
      </c>
      <c r="U332">
        <v>23</v>
      </c>
      <c r="V332">
        <v>0</v>
      </c>
      <c r="W332">
        <v>0</v>
      </c>
      <c r="X332">
        <v>0</v>
      </c>
      <c r="Y332">
        <v>0</v>
      </c>
      <c r="Z332">
        <v>20</v>
      </c>
      <c r="AA332">
        <v>23</v>
      </c>
      <c r="AB332">
        <v>50</v>
      </c>
      <c r="AC332">
        <v>45</v>
      </c>
      <c r="AD332">
        <v>0</v>
      </c>
      <c r="AE332">
        <v>0</v>
      </c>
      <c r="AF332">
        <v>45</v>
      </c>
      <c r="AG332">
        <v>0</v>
      </c>
      <c r="AH332">
        <v>5</v>
      </c>
      <c r="AI332">
        <v>5</v>
      </c>
      <c r="AJ332">
        <v>5</v>
      </c>
      <c r="AK332">
        <v>5</v>
      </c>
      <c r="AL332">
        <v>0</v>
      </c>
      <c r="AM332">
        <v>0.4</v>
      </c>
      <c r="AN332">
        <v>0.45454545454545459</v>
      </c>
      <c r="AO332">
        <v>0</v>
      </c>
      <c r="AP332" t="s">
        <v>184</v>
      </c>
      <c r="AQ332" t="s">
        <v>131</v>
      </c>
      <c r="AR332" t="s">
        <v>229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 t="s">
        <v>135</v>
      </c>
      <c r="BA332">
        <v>20</v>
      </c>
      <c r="BB332">
        <v>0</v>
      </c>
      <c r="BC332" t="s">
        <v>133</v>
      </c>
      <c r="BD332">
        <v>0</v>
      </c>
      <c r="BE332" t="s">
        <v>133</v>
      </c>
      <c r="BF33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333" spans="1:58" x14ac:dyDescent="0.25">
      <c r="A333" t="s">
        <v>549</v>
      </c>
      <c r="B333" t="s">
        <v>19</v>
      </c>
      <c r="C333">
        <v>1</v>
      </c>
      <c r="D333">
        <v>333</v>
      </c>
      <c r="E333" t="s">
        <v>2109</v>
      </c>
      <c r="F333" t="s">
        <v>123</v>
      </c>
      <c r="G333" t="s">
        <v>124</v>
      </c>
      <c r="H333" t="s">
        <v>125</v>
      </c>
      <c r="I333" t="s">
        <v>183</v>
      </c>
      <c r="J333" t="s">
        <v>140</v>
      </c>
      <c r="K333" t="s">
        <v>166</v>
      </c>
      <c r="L333">
        <v>50</v>
      </c>
      <c r="M333">
        <v>3458666</v>
      </c>
      <c r="N333">
        <v>20</v>
      </c>
      <c r="O333">
        <v>2</v>
      </c>
      <c r="P333" t="s">
        <v>128</v>
      </c>
      <c r="Q333" t="s">
        <v>129</v>
      </c>
      <c r="R333">
        <v>31</v>
      </c>
      <c r="S333" t="s">
        <v>550</v>
      </c>
      <c r="T333">
        <v>20</v>
      </c>
      <c r="U333">
        <v>23</v>
      </c>
      <c r="V333">
        <v>0</v>
      </c>
      <c r="W333">
        <v>0</v>
      </c>
      <c r="X333">
        <v>0</v>
      </c>
      <c r="Y333">
        <v>0</v>
      </c>
      <c r="Z333">
        <v>20</v>
      </c>
      <c r="AA333">
        <v>23</v>
      </c>
      <c r="AB333">
        <v>50</v>
      </c>
      <c r="AC333">
        <v>45</v>
      </c>
      <c r="AD333">
        <v>0</v>
      </c>
      <c r="AE333">
        <v>0</v>
      </c>
      <c r="AF333">
        <v>45</v>
      </c>
      <c r="AG333">
        <v>0</v>
      </c>
      <c r="AH333">
        <v>5</v>
      </c>
      <c r="AI333">
        <v>5</v>
      </c>
      <c r="AJ333">
        <v>5</v>
      </c>
      <c r="AK333">
        <v>5</v>
      </c>
      <c r="AL333">
        <v>0</v>
      </c>
      <c r="AM333">
        <v>0.4</v>
      </c>
      <c r="AN333">
        <v>0.45454545454545459</v>
      </c>
      <c r="AO333">
        <v>0</v>
      </c>
      <c r="AP333" t="s">
        <v>184</v>
      </c>
      <c r="AQ333" t="s">
        <v>131</v>
      </c>
      <c r="AR333" t="s">
        <v>229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 t="s">
        <v>135</v>
      </c>
      <c r="BA333">
        <v>20</v>
      </c>
      <c r="BB333">
        <v>0</v>
      </c>
      <c r="BC333" t="s">
        <v>133</v>
      </c>
      <c r="BD333">
        <v>0</v>
      </c>
      <c r="BE333" t="s">
        <v>133</v>
      </c>
      <c r="BF33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334" spans="1:58" x14ac:dyDescent="0.25">
      <c r="A334" t="s">
        <v>551</v>
      </c>
      <c r="B334" t="s">
        <v>19</v>
      </c>
      <c r="C334">
        <v>1</v>
      </c>
      <c r="D334">
        <v>334</v>
      </c>
      <c r="E334" t="s">
        <v>2109</v>
      </c>
      <c r="F334" t="s">
        <v>123</v>
      </c>
      <c r="G334" t="s">
        <v>124</v>
      </c>
      <c r="H334" t="s">
        <v>125</v>
      </c>
      <c r="I334" t="s">
        <v>183</v>
      </c>
      <c r="J334" t="s">
        <v>140</v>
      </c>
      <c r="K334" t="s">
        <v>166</v>
      </c>
      <c r="L334">
        <v>50</v>
      </c>
      <c r="M334">
        <v>3458668</v>
      </c>
      <c r="N334">
        <v>20</v>
      </c>
      <c r="O334">
        <v>2</v>
      </c>
      <c r="P334" t="s">
        <v>128</v>
      </c>
      <c r="Q334" t="s">
        <v>129</v>
      </c>
      <c r="R334">
        <v>31</v>
      </c>
      <c r="S334" t="s">
        <v>550</v>
      </c>
      <c r="T334">
        <v>20</v>
      </c>
      <c r="U334">
        <v>23</v>
      </c>
      <c r="V334">
        <v>0</v>
      </c>
      <c r="W334">
        <v>0</v>
      </c>
      <c r="X334">
        <v>0</v>
      </c>
      <c r="Y334">
        <v>0</v>
      </c>
      <c r="Z334">
        <v>20</v>
      </c>
      <c r="AA334">
        <v>23</v>
      </c>
      <c r="AB334">
        <v>50</v>
      </c>
      <c r="AC334">
        <v>45</v>
      </c>
      <c r="AD334">
        <v>0</v>
      </c>
      <c r="AE334">
        <v>0</v>
      </c>
      <c r="AF334">
        <v>45</v>
      </c>
      <c r="AG334">
        <v>0</v>
      </c>
      <c r="AH334">
        <v>5</v>
      </c>
      <c r="AI334">
        <v>5</v>
      </c>
      <c r="AJ334">
        <v>5</v>
      </c>
      <c r="AK334">
        <v>5</v>
      </c>
      <c r="AL334">
        <v>0</v>
      </c>
      <c r="AM334">
        <v>0.4</v>
      </c>
      <c r="AN334">
        <v>0.45454545454545459</v>
      </c>
      <c r="AO334">
        <v>0</v>
      </c>
      <c r="AP334" t="s">
        <v>184</v>
      </c>
      <c r="AQ334" t="s">
        <v>131</v>
      </c>
      <c r="AR334" t="s">
        <v>229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 t="s">
        <v>135</v>
      </c>
      <c r="BA334">
        <v>20</v>
      </c>
      <c r="BB334">
        <v>0</v>
      </c>
      <c r="BC334" t="s">
        <v>133</v>
      </c>
      <c r="BD334">
        <v>0</v>
      </c>
      <c r="BE334" t="s">
        <v>133</v>
      </c>
      <c r="BF33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335" spans="1:58" x14ac:dyDescent="0.25">
      <c r="A335" t="s">
        <v>552</v>
      </c>
      <c r="B335" t="s">
        <v>19</v>
      </c>
      <c r="C335">
        <v>1</v>
      </c>
      <c r="D335">
        <v>335</v>
      </c>
      <c r="E335" t="s">
        <v>2109</v>
      </c>
      <c r="F335" t="s">
        <v>123</v>
      </c>
      <c r="G335" t="s">
        <v>124</v>
      </c>
      <c r="H335" t="s">
        <v>125</v>
      </c>
      <c r="I335" t="s">
        <v>154</v>
      </c>
      <c r="J335" t="s">
        <v>154</v>
      </c>
      <c r="K335" t="s">
        <v>151</v>
      </c>
      <c r="L335">
        <v>50</v>
      </c>
      <c r="M335">
        <v>1017345</v>
      </c>
      <c r="N335">
        <v>0</v>
      </c>
      <c r="O335">
        <v>2</v>
      </c>
      <c r="P335" t="s">
        <v>128</v>
      </c>
      <c r="Q335" t="s">
        <v>129</v>
      </c>
      <c r="R335">
        <v>31</v>
      </c>
      <c r="S335" t="s">
        <v>189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50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50</v>
      </c>
      <c r="AJ335">
        <v>50</v>
      </c>
      <c r="AK335">
        <v>50</v>
      </c>
      <c r="AL335">
        <v>50</v>
      </c>
      <c r="AM335">
        <v>0</v>
      </c>
      <c r="AN335">
        <v>4.5454545454545459</v>
      </c>
      <c r="AO335">
        <v>0</v>
      </c>
      <c r="AP335" t="s">
        <v>172</v>
      </c>
      <c r="AQ335" t="s">
        <v>155</v>
      </c>
      <c r="AR335" t="s">
        <v>229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 t="s">
        <v>147</v>
      </c>
      <c r="BA335">
        <v>0</v>
      </c>
      <c r="BB335">
        <v>0</v>
      </c>
      <c r="BC335" t="s">
        <v>133</v>
      </c>
      <c r="BD335">
        <v>1</v>
      </c>
      <c r="BE335" t="s">
        <v>133</v>
      </c>
      <c r="BF33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336" spans="1:58" x14ac:dyDescent="0.25">
      <c r="A336" t="s">
        <v>553</v>
      </c>
      <c r="B336" t="s">
        <v>19</v>
      </c>
      <c r="C336">
        <v>1</v>
      </c>
      <c r="D336">
        <v>336</v>
      </c>
      <c r="E336" t="s">
        <v>2109</v>
      </c>
      <c r="F336" t="s">
        <v>123</v>
      </c>
      <c r="G336" t="s">
        <v>124</v>
      </c>
      <c r="H336" t="s">
        <v>125</v>
      </c>
      <c r="I336" t="s">
        <v>154</v>
      </c>
      <c r="J336" t="s">
        <v>154</v>
      </c>
      <c r="K336" t="s">
        <v>151</v>
      </c>
      <c r="L336">
        <v>50</v>
      </c>
      <c r="M336">
        <v>1017347</v>
      </c>
      <c r="N336">
        <v>0</v>
      </c>
      <c r="O336">
        <v>2</v>
      </c>
      <c r="P336" t="s">
        <v>128</v>
      </c>
      <c r="Q336" t="s">
        <v>129</v>
      </c>
      <c r="R336">
        <v>31</v>
      </c>
      <c r="S336" t="s">
        <v>189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50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50</v>
      </c>
      <c r="AJ336">
        <v>50</v>
      </c>
      <c r="AK336">
        <v>50</v>
      </c>
      <c r="AL336">
        <v>50</v>
      </c>
      <c r="AM336">
        <v>0</v>
      </c>
      <c r="AN336">
        <v>4.5454545454545459</v>
      </c>
      <c r="AO336">
        <v>0</v>
      </c>
      <c r="AP336" t="s">
        <v>172</v>
      </c>
      <c r="AQ336" t="s">
        <v>155</v>
      </c>
      <c r="AR336" t="s">
        <v>229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 t="s">
        <v>147</v>
      </c>
      <c r="BA336">
        <v>0</v>
      </c>
      <c r="BB336">
        <v>0</v>
      </c>
      <c r="BC336" t="s">
        <v>133</v>
      </c>
      <c r="BD336">
        <v>2</v>
      </c>
      <c r="BE336" t="s">
        <v>133</v>
      </c>
      <c r="BF33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337" spans="1:58" x14ac:dyDescent="0.25">
      <c r="A337" t="s">
        <v>554</v>
      </c>
      <c r="B337" t="s">
        <v>19</v>
      </c>
      <c r="C337">
        <v>1</v>
      </c>
      <c r="D337">
        <v>337</v>
      </c>
      <c r="E337" t="s">
        <v>2109</v>
      </c>
      <c r="F337" t="s">
        <v>123</v>
      </c>
      <c r="G337" t="s">
        <v>124</v>
      </c>
      <c r="H337" t="s">
        <v>125</v>
      </c>
      <c r="I337" t="s">
        <v>154</v>
      </c>
      <c r="J337" t="s">
        <v>154</v>
      </c>
      <c r="K337" t="s">
        <v>151</v>
      </c>
      <c r="L337">
        <v>50</v>
      </c>
      <c r="M337">
        <v>1017349</v>
      </c>
      <c r="N337">
        <v>0</v>
      </c>
      <c r="O337">
        <v>2</v>
      </c>
      <c r="P337" t="s">
        <v>128</v>
      </c>
      <c r="Q337" t="s">
        <v>129</v>
      </c>
      <c r="R337">
        <v>31</v>
      </c>
      <c r="S337" t="s">
        <v>189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50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50</v>
      </c>
      <c r="AJ337">
        <v>50</v>
      </c>
      <c r="AK337">
        <v>50</v>
      </c>
      <c r="AL337">
        <v>50</v>
      </c>
      <c r="AM337">
        <v>0</v>
      </c>
      <c r="AN337">
        <v>4.5454545454545459</v>
      </c>
      <c r="AO337">
        <v>0</v>
      </c>
      <c r="AP337" t="s">
        <v>172</v>
      </c>
      <c r="AQ337" t="s">
        <v>155</v>
      </c>
      <c r="AR337" t="s">
        <v>229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 t="s">
        <v>147</v>
      </c>
      <c r="BA337">
        <v>0</v>
      </c>
      <c r="BB337">
        <v>0</v>
      </c>
      <c r="BC337" t="s">
        <v>133</v>
      </c>
      <c r="BD337">
        <v>3</v>
      </c>
      <c r="BE337" t="s">
        <v>133</v>
      </c>
      <c r="BF33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338" spans="1:58" x14ac:dyDescent="0.25">
      <c r="A338" t="s">
        <v>555</v>
      </c>
      <c r="B338" t="s">
        <v>19</v>
      </c>
      <c r="C338">
        <v>1</v>
      </c>
      <c r="D338">
        <v>338</v>
      </c>
      <c r="E338" t="s">
        <v>2109</v>
      </c>
      <c r="F338" t="s">
        <v>123</v>
      </c>
      <c r="G338" t="s">
        <v>124</v>
      </c>
      <c r="H338" t="s">
        <v>125</v>
      </c>
      <c r="I338" t="s">
        <v>154</v>
      </c>
      <c r="J338" t="s">
        <v>154</v>
      </c>
      <c r="K338" t="s">
        <v>151</v>
      </c>
      <c r="L338">
        <v>50</v>
      </c>
      <c r="M338">
        <v>1017351</v>
      </c>
      <c r="N338">
        <v>0</v>
      </c>
      <c r="O338">
        <v>2</v>
      </c>
      <c r="P338" t="s">
        <v>128</v>
      </c>
      <c r="Q338" t="s">
        <v>129</v>
      </c>
      <c r="R338">
        <v>31</v>
      </c>
      <c r="S338" t="s">
        <v>189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50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50</v>
      </c>
      <c r="AJ338">
        <v>50</v>
      </c>
      <c r="AK338">
        <v>50</v>
      </c>
      <c r="AL338">
        <v>50</v>
      </c>
      <c r="AM338">
        <v>0</v>
      </c>
      <c r="AN338">
        <v>4.5454545454545459</v>
      </c>
      <c r="AO338">
        <v>0</v>
      </c>
      <c r="AP338" t="s">
        <v>172</v>
      </c>
      <c r="AQ338" t="s">
        <v>155</v>
      </c>
      <c r="AR338" t="s">
        <v>229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 t="s">
        <v>147</v>
      </c>
      <c r="BA338">
        <v>0</v>
      </c>
      <c r="BB338">
        <v>0</v>
      </c>
      <c r="BC338" t="s">
        <v>133</v>
      </c>
      <c r="BD338">
        <v>4</v>
      </c>
      <c r="BE338" t="s">
        <v>133</v>
      </c>
      <c r="BF33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339" spans="1:58" x14ac:dyDescent="0.25">
      <c r="A339" t="s">
        <v>556</v>
      </c>
      <c r="B339" t="s">
        <v>19</v>
      </c>
      <c r="C339">
        <v>1</v>
      </c>
      <c r="D339">
        <v>339</v>
      </c>
      <c r="E339" t="s">
        <v>2109</v>
      </c>
      <c r="F339" t="s">
        <v>123</v>
      </c>
      <c r="G339" t="s">
        <v>124</v>
      </c>
      <c r="H339" t="s">
        <v>125</v>
      </c>
      <c r="I339" t="s">
        <v>154</v>
      </c>
      <c r="J339" t="s">
        <v>154</v>
      </c>
      <c r="K339" t="s">
        <v>151</v>
      </c>
      <c r="L339">
        <v>50</v>
      </c>
      <c r="M339">
        <v>1017353</v>
      </c>
      <c r="N339">
        <v>0</v>
      </c>
      <c r="O339">
        <v>2</v>
      </c>
      <c r="P339" t="s">
        <v>128</v>
      </c>
      <c r="Q339" t="s">
        <v>129</v>
      </c>
      <c r="R339">
        <v>31</v>
      </c>
      <c r="S339" t="s">
        <v>189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50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50</v>
      </c>
      <c r="AJ339">
        <v>50</v>
      </c>
      <c r="AK339">
        <v>50</v>
      </c>
      <c r="AL339">
        <v>50</v>
      </c>
      <c r="AM339">
        <v>0</v>
      </c>
      <c r="AN339">
        <v>4.5454545454545459</v>
      </c>
      <c r="AO339">
        <v>0</v>
      </c>
      <c r="AP339" t="s">
        <v>172</v>
      </c>
      <c r="AQ339" t="s">
        <v>155</v>
      </c>
      <c r="AR339" t="s">
        <v>229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 t="s">
        <v>147</v>
      </c>
      <c r="BA339">
        <v>0</v>
      </c>
      <c r="BB339">
        <v>0</v>
      </c>
      <c r="BC339" t="s">
        <v>133</v>
      </c>
      <c r="BD339">
        <v>5</v>
      </c>
      <c r="BE339" t="s">
        <v>133</v>
      </c>
      <c r="BF33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340" spans="1:58" x14ac:dyDescent="0.25">
      <c r="A340" t="s">
        <v>557</v>
      </c>
      <c r="B340" t="s">
        <v>19</v>
      </c>
      <c r="C340">
        <v>1</v>
      </c>
      <c r="D340">
        <v>340</v>
      </c>
      <c r="E340" t="s">
        <v>2109</v>
      </c>
      <c r="F340" t="s">
        <v>123</v>
      </c>
      <c r="G340" t="s">
        <v>124</v>
      </c>
      <c r="H340" t="s">
        <v>125</v>
      </c>
      <c r="I340" t="s">
        <v>154</v>
      </c>
      <c r="J340" t="s">
        <v>154</v>
      </c>
      <c r="K340" t="s">
        <v>151</v>
      </c>
      <c r="L340">
        <v>50</v>
      </c>
      <c r="M340">
        <v>1017355</v>
      </c>
      <c r="N340">
        <v>0</v>
      </c>
      <c r="O340">
        <v>2</v>
      </c>
      <c r="P340" t="s">
        <v>128</v>
      </c>
      <c r="Q340" t="s">
        <v>129</v>
      </c>
      <c r="R340">
        <v>31</v>
      </c>
      <c r="S340" t="s">
        <v>189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50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50</v>
      </c>
      <c r="AJ340">
        <v>50</v>
      </c>
      <c r="AK340">
        <v>50</v>
      </c>
      <c r="AL340">
        <v>50</v>
      </c>
      <c r="AM340">
        <v>0</v>
      </c>
      <c r="AN340">
        <v>4.5454545454545459</v>
      </c>
      <c r="AO340">
        <v>0</v>
      </c>
      <c r="AP340" t="s">
        <v>172</v>
      </c>
      <c r="AQ340" t="s">
        <v>155</v>
      </c>
      <c r="AR340" t="s">
        <v>229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 t="s">
        <v>147</v>
      </c>
      <c r="BA340">
        <v>0</v>
      </c>
      <c r="BB340">
        <v>0</v>
      </c>
      <c r="BC340" t="s">
        <v>133</v>
      </c>
      <c r="BD340">
        <v>6</v>
      </c>
      <c r="BE340" t="s">
        <v>133</v>
      </c>
      <c r="BF34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341" spans="1:58" x14ac:dyDescent="0.25">
      <c r="A341" t="s">
        <v>558</v>
      </c>
      <c r="B341" t="s">
        <v>19</v>
      </c>
      <c r="C341">
        <v>1</v>
      </c>
      <c r="D341">
        <v>341</v>
      </c>
      <c r="E341" t="s">
        <v>2109</v>
      </c>
      <c r="F341" t="s">
        <v>123</v>
      </c>
      <c r="G341" t="s">
        <v>124</v>
      </c>
      <c r="H341" t="s">
        <v>125</v>
      </c>
      <c r="I341" t="s">
        <v>154</v>
      </c>
      <c r="J341" t="s">
        <v>154</v>
      </c>
      <c r="K341" t="s">
        <v>151</v>
      </c>
      <c r="L341">
        <v>50</v>
      </c>
      <c r="M341">
        <v>1017357</v>
      </c>
      <c r="N341">
        <v>0</v>
      </c>
      <c r="O341">
        <v>2</v>
      </c>
      <c r="P341" t="s">
        <v>128</v>
      </c>
      <c r="Q341" t="s">
        <v>129</v>
      </c>
      <c r="R341">
        <v>31</v>
      </c>
      <c r="S341" t="s">
        <v>189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50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50</v>
      </c>
      <c r="AJ341">
        <v>50</v>
      </c>
      <c r="AK341">
        <v>50</v>
      </c>
      <c r="AL341">
        <v>50</v>
      </c>
      <c r="AM341">
        <v>0</v>
      </c>
      <c r="AN341">
        <v>4.5454545454545459</v>
      </c>
      <c r="AO341">
        <v>0</v>
      </c>
      <c r="AP341" t="s">
        <v>172</v>
      </c>
      <c r="AQ341" t="s">
        <v>155</v>
      </c>
      <c r="AR341" t="s">
        <v>229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 t="s">
        <v>147</v>
      </c>
      <c r="BA341">
        <v>0</v>
      </c>
      <c r="BB341">
        <v>0</v>
      </c>
      <c r="BC341" t="s">
        <v>144</v>
      </c>
      <c r="BD341">
        <v>7</v>
      </c>
      <c r="BE341" t="s">
        <v>133</v>
      </c>
      <c r="BF34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342" spans="1:58" x14ac:dyDescent="0.25">
      <c r="A342" t="s">
        <v>559</v>
      </c>
      <c r="B342" t="s">
        <v>19</v>
      </c>
      <c r="C342">
        <v>1</v>
      </c>
      <c r="D342">
        <v>342</v>
      </c>
      <c r="E342" t="s">
        <v>2110</v>
      </c>
      <c r="F342" t="s">
        <v>123</v>
      </c>
      <c r="G342" t="s">
        <v>124</v>
      </c>
      <c r="H342" t="s">
        <v>125</v>
      </c>
      <c r="I342" t="s">
        <v>126</v>
      </c>
      <c r="J342" t="s">
        <v>126</v>
      </c>
      <c r="K342" t="s">
        <v>127</v>
      </c>
      <c r="L342">
        <v>50</v>
      </c>
      <c r="M342">
        <v>1017359</v>
      </c>
      <c r="N342">
        <v>6</v>
      </c>
      <c r="O342">
        <v>2</v>
      </c>
      <c r="P342" t="s">
        <v>128</v>
      </c>
      <c r="Q342" t="s">
        <v>129</v>
      </c>
      <c r="R342">
        <v>32</v>
      </c>
      <c r="T342">
        <v>34</v>
      </c>
      <c r="U342">
        <v>39</v>
      </c>
      <c r="V342">
        <v>0</v>
      </c>
      <c r="W342">
        <v>0</v>
      </c>
      <c r="X342">
        <v>0</v>
      </c>
      <c r="Y342">
        <v>0</v>
      </c>
      <c r="Z342">
        <v>34</v>
      </c>
      <c r="AA342">
        <v>39</v>
      </c>
      <c r="AB342">
        <v>50</v>
      </c>
      <c r="AC342">
        <v>39</v>
      </c>
      <c r="AD342">
        <v>0</v>
      </c>
      <c r="AE342">
        <v>0</v>
      </c>
      <c r="AF342">
        <v>39</v>
      </c>
      <c r="AG342">
        <v>0</v>
      </c>
      <c r="AH342">
        <v>11</v>
      </c>
      <c r="AI342">
        <v>11</v>
      </c>
      <c r="AJ342">
        <v>11</v>
      </c>
      <c r="AK342">
        <v>11</v>
      </c>
      <c r="AL342">
        <v>0</v>
      </c>
      <c r="AM342">
        <v>0.12</v>
      </c>
      <c r="AN342">
        <v>1</v>
      </c>
      <c r="AO342">
        <v>0</v>
      </c>
      <c r="AP342" t="s">
        <v>130</v>
      </c>
      <c r="AQ342" t="s">
        <v>131</v>
      </c>
      <c r="AR342" t="s">
        <v>523</v>
      </c>
      <c r="AS342">
        <v>5031</v>
      </c>
      <c r="AT342">
        <v>5018</v>
      </c>
      <c r="AU342">
        <v>0</v>
      </c>
      <c r="AV342">
        <v>0</v>
      </c>
      <c r="AW342">
        <v>10.048999999999999</v>
      </c>
      <c r="AX342">
        <v>0.25766666666666665</v>
      </c>
      <c r="AY342">
        <v>10.048999999999999</v>
      </c>
      <c r="AZ342" t="s">
        <v>135</v>
      </c>
      <c r="BA342">
        <v>-4.0489999999999995</v>
      </c>
      <c r="BB342">
        <v>-15.714100905562741</v>
      </c>
      <c r="BC342" t="s">
        <v>132</v>
      </c>
      <c r="BD342">
        <v>0</v>
      </c>
      <c r="BE342" t="s">
        <v>133</v>
      </c>
      <c r="BF34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10.048999999999999</v>
      </c>
    </row>
    <row r="343" spans="1:58" x14ac:dyDescent="0.25">
      <c r="A343" t="s">
        <v>560</v>
      </c>
      <c r="B343" t="s">
        <v>19</v>
      </c>
      <c r="C343">
        <v>1</v>
      </c>
      <c r="D343">
        <v>343</v>
      </c>
      <c r="E343" t="s">
        <v>2110</v>
      </c>
      <c r="F343" t="s">
        <v>123</v>
      </c>
      <c r="G343" t="s">
        <v>124</v>
      </c>
      <c r="H343" t="s">
        <v>125</v>
      </c>
      <c r="I343" t="s">
        <v>126</v>
      </c>
      <c r="J343" t="s">
        <v>126</v>
      </c>
      <c r="K343" t="s">
        <v>127</v>
      </c>
      <c r="L343">
        <v>50</v>
      </c>
      <c r="M343">
        <v>1017361</v>
      </c>
      <c r="N343">
        <v>6</v>
      </c>
      <c r="O343">
        <v>2</v>
      </c>
      <c r="P343" t="s">
        <v>128</v>
      </c>
      <c r="Q343" t="s">
        <v>129</v>
      </c>
      <c r="R343">
        <v>32</v>
      </c>
      <c r="T343">
        <v>29</v>
      </c>
      <c r="U343">
        <v>34</v>
      </c>
      <c r="V343">
        <v>4</v>
      </c>
      <c r="W343">
        <v>0</v>
      </c>
      <c r="X343">
        <v>4</v>
      </c>
      <c r="Y343">
        <v>1</v>
      </c>
      <c r="Z343">
        <v>34</v>
      </c>
      <c r="AA343">
        <v>39</v>
      </c>
      <c r="AB343">
        <v>50</v>
      </c>
      <c r="AC343">
        <v>38</v>
      </c>
      <c r="AD343">
        <v>4</v>
      </c>
      <c r="AE343">
        <v>1</v>
      </c>
      <c r="AF343">
        <v>43</v>
      </c>
      <c r="AG343">
        <v>0</v>
      </c>
      <c r="AH343">
        <v>12</v>
      </c>
      <c r="AI343">
        <v>7</v>
      </c>
      <c r="AJ343">
        <v>11</v>
      </c>
      <c r="AK343">
        <v>12</v>
      </c>
      <c r="AL343">
        <v>0</v>
      </c>
      <c r="AM343">
        <v>0.12</v>
      </c>
      <c r="AN343">
        <v>1</v>
      </c>
      <c r="AO343">
        <v>0</v>
      </c>
      <c r="AP343" t="s">
        <v>130</v>
      </c>
      <c r="AQ343" t="s">
        <v>131</v>
      </c>
      <c r="AR343" t="s">
        <v>523</v>
      </c>
      <c r="AS343">
        <v>4694</v>
      </c>
      <c r="AT343">
        <v>4706</v>
      </c>
      <c r="AU343">
        <v>0</v>
      </c>
      <c r="AV343">
        <v>0</v>
      </c>
      <c r="AW343">
        <v>9.4</v>
      </c>
      <c r="AX343">
        <v>0.2473684210526316</v>
      </c>
      <c r="AY343">
        <v>10.636842105263158</v>
      </c>
      <c r="AZ343" t="s">
        <v>135</v>
      </c>
      <c r="BA343">
        <v>-4.6368421052631579</v>
      </c>
      <c r="BB343">
        <v>-18.74468085106383</v>
      </c>
      <c r="BC343" t="s">
        <v>133</v>
      </c>
      <c r="BD343">
        <v>0</v>
      </c>
      <c r="BE343" t="s">
        <v>133</v>
      </c>
      <c r="BF34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9.4</v>
      </c>
    </row>
    <row r="344" spans="1:58" x14ac:dyDescent="0.25">
      <c r="A344" t="s">
        <v>561</v>
      </c>
      <c r="B344" t="s">
        <v>19</v>
      </c>
      <c r="C344">
        <v>1</v>
      </c>
      <c r="D344">
        <v>344</v>
      </c>
      <c r="E344" t="s">
        <v>2110</v>
      </c>
      <c r="F344" t="s">
        <v>123</v>
      </c>
      <c r="G344" t="s">
        <v>124</v>
      </c>
      <c r="H344" t="s">
        <v>125</v>
      </c>
      <c r="I344" t="s">
        <v>126</v>
      </c>
      <c r="J344" t="s">
        <v>126</v>
      </c>
      <c r="K344" t="s">
        <v>127</v>
      </c>
      <c r="L344">
        <v>50</v>
      </c>
      <c r="M344">
        <v>1017363</v>
      </c>
      <c r="N344">
        <v>6</v>
      </c>
      <c r="O344">
        <v>2</v>
      </c>
      <c r="P344" t="s">
        <v>128</v>
      </c>
      <c r="Q344" t="s">
        <v>129</v>
      </c>
      <c r="R344">
        <v>32</v>
      </c>
      <c r="T344">
        <v>15</v>
      </c>
      <c r="U344">
        <v>20</v>
      </c>
      <c r="V344">
        <v>5</v>
      </c>
      <c r="W344">
        <v>0</v>
      </c>
      <c r="X344">
        <v>5</v>
      </c>
      <c r="Y344">
        <v>0</v>
      </c>
      <c r="Z344">
        <v>20</v>
      </c>
      <c r="AA344">
        <v>25</v>
      </c>
      <c r="AB344">
        <v>50</v>
      </c>
      <c r="AC344">
        <v>23</v>
      </c>
      <c r="AD344">
        <v>5</v>
      </c>
      <c r="AE344">
        <v>0</v>
      </c>
      <c r="AF344">
        <v>28</v>
      </c>
      <c r="AG344">
        <v>0</v>
      </c>
      <c r="AH344">
        <v>27</v>
      </c>
      <c r="AI344">
        <v>22</v>
      </c>
      <c r="AJ344">
        <v>27</v>
      </c>
      <c r="AK344">
        <v>27</v>
      </c>
      <c r="AL344">
        <v>0</v>
      </c>
      <c r="AM344">
        <v>0.12</v>
      </c>
      <c r="AN344">
        <v>2.4545454545454546</v>
      </c>
      <c r="AO344">
        <v>0</v>
      </c>
      <c r="AP344" t="s">
        <v>130</v>
      </c>
      <c r="AQ344" t="s">
        <v>131</v>
      </c>
      <c r="AR344" t="s">
        <v>523</v>
      </c>
      <c r="AS344">
        <v>2488</v>
      </c>
      <c r="AT344">
        <v>2370</v>
      </c>
      <c r="AU344">
        <v>0</v>
      </c>
      <c r="AV344">
        <v>0</v>
      </c>
      <c r="AW344">
        <v>4.8579999999999997</v>
      </c>
      <c r="AX344">
        <v>0.2112173913043478</v>
      </c>
      <c r="AY344">
        <v>5.9140869565217384</v>
      </c>
      <c r="AZ344" t="s">
        <v>135</v>
      </c>
      <c r="BA344">
        <v>8.5913043478261564E-2</v>
      </c>
      <c r="BB344">
        <v>0.40675174969123429</v>
      </c>
      <c r="BC344" t="s">
        <v>133</v>
      </c>
      <c r="BD344">
        <v>0</v>
      </c>
      <c r="BE344" t="s">
        <v>133</v>
      </c>
      <c r="BF34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4.8579999999999997</v>
      </c>
    </row>
    <row r="345" spans="1:58" x14ac:dyDescent="0.25">
      <c r="A345" t="s">
        <v>562</v>
      </c>
      <c r="B345" t="s">
        <v>19</v>
      </c>
      <c r="C345">
        <v>1</v>
      </c>
      <c r="D345">
        <v>345</v>
      </c>
      <c r="E345" t="s">
        <v>2110</v>
      </c>
      <c r="F345" t="s">
        <v>123</v>
      </c>
      <c r="G345" t="s">
        <v>124</v>
      </c>
      <c r="H345" t="s">
        <v>125</v>
      </c>
      <c r="I345" t="s">
        <v>126</v>
      </c>
      <c r="J345" t="s">
        <v>126</v>
      </c>
      <c r="K345" t="s">
        <v>127</v>
      </c>
      <c r="L345">
        <v>50</v>
      </c>
      <c r="M345">
        <v>1017365</v>
      </c>
      <c r="N345">
        <v>6</v>
      </c>
      <c r="O345">
        <v>2</v>
      </c>
      <c r="P345" t="s">
        <v>128</v>
      </c>
      <c r="Q345" t="s">
        <v>129</v>
      </c>
      <c r="R345">
        <v>32</v>
      </c>
      <c r="T345">
        <v>35</v>
      </c>
      <c r="U345">
        <v>40</v>
      </c>
      <c r="V345">
        <v>1</v>
      </c>
      <c r="W345">
        <v>0</v>
      </c>
      <c r="X345">
        <v>1</v>
      </c>
      <c r="Y345">
        <v>0</v>
      </c>
      <c r="Z345">
        <v>36</v>
      </c>
      <c r="AA345">
        <v>41</v>
      </c>
      <c r="AB345">
        <v>50</v>
      </c>
      <c r="AC345">
        <v>40</v>
      </c>
      <c r="AD345">
        <v>1</v>
      </c>
      <c r="AE345">
        <v>0</v>
      </c>
      <c r="AF345">
        <v>41</v>
      </c>
      <c r="AG345">
        <v>0</v>
      </c>
      <c r="AH345">
        <v>10</v>
      </c>
      <c r="AI345">
        <v>9</v>
      </c>
      <c r="AJ345">
        <v>10</v>
      </c>
      <c r="AK345">
        <v>10</v>
      </c>
      <c r="AL345">
        <v>0</v>
      </c>
      <c r="AM345">
        <v>0.12</v>
      </c>
      <c r="AN345">
        <v>0.90909090909090917</v>
      </c>
      <c r="AO345">
        <v>0</v>
      </c>
      <c r="AP345" t="s">
        <v>130</v>
      </c>
      <c r="AQ345" t="s">
        <v>131</v>
      </c>
      <c r="AR345" t="s">
        <v>523</v>
      </c>
      <c r="AS345">
        <v>6452</v>
      </c>
      <c r="AT345">
        <v>6473</v>
      </c>
      <c r="AU345">
        <v>0</v>
      </c>
      <c r="AV345">
        <v>0</v>
      </c>
      <c r="AW345">
        <v>12.925000000000001</v>
      </c>
      <c r="AX345">
        <v>0.323125</v>
      </c>
      <c r="AY345">
        <v>13.248125</v>
      </c>
      <c r="AZ345" t="s">
        <v>135</v>
      </c>
      <c r="BA345">
        <v>-7.2481249999999999</v>
      </c>
      <c r="BB345">
        <v>-22.431334622823986</v>
      </c>
      <c r="BC345" t="s">
        <v>133</v>
      </c>
      <c r="BD345">
        <v>0</v>
      </c>
      <c r="BE345" t="s">
        <v>133</v>
      </c>
      <c r="BF34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12.925000000000001</v>
      </c>
    </row>
    <row r="346" spans="1:58" x14ac:dyDescent="0.25">
      <c r="A346" t="s">
        <v>563</v>
      </c>
      <c r="B346" t="s">
        <v>19</v>
      </c>
      <c r="C346">
        <v>1</v>
      </c>
      <c r="D346">
        <v>346</v>
      </c>
      <c r="E346" t="s">
        <v>2110</v>
      </c>
      <c r="F346" t="s">
        <v>123</v>
      </c>
      <c r="G346" t="s">
        <v>124</v>
      </c>
      <c r="H346" t="s">
        <v>125</v>
      </c>
      <c r="I346" t="s">
        <v>126</v>
      </c>
      <c r="J346" t="s">
        <v>126</v>
      </c>
      <c r="K346" t="s">
        <v>127</v>
      </c>
      <c r="L346">
        <v>50</v>
      </c>
      <c r="M346">
        <v>1017367</v>
      </c>
      <c r="N346">
        <v>6</v>
      </c>
      <c r="O346">
        <v>2</v>
      </c>
      <c r="P346" t="s">
        <v>128</v>
      </c>
      <c r="Q346" t="s">
        <v>129</v>
      </c>
      <c r="R346">
        <v>32</v>
      </c>
      <c r="T346">
        <v>28</v>
      </c>
      <c r="U346">
        <v>33</v>
      </c>
      <c r="V346">
        <v>3</v>
      </c>
      <c r="W346">
        <v>0</v>
      </c>
      <c r="X346">
        <v>3</v>
      </c>
      <c r="Y346">
        <v>1</v>
      </c>
      <c r="Z346">
        <v>32</v>
      </c>
      <c r="AA346">
        <v>37</v>
      </c>
      <c r="AB346">
        <v>50</v>
      </c>
      <c r="AC346">
        <v>33</v>
      </c>
      <c r="AD346">
        <v>3</v>
      </c>
      <c r="AE346">
        <v>1</v>
      </c>
      <c r="AF346">
        <v>37</v>
      </c>
      <c r="AG346">
        <v>0</v>
      </c>
      <c r="AH346">
        <v>17</v>
      </c>
      <c r="AI346">
        <v>13</v>
      </c>
      <c r="AJ346">
        <v>16</v>
      </c>
      <c r="AK346">
        <v>17</v>
      </c>
      <c r="AL346">
        <v>0</v>
      </c>
      <c r="AM346">
        <v>0.12</v>
      </c>
      <c r="AN346">
        <v>1.4545454545454546</v>
      </c>
      <c r="AO346">
        <v>0</v>
      </c>
      <c r="AP346" t="s">
        <v>130</v>
      </c>
      <c r="AQ346" t="s">
        <v>131</v>
      </c>
      <c r="AR346" t="s">
        <v>523</v>
      </c>
      <c r="AS346">
        <v>5549</v>
      </c>
      <c r="AT346">
        <v>5525</v>
      </c>
      <c r="AU346">
        <v>0</v>
      </c>
      <c r="AV346">
        <v>0</v>
      </c>
      <c r="AW346">
        <v>11.074</v>
      </c>
      <c r="AX346">
        <v>0.33557575757575758</v>
      </c>
      <c r="AY346">
        <v>12.41630303030303</v>
      </c>
      <c r="AZ346" t="s">
        <v>135</v>
      </c>
      <c r="BA346">
        <v>-6.4163030303030304</v>
      </c>
      <c r="BB346">
        <v>-19.120281741014988</v>
      </c>
      <c r="BC346" t="s">
        <v>133</v>
      </c>
      <c r="BD346">
        <v>0</v>
      </c>
      <c r="BE346" t="s">
        <v>133</v>
      </c>
      <c r="BF34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11.074</v>
      </c>
    </row>
    <row r="347" spans="1:58" x14ac:dyDescent="0.25">
      <c r="A347" t="s">
        <v>564</v>
      </c>
      <c r="B347" t="s">
        <v>19</v>
      </c>
      <c r="C347">
        <v>1</v>
      </c>
      <c r="D347">
        <v>347</v>
      </c>
      <c r="E347" t="s">
        <v>2110</v>
      </c>
      <c r="F347" t="s">
        <v>123</v>
      </c>
      <c r="G347" t="s">
        <v>124</v>
      </c>
      <c r="H347" t="s">
        <v>136</v>
      </c>
      <c r="I347" t="s">
        <v>137</v>
      </c>
      <c r="J347" t="s">
        <v>138</v>
      </c>
      <c r="K347" t="s">
        <v>127</v>
      </c>
      <c r="L347">
        <v>50</v>
      </c>
      <c r="M347">
        <v>1017369</v>
      </c>
      <c r="N347">
        <v>5</v>
      </c>
      <c r="O347">
        <v>2</v>
      </c>
      <c r="P347" t="s">
        <v>128</v>
      </c>
      <c r="Q347" t="s">
        <v>129</v>
      </c>
      <c r="R347">
        <v>32</v>
      </c>
      <c r="T347">
        <v>0</v>
      </c>
      <c r="U347">
        <v>4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4</v>
      </c>
      <c r="AB347">
        <v>50</v>
      </c>
      <c r="AC347">
        <v>4</v>
      </c>
      <c r="AD347">
        <v>0</v>
      </c>
      <c r="AE347">
        <v>0</v>
      </c>
      <c r="AF347">
        <v>4</v>
      </c>
      <c r="AG347">
        <v>0</v>
      </c>
      <c r="AH347">
        <v>46</v>
      </c>
      <c r="AI347">
        <v>46</v>
      </c>
      <c r="AJ347">
        <v>46</v>
      </c>
      <c r="AK347">
        <v>46</v>
      </c>
      <c r="AL347">
        <v>0</v>
      </c>
      <c r="AM347">
        <v>0.1</v>
      </c>
      <c r="AN347">
        <v>4.1818181818181817</v>
      </c>
      <c r="AO347">
        <v>0</v>
      </c>
      <c r="AP347" t="s">
        <v>139</v>
      </c>
      <c r="AQ347" t="s">
        <v>131</v>
      </c>
      <c r="AR347" t="s">
        <v>523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 t="s">
        <v>134</v>
      </c>
      <c r="BA347">
        <v>5</v>
      </c>
      <c r="BB347">
        <v>0</v>
      </c>
      <c r="BC347" t="s">
        <v>133</v>
      </c>
      <c r="BD347">
        <v>0</v>
      </c>
      <c r="BE347" t="s">
        <v>133</v>
      </c>
      <c r="BF34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348" spans="1:58" x14ac:dyDescent="0.25">
      <c r="A348" t="s">
        <v>565</v>
      </c>
      <c r="B348" t="s">
        <v>19</v>
      </c>
      <c r="C348">
        <v>1</v>
      </c>
      <c r="D348">
        <v>348</v>
      </c>
      <c r="E348" t="s">
        <v>2110</v>
      </c>
      <c r="F348" t="s">
        <v>123</v>
      </c>
      <c r="G348" t="s">
        <v>124</v>
      </c>
      <c r="H348" t="s">
        <v>125</v>
      </c>
      <c r="I348" t="s">
        <v>126</v>
      </c>
      <c r="J348" t="s">
        <v>126</v>
      </c>
      <c r="K348" t="s">
        <v>127</v>
      </c>
      <c r="L348">
        <v>50</v>
      </c>
      <c r="M348">
        <v>1017371</v>
      </c>
      <c r="N348">
        <v>6</v>
      </c>
      <c r="O348">
        <v>2</v>
      </c>
      <c r="P348" t="s">
        <v>128</v>
      </c>
      <c r="Q348" t="s">
        <v>129</v>
      </c>
      <c r="R348">
        <v>32</v>
      </c>
      <c r="T348">
        <v>26</v>
      </c>
      <c r="U348">
        <v>31</v>
      </c>
      <c r="V348">
        <v>14</v>
      </c>
      <c r="W348">
        <v>0</v>
      </c>
      <c r="X348">
        <v>14</v>
      </c>
      <c r="Y348">
        <v>0</v>
      </c>
      <c r="Z348">
        <v>40</v>
      </c>
      <c r="AA348">
        <v>45</v>
      </c>
      <c r="AB348">
        <v>50</v>
      </c>
      <c r="AC348">
        <v>31</v>
      </c>
      <c r="AD348">
        <v>14</v>
      </c>
      <c r="AE348">
        <v>0</v>
      </c>
      <c r="AF348">
        <v>45</v>
      </c>
      <c r="AG348">
        <v>0</v>
      </c>
      <c r="AH348">
        <v>19</v>
      </c>
      <c r="AI348">
        <v>5</v>
      </c>
      <c r="AJ348">
        <v>19</v>
      </c>
      <c r="AK348">
        <v>19</v>
      </c>
      <c r="AL348">
        <v>0</v>
      </c>
      <c r="AM348">
        <v>0.12</v>
      </c>
      <c r="AN348">
        <v>1.7272727272727273</v>
      </c>
      <c r="AO348">
        <v>0</v>
      </c>
      <c r="AP348" t="s">
        <v>130</v>
      </c>
      <c r="AQ348" t="s">
        <v>131</v>
      </c>
      <c r="AR348" t="s">
        <v>523</v>
      </c>
      <c r="AS348">
        <v>4437</v>
      </c>
      <c r="AT348">
        <v>4510</v>
      </c>
      <c r="AU348">
        <v>0</v>
      </c>
      <c r="AV348">
        <v>0</v>
      </c>
      <c r="AW348">
        <v>8.9469999999999992</v>
      </c>
      <c r="AX348">
        <v>0.28861290322580641</v>
      </c>
      <c r="AY348">
        <v>12.987580645161287</v>
      </c>
      <c r="AZ348" t="s">
        <v>135</v>
      </c>
      <c r="BA348">
        <v>-6.9875806451612874</v>
      </c>
      <c r="BB348">
        <v>-24.210908684475235</v>
      </c>
      <c r="BC348" t="s">
        <v>133</v>
      </c>
      <c r="BD348">
        <v>0</v>
      </c>
      <c r="BE348" t="s">
        <v>133</v>
      </c>
      <c r="BF34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8.9469999999999992</v>
      </c>
    </row>
    <row r="349" spans="1:58" x14ac:dyDescent="0.25">
      <c r="A349" t="s">
        <v>566</v>
      </c>
      <c r="B349" t="s">
        <v>19</v>
      </c>
      <c r="C349">
        <v>1</v>
      </c>
      <c r="D349">
        <v>349</v>
      </c>
      <c r="E349" t="s">
        <v>2110</v>
      </c>
      <c r="F349" t="s">
        <v>123</v>
      </c>
      <c r="G349" t="s">
        <v>124</v>
      </c>
      <c r="H349" t="s">
        <v>125</v>
      </c>
      <c r="I349" t="s">
        <v>126</v>
      </c>
      <c r="J349" t="s">
        <v>126</v>
      </c>
      <c r="K349" t="s">
        <v>127</v>
      </c>
      <c r="L349">
        <v>50</v>
      </c>
      <c r="M349">
        <v>1017373</v>
      </c>
      <c r="N349">
        <v>6</v>
      </c>
      <c r="O349">
        <v>2</v>
      </c>
      <c r="P349" t="s">
        <v>128</v>
      </c>
      <c r="Q349" t="s">
        <v>129</v>
      </c>
      <c r="R349">
        <v>32</v>
      </c>
      <c r="T349">
        <v>17</v>
      </c>
      <c r="U349">
        <v>22</v>
      </c>
      <c r="V349">
        <v>20</v>
      </c>
      <c r="W349">
        <v>6</v>
      </c>
      <c r="X349">
        <v>14</v>
      </c>
      <c r="Y349">
        <v>1</v>
      </c>
      <c r="Z349">
        <v>38</v>
      </c>
      <c r="AA349">
        <v>43</v>
      </c>
      <c r="AB349">
        <v>50</v>
      </c>
      <c r="AC349">
        <v>22</v>
      </c>
      <c r="AD349">
        <v>14</v>
      </c>
      <c r="AE349">
        <v>1</v>
      </c>
      <c r="AF349">
        <v>43</v>
      </c>
      <c r="AG349">
        <v>6</v>
      </c>
      <c r="AH349">
        <v>28</v>
      </c>
      <c r="AI349">
        <v>7</v>
      </c>
      <c r="AJ349">
        <v>21</v>
      </c>
      <c r="AK349">
        <v>22</v>
      </c>
      <c r="AL349">
        <v>0</v>
      </c>
      <c r="AM349">
        <v>0.12</v>
      </c>
      <c r="AN349">
        <v>1.9090909090909092</v>
      </c>
      <c r="AO349">
        <v>0.81818181818181812</v>
      </c>
      <c r="AP349" t="s">
        <v>130</v>
      </c>
      <c r="AQ349" t="s">
        <v>131</v>
      </c>
      <c r="AR349" t="s">
        <v>523</v>
      </c>
      <c r="AS349">
        <v>3448</v>
      </c>
      <c r="AT349">
        <v>3617</v>
      </c>
      <c r="AU349">
        <v>0</v>
      </c>
      <c r="AV349">
        <v>0</v>
      </c>
      <c r="AW349">
        <v>7.0650000000000004</v>
      </c>
      <c r="AX349">
        <v>0.32113636363636366</v>
      </c>
      <c r="AY349">
        <v>13.808863636363638</v>
      </c>
      <c r="AZ349" t="s">
        <v>135</v>
      </c>
      <c r="BA349">
        <v>-7.8088636363636379</v>
      </c>
      <c r="BB349">
        <v>-24.316348195329091</v>
      </c>
      <c r="BC349" t="s">
        <v>133</v>
      </c>
      <c r="BD349">
        <v>0</v>
      </c>
      <c r="BE349" t="s">
        <v>133</v>
      </c>
      <c r="BF34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7.0650000000000004</v>
      </c>
    </row>
    <row r="350" spans="1:58" x14ac:dyDescent="0.25">
      <c r="A350" t="s">
        <v>567</v>
      </c>
      <c r="B350" t="s">
        <v>19</v>
      </c>
      <c r="C350">
        <v>1</v>
      </c>
      <c r="D350">
        <v>350</v>
      </c>
      <c r="E350" t="s">
        <v>2110</v>
      </c>
      <c r="F350" t="s">
        <v>123</v>
      </c>
      <c r="G350" t="s">
        <v>124</v>
      </c>
      <c r="H350" t="s">
        <v>125</v>
      </c>
      <c r="I350" t="s">
        <v>126</v>
      </c>
      <c r="J350" t="s">
        <v>126</v>
      </c>
      <c r="K350" t="s">
        <v>127</v>
      </c>
      <c r="L350">
        <v>50</v>
      </c>
      <c r="M350">
        <v>1017375</v>
      </c>
      <c r="N350">
        <v>6</v>
      </c>
      <c r="O350">
        <v>2</v>
      </c>
      <c r="P350" t="s">
        <v>128</v>
      </c>
      <c r="Q350" t="s">
        <v>129</v>
      </c>
      <c r="R350">
        <v>32</v>
      </c>
      <c r="T350">
        <v>21</v>
      </c>
      <c r="U350">
        <v>26</v>
      </c>
      <c r="V350">
        <v>1</v>
      </c>
      <c r="W350">
        <v>0</v>
      </c>
      <c r="X350">
        <v>1</v>
      </c>
      <c r="Y350">
        <v>10</v>
      </c>
      <c r="Z350">
        <v>32</v>
      </c>
      <c r="AA350">
        <v>37</v>
      </c>
      <c r="AB350">
        <v>50</v>
      </c>
      <c r="AC350">
        <v>27</v>
      </c>
      <c r="AD350">
        <v>1</v>
      </c>
      <c r="AE350">
        <v>10</v>
      </c>
      <c r="AF350">
        <v>38</v>
      </c>
      <c r="AG350">
        <v>0</v>
      </c>
      <c r="AH350">
        <v>23</v>
      </c>
      <c r="AI350">
        <v>12</v>
      </c>
      <c r="AJ350">
        <v>13</v>
      </c>
      <c r="AK350">
        <v>23</v>
      </c>
      <c r="AL350">
        <v>0</v>
      </c>
      <c r="AM350">
        <v>0.12</v>
      </c>
      <c r="AN350">
        <v>1.1818181818181819</v>
      </c>
      <c r="AO350">
        <v>0</v>
      </c>
      <c r="AP350" t="s">
        <v>130</v>
      </c>
      <c r="AQ350" t="s">
        <v>131</v>
      </c>
      <c r="AR350" t="s">
        <v>523</v>
      </c>
      <c r="AS350">
        <v>3437</v>
      </c>
      <c r="AT350">
        <v>3471</v>
      </c>
      <c r="AU350">
        <v>0</v>
      </c>
      <c r="AV350">
        <v>0</v>
      </c>
      <c r="AW350">
        <v>6.9080000000000004</v>
      </c>
      <c r="AX350">
        <v>0.25585185185185189</v>
      </c>
      <c r="AY350">
        <v>9.7223703703703723</v>
      </c>
      <c r="AZ350" t="s">
        <v>135</v>
      </c>
      <c r="BA350">
        <v>-3.7223703703703723</v>
      </c>
      <c r="BB350">
        <v>-14.548928778228147</v>
      </c>
      <c r="BC350" t="s">
        <v>133</v>
      </c>
      <c r="BD350">
        <v>0</v>
      </c>
      <c r="BE350" t="s">
        <v>133</v>
      </c>
      <c r="BF35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6.9080000000000004</v>
      </c>
    </row>
    <row r="351" spans="1:58" x14ac:dyDescent="0.25">
      <c r="A351" t="s">
        <v>568</v>
      </c>
      <c r="B351" t="s">
        <v>19</v>
      </c>
      <c r="C351">
        <v>1</v>
      </c>
      <c r="D351">
        <v>351</v>
      </c>
      <c r="E351" t="s">
        <v>2110</v>
      </c>
      <c r="F351" t="s">
        <v>123</v>
      </c>
      <c r="G351" t="s">
        <v>124</v>
      </c>
      <c r="H351" t="s">
        <v>125</v>
      </c>
      <c r="I351" t="s">
        <v>126</v>
      </c>
      <c r="J351" t="s">
        <v>126</v>
      </c>
      <c r="K351" t="s">
        <v>127</v>
      </c>
      <c r="L351">
        <v>50</v>
      </c>
      <c r="M351">
        <v>1017377</v>
      </c>
      <c r="N351">
        <v>6</v>
      </c>
      <c r="O351">
        <v>2</v>
      </c>
      <c r="P351" t="s">
        <v>128</v>
      </c>
      <c r="Q351" t="s">
        <v>129</v>
      </c>
      <c r="R351">
        <v>32</v>
      </c>
      <c r="T351">
        <v>30</v>
      </c>
      <c r="U351">
        <v>35</v>
      </c>
      <c r="V351">
        <v>8</v>
      </c>
      <c r="W351">
        <v>0</v>
      </c>
      <c r="X351">
        <v>8</v>
      </c>
      <c r="Y351">
        <v>0</v>
      </c>
      <c r="Z351">
        <v>38</v>
      </c>
      <c r="AA351">
        <v>43</v>
      </c>
      <c r="AB351">
        <v>50</v>
      </c>
      <c r="AC351">
        <v>36</v>
      </c>
      <c r="AD351">
        <v>11</v>
      </c>
      <c r="AE351">
        <v>0</v>
      </c>
      <c r="AF351">
        <v>47</v>
      </c>
      <c r="AG351">
        <v>0</v>
      </c>
      <c r="AH351">
        <v>14</v>
      </c>
      <c r="AI351">
        <v>3</v>
      </c>
      <c r="AJ351">
        <v>14</v>
      </c>
      <c r="AK351">
        <v>14</v>
      </c>
      <c r="AL351">
        <v>0</v>
      </c>
      <c r="AM351">
        <v>0.12</v>
      </c>
      <c r="AN351">
        <v>1.2727272727272727</v>
      </c>
      <c r="AO351">
        <v>0</v>
      </c>
      <c r="AP351" t="s">
        <v>130</v>
      </c>
      <c r="AQ351" t="s">
        <v>131</v>
      </c>
      <c r="AR351" t="s">
        <v>523</v>
      </c>
      <c r="AS351">
        <v>3431</v>
      </c>
      <c r="AT351">
        <v>3533</v>
      </c>
      <c r="AU351">
        <v>0</v>
      </c>
      <c r="AV351">
        <v>0</v>
      </c>
      <c r="AW351">
        <v>6.9640000000000004</v>
      </c>
      <c r="AX351">
        <v>0.19344444444444445</v>
      </c>
      <c r="AY351">
        <v>9.0918888888888887</v>
      </c>
      <c r="AZ351" t="s">
        <v>135</v>
      </c>
      <c r="BA351">
        <v>-3.0918888888888887</v>
      </c>
      <c r="BB351">
        <v>-15.983342906375645</v>
      </c>
      <c r="BC351" t="s">
        <v>133</v>
      </c>
      <c r="BD351">
        <v>0</v>
      </c>
      <c r="BE351" t="s">
        <v>133</v>
      </c>
      <c r="BF35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6.9640000000000004</v>
      </c>
    </row>
    <row r="352" spans="1:58" x14ac:dyDescent="0.25">
      <c r="A352" t="s">
        <v>569</v>
      </c>
      <c r="B352" t="s">
        <v>19</v>
      </c>
      <c r="C352">
        <v>1</v>
      </c>
      <c r="D352">
        <v>352</v>
      </c>
      <c r="E352" t="s">
        <v>2110</v>
      </c>
      <c r="F352" t="s">
        <v>123</v>
      </c>
      <c r="G352" t="s">
        <v>124</v>
      </c>
      <c r="H352" t="s">
        <v>125</v>
      </c>
      <c r="I352" t="s">
        <v>126</v>
      </c>
      <c r="J352" t="s">
        <v>126</v>
      </c>
      <c r="K352" t="s">
        <v>127</v>
      </c>
      <c r="L352">
        <v>50</v>
      </c>
      <c r="M352">
        <v>1017379</v>
      </c>
      <c r="N352">
        <v>6</v>
      </c>
      <c r="O352">
        <v>2</v>
      </c>
      <c r="P352" t="s">
        <v>128</v>
      </c>
      <c r="Q352" t="s">
        <v>129</v>
      </c>
      <c r="R352">
        <v>32</v>
      </c>
      <c r="T352">
        <v>37</v>
      </c>
      <c r="U352">
        <v>42</v>
      </c>
      <c r="V352">
        <v>4</v>
      </c>
      <c r="W352">
        <v>0</v>
      </c>
      <c r="X352">
        <v>4</v>
      </c>
      <c r="Y352">
        <v>1</v>
      </c>
      <c r="Z352">
        <v>42</v>
      </c>
      <c r="AA352">
        <v>47</v>
      </c>
      <c r="AB352">
        <v>50</v>
      </c>
      <c r="AC352">
        <v>42</v>
      </c>
      <c r="AD352">
        <v>4</v>
      </c>
      <c r="AE352">
        <v>1</v>
      </c>
      <c r="AF352">
        <v>47</v>
      </c>
      <c r="AG352">
        <v>0</v>
      </c>
      <c r="AH352">
        <v>8</v>
      </c>
      <c r="AI352">
        <v>3</v>
      </c>
      <c r="AJ352">
        <v>7</v>
      </c>
      <c r="AK352">
        <v>8</v>
      </c>
      <c r="AL352">
        <v>0</v>
      </c>
      <c r="AM352">
        <v>0.12</v>
      </c>
      <c r="AN352">
        <v>0.63636363636363635</v>
      </c>
      <c r="AO352">
        <v>0</v>
      </c>
      <c r="AP352" t="s">
        <v>130</v>
      </c>
      <c r="AQ352" t="s">
        <v>131</v>
      </c>
      <c r="AR352" t="s">
        <v>523</v>
      </c>
      <c r="AS352">
        <v>5932</v>
      </c>
      <c r="AT352">
        <v>6063</v>
      </c>
      <c r="AU352">
        <v>0</v>
      </c>
      <c r="AV352">
        <v>0</v>
      </c>
      <c r="AW352">
        <v>11.994999999999999</v>
      </c>
      <c r="AX352">
        <v>0.28559523809523807</v>
      </c>
      <c r="AY352">
        <v>13.42297619047619</v>
      </c>
      <c r="AZ352" t="s">
        <v>135</v>
      </c>
      <c r="BA352">
        <v>-7.4229761904761897</v>
      </c>
      <c r="BB352">
        <v>-25.991246352646936</v>
      </c>
      <c r="BC352" t="s">
        <v>144</v>
      </c>
      <c r="BD352">
        <v>0</v>
      </c>
      <c r="BE352" t="s">
        <v>133</v>
      </c>
      <c r="BF35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11.994999999999999</v>
      </c>
    </row>
    <row r="353" spans="1:58" x14ac:dyDescent="0.25">
      <c r="A353" t="s">
        <v>570</v>
      </c>
      <c r="B353" t="s">
        <v>19</v>
      </c>
      <c r="C353">
        <v>1</v>
      </c>
      <c r="D353">
        <v>353</v>
      </c>
      <c r="E353" t="s">
        <v>2110</v>
      </c>
      <c r="F353" t="s">
        <v>123</v>
      </c>
      <c r="G353" t="s">
        <v>124</v>
      </c>
      <c r="H353" t="s">
        <v>125</v>
      </c>
      <c r="I353" t="s">
        <v>126</v>
      </c>
      <c r="J353" t="s">
        <v>126</v>
      </c>
      <c r="K353" t="s">
        <v>127</v>
      </c>
      <c r="L353">
        <v>50</v>
      </c>
      <c r="M353">
        <v>1017381</v>
      </c>
      <c r="N353">
        <v>6</v>
      </c>
      <c r="O353">
        <v>2</v>
      </c>
      <c r="P353" t="s">
        <v>128</v>
      </c>
      <c r="Q353" t="s">
        <v>129</v>
      </c>
      <c r="R353">
        <v>33</v>
      </c>
      <c r="T353">
        <v>0</v>
      </c>
      <c r="U353">
        <v>5</v>
      </c>
      <c r="V353">
        <v>2</v>
      </c>
      <c r="W353">
        <v>0</v>
      </c>
      <c r="X353">
        <v>2</v>
      </c>
      <c r="Y353">
        <v>0</v>
      </c>
      <c r="Z353">
        <v>2</v>
      </c>
      <c r="AA353">
        <v>7</v>
      </c>
      <c r="AB353">
        <v>50</v>
      </c>
      <c r="AC353">
        <v>5</v>
      </c>
      <c r="AD353">
        <v>4</v>
      </c>
      <c r="AE353">
        <v>0</v>
      </c>
      <c r="AF353">
        <v>9</v>
      </c>
      <c r="AG353">
        <v>0</v>
      </c>
      <c r="AH353">
        <v>45</v>
      </c>
      <c r="AI353">
        <v>41</v>
      </c>
      <c r="AJ353">
        <v>45</v>
      </c>
      <c r="AK353">
        <v>45</v>
      </c>
      <c r="AL353">
        <v>0</v>
      </c>
      <c r="AM353">
        <v>0.12</v>
      </c>
      <c r="AN353">
        <v>4.0909090909090908</v>
      </c>
      <c r="AO353">
        <v>0</v>
      </c>
      <c r="AP353" t="s">
        <v>130</v>
      </c>
      <c r="AQ353" t="s">
        <v>131</v>
      </c>
      <c r="AR353" t="s">
        <v>523</v>
      </c>
      <c r="AS353">
        <v>317</v>
      </c>
      <c r="AT353">
        <v>311</v>
      </c>
      <c r="AU353">
        <v>0</v>
      </c>
      <c r="AV353">
        <v>0</v>
      </c>
      <c r="AW353">
        <v>0.628</v>
      </c>
      <c r="AX353">
        <v>0.12559999999999999</v>
      </c>
      <c r="AY353">
        <v>1.1303999999999998</v>
      </c>
      <c r="AZ353" t="s">
        <v>135</v>
      </c>
      <c r="BA353">
        <v>4.8696000000000002</v>
      </c>
      <c r="BB353">
        <v>38.770700636942678</v>
      </c>
      <c r="BC353" t="s">
        <v>132</v>
      </c>
      <c r="BD353">
        <v>1</v>
      </c>
      <c r="BE353" t="s">
        <v>133</v>
      </c>
      <c r="BF35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0.628</v>
      </c>
    </row>
    <row r="354" spans="1:58" x14ac:dyDescent="0.25">
      <c r="A354" t="s">
        <v>571</v>
      </c>
      <c r="B354" t="s">
        <v>19</v>
      </c>
      <c r="C354">
        <v>1</v>
      </c>
      <c r="D354">
        <v>354</v>
      </c>
      <c r="E354" t="s">
        <v>2110</v>
      </c>
      <c r="F354" t="s">
        <v>123</v>
      </c>
      <c r="G354" t="s">
        <v>124</v>
      </c>
      <c r="H354" t="s">
        <v>125</v>
      </c>
      <c r="I354" t="s">
        <v>126</v>
      </c>
      <c r="J354" t="s">
        <v>126</v>
      </c>
      <c r="K354" t="s">
        <v>127</v>
      </c>
      <c r="L354">
        <v>50</v>
      </c>
      <c r="M354">
        <v>1017383</v>
      </c>
      <c r="N354">
        <v>6</v>
      </c>
      <c r="O354">
        <v>2</v>
      </c>
      <c r="P354" t="s">
        <v>128</v>
      </c>
      <c r="Q354" t="s">
        <v>129</v>
      </c>
      <c r="R354">
        <v>33</v>
      </c>
      <c r="T354">
        <v>5</v>
      </c>
      <c r="U354">
        <v>10</v>
      </c>
      <c r="V354">
        <v>1</v>
      </c>
      <c r="W354">
        <v>1</v>
      </c>
      <c r="X354">
        <v>0</v>
      </c>
      <c r="Y354">
        <v>0</v>
      </c>
      <c r="Z354">
        <v>6</v>
      </c>
      <c r="AA354">
        <v>11</v>
      </c>
      <c r="AB354">
        <v>50</v>
      </c>
      <c r="AC354">
        <v>10</v>
      </c>
      <c r="AD354">
        <v>0</v>
      </c>
      <c r="AE354">
        <v>0</v>
      </c>
      <c r="AF354">
        <v>11</v>
      </c>
      <c r="AG354">
        <v>1</v>
      </c>
      <c r="AH354">
        <v>40</v>
      </c>
      <c r="AI354">
        <v>39</v>
      </c>
      <c r="AJ354">
        <v>39</v>
      </c>
      <c r="AK354">
        <v>39</v>
      </c>
      <c r="AL354">
        <v>0</v>
      </c>
      <c r="AM354">
        <v>0.12</v>
      </c>
      <c r="AN354">
        <v>3.5454545454545454</v>
      </c>
      <c r="AO354">
        <v>0.13636363636363635</v>
      </c>
      <c r="AP354" t="s">
        <v>130</v>
      </c>
      <c r="AQ354" t="s">
        <v>131</v>
      </c>
      <c r="AR354" t="s">
        <v>523</v>
      </c>
      <c r="AS354">
        <v>717</v>
      </c>
      <c r="AT354">
        <v>696</v>
      </c>
      <c r="AU354">
        <v>0</v>
      </c>
      <c r="AV354">
        <v>0</v>
      </c>
      <c r="AW354">
        <v>1.413</v>
      </c>
      <c r="AX354">
        <v>0.14130000000000001</v>
      </c>
      <c r="AY354">
        <v>1.5543</v>
      </c>
      <c r="AZ354" t="s">
        <v>135</v>
      </c>
      <c r="BA354">
        <v>4.4457000000000004</v>
      </c>
      <c r="BB354">
        <v>31.462845010615712</v>
      </c>
      <c r="BC354" t="s">
        <v>133</v>
      </c>
      <c r="BD354">
        <v>0</v>
      </c>
      <c r="BE354" t="s">
        <v>133</v>
      </c>
      <c r="BF35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1.413</v>
      </c>
    </row>
    <row r="355" spans="1:58" x14ac:dyDescent="0.25">
      <c r="A355" t="s">
        <v>572</v>
      </c>
      <c r="B355" t="s">
        <v>19</v>
      </c>
      <c r="C355">
        <v>1</v>
      </c>
      <c r="D355">
        <v>355</v>
      </c>
      <c r="E355" t="s">
        <v>2110</v>
      </c>
      <c r="F355" t="s">
        <v>123</v>
      </c>
      <c r="G355" t="s">
        <v>124</v>
      </c>
      <c r="H355" t="s">
        <v>125</v>
      </c>
      <c r="I355" t="s">
        <v>126</v>
      </c>
      <c r="J355" t="s">
        <v>126</v>
      </c>
      <c r="K355" t="s">
        <v>127</v>
      </c>
      <c r="L355">
        <v>50</v>
      </c>
      <c r="M355">
        <v>1017385</v>
      </c>
      <c r="N355">
        <v>6</v>
      </c>
      <c r="O355">
        <v>2</v>
      </c>
      <c r="P355" t="s">
        <v>128</v>
      </c>
      <c r="Q355" t="s">
        <v>129</v>
      </c>
      <c r="R355">
        <v>33</v>
      </c>
      <c r="T355">
        <v>20</v>
      </c>
      <c r="U355">
        <v>25</v>
      </c>
      <c r="V355">
        <v>6</v>
      </c>
      <c r="W355">
        <v>0</v>
      </c>
      <c r="X355">
        <v>6</v>
      </c>
      <c r="Y355">
        <v>1</v>
      </c>
      <c r="Z355">
        <v>27</v>
      </c>
      <c r="AA355">
        <v>32</v>
      </c>
      <c r="AB355">
        <v>50</v>
      </c>
      <c r="AC355">
        <v>25</v>
      </c>
      <c r="AD355">
        <v>6</v>
      </c>
      <c r="AE355">
        <v>1</v>
      </c>
      <c r="AF355">
        <v>32</v>
      </c>
      <c r="AG355">
        <v>0</v>
      </c>
      <c r="AH355">
        <v>25</v>
      </c>
      <c r="AI355">
        <v>18</v>
      </c>
      <c r="AJ355">
        <v>24</v>
      </c>
      <c r="AK355">
        <v>25</v>
      </c>
      <c r="AL355">
        <v>0</v>
      </c>
      <c r="AM355">
        <v>0.12</v>
      </c>
      <c r="AN355">
        <v>2.1818181818181817</v>
      </c>
      <c r="AO355">
        <v>0</v>
      </c>
      <c r="AP355" t="s">
        <v>130</v>
      </c>
      <c r="AQ355" t="s">
        <v>131</v>
      </c>
      <c r="AR355" t="s">
        <v>523</v>
      </c>
      <c r="AS355">
        <v>2991</v>
      </c>
      <c r="AT355">
        <v>2910</v>
      </c>
      <c r="AU355">
        <v>0</v>
      </c>
      <c r="AV355">
        <v>0</v>
      </c>
      <c r="AW355">
        <v>5.9009999999999998</v>
      </c>
      <c r="AX355">
        <v>0.23604</v>
      </c>
      <c r="AY355">
        <v>7.55328</v>
      </c>
      <c r="AZ355" t="s">
        <v>135</v>
      </c>
      <c r="BA355">
        <v>-1.55328</v>
      </c>
      <c r="BB355">
        <v>-6.5805795627859682</v>
      </c>
      <c r="BC355" t="s">
        <v>133</v>
      </c>
      <c r="BD355">
        <v>0</v>
      </c>
      <c r="BE355" t="s">
        <v>133</v>
      </c>
      <c r="BF35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5.9009999999999998</v>
      </c>
    </row>
    <row r="356" spans="1:58" x14ac:dyDescent="0.25">
      <c r="A356" t="s">
        <v>573</v>
      </c>
      <c r="B356" t="s">
        <v>19</v>
      </c>
      <c r="C356">
        <v>1</v>
      </c>
      <c r="D356">
        <v>356</v>
      </c>
      <c r="E356" t="s">
        <v>2110</v>
      </c>
      <c r="F356" t="s">
        <v>123</v>
      </c>
      <c r="G356" t="s">
        <v>124</v>
      </c>
      <c r="H356" t="s">
        <v>125</v>
      </c>
      <c r="I356" t="s">
        <v>126</v>
      </c>
      <c r="J356" t="s">
        <v>126</v>
      </c>
      <c r="K356" t="s">
        <v>127</v>
      </c>
      <c r="L356">
        <v>50</v>
      </c>
      <c r="M356">
        <v>1017387</v>
      </c>
      <c r="N356">
        <v>6</v>
      </c>
      <c r="O356">
        <v>2</v>
      </c>
      <c r="P356" t="s">
        <v>128</v>
      </c>
      <c r="Q356" t="s">
        <v>129</v>
      </c>
      <c r="R356">
        <v>33</v>
      </c>
      <c r="T356">
        <v>10</v>
      </c>
      <c r="U356">
        <v>15</v>
      </c>
      <c r="V356">
        <v>4</v>
      </c>
      <c r="W356">
        <v>1</v>
      </c>
      <c r="X356">
        <v>3</v>
      </c>
      <c r="Y356">
        <v>0</v>
      </c>
      <c r="Z356">
        <v>14</v>
      </c>
      <c r="AA356">
        <v>19</v>
      </c>
      <c r="AB356">
        <v>50</v>
      </c>
      <c r="AC356">
        <v>15</v>
      </c>
      <c r="AD356">
        <v>3</v>
      </c>
      <c r="AE356">
        <v>0</v>
      </c>
      <c r="AF356">
        <v>19</v>
      </c>
      <c r="AG356">
        <v>1</v>
      </c>
      <c r="AH356">
        <v>35</v>
      </c>
      <c r="AI356">
        <v>31</v>
      </c>
      <c r="AJ356">
        <v>34</v>
      </c>
      <c r="AK356">
        <v>34</v>
      </c>
      <c r="AL356">
        <v>0</v>
      </c>
      <c r="AM356">
        <v>0.12</v>
      </c>
      <c r="AN356">
        <v>3.0909090909090908</v>
      </c>
      <c r="AO356">
        <v>0.13636363636363635</v>
      </c>
      <c r="AP356" t="s">
        <v>130</v>
      </c>
      <c r="AQ356" t="s">
        <v>131</v>
      </c>
      <c r="AR356" t="s">
        <v>523</v>
      </c>
      <c r="AS356">
        <v>1263</v>
      </c>
      <c r="AT356">
        <v>1230</v>
      </c>
      <c r="AU356">
        <v>0</v>
      </c>
      <c r="AV356">
        <v>0</v>
      </c>
      <c r="AW356">
        <v>2.4929999999999999</v>
      </c>
      <c r="AX356">
        <v>0.16619999999999999</v>
      </c>
      <c r="AY356">
        <v>3.1577999999999999</v>
      </c>
      <c r="AZ356" t="s">
        <v>135</v>
      </c>
      <c r="BA356">
        <v>2.8422000000000001</v>
      </c>
      <c r="BB356">
        <v>17.101083032490976</v>
      </c>
      <c r="BC356" t="s">
        <v>133</v>
      </c>
      <c r="BD356">
        <v>0</v>
      </c>
      <c r="BE356" t="s">
        <v>133</v>
      </c>
      <c r="BF35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2.4929999999999999</v>
      </c>
    </row>
    <row r="357" spans="1:58" x14ac:dyDescent="0.25">
      <c r="A357" t="s">
        <v>574</v>
      </c>
      <c r="B357" t="s">
        <v>19</v>
      </c>
      <c r="C357">
        <v>1</v>
      </c>
      <c r="D357">
        <v>357</v>
      </c>
      <c r="E357" t="s">
        <v>2110</v>
      </c>
      <c r="F357" t="s">
        <v>123</v>
      </c>
      <c r="G357" t="s">
        <v>124</v>
      </c>
      <c r="H357" t="s">
        <v>125</v>
      </c>
      <c r="I357" t="s">
        <v>126</v>
      </c>
      <c r="J357" t="s">
        <v>126</v>
      </c>
      <c r="K357" t="s">
        <v>127</v>
      </c>
      <c r="L357">
        <v>50</v>
      </c>
      <c r="M357">
        <v>1017389</v>
      </c>
      <c r="N357">
        <v>6</v>
      </c>
      <c r="O357">
        <v>2</v>
      </c>
      <c r="P357" t="s">
        <v>128</v>
      </c>
      <c r="Q357" t="s">
        <v>129</v>
      </c>
      <c r="R357">
        <v>33</v>
      </c>
      <c r="T357">
        <v>37</v>
      </c>
      <c r="U357">
        <v>42</v>
      </c>
      <c r="V357">
        <v>1</v>
      </c>
      <c r="W357">
        <v>0</v>
      </c>
      <c r="X357">
        <v>1</v>
      </c>
      <c r="Y357">
        <v>0</v>
      </c>
      <c r="Z357">
        <v>38</v>
      </c>
      <c r="AA357">
        <v>43</v>
      </c>
      <c r="AB357">
        <v>50</v>
      </c>
      <c r="AC357">
        <v>42</v>
      </c>
      <c r="AD357">
        <v>1</v>
      </c>
      <c r="AE357">
        <v>0</v>
      </c>
      <c r="AF357">
        <v>43</v>
      </c>
      <c r="AG357">
        <v>0</v>
      </c>
      <c r="AH357">
        <v>8</v>
      </c>
      <c r="AI357">
        <v>7</v>
      </c>
      <c r="AJ357">
        <v>8</v>
      </c>
      <c r="AK357">
        <v>8</v>
      </c>
      <c r="AL357">
        <v>0</v>
      </c>
      <c r="AM357">
        <v>0.12</v>
      </c>
      <c r="AN357">
        <v>0.72727272727272729</v>
      </c>
      <c r="AO357">
        <v>0</v>
      </c>
      <c r="AP357" t="s">
        <v>130</v>
      </c>
      <c r="AQ357" t="s">
        <v>131</v>
      </c>
      <c r="AR357" t="s">
        <v>523</v>
      </c>
      <c r="AS357">
        <v>5518</v>
      </c>
      <c r="AT357">
        <v>4120</v>
      </c>
      <c r="AU357">
        <v>0</v>
      </c>
      <c r="AV357">
        <v>0</v>
      </c>
      <c r="AW357">
        <v>9.6379999999999999</v>
      </c>
      <c r="AX357">
        <v>0.22947619047619047</v>
      </c>
      <c r="AY357">
        <v>9.8674761904761912</v>
      </c>
      <c r="AZ357" t="s">
        <v>135</v>
      </c>
      <c r="BA357">
        <v>-3.8674761904761912</v>
      </c>
      <c r="BB357">
        <v>-16.853496576053125</v>
      </c>
      <c r="BC357" t="s">
        <v>133</v>
      </c>
      <c r="BD357">
        <v>0</v>
      </c>
      <c r="BE357" t="s">
        <v>133</v>
      </c>
      <c r="BF35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9.6379999999999999</v>
      </c>
    </row>
    <row r="358" spans="1:58" x14ac:dyDescent="0.25">
      <c r="A358" t="s">
        <v>575</v>
      </c>
      <c r="B358" t="s">
        <v>19</v>
      </c>
      <c r="C358">
        <v>1</v>
      </c>
      <c r="D358">
        <v>358</v>
      </c>
      <c r="E358" t="s">
        <v>2110</v>
      </c>
      <c r="F358" t="s">
        <v>123</v>
      </c>
      <c r="G358" t="s">
        <v>124</v>
      </c>
      <c r="H358" t="s">
        <v>136</v>
      </c>
      <c r="I358" t="s">
        <v>137</v>
      </c>
      <c r="J358" t="s">
        <v>138</v>
      </c>
      <c r="K358" t="s">
        <v>127</v>
      </c>
      <c r="L358">
        <v>50</v>
      </c>
      <c r="M358">
        <v>1017391</v>
      </c>
      <c r="N358">
        <v>5</v>
      </c>
      <c r="O358">
        <v>2</v>
      </c>
      <c r="P358" t="s">
        <v>128</v>
      </c>
      <c r="Q358" t="s">
        <v>129</v>
      </c>
      <c r="R358">
        <v>33</v>
      </c>
      <c r="T358">
        <v>0</v>
      </c>
      <c r="U358">
        <v>4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4</v>
      </c>
      <c r="AB358">
        <v>50</v>
      </c>
      <c r="AC358">
        <v>4</v>
      </c>
      <c r="AD358">
        <v>0</v>
      </c>
      <c r="AE358">
        <v>0</v>
      </c>
      <c r="AF358">
        <v>4</v>
      </c>
      <c r="AG358">
        <v>0</v>
      </c>
      <c r="AH358">
        <v>46</v>
      </c>
      <c r="AI358">
        <v>46</v>
      </c>
      <c r="AJ358">
        <v>46</v>
      </c>
      <c r="AK358">
        <v>46</v>
      </c>
      <c r="AL358">
        <v>0</v>
      </c>
      <c r="AM358">
        <v>0.1</v>
      </c>
      <c r="AN358">
        <v>4.1818181818181817</v>
      </c>
      <c r="AO358">
        <v>0</v>
      </c>
      <c r="AP358" t="s">
        <v>139</v>
      </c>
      <c r="AQ358" t="s">
        <v>131</v>
      </c>
      <c r="AR358" t="s">
        <v>523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 t="s">
        <v>134</v>
      </c>
      <c r="BA358">
        <v>5</v>
      </c>
      <c r="BB358">
        <v>0</v>
      </c>
      <c r="BC358" t="s">
        <v>133</v>
      </c>
      <c r="BD358">
        <v>0</v>
      </c>
      <c r="BE358" t="s">
        <v>133</v>
      </c>
      <c r="BF35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359" spans="1:58" x14ac:dyDescent="0.25">
      <c r="A359" t="s">
        <v>576</v>
      </c>
      <c r="B359" t="s">
        <v>19</v>
      </c>
      <c r="C359">
        <v>1</v>
      </c>
      <c r="D359">
        <v>359</v>
      </c>
      <c r="E359" t="s">
        <v>2110</v>
      </c>
      <c r="F359" t="s">
        <v>123</v>
      </c>
      <c r="G359" t="s">
        <v>124</v>
      </c>
      <c r="H359" t="s">
        <v>125</v>
      </c>
      <c r="I359" t="s">
        <v>126</v>
      </c>
      <c r="J359" t="s">
        <v>126</v>
      </c>
      <c r="K359" t="s">
        <v>127</v>
      </c>
      <c r="L359">
        <v>50</v>
      </c>
      <c r="M359">
        <v>1017393</v>
      </c>
      <c r="N359">
        <v>6</v>
      </c>
      <c r="O359">
        <v>2</v>
      </c>
      <c r="P359" t="s">
        <v>128</v>
      </c>
      <c r="Q359" t="s">
        <v>129</v>
      </c>
      <c r="R359">
        <v>33</v>
      </c>
      <c r="T359">
        <v>38</v>
      </c>
      <c r="U359">
        <v>43</v>
      </c>
      <c r="V359">
        <v>0</v>
      </c>
      <c r="W359">
        <v>0</v>
      </c>
      <c r="X359">
        <v>0</v>
      </c>
      <c r="Y359">
        <v>0</v>
      </c>
      <c r="Z359">
        <v>38</v>
      </c>
      <c r="AA359">
        <v>43</v>
      </c>
      <c r="AB359">
        <v>50</v>
      </c>
      <c r="AC359">
        <v>43</v>
      </c>
      <c r="AD359">
        <v>0</v>
      </c>
      <c r="AE359">
        <v>0</v>
      </c>
      <c r="AF359">
        <v>43</v>
      </c>
      <c r="AG359">
        <v>0</v>
      </c>
      <c r="AH359">
        <v>7</v>
      </c>
      <c r="AI359">
        <v>7</v>
      </c>
      <c r="AJ359">
        <v>7</v>
      </c>
      <c r="AK359">
        <v>7</v>
      </c>
      <c r="AL359">
        <v>0</v>
      </c>
      <c r="AM359">
        <v>0.12</v>
      </c>
      <c r="AN359">
        <v>0.63636363636363635</v>
      </c>
      <c r="AO359">
        <v>0</v>
      </c>
      <c r="AP359" t="s">
        <v>130</v>
      </c>
      <c r="AQ359" t="s">
        <v>131</v>
      </c>
      <c r="AR359" t="s">
        <v>523</v>
      </c>
      <c r="AS359">
        <v>4672</v>
      </c>
      <c r="AT359">
        <v>5048</v>
      </c>
      <c r="AU359">
        <v>0</v>
      </c>
      <c r="AV359">
        <v>0</v>
      </c>
      <c r="AW359">
        <v>9.7200000000000006</v>
      </c>
      <c r="AX359">
        <v>0.22604651162790698</v>
      </c>
      <c r="AY359">
        <v>9.7200000000000006</v>
      </c>
      <c r="AZ359" t="s">
        <v>135</v>
      </c>
      <c r="BA359">
        <v>-3.7200000000000006</v>
      </c>
      <c r="BB359">
        <v>-16.456790123456791</v>
      </c>
      <c r="BC359" t="s">
        <v>133</v>
      </c>
      <c r="BD359">
        <v>0</v>
      </c>
      <c r="BE359" t="s">
        <v>133</v>
      </c>
      <c r="BF35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9.7200000000000006</v>
      </c>
    </row>
    <row r="360" spans="1:58" x14ac:dyDescent="0.25">
      <c r="A360" t="s">
        <v>577</v>
      </c>
      <c r="B360" t="s">
        <v>19</v>
      </c>
      <c r="C360">
        <v>1</v>
      </c>
      <c r="D360">
        <v>360</v>
      </c>
      <c r="E360" t="s">
        <v>2110</v>
      </c>
      <c r="F360" t="s">
        <v>123</v>
      </c>
      <c r="G360" t="s">
        <v>124</v>
      </c>
      <c r="H360" t="s">
        <v>125</v>
      </c>
      <c r="I360" t="s">
        <v>126</v>
      </c>
      <c r="J360" t="s">
        <v>126</v>
      </c>
      <c r="K360" t="s">
        <v>127</v>
      </c>
      <c r="L360">
        <v>50</v>
      </c>
      <c r="M360">
        <v>1017395</v>
      </c>
      <c r="N360">
        <v>6</v>
      </c>
      <c r="O360">
        <v>2</v>
      </c>
      <c r="P360" t="s">
        <v>128</v>
      </c>
      <c r="Q360" t="s">
        <v>129</v>
      </c>
      <c r="R360">
        <v>33</v>
      </c>
      <c r="T360">
        <v>0</v>
      </c>
      <c r="U360">
        <v>5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5</v>
      </c>
      <c r="AB360">
        <v>50</v>
      </c>
      <c r="AC360">
        <v>5</v>
      </c>
      <c r="AD360">
        <v>0</v>
      </c>
      <c r="AE360">
        <v>0</v>
      </c>
      <c r="AF360">
        <v>5</v>
      </c>
      <c r="AG360">
        <v>0</v>
      </c>
      <c r="AH360">
        <v>45</v>
      </c>
      <c r="AI360">
        <v>45</v>
      </c>
      <c r="AJ360">
        <v>45</v>
      </c>
      <c r="AK360">
        <v>45</v>
      </c>
      <c r="AL360">
        <v>0</v>
      </c>
      <c r="AM360">
        <v>0.12</v>
      </c>
      <c r="AN360">
        <v>4.0909090909090908</v>
      </c>
      <c r="AO360">
        <v>0</v>
      </c>
      <c r="AP360" t="s">
        <v>130</v>
      </c>
      <c r="AQ360" t="s">
        <v>131</v>
      </c>
      <c r="AR360" t="s">
        <v>523</v>
      </c>
      <c r="AS360">
        <v>199</v>
      </c>
      <c r="AT360">
        <v>168</v>
      </c>
      <c r="AU360">
        <v>0</v>
      </c>
      <c r="AV360">
        <v>0</v>
      </c>
      <c r="AW360">
        <v>0.36699999999999999</v>
      </c>
      <c r="AX360">
        <v>7.3399999999999993E-2</v>
      </c>
      <c r="AY360">
        <v>0.36699999999999999</v>
      </c>
      <c r="AZ360" t="s">
        <v>135</v>
      </c>
      <c r="BA360">
        <v>5.633</v>
      </c>
      <c r="BB360">
        <v>76.743869209809276</v>
      </c>
      <c r="BC360" t="s">
        <v>133</v>
      </c>
      <c r="BD360">
        <v>1</v>
      </c>
      <c r="BE360" t="s">
        <v>133</v>
      </c>
      <c r="BF36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0.36699999999999999</v>
      </c>
    </row>
    <row r="361" spans="1:58" x14ac:dyDescent="0.25">
      <c r="A361" t="s">
        <v>578</v>
      </c>
      <c r="B361" t="s">
        <v>19</v>
      </c>
      <c r="C361">
        <v>1</v>
      </c>
      <c r="D361">
        <v>361</v>
      </c>
      <c r="E361" t="s">
        <v>2110</v>
      </c>
      <c r="F361" t="s">
        <v>123</v>
      </c>
      <c r="G361" t="s">
        <v>124</v>
      </c>
      <c r="H361" t="s">
        <v>125</v>
      </c>
      <c r="I361" t="s">
        <v>126</v>
      </c>
      <c r="J361" t="s">
        <v>126</v>
      </c>
      <c r="K361" t="s">
        <v>127</v>
      </c>
      <c r="L361">
        <v>50</v>
      </c>
      <c r="M361">
        <v>1017397</v>
      </c>
      <c r="N361">
        <v>6</v>
      </c>
      <c r="O361">
        <v>2</v>
      </c>
      <c r="P361" t="s">
        <v>128</v>
      </c>
      <c r="Q361" t="s">
        <v>129</v>
      </c>
      <c r="R361">
        <v>33</v>
      </c>
      <c r="T361">
        <v>42</v>
      </c>
      <c r="U361">
        <v>47</v>
      </c>
      <c r="V361">
        <v>0</v>
      </c>
      <c r="W361">
        <v>0</v>
      </c>
      <c r="X361">
        <v>0</v>
      </c>
      <c r="Y361">
        <v>0</v>
      </c>
      <c r="Z361">
        <v>42</v>
      </c>
      <c r="AA361">
        <v>47</v>
      </c>
      <c r="AB361">
        <v>50</v>
      </c>
      <c r="AC361">
        <v>47</v>
      </c>
      <c r="AD361">
        <v>0</v>
      </c>
      <c r="AE361">
        <v>0</v>
      </c>
      <c r="AF361">
        <v>47</v>
      </c>
      <c r="AG361">
        <v>0</v>
      </c>
      <c r="AH361">
        <v>3</v>
      </c>
      <c r="AI361">
        <v>3</v>
      </c>
      <c r="AJ361">
        <v>3</v>
      </c>
      <c r="AK361">
        <v>3</v>
      </c>
      <c r="AL361">
        <v>0</v>
      </c>
      <c r="AM361">
        <v>0.12</v>
      </c>
      <c r="AN361">
        <v>0.27272727272727271</v>
      </c>
      <c r="AO361">
        <v>0</v>
      </c>
      <c r="AP361" t="s">
        <v>130</v>
      </c>
      <c r="AQ361" t="s">
        <v>131</v>
      </c>
      <c r="AR361" t="s">
        <v>523</v>
      </c>
      <c r="AS361">
        <v>5142</v>
      </c>
      <c r="AT361">
        <v>4235</v>
      </c>
      <c r="AU361">
        <v>0</v>
      </c>
      <c r="AV361">
        <v>0</v>
      </c>
      <c r="AW361">
        <v>9.3770000000000007</v>
      </c>
      <c r="AX361">
        <v>0.19951063829787236</v>
      </c>
      <c r="AY361">
        <v>9.3770000000000007</v>
      </c>
      <c r="AZ361" t="s">
        <v>135</v>
      </c>
      <c r="BA361">
        <v>-3.3770000000000007</v>
      </c>
      <c r="BB361">
        <v>-16.926415697984432</v>
      </c>
      <c r="BC361" t="s">
        <v>133</v>
      </c>
      <c r="BD361">
        <v>0</v>
      </c>
      <c r="BE361" t="s">
        <v>133</v>
      </c>
      <c r="BF36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9.3770000000000007</v>
      </c>
    </row>
    <row r="362" spans="1:58" x14ac:dyDescent="0.25">
      <c r="A362" t="s">
        <v>579</v>
      </c>
      <c r="B362" t="s">
        <v>19</v>
      </c>
      <c r="C362">
        <v>1</v>
      </c>
      <c r="D362">
        <v>362</v>
      </c>
      <c r="E362" t="s">
        <v>2110</v>
      </c>
      <c r="F362" t="s">
        <v>123</v>
      </c>
      <c r="G362" t="s">
        <v>124</v>
      </c>
      <c r="H362" t="s">
        <v>125</v>
      </c>
      <c r="I362" t="s">
        <v>126</v>
      </c>
      <c r="J362" t="s">
        <v>126</v>
      </c>
      <c r="K362" t="s">
        <v>127</v>
      </c>
      <c r="L362">
        <v>50</v>
      </c>
      <c r="M362">
        <v>1017399</v>
      </c>
      <c r="N362">
        <v>6</v>
      </c>
      <c r="O362">
        <v>2</v>
      </c>
      <c r="P362" t="s">
        <v>128</v>
      </c>
      <c r="Q362" t="s">
        <v>129</v>
      </c>
      <c r="R362">
        <v>33</v>
      </c>
      <c r="T362">
        <v>0</v>
      </c>
      <c r="U362">
        <v>5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5</v>
      </c>
      <c r="AB362">
        <v>50</v>
      </c>
      <c r="AC362">
        <v>5</v>
      </c>
      <c r="AD362">
        <v>0</v>
      </c>
      <c r="AE362">
        <v>0</v>
      </c>
      <c r="AF362">
        <v>5</v>
      </c>
      <c r="AG362">
        <v>0</v>
      </c>
      <c r="AH362">
        <v>45</v>
      </c>
      <c r="AI362">
        <v>45</v>
      </c>
      <c r="AJ362">
        <v>45</v>
      </c>
      <c r="AK362">
        <v>45</v>
      </c>
      <c r="AL362">
        <v>0</v>
      </c>
      <c r="AM362">
        <v>0.12</v>
      </c>
      <c r="AN362">
        <v>4.0909090909090908</v>
      </c>
      <c r="AO362">
        <v>0</v>
      </c>
      <c r="AP362" t="s">
        <v>130</v>
      </c>
      <c r="AQ362" t="s">
        <v>131</v>
      </c>
      <c r="AR362" t="s">
        <v>523</v>
      </c>
      <c r="AS362">
        <v>183</v>
      </c>
      <c r="AT362">
        <v>171</v>
      </c>
      <c r="AU362">
        <v>0</v>
      </c>
      <c r="AV362">
        <v>0</v>
      </c>
      <c r="AW362">
        <v>0.35399999999999998</v>
      </c>
      <c r="AX362">
        <v>7.0800000000000002E-2</v>
      </c>
      <c r="AY362">
        <v>0.35399999999999998</v>
      </c>
      <c r="AZ362" t="s">
        <v>135</v>
      </c>
      <c r="BA362">
        <v>5.6459999999999999</v>
      </c>
      <c r="BB362">
        <v>79.745762711864401</v>
      </c>
      <c r="BC362" t="s">
        <v>133</v>
      </c>
      <c r="BD362">
        <v>1</v>
      </c>
      <c r="BE362" t="s">
        <v>133</v>
      </c>
      <c r="BF36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0.35399999999999998</v>
      </c>
    </row>
    <row r="363" spans="1:58" x14ac:dyDescent="0.25">
      <c r="A363" t="s">
        <v>580</v>
      </c>
      <c r="B363" t="s">
        <v>19</v>
      </c>
      <c r="C363">
        <v>1</v>
      </c>
      <c r="D363">
        <v>363</v>
      </c>
      <c r="E363" t="s">
        <v>2110</v>
      </c>
      <c r="F363" t="s">
        <v>123</v>
      </c>
      <c r="G363" t="s">
        <v>124</v>
      </c>
      <c r="H363" t="s">
        <v>125</v>
      </c>
      <c r="I363" t="s">
        <v>126</v>
      </c>
      <c r="J363" t="s">
        <v>126</v>
      </c>
      <c r="K363" t="s">
        <v>127</v>
      </c>
      <c r="L363">
        <v>50</v>
      </c>
      <c r="M363">
        <v>1017401</v>
      </c>
      <c r="N363">
        <v>6</v>
      </c>
      <c r="O363">
        <v>2</v>
      </c>
      <c r="P363" t="s">
        <v>128</v>
      </c>
      <c r="Q363" t="s">
        <v>129</v>
      </c>
      <c r="R363">
        <v>33</v>
      </c>
      <c r="T363">
        <v>2</v>
      </c>
      <c r="U363">
        <v>7</v>
      </c>
      <c r="V363">
        <v>1</v>
      </c>
      <c r="W363">
        <v>0</v>
      </c>
      <c r="X363">
        <v>1</v>
      </c>
      <c r="Y363">
        <v>0</v>
      </c>
      <c r="Z363">
        <v>3</v>
      </c>
      <c r="AA363">
        <v>8</v>
      </c>
      <c r="AB363">
        <v>50</v>
      </c>
      <c r="AC363">
        <v>7</v>
      </c>
      <c r="AD363">
        <v>1</v>
      </c>
      <c r="AE363">
        <v>0</v>
      </c>
      <c r="AF363">
        <v>8</v>
      </c>
      <c r="AG363">
        <v>0</v>
      </c>
      <c r="AH363">
        <v>43</v>
      </c>
      <c r="AI363">
        <v>42</v>
      </c>
      <c r="AJ363">
        <v>43</v>
      </c>
      <c r="AK363">
        <v>43</v>
      </c>
      <c r="AL363">
        <v>0</v>
      </c>
      <c r="AM363">
        <v>0.12</v>
      </c>
      <c r="AN363">
        <v>3.9090909090909092</v>
      </c>
      <c r="AO363">
        <v>0</v>
      </c>
      <c r="AP363" t="s">
        <v>130</v>
      </c>
      <c r="AQ363" t="s">
        <v>131</v>
      </c>
      <c r="AR363" t="s">
        <v>523</v>
      </c>
      <c r="AS363">
        <v>448</v>
      </c>
      <c r="AT363">
        <v>404</v>
      </c>
      <c r="AU363">
        <v>0</v>
      </c>
      <c r="AV363">
        <v>0</v>
      </c>
      <c r="AW363">
        <v>0.85199999999999998</v>
      </c>
      <c r="AX363">
        <v>0.12171428571428571</v>
      </c>
      <c r="AY363">
        <v>0.97371428571428564</v>
      </c>
      <c r="AZ363" t="s">
        <v>135</v>
      </c>
      <c r="BA363">
        <v>5.0262857142857147</v>
      </c>
      <c r="BB363">
        <v>41.295774647887328</v>
      </c>
      <c r="BC363" t="s">
        <v>144</v>
      </c>
      <c r="BD363">
        <v>0</v>
      </c>
      <c r="BE363" t="s">
        <v>133</v>
      </c>
      <c r="BF36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0.85199999999999998</v>
      </c>
    </row>
    <row r="364" spans="1:58" x14ac:dyDescent="0.25">
      <c r="A364" t="s">
        <v>581</v>
      </c>
      <c r="B364" t="s">
        <v>19</v>
      </c>
      <c r="C364">
        <v>1</v>
      </c>
      <c r="D364">
        <v>364</v>
      </c>
      <c r="E364" t="s">
        <v>2110</v>
      </c>
      <c r="F364" t="s">
        <v>123</v>
      </c>
      <c r="G364" t="s">
        <v>124</v>
      </c>
      <c r="H364" t="s">
        <v>125</v>
      </c>
      <c r="I364" t="s">
        <v>126</v>
      </c>
      <c r="J364" t="s">
        <v>126</v>
      </c>
      <c r="K364" t="s">
        <v>127</v>
      </c>
      <c r="L364">
        <v>50</v>
      </c>
      <c r="M364">
        <v>1017403</v>
      </c>
      <c r="N364">
        <v>6</v>
      </c>
      <c r="O364">
        <v>2</v>
      </c>
      <c r="P364" t="s">
        <v>128</v>
      </c>
      <c r="Q364" t="s">
        <v>129</v>
      </c>
      <c r="R364">
        <v>34</v>
      </c>
      <c r="T364">
        <v>6</v>
      </c>
      <c r="U364">
        <v>11</v>
      </c>
      <c r="V364">
        <v>6</v>
      </c>
      <c r="W364">
        <v>3</v>
      </c>
      <c r="X364">
        <v>3</v>
      </c>
      <c r="Y364">
        <v>2</v>
      </c>
      <c r="Z364">
        <v>14</v>
      </c>
      <c r="AA364">
        <v>19</v>
      </c>
      <c r="AB364">
        <v>50</v>
      </c>
      <c r="AC364">
        <v>11</v>
      </c>
      <c r="AD364">
        <v>8</v>
      </c>
      <c r="AE364">
        <v>3</v>
      </c>
      <c r="AF364">
        <v>25</v>
      </c>
      <c r="AG364">
        <v>3</v>
      </c>
      <c r="AH364">
        <v>39</v>
      </c>
      <c r="AI364">
        <v>25</v>
      </c>
      <c r="AJ364">
        <v>33</v>
      </c>
      <c r="AK364">
        <v>36</v>
      </c>
      <c r="AL364">
        <v>0</v>
      </c>
      <c r="AM364">
        <v>0.12</v>
      </c>
      <c r="AN364">
        <v>3</v>
      </c>
      <c r="AO364">
        <v>0.40909090909090906</v>
      </c>
      <c r="AP364" t="s">
        <v>130</v>
      </c>
      <c r="AQ364" t="s">
        <v>131</v>
      </c>
      <c r="AR364" t="s">
        <v>523</v>
      </c>
      <c r="AS364">
        <v>987</v>
      </c>
      <c r="AT364">
        <v>989</v>
      </c>
      <c r="AU364">
        <v>0</v>
      </c>
      <c r="AV364">
        <v>0</v>
      </c>
      <c r="AW364">
        <v>1.976</v>
      </c>
      <c r="AX364">
        <v>0.17963636363636362</v>
      </c>
      <c r="AY364">
        <v>4.4909090909090903</v>
      </c>
      <c r="AZ364" t="s">
        <v>135</v>
      </c>
      <c r="BA364">
        <v>1.5090909090909097</v>
      </c>
      <c r="BB364">
        <v>8.4008097165991948</v>
      </c>
      <c r="BC364" t="s">
        <v>132</v>
      </c>
      <c r="BD364">
        <v>0</v>
      </c>
      <c r="BE364" t="s">
        <v>133</v>
      </c>
      <c r="BF36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1.976</v>
      </c>
    </row>
    <row r="365" spans="1:58" x14ac:dyDescent="0.25">
      <c r="A365" t="s">
        <v>582</v>
      </c>
      <c r="B365" t="s">
        <v>19</v>
      </c>
      <c r="C365">
        <v>1</v>
      </c>
      <c r="D365">
        <v>365</v>
      </c>
      <c r="E365" t="s">
        <v>2110</v>
      </c>
      <c r="F365" t="s">
        <v>123</v>
      </c>
      <c r="G365" t="s">
        <v>124</v>
      </c>
      <c r="H365" t="s">
        <v>125</v>
      </c>
      <c r="I365" t="s">
        <v>126</v>
      </c>
      <c r="J365" t="s">
        <v>126</v>
      </c>
      <c r="K365" t="s">
        <v>127</v>
      </c>
      <c r="L365">
        <v>50</v>
      </c>
      <c r="M365">
        <v>1017405</v>
      </c>
      <c r="N365">
        <v>6</v>
      </c>
      <c r="O365">
        <v>2</v>
      </c>
      <c r="P365" t="s">
        <v>128</v>
      </c>
      <c r="Q365" t="s">
        <v>129</v>
      </c>
      <c r="R365">
        <v>34</v>
      </c>
      <c r="T365">
        <v>6</v>
      </c>
      <c r="U365">
        <v>11</v>
      </c>
      <c r="V365">
        <v>2</v>
      </c>
      <c r="W365">
        <v>1</v>
      </c>
      <c r="X365">
        <v>1</v>
      </c>
      <c r="Y365">
        <v>4</v>
      </c>
      <c r="Z365">
        <v>12</v>
      </c>
      <c r="AA365">
        <v>17</v>
      </c>
      <c r="AB365">
        <v>50</v>
      </c>
      <c r="AC365">
        <v>12</v>
      </c>
      <c r="AD365">
        <v>2</v>
      </c>
      <c r="AE365">
        <v>4</v>
      </c>
      <c r="AF365">
        <v>19</v>
      </c>
      <c r="AG365">
        <v>1</v>
      </c>
      <c r="AH365">
        <v>38</v>
      </c>
      <c r="AI365">
        <v>31</v>
      </c>
      <c r="AJ365">
        <v>33</v>
      </c>
      <c r="AK365">
        <v>37</v>
      </c>
      <c r="AL365">
        <v>0</v>
      </c>
      <c r="AM365">
        <v>0.12</v>
      </c>
      <c r="AN365">
        <v>3</v>
      </c>
      <c r="AO365">
        <v>0.13636363636363635</v>
      </c>
      <c r="AP365" t="s">
        <v>130</v>
      </c>
      <c r="AQ365" t="s">
        <v>131</v>
      </c>
      <c r="AR365" t="s">
        <v>523</v>
      </c>
      <c r="AS365">
        <v>1180</v>
      </c>
      <c r="AT365">
        <v>782</v>
      </c>
      <c r="AU365">
        <v>0</v>
      </c>
      <c r="AV365">
        <v>0</v>
      </c>
      <c r="AW365">
        <v>1.962</v>
      </c>
      <c r="AX365">
        <v>0.16350000000000001</v>
      </c>
      <c r="AY365">
        <v>3.1065</v>
      </c>
      <c r="AZ365" t="s">
        <v>135</v>
      </c>
      <c r="BA365">
        <v>2.8935</v>
      </c>
      <c r="BB365">
        <v>17.697247706422019</v>
      </c>
      <c r="BC365" t="s">
        <v>133</v>
      </c>
      <c r="BD365">
        <v>0</v>
      </c>
      <c r="BE365" t="s">
        <v>133</v>
      </c>
      <c r="BF36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1.962</v>
      </c>
    </row>
    <row r="366" spans="1:58" x14ac:dyDescent="0.25">
      <c r="A366" t="s">
        <v>583</v>
      </c>
      <c r="B366" t="s">
        <v>19</v>
      </c>
      <c r="C366">
        <v>1</v>
      </c>
      <c r="D366">
        <v>366</v>
      </c>
      <c r="E366" t="s">
        <v>2110</v>
      </c>
      <c r="F366" t="s">
        <v>123</v>
      </c>
      <c r="G366" t="s">
        <v>124</v>
      </c>
      <c r="H366" t="s">
        <v>125</v>
      </c>
      <c r="I366" t="s">
        <v>126</v>
      </c>
      <c r="J366" t="s">
        <v>126</v>
      </c>
      <c r="K366" t="s">
        <v>127</v>
      </c>
      <c r="L366">
        <v>50</v>
      </c>
      <c r="M366">
        <v>1017407</v>
      </c>
      <c r="N366">
        <v>6</v>
      </c>
      <c r="O366">
        <v>2</v>
      </c>
      <c r="P366" t="s">
        <v>128</v>
      </c>
      <c r="Q366" t="s">
        <v>129</v>
      </c>
      <c r="R366">
        <v>34</v>
      </c>
      <c r="T366">
        <v>9</v>
      </c>
      <c r="U366">
        <v>14</v>
      </c>
      <c r="V366">
        <v>6</v>
      </c>
      <c r="W366">
        <v>3</v>
      </c>
      <c r="X366">
        <v>3</v>
      </c>
      <c r="Y366">
        <v>1</v>
      </c>
      <c r="Z366">
        <v>16</v>
      </c>
      <c r="AA366">
        <v>21</v>
      </c>
      <c r="AB366">
        <v>50</v>
      </c>
      <c r="AC366">
        <v>15</v>
      </c>
      <c r="AD366">
        <v>5</v>
      </c>
      <c r="AE366">
        <v>2</v>
      </c>
      <c r="AF366">
        <v>25</v>
      </c>
      <c r="AG366">
        <v>3</v>
      </c>
      <c r="AH366">
        <v>35</v>
      </c>
      <c r="AI366">
        <v>25</v>
      </c>
      <c r="AJ366">
        <v>30</v>
      </c>
      <c r="AK366">
        <v>32</v>
      </c>
      <c r="AL366">
        <v>0</v>
      </c>
      <c r="AM366">
        <v>0.12</v>
      </c>
      <c r="AN366">
        <v>2.7272727272727275</v>
      </c>
      <c r="AO366">
        <v>0.40909090909090906</v>
      </c>
      <c r="AP366" t="s">
        <v>130</v>
      </c>
      <c r="AQ366" t="s">
        <v>131</v>
      </c>
      <c r="AR366" t="s">
        <v>523</v>
      </c>
      <c r="AS366">
        <v>1325</v>
      </c>
      <c r="AT366">
        <v>1317</v>
      </c>
      <c r="AU366">
        <v>0</v>
      </c>
      <c r="AV366">
        <v>0</v>
      </c>
      <c r="AW366">
        <v>2.6419999999999999</v>
      </c>
      <c r="AX366">
        <v>0.17613333333333334</v>
      </c>
      <c r="AY366">
        <v>4.4033333333333333</v>
      </c>
      <c r="AZ366" t="s">
        <v>135</v>
      </c>
      <c r="BA366">
        <v>1.5966666666666667</v>
      </c>
      <c r="BB366">
        <v>9.0651021953065865</v>
      </c>
      <c r="BC366" t="s">
        <v>133</v>
      </c>
      <c r="BD366">
        <v>0</v>
      </c>
      <c r="BE366" t="s">
        <v>133</v>
      </c>
      <c r="BF36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2.6419999999999999</v>
      </c>
    </row>
    <row r="367" spans="1:58" x14ac:dyDescent="0.25">
      <c r="A367" t="s">
        <v>584</v>
      </c>
      <c r="B367" t="s">
        <v>19</v>
      </c>
      <c r="C367">
        <v>1</v>
      </c>
      <c r="D367">
        <v>367</v>
      </c>
      <c r="E367" t="s">
        <v>2110</v>
      </c>
      <c r="F367" t="s">
        <v>123</v>
      </c>
      <c r="G367" t="s">
        <v>124</v>
      </c>
      <c r="H367" t="s">
        <v>125</v>
      </c>
      <c r="I367" t="s">
        <v>126</v>
      </c>
      <c r="J367" t="s">
        <v>126</v>
      </c>
      <c r="K367" t="s">
        <v>127</v>
      </c>
      <c r="L367">
        <v>50</v>
      </c>
      <c r="M367">
        <v>1017409</v>
      </c>
      <c r="N367">
        <v>6</v>
      </c>
      <c r="O367">
        <v>2</v>
      </c>
      <c r="P367" t="s">
        <v>128</v>
      </c>
      <c r="Q367" t="s">
        <v>129</v>
      </c>
      <c r="R367">
        <v>34</v>
      </c>
      <c r="T367">
        <v>6</v>
      </c>
      <c r="U367">
        <v>11</v>
      </c>
      <c r="V367">
        <v>6</v>
      </c>
      <c r="W367">
        <v>1</v>
      </c>
      <c r="X367">
        <v>5</v>
      </c>
      <c r="Y367">
        <v>2</v>
      </c>
      <c r="Z367">
        <v>14</v>
      </c>
      <c r="AA367">
        <v>19</v>
      </c>
      <c r="AB367">
        <v>50</v>
      </c>
      <c r="AC367">
        <v>12</v>
      </c>
      <c r="AD367">
        <v>8</v>
      </c>
      <c r="AE367">
        <v>3</v>
      </c>
      <c r="AF367">
        <v>24</v>
      </c>
      <c r="AG367">
        <v>1</v>
      </c>
      <c r="AH367">
        <v>38</v>
      </c>
      <c r="AI367">
        <v>26</v>
      </c>
      <c r="AJ367">
        <v>34</v>
      </c>
      <c r="AK367">
        <v>37</v>
      </c>
      <c r="AL367">
        <v>0</v>
      </c>
      <c r="AM367">
        <v>0.12</v>
      </c>
      <c r="AN367">
        <v>3.0909090909090908</v>
      </c>
      <c r="AO367">
        <v>0.13636363636363635</v>
      </c>
      <c r="AP367" t="s">
        <v>130</v>
      </c>
      <c r="AQ367" t="s">
        <v>131</v>
      </c>
      <c r="AR367" t="s">
        <v>523</v>
      </c>
      <c r="AS367">
        <v>1254</v>
      </c>
      <c r="AT367">
        <v>1272</v>
      </c>
      <c r="AU367">
        <v>0</v>
      </c>
      <c r="AV367">
        <v>0</v>
      </c>
      <c r="AW367">
        <v>2.5259999999999998</v>
      </c>
      <c r="AX367">
        <v>0.21049999999999999</v>
      </c>
      <c r="AY367">
        <v>5.0519999999999996</v>
      </c>
      <c r="AZ367" t="s">
        <v>135</v>
      </c>
      <c r="BA367">
        <v>0.9480000000000004</v>
      </c>
      <c r="BB367">
        <v>4.5035629453681727</v>
      </c>
      <c r="BC367" t="s">
        <v>133</v>
      </c>
      <c r="BD367">
        <v>0</v>
      </c>
      <c r="BE367" t="s">
        <v>133</v>
      </c>
      <c r="BF36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2.5259999999999998</v>
      </c>
    </row>
    <row r="368" spans="1:58" x14ac:dyDescent="0.25">
      <c r="A368" t="s">
        <v>585</v>
      </c>
      <c r="B368" t="s">
        <v>19</v>
      </c>
      <c r="C368">
        <v>1</v>
      </c>
      <c r="D368">
        <v>368</v>
      </c>
      <c r="E368" t="s">
        <v>2110</v>
      </c>
      <c r="F368" t="s">
        <v>123</v>
      </c>
      <c r="G368" t="s">
        <v>124</v>
      </c>
      <c r="H368" t="s">
        <v>125</v>
      </c>
      <c r="I368" t="s">
        <v>126</v>
      </c>
      <c r="J368" t="s">
        <v>126</v>
      </c>
      <c r="K368" t="s">
        <v>127</v>
      </c>
      <c r="L368">
        <v>50</v>
      </c>
      <c r="M368">
        <v>1017411</v>
      </c>
      <c r="N368">
        <v>6</v>
      </c>
      <c r="O368">
        <v>2</v>
      </c>
      <c r="P368" t="s">
        <v>128</v>
      </c>
      <c r="Q368" t="s">
        <v>129</v>
      </c>
      <c r="R368">
        <v>34</v>
      </c>
      <c r="T368">
        <v>2</v>
      </c>
      <c r="U368">
        <v>7</v>
      </c>
      <c r="V368">
        <v>4</v>
      </c>
      <c r="W368">
        <v>0</v>
      </c>
      <c r="X368">
        <v>4</v>
      </c>
      <c r="Y368">
        <v>3</v>
      </c>
      <c r="Z368">
        <v>9</v>
      </c>
      <c r="AA368">
        <v>14</v>
      </c>
      <c r="AB368">
        <v>50</v>
      </c>
      <c r="AC368">
        <v>7</v>
      </c>
      <c r="AD368">
        <v>6</v>
      </c>
      <c r="AE368">
        <v>4</v>
      </c>
      <c r="AF368">
        <v>17</v>
      </c>
      <c r="AG368">
        <v>0</v>
      </c>
      <c r="AH368">
        <v>43</v>
      </c>
      <c r="AI368">
        <v>33</v>
      </c>
      <c r="AJ368">
        <v>39</v>
      </c>
      <c r="AK368">
        <v>43</v>
      </c>
      <c r="AL368">
        <v>0</v>
      </c>
      <c r="AM368">
        <v>0.12</v>
      </c>
      <c r="AN368">
        <v>3.5454545454545454</v>
      </c>
      <c r="AO368">
        <v>0</v>
      </c>
      <c r="AP368" t="s">
        <v>130</v>
      </c>
      <c r="AQ368" t="s">
        <v>131</v>
      </c>
      <c r="AR368" t="s">
        <v>523</v>
      </c>
      <c r="AS368">
        <v>1040</v>
      </c>
      <c r="AT368">
        <v>1018</v>
      </c>
      <c r="AU368">
        <v>0</v>
      </c>
      <c r="AV368">
        <v>0</v>
      </c>
      <c r="AW368">
        <v>2.0579999999999998</v>
      </c>
      <c r="AX368">
        <v>0.29399999999999998</v>
      </c>
      <c r="AY368">
        <v>4.9979999999999993</v>
      </c>
      <c r="AZ368" t="s">
        <v>135</v>
      </c>
      <c r="BA368">
        <v>1.0020000000000007</v>
      </c>
      <c r="BB368">
        <v>3.4081632653061251</v>
      </c>
      <c r="BC368" t="s">
        <v>133</v>
      </c>
      <c r="BD368">
        <v>0</v>
      </c>
      <c r="BE368" t="s">
        <v>133</v>
      </c>
      <c r="BF36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2.0579999999999998</v>
      </c>
    </row>
    <row r="369" spans="1:58" x14ac:dyDescent="0.25">
      <c r="A369" t="s">
        <v>586</v>
      </c>
      <c r="B369" t="s">
        <v>19</v>
      </c>
      <c r="C369">
        <v>1</v>
      </c>
      <c r="D369">
        <v>369</v>
      </c>
      <c r="E369" t="s">
        <v>2110</v>
      </c>
      <c r="F369" t="s">
        <v>123</v>
      </c>
      <c r="G369" t="s">
        <v>124</v>
      </c>
      <c r="H369" t="s">
        <v>136</v>
      </c>
      <c r="I369" t="s">
        <v>137</v>
      </c>
      <c r="J369" t="s">
        <v>138</v>
      </c>
      <c r="K369" t="s">
        <v>127</v>
      </c>
      <c r="L369">
        <v>50</v>
      </c>
      <c r="M369">
        <v>1017413</v>
      </c>
      <c r="N369">
        <v>5</v>
      </c>
      <c r="O369">
        <v>2</v>
      </c>
      <c r="P369" t="s">
        <v>128</v>
      </c>
      <c r="Q369" t="s">
        <v>129</v>
      </c>
      <c r="R369">
        <v>34</v>
      </c>
      <c r="T369">
        <v>0</v>
      </c>
      <c r="U369">
        <v>4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4</v>
      </c>
      <c r="AB369">
        <v>50</v>
      </c>
      <c r="AC369">
        <v>4</v>
      </c>
      <c r="AD369">
        <v>0</v>
      </c>
      <c r="AE369">
        <v>0</v>
      </c>
      <c r="AF369">
        <v>4</v>
      </c>
      <c r="AG369">
        <v>0</v>
      </c>
      <c r="AH369">
        <v>46</v>
      </c>
      <c r="AI369">
        <v>46</v>
      </c>
      <c r="AJ369">
        <v>46</v>
      </c>
      <c r="AK369">
        <v>46</v>
      </c>
      <c r="AL369">
        <v>0</v>
      </c>
      <c r="AM369">
        <v>0.1</v>
      </c>
      <c r="AN369">
        <v>4.1818181818181817</v>
      </c>
      <c r="AO369">
        <v>0</v>
      </c>
      <c r="AP369" t="s">
        <v>139</v>
      </c>
      <c r="AQ369" t="s">
        <v>131</v>
      </c>
      <c r="AR369" t="s">
        <v>523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 t="s">
        <v>134</v>
      </c>
      <c r="BA369">
        <v>5</v>
      </c>
      <c r="BB369">
        <v>0</v>
      </c>
      <c r="BC369" t="s">
        <v>133</v>
      </c>
      <c r="BD369">
        <v>0</v>
      </c>
      <c r="BE369" t="s">
        <v>133</v>
      </c>
      <c r="BF36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370" spans="1:58" x14ac:dyDescent="0.25">
      <c r="A370" t="s">
        <v>587</v>
      </c>
      <c r="B370" t="s">
        <v>19</v>
      </c>
      <c r="C370">
        <v>1</v>
      </c>
      <c r="D370">
        <v>370</v>
      </c>
      <c r="E370" t="s">
        <v>2110</v>
      </c>
      <c r="F370" t="s">
        <v>123</v>
      </c>
      <c r="G370" t="s">
        <v>124</v>
      </c>
      <c r="H370" t="s">
        <v>125</v>
      </c>
      <c r="I370" t="s">
        <v>126</v>
      </c>
      <c r="J370" t="s">
        <v>126</v>
      </c>
      <c r="K370" t="s">
        <v>127</v>
      </c>
      <c r="L370">
        <v>50</v>
      </c>
      <c r="M370">
        <v>1017415</v>
      </c>
      <c r="N370">
        <v>6</v>
      </c>
      <c r="O370">
        <v>2</v>
      </c>
      <c r="P370" t="s">
        <v>128</v>
      </c>
      <c r="Q370" t="s">
        <v>129</v>
      </c>
      <c r="R370">
        <v>34</v>
      </c>
      <c r="T370">
        <v>9</v>
      </c>
      <c r="U370">
        <v>14</v>
      </c>
      <c r="V370">
        <v>6</v>
      </c>
      <c r="W370">
        <v>1</v>
      </c>
      <c r="X370">
        <v>5</v>
      </c>
      <c r="Y370">
        <v>3</v>
      </c>
      <c r="Z370">
        <v>18</v>
      </c>
      <c r="AA370">
        <v>23</v>
      </c>
      <c r="AB370">
        <v>50</v>
      </c>
      <c r="AC370">
        <v>17</v>
      </c>
      <c r="AD370">
        <v>8</v>
      </c>
      <c r="AE370">
        <v>4</v>
      </c>
      <c r="AF370">
        <v>30</v>
      </c>
      <c r="AG370">
        <v>1</v>
      </c>
      <c r="AH370">
        <v>33</v>
      </c>
      <c r="AI370">
        <v>20</v>
      </c>
      <c r="AJ370">
        <v>28</v>
      </c>
      <c r="AK370">
        <v>32</v>
      </c>
      <c r="AL370">
        <v>0</v>
      </c>
      <c r="AM370">
        <v>0.12</v>
      </c>
      <c r="AN370">
        <v>2.5454545454545454</v>
      </c>
      <c r="AO370">
        <v>0.13636363636363635</v>
      </c>
      <c r="AP370" t="s">
        <v>130</v>
      </c>
      <c r="AQ370" t="s">
        <v>131</v>
      </c>
      <c r="AR370" t="s">
        <v>523</v>
      </c>
      <c r="AS370">
        <v>1735</v>
      </c>
      <c r="AT370">
        <v>1828</v>
      </c>
      <c r="AU370">
        <v>0</v>
      </c>
      <c r="AV370">
        <v>0</v>
      </c>
      <c r="AW370">
        <v>3.5630000000000002</v>
      </c>
      <c r="AX370">
        <v>0.20958823529411766</v>
      </c>
      <c r="AY370">
        <v>6.2876470588235298</v>
      </c>
      <c r="AZ370" t="s">
        <v>135</v>
      </c>
      <c r="BA370">
        <v>-0.28764705882352981</v>
      </c>
      <c r="BB370">
        <v>-1.3724389559360108</v>
      </c>
      <c r="BC370" t="s">
        <v>133</v>
      </c>
      <c r="BD370">
        <v>0</v>
      </c>
      <c r="BE370" t="s">
        <v>133</v>
      </c>
      <c r="BF37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3.5630000000000002</v>
      </c>
    </row>
    <row r="371" spans="1:58" x14ac:dyDescent="0.25">
      <c r="A371" t="s">
        <v>588</v>
      </c>
      <c r="B371" t="s">
        <v>19</v>
      </c>
      <c r="C371">
        <v>1</v>
      </c>
      <c r="D371">
        <v>371</v>
      </c>
      <c r="E371" t="s">
        <v>2110</v>
      </c>
      <c r="F371" t="s">
        <v>123</v>
      </c>
      <c r="G371" t="s">
        <v>124</v>
      </c>
      <c r="H371" t="s">
        <v>125</v>
      </c>
      <c r="I371" t="s">
        <v>126</v>
      </c>
      <c r="J371" t="s">
        <v>126</v>
      </c>
      <c r="K371" t="s">
        <v>127</v>
      </c>
      <c r="L371">
        <v>50</v>
      </c>
      <c r="M371">
        <v>1017417</v>
      </c>
      <c r="N371">
        <v>6</v>
      </c>
      <c r="O371">
        <v>2</v>
      </c>
      <c r="P371" t="s">
        <v>128</v>
      </c>
      <c r="Q371" t="s">
        <v>129</v>
      </c>
      <c r="R371">
        <v>34</v>
      </c>
      <c r="T371">
        <v>5</v>
      </c>
      <c r="U371">
        <v>10</v>
      </c>
      <c r="V371">
        <v>4</v>
      </c>
      <c r="W371">
        <v>1</v>
      </c>
      <c r="X371">
        <v>3</v>
      </c>
      <c r="Y371">
        <v>3</v>
      </c>
      <c r="Z371">
        <v>12</v>
      </c>
      <c r="AA371">
        <v>17</v>
      </c>
      <c r="AB371">
        <v>50</v>
      </c>
      <c r="AC371">
        <v>11</v>
      </c>
      <c r="AD371">
        <v>5</v>
      </c>
      <c r="AE371">
        <v>3</v>
      </c>
      <c r="AF371">
        <v>20</v>
      </c>
      <c r="AG371">
        <v>1</v>
      </c>
      <c r="AH371">
        <v>39</v>
      </c>
      <c r="AI371">
        <v>30</v>
      </c>
      <c r="AJ371">
        <v>35</v>
      </c>
      <c r="AK371">
        <v>38</v>
      </c>
      <c r="AL371">
        <v>0</v>
      </c>
      <c r="AM371">
        <v>0.12</v>
      </c>
      <c r="AN371">
        <v>3.1818181818181821</v>
      </c>
      <c r="AO371">
        <v>0.13636363636363635</v>
      </c>
      <c r="AP371" t="s">
        <v>130</v>
      </c>
      <c r="AQ371" t="s">
        <v>131</v>
      </c>
      <c r="AR371" t="s">
        <v>523</v>
      </c>
      <c r="AS371">
        <v>1147</v>
      </c>
      <c r="AT371">
        <v>1146</v>
      </c>
      <c r="AU371">
        <v>0</v>
      </c>
      <c r="AV371">
        <v>0</v>
      </c>
      <c r="AW371">
        <v>2.2930000000000001</v>
      </c>
      <c r="AX371">
        <v>0.20845454545454548</v>
      </c>
      <c r="AY371">
        <v>4.1690909090909098</v>
      </c>
      <c r="AZ371" t="s">
        <v>135</v>
      </c>
      <c r="BA371">
        <v>1.8309090909090902</v>
      </c>
      <c r="BB371">
        <v>8.7832533798517183</v>
      </c>
      <c r="BC371" t="s">
        <v>133</v>
      </c>
      <c r="BD371">
        <v>0</v>
      </c>
      <c r="BE371" t="s">
        <v>133</v>
      </c>
      <c r="BF37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2.2930000000000001</v>
      </c>
    </row>
    <row r="372" spans="1:58" x14ac:dyDescent="0.25">
      <c r="A372" t="s">
        <v>589</v>
      </c>
      <c r="B372" t="s">
        <v>19</v>
      </c>
      <c r="C372">
        <v>1</v>
      </c>
      <c r="D372">
        <v>372</v>
      </c>
      <c r="E372" t="s">
        <v>2110</v>
      </c>
      <c r="F372" t="s">
        <v>123</v>
      </c>
      <c r="G372" t="s">
        <v>124</v>
      </c>
      <c r="H372" t="s">
        <v>125</v>
      </c>
      <c r="I372" t="s">
        <v>126</v>
      </c>
      <c r="J372" t="s">
        <v>126</v>
      </c>
      <c r="K372" t="s">
        <v>127</v>
      </c>
      <c r="L372">
        <v>50</v>
      </c>
      <c r="M372">
        <v>1017419</v>
      </c>
      <c r="N372">
        <v>6</v>
      </c>
      <c r="O372">
        <v>2</v>
      </c>
      <c r="P372" t="s">
        <v>128</v>
      </c>
      <c r="Q372" t="s">
        <v>129</v>
      </c>
      <c r="R372">
        <v>34</v>
      </c>
      <c r="T372">
        <v>7</v>
      </c>
      <c r="U372">
        <v>12</v>
      </c>
      <c r="V372">
        <v>3</v>
      </c>
      <c r="W372">
        <v>0</v>
      </c>
      <c r="X372">
        <v>3</v>
      </c>
      <c r="Y372">
        <v>5</v>
      </c>
      <c r="Z372">
        <v>15</v>
      </c>
      <c r="AA372">
        <v>20</v>
      </c>
      <c r="AB372">
        <v>50</v>
      </c>
      <c r="AC372">
        <v>13</v>
      </c>
      <c r="AD372">
        <v>6</v>
      </c>
      <c r="AE372">
        <v>6</v>
      </c>
      <c r="AF372">
        <v>25</v>
      </c>
      <c r="AG372">
        <v>0</v>
      </c>
      <c r="AH372">
        <v>37</v>
      </c>
      <c r="AI372">
        <v>25</v>
      </c>
      <c r="AJ372">
        <v>31</v>
      </c>
      <c r="AK372">
        <v>37</v>
      </c>
      <c r="AL372">
        <v>0</v>
      </c>
      <c r="AM372">
        <v>0.12</v>
      </c>
      <c r="AN372">
        <v>2.8181818181818183</v>
      </c>
      <c r="AO372">
        <v>0</v>
      </c>
      <c r="AP372" t="s">
        <v>130</v>
      </c>
      <c r="AQ372" t="s">
        <v>131</v>
      </c>
      <c r="AR372" t="s">
        <v>523</v>
      </c>
      <c r="AS372">
        <v>1573</v>
      </c>
      <c r="AT372">
        <v>1274</v>
      </c>
      <c r="AU372">
        <v>0</v>
      </c>
      <c r="AV372">
        <v>0</v>
      </c>
      <c r="AW372">
        <v>2.847</v>
      </c>
      <c r="AX372">
        <v>0.219</v>
      </c>
      <c r="AY372">
        <v>5.4749999999999996</v>
      </c>
      <c r="AZ372" t="s">
        <v>135</v>
      </c>
      <c r="BA372">
        <v>0.52500000000000036</v>
      </c>
      <c r="BB372">
        <v>2.3972602739726043</v>
      </c>
      <c r="BC372" t="s">
        <v>133</v>
      </c>
      <c r="BD372">
        <v>0</v>
      </c>
      <c r="BE372" t="s">
        <v>133</v>
      </c>
      <c r="BF37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2.847</v>
      </c>
    </row>
    <row r="373" spans="1:58" x14ac:dyDescent="0.25">
      <c r="A373" t="s">
        <v>590</v>
      </c>
      <c r="B373" t="s">
        <v>19</v>
      </c>
      <c r="C373">
        <v>1</v>
      </c>
      <c r="D373">
        <v>373</v>
      </c>
      <c r="E373" t="s">
        <v>2110</v>
      </c>
      <c r="F373" t="s">
        <v>123</v>
      </c>
      <c r="G373" t="s">
        <v>124</v>
      </c>
      <c r="H373" t="s">
        <v>125</v>
      </c>
      <c r="I373" t="s">
        <v>126</v>
      </c>
      <c r="J373" t="s">
        <v>126</v>
      </c>
      <c r="K373" t="s">
        <v>127</v>
      </c>
      <c r="L373">
        <v>50</v>
      </c>
      <c r="M373">
        <v>1017421</v>
      </c>
      <c r="N373">
        <v>6</v>
      </c>
      <c r="O373">
        <v>2</v>
      </c>
      <c r="P373" t="s">
        <v>128</v>
      </c>
      <c r="Q373" t="s">
        <v>129</v>
      </c>
      <c r="R373">
        <v>34</v>
      </c>
      <c r="T373">
        <v>2</v>
      </c>
      <c r="U373">
        <v>7</v>
      </c>
      <c r="V373">
        <v>4</v>
      </c>
      <c r="W373">
        <v>1</v>
      </c>
      <c r="X373">
        <v>3</v>
      </c>
      <c r="Y373">
        <v>4</v>
      </c>
      <c r="Z373">
        <v>10</v>
      </c>
      <c r="AA373">
        <v>15</v>
      </c>
      <c r="AB373">
        <v>50</v>
      </c>
      <c r="AC373">
        <v>8</v>
      </c>
      <c r="AD373">
        <v>4</v>
      </c>
      <c r="AE373">
        <v>8</v>
      </c>
      <c r="AF373">
        <v>21</v>
      </c>
      <c r="AG373">
        <v>1</v>
      </c>
      <c r="AH373">
        <v>42</v>
      </c>
      <c r="AI373">
        <v>29</v>
      </c>
      <c r="AJ373">
        <v>33</v>
      </c>
      <c r="AK373">
        <v>41</v>
      </c>
      <c r="AL373">
        <v>0</v>
      </c>
      <c r="AM373">
        <v>0.12</v>
      </c>
      <c r="AN373">
        <v>3</v>
      </c>
      <c r="AO373">
        <v>0.13636363636363635</v>
      </c>
      <c r="AP373" t="s">
        <v>130</v>
      </c>
      <c r="AQ373" t="s">
        <v>131</v>
      </c>
      <c r="AR373" t="s">
        <v>523</v>
      </c>
      <c r="AS373">
        <v>725</v>
      </c>
      <c r="AT373">
        <v>707</v>
      </c>
      <c r="AU373">
        <v>0</v>
      </c>
      <c r="AV373">
        <v>0</v>
      </c>
      <c r="AW373">
        <v>1.4319999999999999</v>
      </c>
      <c r="AX373">
        <v>0.17899999999999999</v>
      </c>
      <c r="AY373">
        <v>3.7589999999999999</v>
      </c>
      <c r="AZ373" t="s">
        <v>135</v>
      </c>
      <c r="BA373">
        <v>2.2410000000000001</v>
      </c>
      <c r="BB373">
        <v>12.519553072625699</v>
      </c>
      <c r="BC373" t="s">
        <v>133</v>
      </c>
      <c r="BD373">
        <v>0</v>
      </c>
      <c r="BE373" t="s">
        <v>133</v>
      </c>
      <c r="BF37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1.4319999999999999</v>
      </c>
    </row>
    <row r="374" spans="1:58" x14ac:dyDescent="0.25">
      <c r="A374" t="s">
        <v>591</v>
      </c>
      <c r="B374" t="s">
        <v>19</v>
      </c>
      <c r="C374">
        <v>1</v>
      </c>
      <c r="D374">
        <v>374</v>
      </c>
      <c r="E374" t="s">
        <v>2110</v>
      </c>
      <c r="F374" t="s">
        <v>123</v>
      </c>
      <c r="G374" t="s">
        <v>124</v>
      </c>
      <c r="H374" t="s">
        <v>125</v>
      </c>
      <c r="I374" t="s">
        <v>126</v>
      </c>
      <c r="J374" t="s">
        <v>126</v>
      </c>
      <c r="K374" t="s">
        <v>127</v>
      </c>
      <c r="L374">
        <v>50</v>
      </c>
      <c r="M374">
        <v>1017423</v>
      </c>
      <c r="N374">
        <v>6</v>
      </c>
      <c r="O374">
        <v>2</v>
      </c>
      <c r="P374" t="s">
        <v>128</v>
      </c>
      <c r="Q374" t="s">
        <v>129</v>
      </c>
      <c r="R374">
        <v>34</v>
      </c>
      <c r="T374">
        <v>4</v>
      </c>
      <c r="U374">
        <v>9</v>
      </c>
      <c r="V374">
        <v>6</v>
      </c>
      <c r="W374">
        <v>1</v>
      </c>
      <c r="X374">
        <v>5</v>
      </c>
      <c r="Y374">
        <v>6</v>
      </c>
      <c r="Z374">
        <v>16</v>
      </c>
      <c r="AA374">
        <v>21</v>
      </c>
      <c r="AB374">
        <v>50</v>
      </c>
      <c r="AC374">
        <v>11</v>
      </c>
      <c r="AD374">
        <v>11</v>
      </c>
      <c r="AE374">
        <v>11</v>
      </c>
      <c r="AF374">
        <v>34</v>
      </c>
      <c r="AG374">
        <v>1</v>
      </c>
      <c r="AH374">
        <v>39</v>
      </c>
      <c r="AI374">
        <v>16</v>
      </c>
      <c r="AJ374">
        <v>27</v>
      </c>
      <c r="AK374">
        <v>38</v>
      </c>
      <c r="AL374">
        <v>0</v>
      </c>
      <c r="AM374">
        <v>0.12</v>
      </c>
      <c r="AN374">
        <v>2.4545454545454546</v>
      </c>
      <c r="AO374">
        <v>0.13636363636363635</v>
      </c>
      <c r="AP374" t="s">
        <v>130</v>
      </c>
      <c r="AQ374" t="s">
        <v>131</v>
      </c>
      <c r="AR374" t="s">
        <v>523</v>
      </c>
      <c r="AS374">
        <v>1631</v>
      </c>
      <c r="AT374">
        <v>1320</v>
      </c>
      <c r="AU374">
        <v>0</v>
      </c>
      <c r="AV374">
        <v>0</v>
      </c>
      <c r="AW374">
        <v>2.9510000000000001</v>
      </c>
      <c r="AX374">
        <v>0.26827272727272727</v>
      </c>
      <c r="AY374">
        <v>9.1212727272727268</v>
      </c>
      <c r="AZ374" t="s">
        <v>135</v>
      </c>
      <c r="BA374">
        <v>-3.1212727272727268</v>
      </c>
      <c r="BB374">
        <v>-11.634700101660453</v>
      </c>
      <c r="BC374" t="s">
        <v>144</v>
      </c>
      <c r="BD374">
        <v>0</v>
      </c>
      <c r="BE374" t="s">
        <v>133</v>
      </c>
      <c r="BF37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2.9510000000000001</v>
      </c>
    </row>
    <row r="375" spans="1:58" x14ac:dyDescent="0.25">
      <c r="A375" t="s">
        <v>592</v>
      </c>
      <c r="B375" t="s">
        <v>19</v>
      </c>
      <c r="C375">
        <v>1</v>
      </c>
      <c r="D375">
        <v>375</v>
      </c>
      <c r="E375" t="s">
        <v>2110</v>
      </c>
      <c r="F375" t="s">
        <v>123</v>
      </c>
      <c r="G375" t="s">
        <v>124</v>
      </c>
      <c r="H375" t="s">
        <v>125</v>
      </c>
      <c r="I375" t="s">
        <v>126</v>
      </c>
      <c r="J375" t="s">
        <v>126</v>
      </c>
      <c r="K375" t="s">
        <v>127</v>
      </c>
      <c r="L375">
        <v>50</v>
      </c>
      <c r="M375">
        <v>1017425</v>
      </c>
      <c r="N375">
        <v>6</v>
      </c>
      <c r="O375">
        <v>2</v>
      </c>
      <c r="P375" t="s">
        <v>128</v>
      </c>
      <c r="Q375" t="s">
        <v>129</v>
      </c>
      <c r="R375">
        <v>35</v>
      </c>
      <c r="T375">
        <v>9</v>
      </c>
      <c r="U375">
        <v>14</v>
      </c>
      <c r="V375">
        <v>1</v>
      </c>
      <c r="W375">
        <v>0</v>
      </c>
      <c r="X375">
        <v>1</v>
      </c>
      <c r="Y375">
        <v>1</v>
      </c>
      <c r="Z375">
        <v>11</v>
      </c>
      <c r="AA375">
        <v>16</v>
      </c>
      <c r="AB375">
        <v>50</v>
      </c>
      <c r="AC375">
        <v>14</v>
      </c>
      <c r="AD375">
        <v>2</v>
      </c>
      <c r="AE375">
        <v>1</v>
      </c>
      <c r="AF375">
        <v>17</v>
      </c>
      <c r="AG375">
        <v>0</v>
      </c>
      <c r="AH375">
        <v>36</v>
      </c>
      <c r="AI375">
        <v>33</v>
      </c>
      <c r="AJ375">
        <v>35</v>
      </c>
      <c r="AK375">
        <v>36</v>
      </c>
      <c r="AL375">
        <v>0</v>
      </c>
      <c r="AM375">
        <v>0.12</v>
      </c>
      <c r="AN375">
        <v>3.1818181818181821</v>
      </c>
      <c r="AO375">
        <v>0</v>
      </c>
      <c r="AP375" t="s">
        <v>130</v>
      </c>
      <c r="AQ375" t="s">
        <v>131</v>
      </c>
      <c r="AR375" t="s">
        <v>523</v>
      </c>
      <c r="AS375">
        <v>1072</v>
      </c>
      <c r="AT375">
        <v>1100</v>
      </c>
      <c r="AU375">
        <v>0</v>
      </c>
      <c r="AV375">
        <v>0</v>
      </c>
      <c r="AW375">
        <v>2.1720000000000002</v>
      </c>
      <c r="AX375">
        <v>0.15514285714285717</v>
      </c>
      <c r="AY375">
        <v>2.6374285714285719</v>
      </c>
      <c r="AZ375" t="s">
        <v>135</v>
      </c>
      <c r="BA375">
        <v>3.3625714285714281</v>
      </c>
      <c r="BB375">
        <v>21.674033149171265</v>
      </c>
      <c r="BC375" t="s">
        <v>132</v>
      </c>
      <c r="BD375">
        <v>0</v>
      </c>
      <c r="BE375" t="s">
        <v>133</v>
      </c>
      <c r="BF37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2.1720000000000002</v>
      </c>
    </row>
    <row r="376" spans="1:58" x14ac:dyDescent="0.25">
      <c r="A376" t="s">
        <v>593</v>
      </c>
      <c r="B376" t="s">
        <v>19</v>
      </c>
      <c r="C376">
        <v>1</v>
      </c>
      <c r="D376">
        <v>376</v>
      </c>
      <c r="E376" t="s">
        <v>2110</v>
      </c>
      <c r="F376" t="s">
        <v>123</v>
      </c>
      <c r="G376" t="s">
        <v>124</v>
      </c>
      <c r="H376" t="s">
        <v>125</v>
      </c>
      <c r="I376" t="s">
        <v>126</v>
      </c>
      <c r="J376" t="s">
        <v>126</v>
      </c>
      <c r="K376" t="s">
        <v>127</v>
      </c>
      <c r="L376">
        <v>50</v>
      </c>
      <c r="M376">
        <v>1017427</v>
      </c>
      <c r="N376">
        <v>6</v>
      </c>
      <c r="O376">
        <v>2</v>
      </c>
      <c r="P376" t="s">
        <v>128</v>
      </c>
      <c r="Q376" t="s">
        <v>129</v>
      </c>
      <c r="R376">
        <v>35</v>
      </c>
      <c r="T376">
        <v>9</v>
      </c>
      <c r="U376">
        <v>14</v>
      </c>
      <c r="V376">
        <v>2</v>
      </c>
      <c r="W376">
        <v>0</v>
      </c>
      <c r="X376">
        <v>2</v>
      </c>
      <c r="Y376">
        <v>1</v>
      </c>
      <c r="Z376">
        <v>12</v>
      </c>
      <c r="AA376">
        <v>17</v>
      </c>
      <c r="AB376">
        <v>50</v>
      </c>
      <c r="AC376">
        <v>15</v>
      </c>
      <c r="AD376">
        <v>3</v>
      </c>
      <c r="AE376">
        <v>2</v>
      </c>
      <c r="AF376">
        <v>20</v>
      </c>
      <c r="AG376">
        <v>0</v>
      </c>
      <c r="AH376">
        <v>35</v>
      </c>
      <c r="AI376">
        <v>30</v>
      </c>
      <c r="AJ376">
        <v>33</v>
      </c>
      <c r="AK376">
        <v>35</v>
      </c>
      <c r="AL376">
        <v>0</v>
      </c>
      <c r="AM376">
        <v>0.12</v>
      </c>
      <c r="AN376">
        <v>3</v>
      </c>
      <c r="AO376">
        <v>0</v>
      </c>
      <c r="AP376" t="s">
        <v>130</v>
      </c>
      <c r="AQ376" t="s">
        <v>131</v>
      </c>
      <c r="AR376" t="s">
        <v>523</v>
      </c>
      <c r="AS376">
        <v>1214</v>
      </c>
      <c r="AT376">
        <v>1134</v>
      </c>
      <c r="AU376">
        <v>0</v>
      </c>
      <c r="AV376">
        <v>0</v>
      </c>
      <c r="AW376">
        <v>2.3479999999999999</v>
      </c>
      <c r="AX376">
        <v>0.15653333333333333</v>
      </c>
      <c r="AY376">
        <v>3.1306666666666665</v>
      </c>
      <c r="AZ376" t="s">
        <v>135</v>
      </c>
      <c r="BA376">
        <v>2.8693333333333335</v>
      </c>
      <c r="BB376">
        <v>18.330494037478708</v>
      </c>
      <c r="BC376" t="s">
        <v>133</v>
      </c>
      <c r="BD376">
        <v>0</v>
      </c>
      <c r="BE376" t="s">
        <v>133</v>
      </c>
      <c r="BF37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2.3479999999999999</v>
      </c>
    </row>
    <row r="377" spans="1:58" x14ac:dyDescent="0.25">
      <c r="A377" t="s">
        <v>594</v>
      </c>
      <c r="B377" t="s">
        <v>19</v>
      </c>
      <c r="C377">
        <v>1</v>
      </c>
      <c r="D377">
        <v>377</v>
      </c>
      <c r="E377" t="s">
        <v>2110</v>
      </c>
      <c r="F377" t="s">
        <v>123</v>
      </c>
      <c r="G377" t="s">
        <v>124</v>
      </c>
      <c r="H377" t="s">
        <v>125</v>
      </c>
      <c r="I377" t="s">
        <v>126</v>
      </c>
      <c r="J377" t="s">
        <v>126</v>
      </c>
      <c r="K377" t="s">
        <v>127</v>
      </c>
      <c r="L377">
        <v>50</v>
      </c>
      <c r="M377">
        <v>1017429</v>
      </c>
      <c r="N377">
        <v>6</v>
      </c>
      <c r="O377">
        <v>2</v>
      </c>
      <c r="P377" t="s">
        <v>128</v>
      </c>
      <c r="Q377" t="s">
        <v>129</v>
      </c>
      <c r="R377">
        <v>35</v>
      </c>
      <c r="T377">
        <v>13</v>
      </c>
      <c r="U377">
        <v>18</v>
      </c>
      <c r="V377">
        <v>5</v>
      </c>
      <c r="W377">
        <v>3</v>
      </c>
      <c r="X377">
        <v>2</v>
      </c>
      <c r="Y377">
        <v>3</v>
      </c>
      <c r="Z377">
        <v>21</v>
      </c>
      <c r="AA377">
        <v>26</v>
      </c>
      <c r="AB377">
        <v>50</v>
      </c>
      <c r="AC377">
        <v>24</v>
      </c>
      <c r="AD377">
        <v>5</v>
      </c>
      <c r="AE377">
        <v>5</v>
      </c>
      <c r="AF377">
        <v>37</v>
      </c>
      <c r="AG377">
        <v>3</v>
      </c>
      <c r="AH377">
        <v>26</v>
      </c>
      <c r="AI377">
        <v>13</v>
      </c>
      <c r="AJ377">
        <v>18</v>
      </c>
      <c r="AK377">
        <v>23</v>
      </c>
      <c r="AL377">
        <v>0</v>
      </c>
      <c r="AM377">
        <v>0.12</v>
      </c>
      <c r="AN377">
        <v>1.6363636363636365</v>
      </c>
      <c r="AO377">
        <v>0.40909090909090906</v>
      </c>
      <c r="AP377" t="s">
        <v>130</v>
      </c>
      <c r="AQ377" t="s">
        <v>131</v>
      </c>
      <c r="AR377" t="s">
        <v>523</v>
      </c>
      <c r="AS377">
        <v>1728</v>
      </c>
      <c r="AT377">
        <v>1786</v>
      </c>
      <c r="AU377">
        <v>0</v>
      </c>
      <c r="AV377">
        <v>0</v>
      </c>
      <c r="AW377">
        <v>3.5139999999999998</v>
      </c>
      <c r="AX377">
        <v>0.14641666666666667</v>
      </c>
      <c r="AY377">
        <v>5.417416666666667</v>
      </c>
      <c r="AZ377" t="s">
        <v>135</v>
      </c>
      <c r="BA377">
        <v>0.58258333333333301</v>
      </c>
      <c r="BB377">
        <v>3.9789413773477498</v>
      </c>
      <c r="BC377" t="s">
        <v>133</v>
      </c>
      <c r="BD377">
        <v>0</v>
      </c>
      <c r="BE377" t="s">
        <v>133</v>
      </c>
      <c r="BF37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3.5139999999999998</v>
      </c>
    </row>
    <row r="378" spans="1:58" x14ac:dyDescent="0.25">
      <c r="A378" t="s">
        <v>595</v>
      </c>
      <c r="B378" t="s">
        <v>19</v>
      </c>
      <c r="C378">
        <v>1</v>
      </c>
      <c r="D378">
        <v>378</v>
      </c>
      <c r="E378" t="s">
        <v>2110</v>
      </c>
      <c r="F378" t="s">
        <v>123</v>
      </c>
      <c r="G378" t="s">
        <v>124</v>
      </c>
      <c r="H378" t="s">
        <v>125</v>
      </c>
      <c r="I378" t="s">
        <v>126</v>
      </c>
      <c r="J378" t="s">
        <v>126</v>
      </c>
      <c r="K378" t="s">
        <v>127</v>
      </c>
      <c r="L378">
        <v>50</v>
      </c>
      <c r="M378">
        <v>1017431</v>
      </c>
      <c r="N378">
        <v>6</v>
      </c>
      <c r="O378">
        <v>2</v>
      </c>
      <c r="P378" t="s">
        <v>128</v>
      </c>
      <c r="Q378" t="s">
        <v>129</v>
      </c>
      <c r="R378">
        <v>35</v>
      </c>
      <c r="T378">
        <v>10</v>
      </c>
      <c r="U378">
        <v>15</v>
      </c>
      <c r="V378">
        <v>5</v>
      </c>
      <c r="W378">
        <v>0</v>
      </c>
      <c r="X378">
        <v>5</v>
      </c>
      <c r="Y378">
        <v>1</v>
      </c>
      <c r="Z378">
        <v>16</v>
      </c>
      <c r="AA378">
        <v>21</v>
      </c>
      <c r="AB378">
        <v>50</v>
      </c>
      <c r="AC378">
        <v>18</v>
      </c>
      <c r="AD378">
        <v>6</v>
      </c>
      <c r="AE378">
        <v>2</v>
      </c>
      <c r="AF378">
        <v>26</v>
      </c>
      <c r="AG378">
        <v>0</v>
      </c>
      <c r="AH378">
        <v>32</v>
      </c>
      <c r="AI378">
        <v>24</v>
      </c>
      <c r="AJ378">
        <v>30</v>
      </c>
      <c r="AK378">
        <v>32</v>
      </c>
      <c r="AL378">
        <v>0</v>
      </c>
      <c r="AM378">
        <v>0.12</v>
      </c>
      <c r="AN378">
        <v>2.7272727272727275</v>
      </c>
      <c r="AO378">
        <v>0</v>
      </c>
      <c r="AP378" t="s">
        <v>130</v>
      </c>
      <c r="AQ378" t="s">
        <v>131</v>
      </c>
      <c r="AR378" t="s">
        <v>523</v>
      </c>
      <c r="AS378">
        <v>1560</v>
      </c>
      <c r="AT378">
        <v>1519</v>
      </c>
      <c r="AU378">
        <v>0</v>
      </c>
      <c r="AV378">
        <v>0</v>
      </c>
      <c r="AW378">
        <v>3.0790000000000002</v>
      </c>
      <c r="AX378">
        <v>0.17105555555555557</v>
      </c>
      <c r="AY378">
        <v>4.4474444444444448</v>
      </c>
      <c r="AZ378" t="s">
        <v>135</v>
      </c>
      <c r="BA378">
        <v>1.5525555555555552</v>
      </c>
      <c r="BB378">
        <v>9.076323481649883</v>
      </c>
      <c r="BC378" t="s">
        <v>133</v>
      </c>
      <c r="BD378">
        <v>0</v>
      </c>
      <c r="BE378" t="s">
        <v>133</v>
      </c>
      <c r="BF37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3.0790000000000002</v>
      </c>
    </row>
    <row r="379" spans="1:58" x14ac:dyDescent="0.25">
      <c r="A379" t="s">
        <v>596</v>
      </c>
      <c r="B379" t="s">
        <v>19</v>
      </c>
      <c r="C379">
        <v>1</v>
      </c>
      <c r="D379">
        <v>379</v>
      </c>
      <c r="E379" t="s">
        <v>2110</v>
      </c>
      <c r="F379" t="s">
        <v>123</v>
      </c>
      <c r="G379" t="s">
        <v>124</v>
      </c>
      <c r="H379" t="s">
        <v>125</v>
      </c>
      <c r="I379" t="s">
        <v>126</v>
      </c>
      <c r="J379" t="s">
        <v>126</v>
      </c>
      <c r="K379" t="s">
        <v>127</v>
      </c>
      <c r="L379">
        <v>50</v>
      </c>
      <c r="M379">
        <v>1017433</v>
      </c>
      <c r="N379">
        <v>6</v>
      </c>
      <c r="O379">
        <v>2</v>
      </c>
      <c r="P379" t="s">
        <v>128</v>
      </c>
      <c r="Q379" t="s">
        <v>129</v>
      </c>
      <c r="R379">
        <v>35</v>
      </c>
      <c r="T379">
        <v>12</v>
      </c>
      <c r="U379">
        <v>17</v>
      </c>
      <c r="V379">
        <v>3</v>
      </c>
      <c r="W379">
        <v>0</v>
      </c>
      <c r="X379">
        <v>3</v>
      </c>
      <c r="Y379">
        <v>3</v>
      </c>
      <c r="Z379">
        <v>18</v>
      </c>
      <c r="AA379">
        <v>23</v>
      </c>
      <c r="AB379">
        <v>50</v>
      </c>
      <c r="AC379">
        <v>19</v>
      </c>
      <c r="AD379">
        <v>3</v>
      </c>
      <c r="AE379">
        <v>4</v>
      </c>
      <c r="AF379">
        <v>26</v>
      </c>
      <c r="AG379">
        <v>0</v>
      </c>
      <c r="AH379">
        <v>31</v>
      </c>
      <c r="AI379">
        <v>24</v>
      </c>
      <c r="AJ379">
        <v>27</v>
      </c>
      <c r="AK379">
        <v>31</v>
      </c>
      <c r="AL379">
        <v>0</v>
      </c>
      <c r="AM379">
        <v>0.12</v>
      </c>
      <c r="AN379">
        <v>2.4545454545454546</v>
      </c>
      <c r="AO379">
        <v>0</v>
      </c>
      <c r="AP379" t="s">
        <v>130</v>
      </c>
      <c r="AQ379" t="s">
        <v>131</v>
      </c>
      <c r="AR379" t="s">
        <v>523</v>
      </c>
      <c r="AS379">
        <v>1427</v>
      </c>
      <c r="AT379">
        <v>1478</v>
      </c>
      <c r="AU379">
        <v>0</v>
      </c>
      <c r="AV379">
        <v>0</v>
      </c>
      <c r="AW379">
        <v>2.9049999999999998</v>
      </c>
      <c r="AX379">
        <v>0.15289473684210525</v>
      </c>
      <c r="AY379">
        <v>3.9752631578947364</v>
      </c>
      <c r="AZ379" t="s">
        <v>135</v>
      </c>
      <c r="BA379">
        <v>2.0247368421052636</v>
      </c>
      <c r="BB379">
        <v>13.242685025817559</v>
      </c>
      <c r="BC379" t="s">
        <v>133</v>
      </c>
      <c r="BD379">
        <v>0</v>
      </c>
      <c r="BE379" t="s">
        <v>133</v>
      </c>
      <c r="BF37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2.9049999999999998</v>
      </c>
    </row>
    <row r="380" spans="1:58" x14ac:dyDescent="0.25">
      <c r="A380" t="s">
        <v>597</v>
      </c>
      <c r="B380" t="s">
        <v>19</v>
      </c>
      <c r="C380">
        <v>1</v>
      </c>
      <c r="D380">
        <v>380</v>
      </c>
      <c r="E380" t="s">
        <v>2110</v>
      </c>
      <c r="F380" t="s">
        <v>123</v>
      </c>
      <c r="G380" t="s">
        <v>124</v>
      </c>
      <c r="H380" t="s">
        <v>136</v>
      </c>
      <c r="I380" t="s">
        <v>137</v>
      </c>
      <c r="J380" t="s">
        <v>138</v>
      </c>
      <c r="K380" t="s">
        <v>127</v>
      </c>
      <c r="L380">
        <v>50</v>
      </c>
      <c r="M380">
        <v>1017435</v>
      </c>
      <c r="N380">
        <v>5</v>
      </c>
      <c r="O380">
        <v>2</v>
      </c>
      <c r="P380" t="s">
        <v>128</v>
      </c>
      <c r="Q380" t="s">
        <v>129</v>
      </c>
      <c r="R380">
        <v>35</v>
      </c>
      <c r="T380">
        <v>0</v>
      </c>
      <c r="U380">
        <v>4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4</v>
      </c>
      <c r="AB380">
        <v>50</v>
      </c>
      <c r="AC380">
        <v>4</v>
      </c>
      <c r="AD380">
        <v>0</v>
      </c>
      <c r="AE380">
        <v>0</v>
      </c>
      <c r="AF380">
        <v>4</v>
      </c>
      <c r="AG380">
        <v>0</v>
      </c>
      <c r="AH380">
        <v>46</v>
      </c>
      <c r="AI380">
        <v>46</v>
      </c>
      <c r="AJ380">
        <v>46</v>
      </c>
      <c r="AK380">
        <v>46</v>
      </c>
      <c r="AL380">
        <v>0</v>
      </c>
      <c r="AM380">
        <v>0.1</v>
      </c>
      <c r="AN380">
        <v>4.1818181818181817</v>
      </c>
      <c r="AO380">
        <v>0</v>
      </c>
      <c r="AP380" t="s">
        <v>139</v>
      </c>
      <c r="AQ380" t="s">
        <v>131</v>
      </c>
      <c r="AR380" t="s">
        <v>523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 t="s">
        <v>134</v>
      </c>
      <c r="BA380">
        <v>5</v>
      </c>
      <c r="BB380">
        <v>0</v>
      </c>
      <c r="BC380" t="s">
        <v>133</v>
      </c>
      <c r="BD380">
        <v>0</v>
      </c>
      <c r="BE380" t="s">
        <v>133</v>
      </c>
      <c r="BF38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381" spans="1:58" x14ac:dyDescent="0.25">
      <c r="A381" t="s">
        <v>598</v>
      </c>
      <c r="B381" t="s">
        <v>19</v>
      </c>
      <c r="C381">
        <v>1</v>
      </c>
      <c r="D381">
        <v>381</v>
      </c>
      <c r="E381" t="s">
        <v>2110</v>
      </c>
      <c r="F381" t="s">
        <v>123</v>
      </c>
      <c r="G381" t="s">
        <v>124</v>
      </c>
      <c r="H381" t="s">
        <v>125</v>
      </c>
      <c r="I381" t="s">
        <v>126</v>
      </c>
      <c r="J381" t="s">
        <v>126</v>
      </c>
      <c r="K381" t="s">
        <v>127</v>
      </c>
      <c r="L381">
        <v>50</v>
      </c>
      <c r="M381">
        <v>1017437</v>
      </c>
      <c r="N381">
        <v>6</v>
      </c>
      <c r="O381">
        <v>2</v>
      </c>
      <c r="P381" t="s">
        <v>128</v>
      </c>
      <c r="Q381" t="s">
        <v>129</v>
      </c>
      <c r="R381">
        <v>35</v>
      </c>
      <c r="T381">
        <v>11</v>
      </c>
      <c r="U381">
        <v>16</v>
      </c>
      <c r="V381">
        <v>3</v>
      </c>
      <c r="W381">
        <v>0</v>
      </c>
      <c r="X381">
        <v>3</v>
      </c>
      <c r="Y381">
        <v>1</v>
      </c>
      <c r="Z381">
        <v>15</v>
      </c>
      <c r="AA381">
        <v>20</v>
      </c>
      <c r="AB381">
        <v>50</v>
      </c>
      <c r="AC381">
        <v>20</v>
      </c>
      <c r="AD381">
        <v>3</v>
      </c>
      <c r="AE381">
        <v>1</v>
      </c>
      <c r="AF381">
        <v>24</v>
      </c>
      <c r="AG381">
        <v>0</v>
      </c>
      <c r="AH381">
        <v>30</v>
      </c>
      <c r="AI381">
        <v>26</v>
      </c>
      <c r="AJ381">
        <v>29</v>
      </c>
      <c r="AK381">
        <v>30</v>
      </c>
      <c r="AL381">
        <v>0</v>
      </c>
      <c r="AM381">
        <v>0.12</v>
      </c>
      <c r="AN381">
        <v>2.6363636363636362</v>
      </c>
      <c r="AO381">
        <v>0</v>
      </c>
      <c r="AP381" t="s">
        <v>130</v>
      </c>
      <c r="AQ381" t="s">
        <v>131</v>
      </c>
      <c r="AR381" t="s">
        <v>523</v>
      </c>
      <c r="AS381">
        <v>2017</v>
      </c>
      <c r="AT381">
        <v>2024</v>
      </c>
      <c r="AU381">
        <v>0</v>
      </c>
      <c r="AV381">
        <v>0</v>
      </c>
      <c r="AW381">
        <v>4.0410000000000004</v>
      </c>
      <c r="AX381">
        <v>0.20205000000000001</v>
      </c>
      <c r="AY381">
        <v>4.8491999999999997</v>
      </c>
      <c r="AZ381" t="s">
        <v>135</v>
      </c>
      <c r="BA381">
        <v>1.1508000000000003</v>
      </c>
      <c r="BB381">
        <v>5.6956198960653319</v>
      </c>
      <c r="BC381" t="s">
        <v>133</v>
      </c>
      <c r="BD381">
        <v>0</v>
      </c>
      <c r="BE381" t="s">
        <v>133</v>
      </c>
      <c r="BF38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4.0410000000000004</v>
      </c>
    </row>
    <row r="382" spans="1:58" x14ac:dyDescent="0.25">
      <c r="A382" t="s">
        <v>599</v>
      </c>
      <c r="B382" t="s">
        <v>19</v>
      </c>
      <c r="C382">
        <v>1</v>
      </c>
      <c r="D382">
        <v>382</v>
      </c>
      <c r="E382" t="s">
        <v>2110</v>
      </c>
      <c r="F382" t="s">
        <v>123</v>
      </c>
      <c r="G382" t="s">
        <v>124</v>
      </c>
      <c r="H382" t="s">
        <v>125</v>
      </c>
      <c r="I382" t="s">
        <v>126</v>
      </c>
      <c r="J382" t="s">
        <v>126</v>
      </c>
      <c r="K382" t="s">
        <v>127</v>
      </c>
      <c r="L382">
        <v>50</v>
      </c>
      <c r="M382">
        <v>1017439</v>
      </c>
      <c r="N382">
        <v>6</v>
      </c>
      <c r="O382">
        <v>2</v>
      </c>
      <c r="P382" t="s">
        <v>128</v>
      </c>
      <c r="Q382" t="s">
        <v>129</v>
      </c>
      <c r="R382">
        <v>35</v>
      </c>
      <c r="T382">
        <v>11</v>
      </c>
      <c r="U382">
        <v>16</v>
      </c>
      <c r="V382">
        <v>4</v>
      </c>
      <c r="W382">
        <v>0</v>
      </c>
      <c r="X382">
        <v>4</v>
      </c>
      <c r="Y382">
        <v>0</v>
      </c>
      <c r="Z382">
        <v>15</v>
      </c>
      <c r="AA382">
        <v>20</v>
      </c>
      <c r="AB382">
        <v>50</v>
      </c>
      <c r="AC382">
        <v>16</v>
      </c>
      <c r="AD382">
        <v>7</v>
      </c>
      <c r="AE382">
        <v>0</v>
      </c>
      <c r="AF382">
        <v>23</v>
      </c>
      <c r="AG382">
        <v>0</v>
      </c>
      <c r="AH382">
        <v>34</v>
      </c>
      <c r="AI382">
        <v>27</v>
      </c>
      <c r="AJ382">
        <v>34</v>
      </c>
      <c r="AK382">
        <v>34</v>
      </c>
      <c r="AL382">
        <v>0</v>
      </c>
      <c r="AM382">
        <v>0.12</v>
      </c>
      <c r="AN382">
        <v>3.0909090909090908</v>
      </c>
      <c r="AO382">
        <v>0</v>
      </c>
      <c r="AP382" t="s">
        <v>130</v>
      </c>
      <c r="AQ382" t="s">
        <v>131</v>
      </c>
      <c r="AR382" t="s">
        <v>523</v>
      </c>
      <c r="AS382">
        <v>1566</v>
      </c>
      <c r="AT382">
        <v>1496</v>
      </c>
      <c r="AU382">
        <v>0</v>
      </c>
      <c r="AV382">
        <v>0</v>
      </c>
      <c r="AW382">
        <v>3.0619999999999998</v>
      </c>
      <c r="AX382">
        <v>0.19137499999999999</v>
      </c>
      <c r="AY382">
        <v>4.4016250000000001</v>
      </c>
      <c r="AZ382" t="s">
        <v>135</v>
      </c>
      <c r="BA382">
        <v>1.5983749999999999</v>
      </c>
      <c r="BB382">
        <v>8.3520574787720445</v>
      </c>
      <c r="BC382" t="s">
        <v>133</v>
      </c>
      <c r="BD382">
        <v>0</v>
      </c>
      <c r="BE382" t="s">
        <v>133</v>
      </c>
      <c r="BF38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3.0619999999999998</v>
      </c>
    </row>
    <row r="383" spans="1:58" x14ac:dyDescent="0.25">
      <c r="A383" t="s">
        <v>600</v>
      </c>
      <c r="B383" t="s">
        <v>19</v>
      </c>
      <c r="C383">
        <v>1</v>
      </c>
      <c r="D383">
        <v>383</v>
      </c>
      <c r="E383" t="s">
        <v>2110</v>
      </c>
      <c r="F383" t="s">
        <v>123</v>
      </c>
      <c r="G383" t="s">
        <v>124</v>
      </c>
      <c r="H383" t="s">
        <v>125</v>
      </c>
      <c r="I383" t="s">
        <v>126</v>
      </c>
      <c r="J383" t="s">
        <v>126</v>
      </c>
      <c r="K383" t="s">
        <v>127</v>
      </c>
      <c r="L383">
        <v>50</v>
      </c>
      <c r="M383">
        <v>1017441</v>
      </c>
      <c r="N383">
        <v>6</v>
      </c>
      <c r="O383">
        <v>2</v>
      </c>
      <c r="P383" t="s">
        <v>128</v>
      </c>
      <c r="Q383" t="s">
        <v>129</v>
      </c>
      <c r="R383">
        <v>35</v>
      </c>
      <c r="T383">
        <v>8</v>
      </c>
      <c r="U383">
        <v>13</v>
      </c>
      <c r="V383">
        <v>2</v>
      </c>
      <c r="W383">
        <v>0</v>
      </c>
      <c r="X383">
        <v>2</v>
      </c>
      <c r="Y383">
        <v>1</v>
      </c>
      <c r="Z383">
        <v>11</v>
      </c>
      <c r="AA383">
        <v>16</v>
      </c>
      <c r="AB383">
        <v>50</v>
      </c>
      <c r="AC383">
        <v>13</v>
      </c>
      <c r="AD383">
        <v>4</v>
      </c>
      <c r="AE383">
        <v>2</v>
      </c>
      <c r="AF383">
        <v>19</v>
      </c>
      <c r="AG383">
        <v>0</v>
      </c>
      <c r="AH383">
        <v>37</v>
      </c>
      <c r="AI383">
        <v>31</v>
      </c>
      <c r="AJ383">
        <v>35</v>
      </c>
      <c r="AK383">
        <v>37</v>
      </c>
      <c r="AL383">
        <v>0</v>
      </c>
      <c r="AM383">
        <v>0.12</v>
      </c>
      <c r="AN383">
        <v>3.1818181818181821</v>
      </c>
      <c r="AO383">
        <v>0</v>
      </c>
      <c r="AP383" t="s">
        <v>130</v>
      </c>
      <c r="AQ383" t="s">
        <v>131</v>
      </c>
      <c r="AR383" t="s">
        <v>523</v>
      </c>
      <c r="AS383">
        <v>1113</v>
      </c>
      <c r="AT383">
        <v>1207</v>
      </c>
      <c r="AU383">
        <v>0</v>
      </c>
      <c r="AV383">
        <v>0</v>
      </c>
      <c r="AW383">
        <v>2.3199999999999998</v>
      </c>
      <c r="AX383">
        <v>0.17846153846153845</v>
      </c>
      <c r="AY383">
        <v>3.3907692307692305</v>
      </c>
      <c r="AZ383" t="s">
        <v>135</v>
      </c>
      <c r="BA383">
        <v>2.6092307692307695</v>
      </c>
      <c r="BB383">
        <v>14.620689655172416</v>
      </c>
      <c r="BC383" t="s">
        <v>133</v>
      </c>
      <c r="BD383">
        <v>0</v>
      </c>
      <c r="BE383" t="s">
        <v>133</v>
      </c>
      <c r="BF38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2.3199999999999998</v>
      </c>
    </row>
    <row r="384" spans="1:58" x14ac:dyDescent="0.25">
      <c r="A384" t="s">
        <v>601</v>
      </c>
      <c r="B384" t="s">
        <v>19</v>
      </c>
      <c r="C384">
        <v>1</v>
      </c>
      <c r="D384">
        <v>384</v>
      </c>
      <c r="E384" t="s">
        <v>2110</v>
      </c>
      <c r="F384" t="s">
        <v>123</v>
      </c>
      <c r="G384" t="s">
        <v>124</v>
      </c>
      <c r="H384" t="s">
        <v>125</v>
      </c>
      <c r="I384" t="s">
        <v>126</v>
      </c>
      <c r="J384" t="s">
        <v>126</v>
      </c>
      <c r="K384" t="s">
        <v>127</v>
      </c>
      <c r="L384">
        <v>50</v>
      </c>
      <c r="M384">
        <v>1017443</v>
      </c>
      <c r="N384">
        <v>6</v>
      </c>
      <c r="O384">
        <v>2</v>
      </c>
      <c r="P384" t="s">
        <v>128</v>
      </c>
      <c r="Q384" t="s">
        <v>129</v>
      </c>
      <c r="R384">
        <v>35</v>
      </c>
      <c r="T384">
        <v>12</v>
      </c>
      <c r="U384">
        <v>17</v>
      </c>
      <c r="V384">
        <v>7</v>
      </c>
      <c r="W384">
        <v>0</v>
      </c>
      <c r="X384">
        <v>7</v>
      </c>
      <c r="Y384">
        <v>2</v>
      </c>
      <c r="Z384">
        <v>21</v>
      </c>
      <c r="AA384">
        <v>26</v>
      </c>
      <c r="AB384">
        <v>50</v>
      </c>
      <c r="AC384">
        <v>20</v>
      </c>
      <c r="AD384">
        <v>8</v>
      </c>
      <c r="AE384">
        <v>3</v>
      </c>
      <c r="AF384">
        <v>31</v>
      </c>
      <c r="AG384">
        <v>0</v>
      </c>
      <c r="AH384">
        <v>30</v>
      </c>
      <c r="AI384">
        <v>19</v>
      </c>
      <c r="AJ384">
        <v>27</v>
      </c>
      <c r="AK384">
        <v>30</v>
      </c>
      <c r="AL384">
        <v>0</v>
      </c>
      <c r="AM384">
        <v>0.12</v>
      </c>
      <c r="AN384">
        <v>2.4545454545454546</v>
      </c>
      <c r="AO384">
        <v>0</v>
      </c>
      <c r="AP384" t="s">
        <v>130</v>
      </c>
      <c r="AQ384" t="s">
        <v>131</v>
      </c>
      <c r="AR384" t="s">
        <v>523</v>
      </c>
      <c r="AS384">
        <v>2118</v>
      </c>
      <c r="AT384">
        <v>1759</v>
      </c>
      <c r="AU384">
        <v>0</v>
      </c>
      <c r="AV384">
        <v>0</v>
      </c>
      <c r="AW384">
        <v>3.8769999999999998</v>
      </c>
      <c r="AX384">
        <v>0.19384999999999999</v>
      </c>
      <c r="AY384">
        <v>6.0093499999999995</v>
      </c>
      <c r="AZ384" t="s">
        <v>135</v>
      </c>
      <c r="BA384">
        <v>-9.3499999999995254E-3</v>
      </c>
      <c r="BB384">
        <v>-4.823316997678373E-2</v>
      </c>
      <c r="BC384" t="s">
        <v>133</v>
      </c>
      <c r="BD384">
        <v>0</v>
      </c>
      <c r="BE384" t="s">
        <v>133</v>
      </c>
      <c r="BF38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3.8769999999999998</v>
      </c>
    </row>
    <row r="385" spans="1:58" x14ac:dyDescent="0.25">
      <c r="A385" t="s">
        <v>602</v>
      </c>
      <c r="B385" t="s">
        <v>19</v>
      </c>
      <c r="C385">
        <v>1</v>
      </c>
      <c r="D385">
        <v>385</v>
      </c>
      <c r="E385" t="s">
        <v>2110</v>
      </c>
      <c r="F385" t="s">
        <v>123</v>
      </c>
      <c r="G385" t="s">
        <v>124</v>
      </c>
      <c r="H385" t="s">
        <v>125</v>
      </c>
      <c r="I385" t="s">
        <v>126</v>
      </c>
      <c r="J385" t="s">
        <v>126</v>
      </c>
      <c r="K385" t="s">
        <v>127</v>
      </c>
      <c r="L385">
        <v>50</v>
      </c>
      <c r="M385">
        <v>1017445</v>
      </c>
      <c r="N385">
        <v>6</v>
      </c>
      <c r="O385">
        <v>2</v>
      </c>
      <c r="P385" t="s">
        <v>128</v>
      </c>
      <c r="Q385" t="s">
        <v>129</v>
      </c>
      <c r="R385">
        <v>35</v>
      </c>
      <c r="T385">
        <v>11</v>
      </c>
      <c r="U385">
        <v>16</v>
      </c>
      <c r="V385">
        <v>6</v>
      </c>
      <c r="W385">
        <v>0</v>
      </c>
      <c r="X385">
        <v>6</v>
      </c>
      <c r="Y385">
        <v>4</v>
      </c>
      <c r="Z385">
        <v>21</v>
      </c>
      <c r="AA385">
        <v>26</v>
      </c>
      <c r="AB385">
        <v>50</v>
      </c>
      <c r="AC385">
        <v>21</v>
      </c>
      <c r="AD385">
        <v>9</v>
      </c>
      <c r="AE385">
        <v>7</v>
      </c>
      <c r="AF385">
        <v>37</v>
      </c>
      <c r="AG385">
        <v>0</v>
      </c>
      <c r="AH385">
        <v>29</v>
      </c>
      <c r="AI385">
        <v>13</v>
      </c>
      <c r="AJ385">
        <v>22</v>
      </c>
      <c r="AK385">
        <v>29</v>
      </c>
      <c r="AL385">
        <v>0</v>
      </c>
      <c r="AM385">
        <v>0.12</v>
      </c>
      <c r="AN385">
        <v>2</v>
      </c>
      <c r="AO385">
        <v>0</v>
      </c>
      <c r="AP385" t="s">
        <v>130</v>
      </c>
      <c r="AQ385" t="s">
        <v>131</v>
      </c>
      <c r="AR385" t="s">
        <v>523</v>
      </c>
      <c r="AS385">
        <v>1109</v>
      </c>
      <c r="AT385">
        <v>1432</v>
      </c>
      <c r="AU385">
        <v>0</v>
      </c>
      <c r="AV385">
        <v>0</v>
      </c>
      <c r="AW385">
        <v>2.5409999999999999</v>
      </c>
      <c r="AX385">
        <v>0.121</v>
      </c>
      <c r="AY385">
        <v>4.4770000000000003</v>
      </c>
      <c r="AZ385" t="s">
        <v>135</v>
      </c>
      <c r="BA385">
        <v>1.5229999999999997</v>
      </c>
      <c r="BB385">
        <v>12.58677685950413</v>
      </c>
      <c r="BC385" t="s">
        <v>144</v>
      </c>
      <c r="BD385">
        <v>0</v>
      </c>
      <c r="BE385" t="s">
        <v>133</v>
      </c>
      <c r="BF38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2.5409999999999999</v>
      </c>
    </row>
    <row r="386" spans="1:58" x14ac:dyDescent="0.25">
      <c r="A386" t="s">
        <v>603</v>
      </c>
      <c r="B386" t="s">
        <v>19</v>
      </c>
      <c r="C386">
        <v>1</v>
      </c>
      <c r="D386">
        <v>386</v>
      </c>
      <c r="E386" t="s">
        <v>2110</v>
      </c>
      <c r="F386" t="s">
        <v>123</v>
      </c>
      <c r="G386" t="s">
        <v>124</v>
      </c>
      <c r="H386" t="s">
        <v>125</v>
      </c>
      <c r="I386" t="s">
        <v>126</v>
      </c>
      <c r="J386" t="s">
        <v>126</v>
      </c>
      <c r="K386" t="s">
        <v>127</v>
      </c>
      <c r="L386">
        <v>50</v>
      </c>
      <c r="M386">
        <v>1017447</v>
      </c>
      <c r="N386">
        <v>6</v>
      </c>
      <c r="O386">
        <v>2</v>
      </c>
      <c r="P386" t="s">
        <v>128</v>
      </c>
      <c r="Q386" t="s">
        <v>129</v>
      </c>
      <c r="R386">
        <v>36</v>
      </c>
      <c r="T386">
        <v>6</v>
      </c>
      <c r="U386">
        <v>11</v>
      </c>
      <c r="V386">
        <v>6</v>
      </c>
      <c r="W386">
        <v>0</v>
      </c>
      <c r="X386">
        <v>6</v>
      </c>
      <c r="Y386">
        <v>1</v>
      </c>
      <c r="Z386">
        <v>13</v>
      </c>
      <c r="AA386">
        <v>18</v>
      </c>
      <c r="AB386">
        <v>50</v>
      </c>
      <c r="AC386">
        <v>14</v>
      </c>
      <c r="AD386">
        <v>8</v>
      </c>
      <c r="AE386">
        <v>1</v>
      </c>
      <c r="AF386">
        <v>23</v>
      </c>
      <c r="AG386">
        <v>0</v>
      </c>
      <c r="AH386">
        <v>36</v>
      </c>
      <c r="AI386">
        <v>27</v>
      </c>
      <c r="AJ386">
        <v>35</v>
      </c>
      <c r="AK386">
        <v>36</v>
      </c>
      <c r="AL386">
        <v>0</v>
      </c>
      <c r="AM386">
        <v>0.12</v>
      </c>
      <c r="AN386">
        <v>3.1818181818181821</v>
      </c>
      <c r="AO386">
        <v>0</v>
      </c>
      <c r="AP386" t="s">
        <v>130</v>
      </c>
      <c r="AQ386" t="s">
        <v>131</v>
      </c>
      <c r="AR386" t="s">
        <v>523</v>
      </c>
      <c r="AS386">
        <v>1102</v>
      </c>
      <c r="AT386">
        <v>1056</v>
      </c>
      <c r="AU386">
        <v>0</v>
      </c>
      <c r="AV386">
        <v>0</v>
      </c>
      <c r="AW386">
        <v>2.1579999999999999</v>
      </c>
      <c r="AX386">
        <v>0.15414285714285714</v>
      </c>
      <c r="AY386">
        <v>3.5452857142857139</v>
      </c>
      <c r="AZ386" t="s">
        <v>135</v>
      </c>
      <c r="BA386">
        <v>2.4547142857142861</v>
      </c>
      <c r="BB386">
        <v>15.924930491195555</v>
      </c>
      <c r="BC386" t="s">
        <v>132</v>
      </c>
      <c r="BD386">
        <v>0</v>
      </c>
      <c r="BE386" t="s">
        <v>133</v>
      </c>
      <c r="BF38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2.1579999999999999</v>
      </c>
    </row>
    <row r="387" spans="1:58" x14ac:dyDescent="0.25">
      <c r="A387" t="s">
        <v>604</v>
      </c>
      <c r="B387" t="s">
        <v>19</v>
      </c>
      <c r="C387">
        <v>1</v>
      </c>
      <c r="D387">
        <v>387</v>
      </c>
      <c r="E387" t="s">
        <v>2110</v>
      </c>
      <c r="F387" t="s">
        <v>123</v>
      </c>
      <c r="G387" t="s">
        <v>124</v>
      </c>
      <c r="H387" t="s">
        <v>125</v>
      </c>
      <c r="I387" t="s">
        <v>126</v>
      </c>
      <c r="J387" t="s">
        <v>126</v>
      </c>
      <c r="K387" t="s">
        <v>127</v>
      </c>
      <c r="L387">
        <v>50</v>
      </c>
      <c r="M387">
        <v>1017449</v>
      </c>
      <c r="N387">
        <v>6</v>
      </c>
      <c r="O387">
        <v>2</v>
      </c>
      <c r="P387" t="s">
        <v>128</v>
      </c>
      <c r="Q387" t="s">
        <v>129</v>
      </c>
      <c r="R387">
        <v>36</v>
      </c>
      <c r="T387">
        <v>8</v>
      </c>
      <c r="U387">
        <v>13</v>
      </c>
      <c r="V387">
        <v>0</v>
      </c>
      <c r="W387">
        <v>0</v>
      </c>
      <c r="X387">
        <v>0</v>
      </c>
      <c r="Y387">
        <v>2</v>
      </c>
      <c r="Z387">
        <v>10</v>
      </c>
      <c r="AA387">
        <v>15</v>
      </c>
      <c r="AB387">
        <v>50</v>
      </c>
      <c r="AC387">
        <v>16</v>
      </c>
      <c r="AD387">
        <v>0</v>
      </c>
      <c r="AE387">
        <v>2</v>
      </c>
      <c r="AF387">
        <v>18</v>
      </c>
      <c r="AG387">
        <v>0</v>
      </c>
      <c r="AH387">
        <v>34</v>
      </c>
      <c r="AI387">
        <v>32</v>
      </c>
      <c r="AJ387">
        <v>32</v>
      </c>
      <c r="AK387">
        <v>34</v>
      </c>
      <c r="AL387">
        <v>0</v>
      </c>
      <c r="AM387">
        <v>0.12</v>
      </c>
      <c r="AN387">
        <v>2.9090909090909092</v>
      </c>
      <c r="AO387">
        <v>0</v>
      </c>
      <c r="AP387" t="s">
        <v>130</v>
      </c>
      <c r="AQ387" t="s">
        <v>131</v>
      </c>
      <c r="AR387" t="s">
        <v>523</v>
      </c>
      <c r="AS387">
        <v>1303</v>
      </c>
      <c r="AT387">
        <v>1323</v>
      </c>
      <c r="AU387">
        <v>0</v>
      </c>
      <c r="AV387">
        <v>0</v>
      </c>
      <c r="AW387">
        <v>2.6259999999999999</v>
      </c>
      <c r="AX387">
        <v>0.16412499999999999</v>
      </c>
      <c r="AY387">
        <v>2.95425</v>
      </c>
      <c r="AZ387" t="s">
        <v>135</v>
      </c>
      <c r="BA387">
        <v>3.04575</v>
      </c>
      <c r="BB387">
        <v>18.55750190403656</v>
      </c>
      <c r="BC387" t="s">
        <v>133</v>
      </c>
      <c r="BD387">
        <v>0</v>
      </c>
      <c r="BE387" t="s">
        <v>133</v>
      </c>
      <c r="BF38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2.6259999999999999</v>
      </c>
    </row>
    <row r="388" spans="1:58" x14ac:dyDescent="0.25">
      <c r="A388" t="s">
        <v>605</v>
      </c>
      <c r="B388" t="s">
        <v>19</v>
      </c>
      <c r="C388">
        <v>1</v>
      </c>
      <c r="D388">
        <v>388</v>
      </c>
      <c r="E388" t="s">
        <v>2110</v>
      </c>
      <c r="F388" t="s">
        <v>123</v>
      </c>
      <c r="G388" t="s">
        <v>124</v>
      </c>
      <c r="H388" t="s">
        <v>125</v>
      </c>
      <c r="I388" t="s">
        <v>126</v>
      </c>
      <c r="J388" t="s">
        <v>126</v>
      </c>
      <c r="K388" t="s">
        <v>127</v>
      </c>
      <c r="L388">
        <v>50</v>
      </c>
      <c r="M388">
        <v>1017451</v>
      </c>
      <c r="N388">
        <v>6</v>
      </c>
      <c r="O388">
        <v>2</v>
      </c>
      <c r="P388" t="s">
        <v>128</v>
      </c>
      <c r="Q388" t="s">
        <v>129</v>
      </c>
      <c r="R388">
        <v>36</v>
      </c>
      <c r="T388">
        <v>6</v>
      </c>
      <c r="U388">
        <v>11</v>
      </c>
      <c r="V388">
        <v>5</v>
      </c>
      <c r="W388">
        <v>0</v>
      </c>
      <c r="X388">
        <v>5</v>
      </c>
      <c r="Y388">
        <v>3</v>
      </c>
      <c r="Z388">
        <v>14</v>
      </c>
      <c r="AA388">
        <v>19</v>
      </c>
      <c r="AB388">
        <v>50</v>
      </c>
      <c r="AC388">
        <v>11</v>
      </c>
      <c r="AD388">
        <v>9</v>
      </c>
      <c r="AE388">
        <v>5</v>
      </c>
      <c r="AF388">
        <v>25</v>
      </c>
      <c r="AG388">
        <v>0</v>
      </c>
      <c r="AH388">
        <v>39</v>
      </c>
      <c r="AI388">
        <v>25</v>
      </c>
      <c r="AJ388">
        <v>34</v>
      </c>
      <c r="AK388">
        <v>39</v>
      </c>
      <c r="AL388">
        <v>0</v>
      </c>
      <c r="AM388">
        <v>0.12</v>
      </c>
      <c r="AN388">
        <v>3.0909090909090908</v>
      </c>
      <c r="AO388">
        <v>0</v>
      </c>
      <c r="AP388" t="s">
        <v>130</v>
      </c>
      <c r="AQ388" t="s">
        <v>131</v>
      </c>
      <c r="AR388" t="s">
        <v>523</v>
      </c>
      <c r="AS388">
        <v>1061</v>
      </c>
      <c r="AT388">
        <v>1081</v>
      </c>
      <c r="AU388">
        <v>0</v>
      </c>
      <c r="AV388">
        <v>0</v>
      </c>
      <c r="AW388">
        <v>2.1419999999999999</v>
      </c>
      <c r="AX388">
        <v>0.19472727272727272</v>
      </c>
      <c r="AY388">
        <v>4.8681818181818182</v>
      </c>
      <c r="AZ388" t="s">
        <v>135</v>
      </c>
      <c r="BA388">
        <v>1.1318181818181818</v>
      </c>
      <c r="BB388">
        <v>5.8123249299719895</v>
      </c>
      <c r="BC388" t="s">
        <v>133</v>
      </c>
      <c r="BD388">
        <v>0</v>
      </c>
      <c r="BE388" t="s">
        <v>133</v>
      </c>
      <c r="BF38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2.1419999999999999</v>
      </c>
    </row>
    <row r="389" spans="1:58" x14ac:dyDescent="0.25">
      <c r="A389" t="s">
        <v>606</v>
      </c>
      <c r="B389" t="s">
        <v>19</v>
      </c>
      <c r="C389">
        <v>1</v>
      </c>
      <c r="D389">
        <v>389</v>
      </c>
      <c r="E389" t="s">
        <v>2110</v>
      </c>
      <c r="F389" t="s">
        <v>123</v>
      </c>
      <c r="G389" t="s">
        <v>124</v>
      </c>
      <c r="H389" t="s">
        <v>125</v>
      </c>
      <c r="I389" t="s">
        <v>126</v>
      </c>
      <c r="J389" t="s">
        <v>126</v>
      </c>
      <c r="K389" t="s">
        <v>127</v>
      </c>
      <c r="L389">
        <v>50</v>
      </c>
      <c r="M389">
        <v>1017453</v>
      </c>
      <c r="N389">
        <v>6</v>
      </c>
      <c r="O389">
        <v>2</v>
      </c>
      <c r="P389" t="s">
        <v>128</v>
      </c>
      <c r="Q389" t="s">
        <v>129</v>
      </c>
      <c r="R389">
        <v>36</v>
      </c>
      <c r="T389">
        <v>7</v>
      </c>
      <c r="U389">
        <v>12</v>
      </c>
      <c r="V389">
        <v>0</v>
      </c>
      <c r="W389">
        <v>0</v>
      </c>
      <c r="X389">
        <v>0</v>
      </c>
      <c r="Y389">
        <v>4</v>
      </c>
      <c r="Z389">
        <v>11</v>
      </c>
      <c r="AA389">
        <v>16</v>
      </c>
      <c r="AB389">
        <v>50</v>
      </c>
      <c r="AC389">
        <v>13</v>
      </c>
      <c r="AD389">
        <v>0</v>
      </c>
      <c r="AE389">
        <v>5</v>
      </c>
      <c r="AF389">
        <v>18</v>
      </c>
      <c r="AG389">
        <v>0</v>
      </c>
      <c r="AH389">
        <v>37</v>
      </c>
      <c r="AI389">
        <v>32</v>
      </c>
      <c r="AJ389">
        <v>32</v>
      </c>
      <c r="AK389">
        <v>37</v>
      </c>
      <c r="AL389">
        <v>0</v>
      </c>
      <c r="AM389">
        <v>0.12</v>
      </c>
      <c r="AN389">
        <v>2.9090909090909092</v>
      </c>
      <c r="AO389">
        <v>0</v>
      </c>
      <c r="AP389" t="s">
        <v>130</v>
      </c>
      <c r="AQ389" t="s">
        <v>131</v>
      </c>
      <c r="AR389" t="s">
        <v>523</v>
      </c>
      <c r="AS389">
        <v>924</v>
      </c>
      <c r="AT389">
        <v>820</v>
      </c>
      <c r="AU389">
        <v>0</v>
      </c>
      <c r="AV389">
        <v>0</v>
      </c>
      <c r="AW389">
        <v>1.744</v>
      </c>
      <c r="AX389">
        <v>0.13415384615384615</v>
      </c>
      <c r="AY389">
        <v>2.4147692307692306</v>
      </c>
      <c r="AZ389" t="s">
        <v>135</v>
      </c>
      <c r="BA389">
        <v>3.5852307692307694</v>
      </c>
      <c r="BB389">
        <v>26.724770642201836</v>
      </c>
      <c r="BC389" t="s">
        <v>133</v>
      </c>
      <c r="BD389">
        <v>0</v>
      </c>
      <c r="BE389" t="s">
        <v>133</v>
      </c>
      <c r="BF38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1.744</v>
      </c>
    </row>
    <row r="390" spans="1:58" x14ac:dyDescent="0.25">
      <c r="A390" t="s">
        <v>607</v>
      </c>
      <c r="B390" t="s">
        <v>19</v>
      </c>
      <c r="C390">
        <v>1</v>
      </c>
      <c r="D390">
        <v>390</v>
      </c>
      <c r="E390" t="s">
        <v>2110</v>
      </c>
      <c r="F390" t="s">
        <v>123</v>
      </c>
      <c r="G390" t="s">
        <v>124</v>
      </c>
      <c r="H390" t="s">
        <v>125</v>
      </c>
      <c r="I390" t="s">
        <v>126</v>
      </c>
      <c r="J390" t="s">
        <v>126</v>
      </c>
      <c r="K390" t="s">
        <v>127</v>
      </c>
      <c r="L390">
        <v>50</v>
      </c>
      <c r="M390">
        <v>1017455</v>
      </c>
      <c r="N390">
        <v>6</v>
      </c>
      <c r="O390">
        <v>2</v>
      </c>
      <c r="P390" t="s">
        <v>128</v>
      </c>
      <c r="Q390" t="s">
        <v>129</v>
      </c>
      <c r="R390">
        <v>36</v>
      </c>
      <c r="T390">
        <v>6</v>
      </c>
      <c r="U390">
        <v>11</v>
      </c>
      <c r="V390">
        <v>8</v>
      </c>
      <c r="W390">
        <v>3</v>
      </c>
      <c r="X390">
        <v>5</v>
      </c>
      <c r="Y390">
        <v>3</v>
      </c>
      <c r="Z390">
        <v>17</v>
      </c>
      <c r="AA390">
        <v>22</v>
      </c>
      <c r="AB390">
        <v>50</v>
      </c>
      <c r="AC390">
        <v>11</v>
      </c>
      <c r="AD390">
        <v>10</v>
      </c>
      <c r="AE390">
        <v>4</v>
      </c>
      <c r="AF390">
        <v>28</v>
      </c>
      <c r="AG390">
        <v>3</v>
      </c>
      <c r="AH390">
        <v>39</v>
      </c>
      <c r="AI390">
        <v>22</v>
      </c>
      <c r="AJ390">
        <v>32</v>
      </c>
      <c r="AK390">
        <v>36</v>
      </c>
      <c r="AL390">
        <v>0</v>
      </c>
      <c r="AM390">
        <v>0.12</v>
      </c>
      <c r="AN390">
        <v>2.9090909090909092</v>
      </c>
      <c r="AO390">
        <v>0.40909090909090906</v>
      </c>
      <c r="AP390" t="s">
        <v>130</v>
      </c>
      <c r="AQ390" t="s">
        <v>131</v>
      </c>
      <c r="AR390" t="s">
        <v>523</v>
      </c>
      <c r="AS390">
        <v>1237</v>
      </c>
      <c r="AT390">
        <v>1265</v>
      </c>
      <c r="AU390">
        <v>0</v>
      </c>
      <c r="AV390">
        <v>0</v>
      </c>
      <c r="AW390">
        <v>2.5019999999999998</v>
      </c>
      <c r="AX390">
        <v>0.22745454545454544</v>
      </c>
      <c r="AY390">
        <v>6.3687272727272726</v>
      </c>
      <c r="AZ390" t="s">
        <v>135</v>
      </c>
      <c r="BA390">
        <v>-0.36872727272727257</v>
      </c>
      <c r="BB390">
        <v>-1.6211031175059947</v>
      </c>
      <c r="BC390" t="s">
        <v>133</v>
      </c>
      <c r="BD390">
        <v>0</v>
      </c>
      <c r="BE390" t="s">
        <v>133</v>
      </c>
      <c r="BF39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2.5019999999999998</v>
      </c>
    </row>
    <row r="391" spans="1:58" x14ac:dyDescent="0.25">
      <c r="A391" t="s">
        <v>608</v>
      </c>
      <c r="B391" t="s">
        <v>19</v>
      </c>
      <c r="C391">
        <v>1</v>
      </c>
      <c r="D391">
        <v>391</v>
      </c>
      <c r="E391" t="s">
        <v>2110</v>
      </c>
      <c r="F391" t="s">
        <v>123</v>
      </c>
      <c r="G391" t="s">
        <v>124</v>
      </c>
      <c r="H391" t="s">
        <v>136</v>
      </c>
      <c r="I391" t="s">
        <v>137</v>
      </c>
      <c r="J391" t="s">
        <v>138</v>
      </c>
      <c r="K391" t="s">
        <v>127</v>
      </c>
      <c r="L391">
        <v>50</v>
      </c>
      <c r="M391">
        <v>1017457</v>
      </c>
      <c r="N391">
        <v>5</v>
      </c>
      <c r="O391">
        <v>2</v>
      </c>
      <c r="P391" t="s">
        <v>128</v>
      </c>
      <c r="Q391" t="s">
        <v>129</v>
      </c>
      <c r="R391">
        <v>36</v>
      </c>
      <c r="T391">
        <v>0</v>
      </c>
      <c r="U391">
        <v>4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4</v>
      </c>
      <c r="AB391">
        <v>50</v>
      </c>
      <c r="AC391">
        <v>4</v>
      </c>
      <c r="AD391">
        <v>0</v>
      </c>
      <c r="AE391">
        <v>0</v>
      </c>
      <c r="AF391">
        <v>4</v>
      </c>
      <c r="AG391">
        <v>0</v>
      </c>
      <c r="AH391">
        <v>46</v>
      </c>
      <c r="AI391">
        <v>46</v>
      </c>
      <c r="AJ391">
        <v>46</v>
      </c>
      <c r="AK391">
        <v>46</v>
      </c>
      <c r="AL391">
        <v>0</v>
      </c>
      <c r="AM391">
        <v>0.1</v>
      </c>
      <c r="AN391">
        <v>4.1818181818181817</v>
      </c>
      <c r="AO391">
        <v>0</v>
      </c>
      <c r="AP391" t="s">
        <v>139</v>
      </c>
      <c r="AQ391" t="s">
        <v>131</v>
      </c>
      <c r="AR391" t="s">
        <v>523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 t="s">
        <v>134</v>
      </c>
      <c r="BA391">
        <v>5</v>
      </c>
      <c r="BB391">
        <v>0</v>
      </c>
      <c r="BC391" t="s">
        <v>133</v>
      </c>
      <c r="BD391">
        <v>0</v>
      </c>
      <c r="BE391" t="s">
        <v>133</v>
      </c>
      <c r="BF39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392" spans="1:58" x14ac:dyDescent="0.25">
      <c r="A392" t="s">
        <v>609</v>
      </c>
      <c r="B392" t="s">
        <v>19</v>
      </c>
      <c r="C392">
        <v>1</v>
      </c>
      <c r="D392">
        <v>392</v>
      </c>
      <c r="E392" t="s">
        <v>2110</v>
      </c>
      <c r="F392" t="s">
        <v>123</v>
      </c>
      <c r="G392" t="s">
        <v>124</v>
      </c>
      <c r="H392" t="s">
        <v>125</v>
      </c>
      <c r="I392" t="s">
        <v>126</v>
      </c>
      <c r="J392" t="s">
        <v>126</v>
      </c>
      <c r="K392" t="s">
        <v>127</v>
      </c>
      <c r="L392">
        <v>50</v>
      </c>
      <c r="M392">
        <v>1017459</v>
      </c>
      <c r="N392">
        <v>6</v>
      </c>
      <c r="O392">
        <v>2</v>
      </c>
      <c r="P392" t="s">
        <v>128</v>
      </c>
      <c r="Q392" t="s">
        <v>129</v>
      </c>
      <c r="R392">
        <v>36</v>
      </c>
      <c r="T392">
        <v>6</v>
      </c>
      <c r="U392">
        <v>11</v>
      </c>
      <c r="V392">
        <v>5</v>
      </c>
      <c r="W392">
        <v>3</v>
      </c>
      <c r="X392">
        <v>2</v>
      </c>
      <c r="Y392">
        <v>3</v>
      </c>
      <c r="Z392">
        <v>14</v>
      </c>
      <c r="AA392">
        <v>19</v>
      </c>
      <c r="AB392">
        <v>50</v>
      </c>
      <c r="AC392">
        <v>14</v>
      </c>
      <c r="AD392">
        <v>2</v>
      </c>
      <c r="AE392">
        <v>6</v>
      </c>
      <c r="AF392">
        <v>25</v>
      </c>
      <c r="AG392">
        <v>3</v>
      </c>
      <c r="AH392">
        <v>36</v>
      </c>
      <c r="AI392">
        <v>25</v>
      </c>
      <c r="AJ392">
        <v>27</v>
      </c>
      <c r="AK392">
        <v>33</v>
      </c>
      <c r="AL392">
        <v>0</v>
      </c>
      <c r="AM392">
        <v>0.12</v>
      </c>
      <c r="AN392">
        <v>2.4545454545454546</v>
      </c>
      <c r="AO392">
        <v>0.40909090909090906</v>
      </c>
      <c r="AP392" t="s">
        <v>130</v>
      </c>
      <c r="AQ392" t="s">
        <v>131</v>
      </c>
      <c r="AR392" t="s">
        <v>523</v>
      </c>
      <c r="AS392">
        <v>934</v>
      </c>
      <c r="AT392">
        <v>1065</v>
      </c>
      <c r="AU392">
        <v>0</v>
      </c>
      <c r="AV392">
        <v>0</v>
      </c>
      <c r="AW392">
        <v>1.9990000000000001</v>
      </c>
      <c r="AX392">
        <v>0.14278571428571429</v>
      </c>
      <c r="AY392">
        <v>3.5696428571428571</v>
      </c>
      <c r="AZ392" t="s">
        <v>135</v>
      </c>
      <c r="BA392">
        <v>2.4303571428571429</v>
      </c>
      <c r="BB392">
        <v>17.021010505252626</v>
      </c>
      <c r="BC392" t="s">
        <v>133</v>
      </c>
      <c r="BD392">
        <v>0</v>
      </c>
      <c r="BE392" t="s">
        <v>133</v>
      </c>
      <c r="BF39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1.9990000000000001</v>
      </c>
    </row>
    <row r="393" spans="1:58" x14ac:dyDescent="0.25">
      <c r="A393" t="s">
        <v>610</v>
      </c>
      <c r="B393" t="s">
        <v>19</v>
      </c>
      <c r="C393">
        <v>1</v>
      </c>
      <c r="D393">
        <v>393</v>
      </c>
      <c r="E393" t="s">
        <v>2110</v>
      </c>
      <c r="F393" t="s">
        <v>123</v>
      </c>
      <c r="G393" t="s">
        <v>124</v>
      </c>
      <c r="H393" t="s">
        <v>125</v>
      </c>
      <c r="I393" t="s">
        <v>126</v>
      </c>
      <c r="J393" t="s">
        <v>126</v>
      </c>
      <c r="K393" t="s">
        <v>127</v>
      </c>
      <c r="L393">
        <v>50</v>
      </c>
      <c r="M393">
        <v>1017461</v>
      </c>
      <c r="N393">
        <v>6</v>
      </c>
      <c r="O393">
        <v>2</v>
      </c>
      <c r="P393" t="s">
        <v>128</v>
      </c>
      <c r="Q393" t="s">
        <v>129</v>
      </c>
      <c r="R393">
        <v>36</v>
      </c>
      <c r="T393">
        <v>10</v>
      </c>
      <c r="U393">
        <v>15</v>
      </c>
      <c r="V393">
        <v>2</v>
      </c>
      <c r="W393">
        <v>1</v>
      </c>
      <c r="X393">
        <v>1</v>
      </c>
      <c r="Y393">
        <v>4</v>
      </c>
      <c r="Z393">
        <v>16</v>
      </c>
      <c r="AA393">
        <v>21</v>
      </c>
      <c r="AB393">
        <v>50</v>
      </c>
      <c r="AC393">
        <v>18</v>
      </c>
      <c r="AD393">
        <v>1</v>
      </c>
      <c r="AE393">
        <v>7</v>
      </c>
      <c r="AF393">
        <v>27</v>
      </c>
      <c r="AG393">
        <v>1</v>
      </c>
      <c r="AH393">
        <v>32</v>
      </c>
      <c r="AI393">
        <v>23</v>
      </c>
      <c r="AJ393">
        <v>24</v>
      </c>
      <c r="AK393">
        <v>31</v>
      </c>
      <c r="AL393">
        <v>0</v>
      </c>
      <c r="AM393">
        <v>0.12</v>
      </c>
      <c r="AN393">
        <v>2.1818181818181817</v>
      </c>
      <c r="AO393">
        <v>0.13636363636363635</v>
      </c>
      <c r="AP393" t="s">
        <v>130</v>
      </c>
      <c r="AQ393" t="s">
        <v>131</v>
      </c>
      <c r="AR393" t="s">
        <v>523</v>
      </c>
      <c r="AS393">
        <v>1740</v>
      </c>
      <c r="AT393">
        <v>1722</v>
      </c>
      <c r="AU393">
        <v>0</v>
      </c>
      <c r="AV393">
        <v>0</v>
      </c>
      <c r="AW393">
        <v>3.4620000000000002</v>
      </c>
      <c r="AX393">
        <v>0.19233333333333336</v>
      </c>
      <c r="AY393">
        <v>5.1930000000000005</v>
      </c>
      <c r="AZ393" t="s">
        <v>135</v>
      </c>
      <c r="BA393">
        <v>0.8069999999999995</v>
      </c>
      <c r="BB393">
        <v>4.195840554592718</v>
      </c>
      <c r="BC393" t="s">
        <v>133</v>
      </c>
      <c r="BD393">
        <v>0</v>
      </c>
      <c r="BE393" t="s">
        <v>133</v>
      </c>
      <c r="BF39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3.4620000000000002</v>
      </c>
    </row>
    <row r="394" spans="1:58" x14ac:dyDescent="0.25">
      <c r="A394" t="s">
        <v>611</v>
      </c>
      <c r="B394" t="s">
        <v>19</v>
      </c>
      <c r="C394">
        <v>1</v>
      </c>
      <c r="D394">
        <v>394</v>
      </c>
      <c r="E394" t="s">
        <v>2110</v>
      </c>
      <c r="F394" t="s">
        <v>123</v>
      </c>
      <c r="G394" t="s">
        <v>124</v>
      </c>
      <c r="H394" t="s">
        <v>125</v>
      </c>
      <c r="I394" t="s">
        <v>126</v>
      </c>
      <c r="J394" t="s">
        <v>126</v>
      </c>
      <c r="K394" t="s">
        <v>127</v>
      </c>
      <c r="L394">
        <v>50</v>
      </c>
      <c r="M394">
        <v>1017463</v>
      </c>
      <c r="N394">
        <v>6</v>
      </c>
      <c r="O394">
        <v>2</v>
      </c>
      <c r="P394" t="s">
        <v>128</v>
      </c>
      <c r="Q394" t="s">
        <v>129</v>
      </c>
      <c r="R394">
        <v>36</v>
      </c>
      <c r="T394">
        <v>40</v>
      </c>
      <c r="U394">
        <v>45</v>
      </c>
      <c r="V394">
        <v>0</v>
      </c>
      <c r="W394">
        <v>0</v>
      </c>
      <c r="X394">
        <v>0</v>
      </c>
      <c r="Y394">
        <v>0</v>
      </c>
      <c r="Z394">
        <v>40</v>
      </c>
      <c r="AA394">
        <v>45</v>
      </c>
      <c r="AB394">
        <v>50</v>
      </c>
      <c r="AC394">
        <v>45</v>
      </c>
      <c r="AD394">
        <v>0</v>
      </c>
      <c r="AE394">
        <v>0</v>
      </c>
      <c r="AF394">
        <v>45</v>
      </c>
      <c r="AG394">
        <v>0</v>
      </c>
      <c r="AH394">
        <v>5</v>
      </c>
      <c r="AI394">
        <v>5</v>
      </c>
      <c r="AJ394">
        <v>5</v>
      </c>
      <c r="AK394">
        <v>5</v>
      </c>
      <c r="AL394">
        <v>0</v>
      </c>
      <c r="AM394">
        <v>0.12</v>
      </c>
      <c r="AN394">
        <v>0.45454545454545459</v>
      </c>
      <c r="AO394">
        <v>0</v>
      </c>
      <c r="AP394" t="s">
        <v>130</v>
      </c>
      <c r="AQ394" t="s">
        <v>131</v>
      </c>
      <c r="AR394" t="s">
        <v>523</v>
      </c>
      <c r="AS394">
        <v>4350</v>
      </c>
      <c r="AT394">
        <v>4348</v>
      </c>
      <c r="AU394">
        <v>0</v>
      </c>
      <c r="AV394">
        <v>0</v>
      </c>
      <c r="AW394">
        <v>8.6980000000000004</v>
      </c>
      <c r="AX394">
        <v>0.1932888888888889</v>
      </c>
      <c r="AY394">
        <v>8.6980000000000004</v>
      </c>
      <c r="AZ394" t="s">
        <v>135</v>
      </c>
      <c r="BA394">
        <v>-2.6980000000000004</v>
      </c>
      <c r="BB394">
        <v>-13.958381237065993</v>
      </c>
      <c r="BC394" t="s">
        <v>133</v>
      </c>
      <c r="BD394">
        <v>0</v>
      </c>
      <c r="BE394" t="s">
        <v>133</v>
      </c>
      <c r="BF39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8.6980000000000004</v>
      </c>
    </row>
    <row r="395" spans="1:58" x14ac:dyDescent="0.25">
      <c r="A395" t="s">
        <v>612</v>
      </c>
      <c r="B395" t="s">
        <v>19</v>
      </c>
      <c r="C395">
        <v>1</v>
      </c>
      <c r="D395">
        <v>395</v>
      </c>
      <c r="E395" t="s">
        <v>2110</v>
      </c>
      <c r="F395" t="s">
        <v>123</v>
      </c>
      <c r="G395" t="s">
        <v>124</v>
      </c>
      <c r="H395" t="s">
        <v>125</v>
      </c>
      <c r="I395" t="s">
        <v>126</v>
      </c>
      <c r="J395" t="s">
        <v>126</v>
      </c>
      <c r="K395" t="s">
        <v>127</v>
      </c>
      <c r="L395">
        <v>50</v>
      </c>
      <c r="M395">
        <v>1017465</v>
      </c>
      <c r="N395">
        <v>6</v>
      </c>
      <c r="O395">
        <v>2</v>
      </c>
      <c r="P395" t="s">
        <v>128</v>
      </c>
      <c r="Q395" t="s">
        <v>129</v>
      </c>
      <c r="R395">
        <v>36</v>
      </c>
      <c r="T395">
        <v>41</v>
      </c>
      <c r="U395">
        <v>46</v>
      </c>
      <c r="V395">
        <v>0</v>
      </c>
      <c r="W395">
        <v>0</v>
      </c>
      <c r="X395">
        <v>0</v>
      </c>
      <c r="Y395">
        <v>0</v>
      </c>
      <c r="Z395">
        <v>41</v>
      </c>
      <c r="AA395">
        <v>46</v>
      </c>
      <c r="AB395">
        <v>50</v>
      </c>
      <c r="AC395">
        <v>46</v>
      </c>
      <c r="AD395">
        <v>0</v>
      </c>
      <c r="AE395">
        <v>0</v>
      </c>
      <c r="AF395">
        <v>46</v>
      </c>
      <c r="AG395">
        <v>0</v>
      </c>
      <c r="AH395">
        <v>4</v>
      </c>
      <c r="AI395">
        <v>4</v>
      </c>
      <c r="AJ395">
        <v>4</v>
      </c>
      <c r="AK395">
        <v>4</v>
      </c>
      <c r="AL395">
        <v>0</v>
      </c>
      <c r="AM395">
        <v>0.12</v>
      </c>
      <c r="AN395">
        <v>0.36363636363636365</v>
      </c>
      <c r="AO395">
        <v>0</v>
      </c>
      <c r="AP395" t="s">
        <v>130</v>
      </c>
      <c r="AQ395" t="s">
        <v>131</v>
      </c>
      <c r="AR395" t="s">
        <v>523</v>
      </c>
      <c r="AS395">
        <v>4215</v>
      </c>
      <c r="AT395">
        <v>4190</v>
      </c>
      <c r="AU395">
        <v>0</v>
      </c>
      <c r="AV395">
        <v>0</v>
      </c>
      <c r="AW395">
        <v>8.4049999999999994</v>
      </c>
      <c r="AX395">
        <v>0.1827173913043478</v>
      </c>
      <c r="AY395">
        <v>8.4049999999999994</v>
      </c>
      <c r="AZ395" t="s">
        <v>135</v>
      </c>
      <c r="BA395">
        <v>-2.4049999999999994</v>
      </c>
      <c r="BB395">
        <v>-13.162403331350385</v>
      </c>
      <c r="BC395" t="s">
        <v>133</v>
      </c>
      <c r="BD395">
        <v>0</v>
      </c>
      <c r="BE395" t="s">
        <v>133</v>
      </c>
      <c r="BF39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8.4049999999999994</v>
      </c>
    </row>
    <row r="396" spans="1:58" x14ac:dyDescent="0.25">
      <c r="A396" t="s">
        <v>613</v>
      </c>
      <c r="B396" t="s">
        <v>19</v>
      </c>
      <c r="C396">
        <v>1</v>
      </c>
      <c r="D396">
        <v>396</v>
      </c>
      <c r="E396" t="s">
        <v>2110</v>
      </c>
      <c r="F396" t="s">
        <v>123</v>
      </c>
      <c r="G396" t="s">
        <v>124</v>
      </c>
      <c r="H396" t="s">
        <v>125</v>
      </c>
      <c r="I396" t="s">
        <v>126</v>
      </c>
      <c r="J396" t="s">
        <v>126</v>
      </c>
      <c r="K396" t="s">
        <v>127</v>
      </c>
      <c r="L396">
        <v>50</v>
      </c>
      <c r="M396">
        <v>1017467</v>
      </c>
      <c r="N396">
        <v>6</v>
      </c>
      <c r="O396">
        <v>2</v>
      </c>
      <c r="P396" t="s">
        <v>128</v>
      </c>
      <c r="Q396" t="s">
        <v>129</v>
      </c>
      <c r="R396">
        <v>36</v>
      </c>
      <c r="T396">
        <v>43</v>
      </c>
      <c r="U396">
        <v>48</v>
      </c>
      <c r="V396">
        <v>0</v>
      </c>
      <c r="W396">
        <v>0</v>
      </c>
      <c r="X396">
        <v>0</v>
      </c>
      <c r="Y396">
        <v>0</v>
      </c>
      <c r="Z396">
        <v>43</v>
      </c>
      <c r="AA396">
        <v>48</v>
      </c>
      <c r="AB396">
        <v>50</v>
      </c>
      <c r="AC396">
        <v>48</v>
      </c>
      <c r="AD396">
        <v>0</v>
      </c>
      <c r="AE396">
        <v>0</v>
      </c>
      <c r="AF396">
        <v>48</v>
      </c>
      <c r="AG396">
        <v>0</v>
      </c>
      <c r="AH396">
        <v>2</v>
      </c>
      <c r="AI396">
        <v>2</v>
      </c>
      <c r="AJ396">
        <v>2</v>
      </c>
      <c r="AK396">
        <v>2</v>
      </c>
      <c r="AL396">
        <v>0</v>
      </c>
      <c r="AM396">
        <v>0.12</v>
      </c>
      <c r="AN396">
        <v>0.18181818181818182</v>
      </c>
      <c r="AO396">
        <v>0</v>
      </c>
      <c r="AP396" t="s">
        <v>130</v>
      </c>
      <c r="AQ396" t="s">
        <v>131</v>
      </c>
      <c r="AR396" t="s">
        <v>523</v>
      </c>
      <c r="AS396">
        <v>4416</v>
      </c>
      <c r="AT396">
        <v>4514</v>
      </c>
      <c r="AU396">
        <v>0</v>
      </c>
      <c r="AV396">
        <v>0</v>
      </c>
      <c r="AW396">
        <v>8.93</v>
      </c>
      <c r="AX396">
        <v>0.18604166666666666</v>
      </c>
      <c r="AY396">
        <v>8.93</v>
      </c>
      <c r="AZ396" t="s">
        <v>135</v>
      </c>
      <c r="BA396">
        <v>-2.9299999999999997</v>
      </c>
      <c r="BB396">
        <v>-15.749160134378499</v>
      </c>
      <c r="BC396" t="s">
        <v>144</v>
      </c>
      <c r="BD396">
        <v>0</v>
      </c>
      <c r="BE396" t="s">
        <v>133</v>
      </c>
      <c r="BF39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8.93</v>
      </c>
    </row>
    <row r="397" spans="1:58" x14ac:dyDescent="0.25">
      <c r="A397" t="s">
        <v>614</v>
      </c>
      <c r="B397" t="s">
        <v>19</v>
      </c>
      <c r="C397">
        <v>1</v>
      </c>
      <c r="D397">
        <v>397</v>
      </c>
      <c r="E397" t="s">
        <v>2110</v>
      </c>
      <c r="F397" t="s">
        <v>123</v>
      </c>
      <c r="G397" t="s">
        <v>124</v>
      </c>
      <c r="H397" t="s">
        <v>125</v>
      </c>
      <c r="I397" t="s">
        <v>126</v>
      </c>
      <c r="J397" t="s">
        <v>126</v>
      </c>
      <c r="K397" t="s">
        <v>127</v>
      </c>
      <c r="L397">
        <v>50</v>
      </c>
      <c r="M397">
        <v>1017469</v>
      </c>
      <c r="N397">
        <v>6</v>
      </c>
      <c r="O397">
        <v>2</v>
      </c>
      <c r="P397" t="s">
        <v>128</v>
      </c>
      <c r="Q397" t="s">
        <v>129</v>
      </c>
      <c r="R397">
        <v>37</v>
      </c>
      <c r="T397">
        <v>3</v>
      </c>
      <c r="U397">
        <v>8</v>
      </c>
      <c r="V397">
        <v>2</v>
      </c>
      <c r="W397">
        <v>1</v>
      </c>
      <c r="X397">
        <v>1</v>
      </c>
      <c r="Y397">
        <v>2</v>
      </c>
      <c r="Z397">
        <v>7</v>
      </c>
      <c r="AA397">
        <v>12</v>
      </c>
      <c r="AB397">
        <v>50</v>
      </c>
      <c r="AC397">
        <v>11</v>
      </c>
      <c r="AD397">
        <v>1</v>
      </c>
      <c r="AE397">
        <v>3</v>
      </c>
      <c r="AF397">
        <v>16</v>
      </c>
      <c r="AG397">
        <v>1</v>
      </c>
      <c r="AH397">
        <v>39</v>
      </c>
      <c r="AI397">
        <v>34</v>
      </c>
      <c r="AJ397">
        <v>35</v>
      </c>
      <c r="AK397">
        <v>38</v>
      </c>
      <c r="AL397">
        <v>0</v>
      </c>
      <c r="AM397">
        <v>0.12</v>
      </c>
      <c r="AN397">
        <v>3.1818181818181821</v>
      </c>
      <c r="AO397">
        <v>0.13636363636363635</v>
      </c>
      <c r="AP397" t="s">
        <v>130</v>
      </c>
      <c r="AQ397" t="s">
        <v>131</v>
      </c>
      <c r="AR397" t="s">
        <v>523</v>
      </c>
      <c r="AS397">
        <v>837</v>
      </c>
      <c r="AT397">
        <v>825</v>
      </c>
      <c r="AU397">
        <v>0</v>
      </c>
      <c r="AV397">
        <v>0</v>
      </c>
      <c r="AW397">
        <v>1.6619999999999999</v>
      </c>
      <c r="AX397">
        <v>0.15109090909090908</v>
      </c>
      <c r="AY397">
        <v>2.4174545454545453</v>
      </c>
      <c r="AZ397" t="s">
        <v>135</v>
      </c>
      <c r="BA397">
        <v>3.5825454545454547</v>
      </c>
      <c r="BB397">
        <v>23.711191335740075</v>
      </c>
      <c r="BC397" t="s">
        <v>132</v>
      </c>
      <c r="BD397">
        <v>0</v>
      </c>
      <c r="BE397" t="s">
        <v>133</v>
      </c>
      <c r="BF39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1.6619999999999999</v>
      </c>
    </row>
    <row r="398" spans="1:58" x14ac:dyDescent="0.25">
      <c r="A398" t="s">
        <v>615</v>
      </c>
      <c r="B398" t="s">
        <v>19</v>
      </c>
      <c r="C398">
        <v>1</v>
      </c>
      <c r="D398">
        <v>398</v>
      </c>
      <c r="E398" t="s">
        <v>2110</v>
      </c>
      <c r="F398" t="s">
        <v>123</v>
      </c>
      <c r="G398" t="s">
        <v>124</v>
      </c>
      <c r="H398" t="s">
        <v>125</v>
      </c>
      <c r="I398" t="s">
        <v>126</v>
      </c>
      <c r="J398" t="s">
        <v>126</v>
      </c>
      <c r="K398" t="s">
        <v>127</v>
      </c>
      <c r="L398">
        <v>50</v>
      </c>
      <c r="M398">
        <v>1017471</v>
      </c>
      <c r="N398">
        <v>6</v>
      </c>
      <c r="O398">
        <v>2</v>
      </c>
      <c r="P398" t="s">
        <v>128</v>
      </c>
      <c r="Q398" t="s">
        <v>129</v>
      </c>
      <c r="R398">
        <v>37</v>
      </c>
      <c r="T398">
        <v>8</v>
      </c>
      <c r="U398">
        <v>13</v>
      </c>
      <c r="V398">
        <v>3</v>
      </c>
      <c r="W398">
        <v>1</v>
      </c>
      <c r="X398">
        <v>2</v>
      </c>
      <c r="Y398">
        <v>1</v>
      </c>
      <c r="Z398">
        <v>12</v>
      </c>
      <c r="AA398">
        <v>17</v>
      </c>
      <c r="AB398">
        <v>50</v>
      </c>
      <c r="AC398">
        <v>14</v>
      </c>
      <c r="AD398">
        <v>4</v>
      </c>
      <c r="AE398">
        <v>1</v>
      </c>
      <c r="AF398">
        <v>20</v>
      </c>
      <c r="AG398">
        <v>1</v>
      </c>
      <c r="AH398">
        <v>36</v>
      </c>
      <c r="AI398">
        <v>30</v>
      </c>
      <c r="AJ398">
        <v>34</v>
      </c>
      <c r="AK398">
        <v>35</v>
      </c>
      <c r="AL398">
        <v>0</v>
      </c>
      <c r="AM398">
        <v>0.12</v>
      </c>
      <c r="AN398">
        <v>3.0909090909090908</v>
      </c>
      <c r="AO398">
        <v>0.13636363636363635</v>
      </c>
      <c r="AP398" t="s">
        <v>130</v>
      </c>
      <c r="AQ398" t="s">
        <v>131</v>
      </c>
      <c r="AR398" t="s">
        <v>523</v>
      </c>
      <c r="AS398">
        <v>1485</v>
      </c>
      <c r="AT398">
        <v>1289</v>
      </c>
      <c r="AU398">
        <v>0</v>
      </c>
      <c r="AV398">
        <v>0</v>
      </c>
      <c r="AW398">
        <v>2.774</v>
      </c>
      <c r="AX398">
        <v>0.19814285714285715</v>
      </c>
      <c r="AY398">
        <v>3.9628571428571431</v>
      </c>
      <c r="AZ398" t="s">
        <v>135</v>
      </c>
      <c r="BA398">
        <v>2.0371428571428569</v>
      </c>
      <c r="BB398">
        <v>10.281182408074981</v>
      </c>
      <c r="BC398" t="s">
        <v>133</v>
      </c>
      <c r="BD398">
        <v>0</v>
      </c>
      <c r="BE398" t="s">
        <v>133</v>
      </c>
      <c r="BF39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2.774</v>
      </c>
    </row>
    <row r="399" spans="1:58" x14ac:dyDescent="0.25">
      <c r="A399" t="s">
        <v>616</v>
      </c>
      <c r="B399" t="s">
        <v>19</v>
      </c>
      <c r="C399">
        <v>1</v>
      </c>
      <c r="D399">
        <v>399</v>
      </c>
      <c r="E399" t="s">
        <v>2110</v>
      </c>
      <c r="F399" t="s">
        <v>123</v>
      </c>
      <c r="G399" t="s">
        <v>124</v>
      </c>
      <c r="H399" t="s">
        <v>125</v>
      </c>
      <c r="I399" t="s">
        <v>126</v>
      </c>
      <c r="J399" t="s">
        <v>126</v>
      </c>
      <c r="K399" t="s">
        <v>127</v>
      </c>
      <c r="L399">
        <v>50</v>
      </c>
      <c r="M399">
        <v>1017473</v>
      </c>
      <c r="N399">
        <v>6</v>
      </c>
      <c r="O399">
        <v>2</v>
      </c>
      <c r="P399" t="s">
        <v>128</v>
      </c>
      <c r="Q399" t="s">
        <v>129</v>
      </c>
      <c r="R399">
        <v>37</v>
      </c>
      <c r="T399">
        <v>16</v>
      </c>
      <c r="U399">
        <v>21</v>
      </c>
      <c r="V399">
        <v>3</v>
      </c>
      <c r="W399">
        <v>0</v>
      </c>
      <c r="X399">
        <v>3</v>
      </c>
      <c r="Y399">
        <v>4</v>
      </c>
      <c r="Z399">
        <v>23</v>
      </c>
      <c r="AA399">
        <v>28</v>
      </c>
      <c r="AB399">
        <v>50</v>
      </c>
      <c r="AC399">
        <v>22</v>
      </c>
      <c r="AD399">
        <v>7</v>
      </c>
      <c r="AE399">
        <v>5</v>
      </c>
      <c r="AF399">
        <v>34</v>
      </c>
      <c r="AG399">
        <v>0</v>
      </c>
      <c r="AH399">
        <v>28</v>
      </c>
      <c r="AI399">
        <v>16</v>
      </c>
      <c r="AJ399">
        <v>23</v>
      </c>
      <c r="AK399">
        <v>28</v>
      </c>
      <c r="AL399">
        <v>0</v>
      </c>
      <c r="AM399">
        <v>0.12</v>
      </c>
      <c r="AN399">
        <v>2.0909090909090908</v>
      </c>
      <c r="AO399">
        <v>0</v>
      </c>
      <c r="AP399" t="s">
        <v>130</v>
      </c>
      <c r="AQ399" t="s">
        <v>131</v>
      </c>
      <c r="AR399" t="s">
        <v>523</v>
      </c>
      <c r="AS399">
        <v>2616</v>
      </c>
      <c r="AT399">
        <v>2754</v>
      </c>
      <c r="AU399">
        <v>0</v>
      </c>
      <c r="AV399">
        <v>0</v>
      </c>
      <c r="AW399">
        <v>5.37</v>
      </c>
      <c r="AX399">
        <v>0.24409090909090911</v>
      </c>
      <c r="AY399">
        <v>8.2990909090909089</v>
      </c>
      <c r="AZ399" t="s">
        <v>135</v>
      </c>
      <c r="BA399">
        <v>-2.2990909090909089</v>
      </c>
      <c r="BB399">
        <v>-9.4189944134078196</v>
      </c>
      <c r="BC399" t="s">
        <v>133</v>
      </c>
      <c r="BD399">
        <v>0</v>
      </c>
      <c r="BE399" t="s">
        <v>133</v>
      </c>
      <c r="BF39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5.37</v>
      </c>
    </row>
    <row r="400" spans="1:58" x14ac:dyDescent="0.25">
      <c r="A400" t="s">
        <v>617</v>
      </c>
      <c r="B400" t="s">
        <v>19</v>
      </c>
      <c r="C400">
        <v>1</v>
      </c>
      <c r="D400">
        <v>400</v>
      </c>
      <c r="E400" t="s">
        <v>2110</v>
      </c>
      <c r="F400" t="s">
        <v>123</v>
      </c>
      <c r="G400" t="s">
        <v>124</v>
      </c>
      <c r="H400" t="s">
        <v>125</v>
      </c>
      <c r="I400" t="s">
        <v>126</v>
      </c>
      <c r="J400" t="s">
        <v>126</v>
      </c>
      <c r="K400" t="s">
        <v>127</v>
      </c>
      <c r="L400">
        <v>50</v>
      </c>
      <c r="M400">
        <v>1017475</v>
      </c>
      <c r="N400">
        <v>6</v>
      </c>
      <c r="O400">
        <v>2</v>
      </c>
      <c r="P400" t="s">
        <v>128</v>
      </c>
      <c r="Q400" t="s">
        <v>129</v>
      </c>
      <c r="R400">
        <v>37</v>
      </c>
      <c r="T400">
        <v>3</v>
      </c>
      <c r="U400">
        <v>8</v>
      </c>
      <c r="V400">
        <v>2</v>
      </c>
      <c r="W400">
        <v>1</v>
      </c>
      <c r="X400">
        <v>1</v>
      </c>
      <c r="Y400">
        <v>2</v>
      </c>
      <c r="Z400">
        <v>7</v>
      </c>
      <c r="AA400">
        <v>12</v>
      </c>
      <c r="AB400">
        <v>50</v>
      </c>
      <c r="AC400">
        <v>8</v>
      </c>
      <c r="AD400">
        <v>4</v>
      </c>
      <c r="AE400">
        <v>2</v>
      </c>
      <c r="AF400">
        <v>15</v>
      </c>
      <c r="AG400">
        <v>1</v>
      </c>
      <c r="AH400">
        <v>42</v>
      </c>
      <c r="AI400">
        <v>35</v>
      </c>
      <c r="AJ400">
        <v>39</v>
      </c>
      <c r="AK400">
        <v>41</v>
      </c>
      <c r="AL400">
        <v>0</v>
      </c>
      <c r="AM400">
        <v>0.12</v>
      </c>
      <c r="AN400">
        <v>3.5454545454545454</v>
      </c>
      <c r="AO400">
        <v>0.13636363636363635</v>
      </c>
      <c r="AP400" t="s">
        <v>130</v>
      </c>
      <c r="AQ400" t="s">
        <v>131</v>
      </c>
      <c r="AR400" t="s">
        <v>523</v>
      </c>
      <c r="AS400">
        <v>457</v>
      </c>
      <c r="AT400">
        <v>410</v>
      </c>
      <c r="AU400">
        <v>0</v>
      </c>
      <c r="AV400">
        <v>0</v>
      </c>
      <c r="AW400">
        <v>0.86699999999999999</v>
      </c>
      <c r="AX400">
        <v>0.108375</v>
      </c>
      <c r="AY400">
        <v>1.6256249999999999</v>
      </c>
      <c r="AZ400" t="s">
        <v>135</v>
      </c>
      <c r="BA400">
        <v>4.3743750000000006</v>
      </c>
      <c r="BB400">
        <v>40.363321799307961</v>
      </c>
      <c r="BC400" t="s">
        <v>133</v>
      </c>
      <c r="BD400">
        <v>0</v>
      </c>
      <c r="BE400" t="s">
        <v>133</v>
      </c>
      <c r="BF40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0.86699999999999999</v>
      </c>
    </row>
    <row r="401" spans="1:58" x14ac:dyDescent="0.25">
      <c r="A401" t="s">
        <v>618</v>
      </c>
      <c r="B401" t="s">
        <v>19</v>
      </c>
      <c r="C401">
        <v>1</v>
      </c>
      <c r="D401">
        <v>401</v>
      </c>
      <c r="E401" t="s">
        <v>2110</v>
      </c>
      <c r="F401" t="s">
        <v>123</v>
      </c>
      <c r="G401" t="s">
        <v>124</v>
      </c>
      <c r="H401" t="s">
        <v>125</v>
      </c>
      <c r="I401" t="s">
        <v>126</v>
      </c>
      <c r="J401" t="s">
        <v>126</v>
      </c>
      <c r="K401" t="s">
        <v>127</v>
      </c>
      <c r="L401">
        <v>50</v>
      </c>
      <c r="M401">
        <v>1017477</v>
      </c>
      <c r="N401">
        <v>6</v>
      </c>
      <c r="O401">
        <v>2</v>
      </c>
      <c r="P401" t="s">
        <v>128</v>
      </c>
      <c r="Q401" t="s">
        <v>129</v>
      </c>
      <c r="R401">
        <v>37</v>
      </c>
      <c r="T401">
        <v>5</v>
      </c>
      <c r="U401">
        <v>10</v>
      </c>
      <c r="V401">
        <v>2</v>
      </c>
      <c r="W401">
        <v>1</v>
      </c>
      <c r="X401">
        <v>1</v>
      </c>
      <c r="Y401">
        <v>4</v>
      </c>
      <c r="Z401">
        <v>11</v>
      </c>
      <c r="AA401">
        <v>16</v>
      </c>
      <c r="AB401">
        <v>50</v>
      </c>
      <c r="AC401">
        <v>10</v>
      </c>
      <c r="AD401">
        <v>2</v>
      </c>
      <c r="AE401">
        <v>10</v>
      </c>
      <c r="AF401">
        <v>23</v>
      </c>
      <c r="AG401">
        <v>1</v>
      </c>
      <c r="AH401">
        <v>40</v>
      </c>
      <c r="AI401">
        <v>27</v>
      </c>
      <c r="AJ401">
        <v>29</v>
      </c>
      <c r="AK401">
        <v>39</v>
      </c>
      <c r="AL401">
        <v>0</v>
      </c>
      <c r="AM401">
        <v>0.12</v>
      </c>
      <c r="AN401">
        <v>2.6363636363636362</v>
      </c>
      <c r="AO401">
        <v>0.13636363636363635</v>
      </c>
      <c r="AP401" t="s">
        <v>130</v>
      </c>
      <c r="AQ401" t="s">
        <v>131</v>
      </c>
      <c r="AR401" t="s">
        <v>523</v>
      </c>
      <c r="AS401">
        <v>901</v>
      </c>
      <c r="AT401">
        <v>802</v>
      </c>
      <c r="AU401">
        <v>0</v>
      </c>
      <c r="AV401">
        <v>0</v>
      </c>
      <c r="AW401">
        <v>1.7030000000000001</v>
      </c>
      <c r="AX401">
        <v>0.17030000000000001</v>
      </c>
      <c r="AY401">
        <v>3.9169</v>
      </c>
      <c r="AZ401" t="s">
        <v>135</v>
      </c>
      <c r="BA401">
        <v>2.0831</v>
      </c>
      <c r="BB401">
        <v>12.231943628890193</v>
      </c>
      <c r="BC401" t="s">
        <v>133</v>
      </c>
      <c r="BD401">
        <v>0</v>
      </c>
      <c r="BE401" t="s">
        <v>133</v>
      </c>
      <c r="BF40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1.7030000000000001</v>
      </c>
    </row>
    <row r="402" spans="1:58" x14ac:dyDescent="0.25">
      <c r="A402" t="s">
        <v>619</v>
      </c>
      <c r="B402" t="s">
        <v>19</v>
      </c>
      <c r="C402">
        <v>1</v>
      </c>
      <c r="D402">
        <v>402</v>
      </c>
      <c r="E402" t="s">
        <v>2110</v>
      </c>
      <c r="F402" t="s">
        <v>123</v>
      </c>
      <c r="G402" t="s">
        <v>124</v>
      </c>
      <c r="H402" t="s">
        <v>136</v>
      </c>
      <c r="I402" t="s">
        <v>137</v>
      </c>
      <c r="J402" t="s">
        <v>138</v>
      </c>
      <c r="K402" t="s">
        <v>127</v>
      </c>
      <c r="L402">
        <v>50</v>
      </c>
      <c r="M402">
        <v>1017479</v>
      </c>
      <c r="N402">
        <v>5</v>
      </c>
      <c r="O402">
        <v>2</v>
      </c>
      <c r="P402" t="s">
        <v>128</v>
      </c>
      <c r="Q402" t="s">
        <v>129</v>
      </c>
      <c r="R402">
        <v>37</v>
      </c>
      <c r="T402">
        <v>0</v>
      </c>
      <c r="U402">
        <v>4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4</v>
      </c>
      <c r="AB402">
        <v>50</v>
      </c>
      <c r="AC402">
        <v>4</v>
      </c>
      <c r="AD402">
        <v>0</v>
      </c>
      <c r="AE402">
        <v>0</v>
      </c>
      <c r="AF402">
        <v>4</v>
      </c>
      <c r="AG402">
        <v>0</v>
      </c>
      <c r="AH402">
        <v>46</v>
      </c>
      <c r="AI402">
        <v>46</v>
      </c>
      <c r="AJ402">
        <v>46</v>
      </c>
      <c r="AK402">
        <v>46</v>
      </c>
      <c r="AL402">
        <v>0</v>
      </c>
      <c r="AM402">
        <v>0.1</v>
      </c>
      <c r="AN402">
        <v>4.1818181818181817</v>
      </c>
      <c r="AO402">
        <v>0</v>
      </c>
      <c r="AP402" t="s">
        <v>139</v>
      </c>
      <c r="AQ402" t="s">
        <v>131</v>
      </c>
      <c r="AR402" t="s">
        <v>523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 t="s">
        <v>134</v>
      </c>
      <c r="BA402">
        <v>5</v>
      </c>
      <c r="BB402">
        <v>0</v>
      </c>
      <c r="BC402" t="s">
        <v>133</v>
      </c>
      <c r="BD402">
        <v>0</v>
      </c>
      <c r="BE402" t="s">
        <v>133</v>
      </c>
      <c r="BF40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03" spans="1:58" x14ac:dyDescent="0.25">
      <c r="A403" t="s">
        <v>620</v>
      </c>
      <c r="B403" t="s">
        <v>19</v>
      </c>
      <c r="C403">
        <v>1</v>
      </c>
      <c r="D403">
        <v>403</v>
      </c>
      <c r="E403" t="s">
        <v>2110</v>
      </c>
      <c r="F403" t="s">
        <v>123</v>
      </c>
      <c r="G403" t="s">
        <v>124</v>
      </c>
      <c r="H403" t="s">
        <v>125</v>
      </c>
      <c r="I403" t="s">
        <v>126</v>
      </c>
      <c r="J403" t="s">
        <v>126</v>
      </c>
      <c r="K403" t="s">
        <v>127</v>
      </c>
      <c r="L403">
        <v>50</v>
      </c>
      <c r="M403">
        <v>1017481</v>
      </c>
      <c r="N403">
        <v>6</v>
      </c>
      <c r="O403">
        <v>2</v>
      </c>
      <c r="P403" t="s">
        <v>128</v>
      </c>
      <c r="Q403" t="s">
        <v>129</v>
      </c>
      <c r="R403">
        <v>37</v>
      </c>
      <c r="T403">
        <v>11</v>
      </c>
      <c r="U403">
        <v>16</v>
      </c>
      <c r="V403">
        <v>11</v>
      </c>
      <c r="W403">
        <v>10</v>
      </c>
      <c r="X403">
        <v>1</v>
      </c>
      <c r="Y403">
        <v>1</v>
      </c>
      <c r="Z403">
        <v>23</v>
      </c>
      <c r="AA403">
        <v>28</v>
      </c>
      <c r="AB403">
        <v>50</v>
      </c>
      <c r="AC403">
        <v>22</v>
      </c>
      <c r="AD403">
        <v>4</v>
      </c>
      <c r="AE403">
        <v>1</v>
      </c>
      <c r="AF403">
        <v>37</v>
      </c>
      <c r="AG403">
        <v>10</v>
      </c>
      <c r="AH403">
        <v>28</v>
      </c>
      <c r="AI403">
        <v>13</v>
      </c>
      <c r="AJ403">
        <v>17</v>
      </c>
      <c r="AK403">
        <v>18</v>
      </c>
      <c r="AL403">
        <v>0</v>
      </c>
      <c r="AM403">
        <v>0.12</v>
      </c>
      <c r="AN403">
        <v>1.5454545454545454</v>
      </c>
      <c r="AO403">
        <v>1.3636363636363635</v>
      </c>
      <c r="AP403" t="s">
        <v>130</v>
      </c>
      <c r="AQ403" t="s">
        <v>131</v>
      </c>
      <c r="AR403" t="s">
        <v>523</v>
      </c>
      <c r="AS403">
        <v>1394</v>
      </c>
      <c r="AT403">
        <v>1428</v>
      </c>
      <c r="AU403">
        <v>0</v>
      </c>
      <c r="AV403">
        <v>0</v>
      </c>
      <c r="AW403">
        <v>2.8220000000000001</v>
      </c>
      <c r="AX403">
        <v>0.12827272727272729</v>
      </c>
      <c r="AY403">
        <v>4.7460909090909098</v>
      </c>
      <c r="AZ403" t="s">
        <v>135</v>
      </c>
      <c r="BA403">
        <v>1.2539090909090902</v>
      </c>
      <c r="BB403">
        <v>9.7753366406803615</v>
      </c>
      <c r="BC403" t="s">
        <v>133</v>
      </c>
      <c r="BD403">
        <v>0</v>
      </c>
      <c r="BE403" t="s">
        <v>133</v>
      </c>
      <c r="BF40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2.8220000000000001</v>
      </c>
    </row>
    <row r="404" spans="1:58" x14ac:dyDescent="0.25">
      <c r="A404" t="s">
        <v>621</v>
      </c>
      <c r="B404" t="s">
        <v>19</v>
      </c>
      <c r="C404">
        <v>1</v>
      </c>
      <c r="D404">
        <v>404</v>
      </c>
      <c r="E404" t="s">
        <v>2110</v>
      </c>
      <c r="F404" t="s">
        <v>123</v>
      </c>
      <c r="G404" t="s">
        <v>124</v>
      </c>
      <c r="H404" t="s">
        <v>125</v>
      </c>
      <c r="I404" t="s">
        <v>126</v>
      </c>
      <c r="J404" t="s">
        <v>126</v>
      </c>
      <c r="K404" t="s">
        <v>127</v>
      </c>
      <c r="L404">
        <v>50</v>
      </c>
      <c r="M404">
        <v>1017483</v>
      </c>
      <c r="N404">
        <v>6</v>
      </c>
      <c r="O404">
        <v>2</v>
      </c>
      <c r="P404" t="s">
        <v>128</v>
      </c>
      <c r="Q404" t="s">
        <v>129</v>
      </c>
      <c r="R404">
        <v>37</v>
      </c>
      <c r="T404">
        <v>7</v>
      </c>
      <c r="U404">
        <v>12</v>
      </c>
      <c r="V404">
        <v>9</v>
      </c>
      <c r="W404">
        <v>7</v>
      </c>
      <c r="X404">
        <v>2</v>
      </c>
      <c r="Y404">
        <v>0</v>
      </c>
      <c r="Z404">
        <v>16</v>
      </c>
      <c r="AA404">
        <v>21</v>
      </c>
      <c r="AB404">
        <v>50</v>
      </c>
      <c r="AC404">
        <v>13</v>
      </c>
      <c r="AD404">
        <v>8</v>
      </c>
      <c r="AE404">
        <v>0</v>
      </c>
      <c r="AF404">
        <v>28</v>
      </c>
      <c r="AG404">
        <v>7</v>
      </c>
      <c r="AH404">
        <v>37</v>
      </c>
      <c r="AI404">
        <v>22</v>
      </c>
      <c r="AJ404">
        <v>30</v>
      </c>
      <c r="AK404">
        <v>30</v>
      </c>
      <c r="AL404">
        <v>0</v>
      </c>
      <c r="AM404">
        <v>0.12</v>
      </c>
      <c r="AN404">
        <v>2.7272727272727275</v>
      </c>
      <c r="AO404">
        <v>0.95454545454545447</v>
      </c>
      <c r="AP404" t="s">
        <v>130</v>
      </c>
      <c r="AQ404" t="s">
        <v>131</v>
      </c>
      <c r="AR404" t="s">
        <v>523</v>
      </c>
      <c r="AS404">
        <v>1446</v>
      </c>
      <c r="AT404">
        <v>1416</v>
      </c>
      <c r="AU404">
        <v>0</v>
      </c>
      <c r="AV404">
        <v>0</v>
      </c>
      <c r="AW404">
        <v>2.8620000000000001</v>
      </c>
      <c r="AX404">
        <v>0.22015384615384617</v>
      </c>
      <c r="AY404">
        <v>6.1643076923076929</v>
      </c>
      <c r="AZ404" t="s">
        <v>135</v>
      </c>
      <c r="BA404">
        <v>-0.16430769230769293</v>
      </c>
      <c r="BB404">
        <v>-0.74633123689727743</v>
      </c>
      <c r="BC404" t="s">
        <v>133</v>
      </c>
      <c r="BD404">
        <v>0</v>
      </c>
      <c r="BE404" t="s">
        <v>133</v>
      </c>
      <c r="BF40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2.8620000000000001</v>
      </c>
    </row>
    <row r="405" spans="1:58" x14ac:dyDescent="0.25">
      <c r="A405" t="s">
        <v>622</v>
      </c>
      <c r="B405" t="s">
        <v>19</v>
      </c>
      <c r="C405">
        <v>1</v>
      </c>
      <c r="D405">
        <v>405</v>
      </c>
      <c r="E405" t="s">
        <v>2110</v>
      </c>
      <c r="F405" t="s">
        <v>123</v>
      </c>
      <c r="G405" t="s">
        <v>124</v>
      </c>
      <c r="H405" t="s">
        <v>125</v>
      </c>
      <c r="I405" t="s">
        <v>126</v>
      </c>
      <c r="J405" t="s">
        <v>126</v>
      </c>
      <c r="K405" t="s">
        <v>127</v>
      </c>
      <c r="L405">
        <v>50</v>
      </c>
      <c r="M405">
        <v>1017485</v>
      </c>
      <c r="N405">
        <v>6</v>
      </c>
      <c r="O405">
        <v>2</v>
      </c>
      <c r="P405" t="s">
        <v>128</v>
      </c>
      <c r="Q405" t="s">
        <v>129</v>
      </c>
      <c r="R405">
        <v>37</v>
      </c>
      <c r="T405">
        <v>6</v>
      </c>
      <c r="U405">
        <v>11</v>
      </c>
      <c r="V405">
        <v>3</v>
      </c>
      <c r="W405">
        <v>1</v>
      </c>
      <c r="X405">
        <v>2</v>
      </c>
      <c r="Y405">
        <v>1</v>
      </c>
      <c r="Z405">
        <v>10</v>
      </c>
      <c r="AA405">
        <v>15</v>
      </c>
      <c r="AB405">
        <v>50</v>
      </c>
      <c r="AC405">
        <v>11</v>
      </c>
      <c r="AD405">
        <v>5</v>
      </c>
      <c r="AE405">
        <v>1</v>
      </c>
      <c r="AF405">
        <v>18</v>
      </c>
      <c r="AG405">
        <v>1</v>
      </c>
      <c r="AH405">
        <v>39</v>
      </c>
      <c r="AI405">
        <v>32</v>
      </c>
      <c r="AJ405">
        <v>37</v>
      </c>
      <c r="AK405">
        <v>38</v>
      </c>
      <c r="AL405">
        <v>0</v>
      </c>
      <c r="AM405">
        <v>0.12</v>
      </c>
      <c r="AN405">
        <v>3.3636363636363638</v>
      </c>
      <c r="AO405">
        <v>0.13636363636363635</v>
      </c>
      <c r="AP405" t="s">
        <v>130</v>
      </c>
      <c r="AQ405" t="s">
        <v>131</v>
      </c>
      <c r="AR405" t="s">
        <v>523</v>
      </c>
      <c r="AS405">
        <v>827</v>
      </c>
      <c r="AT405">
        <v>811</v>
      </c>
      <c r="AU405">
        <v>0</v>
      </c>
      <c r="AV405">
        <v>0</v>
      </c>
      <c r="AW405">
        <v>1.6379999999999999</v>
      </c>
      <c r="AX405">
        <v>0.14890909090909091</v>
      </c>
      <c r="AY405">
        <v>2.6803636363636363</v>
      </c>
      <c r="AZ405" t="s">
        <v>135</v>
      </c>
      <c r="BA405">
        <v>3.3196363636363637</v>
      </c>
      <c r="BB405">
        <v>22.293040293040296</v>
      </c>
      <c r="BC405" t="s">
        <v>133</v>
      </c>
      <c r="BD405">
        <v>0</v>
      </c>
      <c r="BE405" t="s">
        <v>133</v>
      </c>
      <c r="BF40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1.6379999999999999</v>
      </c>
    </row>
    <row r="406" spans="1:58" x14ac:dyDescent="0.25">
      <c r="A406" t="s">
        <v>623</v>
      </c>
      <c r="B406" t="s">
        <v>19</v>
      </c>
      <c r="C406">
        <v>1</v>
      </c>
      <c r="D406">
        <v>406</v>
      </c>
      <c r="E406" t="s">
        <v>2110</v>
      </c>
      <c r="F406" t="s">
        <v>123</v>
      </c>
      <c r="G406" t="s">
        <v>124</v>
      </c>
      <c r="H406" t="s">
        <v>125</v>
      </c>
      <c r="I406" t="s">
        <v>126</v>
      </c>
      <c r="J406" t="s">
        <v>126</v>
      </c>
      <c r="K406" t="s">
        <v>127</v>
      </c>
      <c r="L406">
        <v>50</v>
      </c>
      <c r="M406">
        <v>1017487</v>
      </c>
      <c r="N406">
        <v>6</v>
      </c>
      <c r="O406">
        <v>2</v>
      </c>
      <c r="P406" t="s">
        <v>128</v>
      </c>
      <c r="Q406" t="s">
        <v>129</v>
      </c>
      <c r="R406">
        <v>37</v>
      </c>
      <c r="T406">
        <v>4</v>
      </c>
      <c r="U406">
        <v>9</v>
      </c>
      <c r="V406">
        <v>2</v>
      </c>
      <c r="W406">
        <v>2</v>
      </c>
      <c r="X406">
        <v>0</v>
      </c>
      <c r="Y406">
        <v>0</v>
      </c>
      <c r="Z406">
        <v>6</v>
      </c>
      <c r="AA406">
        <v>11</v>
      </c>
      <c r="AB406">
        <v>50</v>
      </c>
      <c r="AC406">
        <v>10</v>
      </c>
      <c r="AD406">
        <v>0</v>
      </c>
      <c r="AE406">
        <v>0</v>
      </c>
      <c r="AF406">
        <v>12</v>
      </c>
      <c r="AG406">
        <v>2</v>
      </c>
      <c r="AH406">
        <v>40</v>
      </c>
      <c r="AI406">
        <v>38</v>
      </c>
      <c r="AJ406">
        <v>38</v>
      </c>
      <c r="AK406">
        <v>38</v>
      </c>
      <c r="AL406">
        <v>0</v>
      </c>
      <c r="AM406">
        <v>0.12</v>
      </c>
      <c r="AN406">
        <v>3.4545454545454546</v>
      </c>
      <c r="AO406">
        <v>0.27272727272727271</v>
      </c>
      <c r="AP406" t="s">
        <v>130</v>
      </c>
      <c r="AQ406" t="s">
        <v>131</v>
      </c>
      <c r="AR406" t="s">
        <v>523</v>
      </c>
      <c r="AS406">
        <v>560</v>
      </c>
      <c r="AT406">
        <v>604</v>
      </c>
      <c r="AU406">
        <v>0</v>
      </c>
      <c r="AV406">
        <v>0</v>
      </c>
      <c r="AW406">
        <v>1.1639999999999999</v>
      </c>
      <c r="AX406">
        <v>0.11639999999999999</v>
      </c>
      <c r="AY406">
        <v>1.3967999999999998</v>
      </c>
      <c r="AZ406" t="s">
        <v>135</v>
      </c>
      <c r="BA406">
        <v>4.6032000000000002</v>
      </c>
      <c r="BB406">
        <v>39.546391752577321</v>
      </c>
      <c r="BC406" t="s">
        <v>133</v>
      </c>
      <c r="BD406">
        <v>0</v>
      </c>
      <c r="BE406" t="s">
        <v>133</v>
      </c>
      <c r="BF40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1.1639999999999999</v>
      </c>
    </row>
    <row r="407" spans="1:58" x14ac:dyDescent="0.25">
      <c r="A407" t="s">
        <v>624</v>
      </c>
      <c r="B407" t="s">
        <v>19</v>
      </c>
      <c r="C407">
        <v>1</v>
      </c>
      <c r="D407">
        <v>407</v>
      </c>
      <c r="E407" t="s">
        <v>2110</v>
      </c>
      <c r="F407" t="s">
        <v>123</v>
      </c>
      <c r="G407" t="s">
        <v>124</v>
      </c>
      <c r="H407" t="s">
        <v>125</v>
      </c>
      <c r="I407" t="s">
        <v>126</v>
      </c>
      <c r="J407" t="s">
        <v>126</v>
      </c>
      <c r="K407" t="s">
        <v>127</v>
      </c>
      <c r="L407">
        <v>50</v>
      </c>
      <c r="M407">
        <v>1017489</v>
      </c>
      <c r="N407">
        <v>6</v>
      </c>
      <c r="O407">
        <v>2</v>
      </c>
      <c r="P407" t="s">
        <v>128</v>
      </c>
      <c r="Q407" t="s">
        <v>129</v>
      </c>
      <c r="R407">
        <v>37</v>
      </c>
      <c r="T407">
        <v>6</v>
      </c>
      <c r="U407">
        <v>11</v>
      </c>
      <c r="V407">
        <v>4</v>
      </c>
      <c r="W407">
        <v>1</v>
      </c>
      <c r="X407">
        <v>3</v>
      </c>
      <c r="Y407">
        <v>3</v>
      </c>
      <c r="Z407">
        <v>13</v>
      </c>
      <c r="AA407">
        <v>18</v>
      </c>
      <c r="AB407">
        <v>50</v>
      </c>
      <c r="AC407">
        <v>14</v>
      </c>
      <c r="AD407">
        <v>6</v>
      </c>
      <c r="AE407">
        <v>6</v>
      </c>
      <c r="AF407">
        <v>27</v>
      </c>
      <c r="AG407">
        <v>1</v>
      </c>
      <c r="AH407">
        <v>36</v>
      </c>
      <c r="AI407">
        <v>23</v>
      </c>
      <c r="AJ407">
        <v>29</v>
      </c>
      <c r="AK407">
        <v>35</v>
      </c>
      <c r="AL407">
        <v>0</v>
      </c>
      <c r="AM407">
        <v>0.12</v>
      </c>
      <c r="AN407">
        <v>2.6363636363636362</v>
      </c>
      <c r="AO407">
        <v>0.13636363636363635</v>
      </c>
      <c r="AP407" t="s">
        <v>130</v>
      </c>
      <c r="AQ407" t="s">
        <v>131</v>
      </c>
      <c r="AR407" t="s">
        <v>523</v>
      </c>
      <c r="AS407">
        <v>1414</v>
      </c>
      <c r="AT407">
        <v>877</v>
      </c>
      <c r="AU407">
        <v>0</v>
      </c>
      <c r="AV407">
        <v>0</v>
      </c>
      <c r="AW407">
        <v>2.2909999999999999</v>
      </c>
      <c r="AX407">
        <v>0.16364285714285715</v>
      </c>
      <c r="AY407">
        <v>4.4183571428571433</v>
      </c>
      <c r="AZ407" t="s">
        <v>135</v>
      </c>
      <c r="BA407">
        <v>1.5816428571428567</v>
      </c>
      <c r="BB407">
        <v>9.6652116979484912</v>
      </c>
      <c r="BC407" t="s">
        <v>144</v>
      </c>
      <c r="BD407">
        <v>0</v>
      </c>
      <c r="BE407" t="s">
        <v>133</v>
      </c>
      <c r="BF40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2.2909999999999999</v>
      </c>
    </row>
    <row r="408" spans="1:58" x14ac:dyDescent="0.25">
      <c r="A408" t="s">
        <v>625</v>
      </c>
      <c r="B408" t="s">
        <v>19</v>
      </c>
      <c r="C408">
        <v>1</v>
      </c>
      <c r="D408">
        <v>408</v>
      </c>
      <c r="E408" t="s">
        <v>2110</v>
      </c>
      <c r="F408" t="s">
        <v>123</v>
      </c>
      <c r="G408" t="s">
        <v>124</v>
      </c>
      <c r="H408" t="s">
        <v>125</v>
      </c>
      <c r="I408" t="s">
        <v>126</v>
      </c>
      <c r="J408" t="s">
        <v>126</v>
      </c>
      <c r="K408" t="s">
        <v>127</v>
      </c>
      <c r="L408">
        <v>50</v>
      </c>
      <c r="M408">
        <v>1017491</v>
      </c>
      <c r="N408">
        <v>6</v>
      </c>
      <c r="O408">
        <v>2</v>
      </c>
      <c r="P408" t="s">
        <v>128</v>
      </c>
      <c r="Q408" t="s">
        <v>129</v>
      </c>
      <c r="R408">
        <v>38</v>
      </c>
      <c r="T408">
        <v>3</v>
      </c>
      <c r="U408">
        <v>8</v>
      </c>
      <c r="V408">
        <v>7</v>
      </c>
      <c r="W408">
        <v>7</v>
      </c>
      <c r="X408">
        <v>0</v>
      </c>
      <c r="Y408">
        <v>3</v>
      </c>
      <c r="Z408">
        <v>13</v>
      </c>
      <c r="AA408">
        <v>18</v>
      </c>
      <c r="AB408">
        <v>50</v>
      </c>
      <c r="AC408">
        <v>8</v>
      </c>
      <c r="AD408">
        <v>0</v>
      </c>
      <c r="AE408">
        <v>4</v>
      </c>
      <c r="AF408">
        <v>19</v>
      </c>
      <c r="AG408">
        <v>7</v>
      </c>
      <c r="AH408">
        <v>42</v>
      </c>
      <c r="AI408">
        <v>31</v>
      </c>
      <c r="AJ408">
        <v>31</v>
      </c>
      <c r="AK408">
        <v>35</v>
      </c>
      <c r="AL408">
        <v>0</v>
      </c>
      <c r="AM408">
        <v>0.12</v>
      </c>
      <c r="AN408">
        <v>2.8181818181818183</v>
      </c>
      <c r="AO408">
        <v>0.95454545454545447</v>
      </c>
      <c r="AP408" t="s">
        <v>130</v>
      </c>
      <c r="AQ408" t="s">
        <v>131</v>
      </c>
      <c r="AR408" t="s">
        <v>523</v>
      </c>
      <c r="AS408">
        <v>491</v>
      </c>
      <c r="AT408">
        <v>504</v>
      </c>
      <c r="AU408">
        <v>0</v>
      </c>
      <c r="AV408">
        <v>0</v>
      </c>
      <c r="AW408">
        <v>0.995</v>
      </c>
      <c r="AX408">
        <v>0.124375</v>
      </c>
      <c r="AY408">
        <v>2.3631250000000001</v>
      </c>
      <c r="AZ408" t="s">
        <v>135</v>
      </c>
      <c r="BA408">
        <v>3.6368749999999999</v>
      </c>
      <c r="BB408">
        <v>29.241206030150753</v>
      </c>
      <c r="BC408" t="s">
        <v>132</v>
      </c>
      <c r="BD408">
        <v>0</v>
      </c>
      <c r="BE408" t="s">
        <v>133</v>
      </c>
      <c r="BF40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0.995</v>
      </c>
    </row>
    <row r="409" spans="1:58" x14ac:dyDescent="0.25">
      <c r="A409" t="s">
        <v>626</v>
      </c>
      <c r="B409" t="s">
        <v>19</v>
      </c>
      <c r="C409">
        <v>1</v>
      </c>
      <c r="D409">
        <v>409</v>
      </c>
      <c r="E409" t="s">
        <v>2110</v>
      </c>
      <c r="F409" t="s">
        <v>123</v>
      </c>
      <c r="G409" t="s">
        <v>124</v>
      </c>
      <c r="H409" t="s">
        <v>125</v>
      </c>
      <c r="I409" t="s">
        <v>126</v>
      </c>
      <c r="J409" t="s">
        <v>126</v>
      </c>
      <c r="K409" t="s">
        <v>127</v>
      </c>
      <c r="L409">
        <v>50</v>
      </c>
      <c r="M409">
        <v>1017493</v>
      </c>
      <c r="N409">
        <v>6</v>
      </c>
      <c r="O409">
        <v>2</v>
      </c>
      <c r="P409" t="s">
        <v>128</v>
      </c>
      <c r="Q409" t="s">
        <v>129</v>
      </c>
      <c r="R409">
        <v>38</v>
      </c>
      <c r="T409">
        <v>5</v>
      </c>
      <c r="U409">
        <v>10</v>
      </c>
      <c r="V409">
        <v>9</v>
      </c>
      <c r="W409">
        <v>8</v>
      </c>
      <c r="X409">
        <v>1</v>
      </c>
      <c r="Y409">
        <v>2</v>
      </c>
      <c r="Z409">
        <v>16</v>
      </c>
      <c r="AA409">
        <v>21</v>
      </c>
      <c r="AB409">
        <v>50</v>
      </c>
      <c r="AC409">
        <v>11</v>
      </c>
      <c r="AD409">
        <v>1</v>
      </c>
      <c r="AE409">
        <v>2</v>
      </c>
      <c r="AF409">
        <v>22</v>
      </c>
      <c r="AG409">
        <v>8</v>
      </c>
      <c r="AH409">
        <v>39</v>
      </c>
      <c r="AI409">
        <v>28</v>
      </c>
      <c r="AJ409">
        <v>29</v>
      </c>
      <c r="AK409">
        <v>31</v>
      </c>
      <c r="AL409">
        <v>0</v>
      </c>
      <c r="AM409">
        <v>0.12</v>
      </c>
      <c r="AN409">
        <v>2.6363636363636362</v>
      </c>
      <c r="AO409">
        <v>1.0909090909090908</v>
      </c>
      <c r="AP409" t="s">
        <v>130</v>
      </c>
      <c r="AQ409" t="s">
        <v>131</v>
      </c>
      <c r="AR409" t="s">
        <v>523</v>
      </c>
      <c r="AS409">
        <v>809</v>
      </c>
      <c r="AT409">
        <v>753</v>
      </c>
      <c r="AU409">
        <v>0</v>
      </c>
      <c r="AV409">
        <v>0</v>
      </c>
      <c r="AW409">
        <v>1.5620000000000001</v>
      </c>
      <c r="AX409">
        <v>0.14200000000000002</v>
      </c>
      <c r="AY409">
        <v>3.1240000000000006</v>
      </c>
      <c r="AZ409" t="s">
        <v>135</v>
      </c>
      <c r="BA409">
        <v>2.8759999999999994</v>
      </c>
      <c r="BB409">
        <v>20.253521126760557</v>
      </c>
      <c r="BC409" t="s">
        <v>133</v>
      </c>
      <c r="BD409">
        <v>0</v>
      </c>
      <c r="BE409" t="s">
        <v>133</v>
      </c>
      <c r="BF40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1.5620000000000001</v>
      </c>
    </row>
    <row r="410" spans="1:58" x14ac:dyDescent="0.25">
      <c r="A410" t="s">
        <v>627</v>
      </c>
      <c r="B410" t="s">
        <v>19</v>
      </c>
      <c r="C410">
        <v>1</v>
      </c>
      <c r="D410">
        <v>410</v>
      </c>
      <c r="E410" t="s">
        <v>2110</v>
      </c>
      <c r="F410" t="s">
        <v>123</v>
      </c>
      <c r="G410" t="s">
        <v>124</v>
      </c>
      <c r="H410" t="s">
        <v>125</v>
      </c>
      <c r="I410" t="s">
        <v>126</v>
      </c>
      <c r="J410" t="s">
        <v>126</v>
      </c>
      <c r="K410" t="s">
        <v>127</v>
      </c>
      <c r="L410">
        <v>50</v>
      </c>
      <c r="M410">
        <v>1017495</v>
      </c>
      <c r="N410">
        <v>6</v>
      </c>
      <c r="O410">
        <v>2</v>
      </c>
      <c r="P410" t="s">
        <v>128</v>
      </c>
      <c r="Q410" t="s">
        <v>129</v>
      </c>
      <c r="R410">
        <v>38</v>
      </c>
      <c r="T410">
        <v>13</v>
      </c>
      <c r="U410">
        <v>18</v>
      </c>
      <c r="V410">
        <v>1</v>
      </c>
      <c r="W410">
        <v>0</v>
      </c>
      <c r="X410">
        <v>1</v>
      </c>
      <c r="Y410">
        <v>2</v>
      </c>
      <c r="Z410">
        <v>16</v>
      </c>
      <c r="AA410">
        <v>21</v>
      </c>
      <c r="AB410">
        <v>50</v>
      </c>
      <c r="AC410">
        <v>25</v>
      </c>
      <c r="AD410">
        <v>1</v>
      </c>
      <c r="AE410">
        <v>3</v>
      </c>
      <c r="AF410">
        <v>29</v>
      </c>
      <c r="AG410">
        <v>0</v>
      </c>
      <c r="AH410">
        <v>25</v>
      </c>
      <c r="AI410">
        <v>21</v>
      </c>
      <c r="AJ410">
        <v>22</v>
      </c>
      <c r="AK410">
        <v>25</v>
      </c>
      <c r="AL410">
        <v>0</v>
      </c>
      <c r="AM410">
        <v>0.12</v>
      </c>
      <c r="AN410">
        <v>2</v>
      </c>
      <c r="AO410">
        <v>0</v>
      </c>
      <c r="AP410" t="s">
        <v>130</v>
      </c>
      <c r="AQ410" t="s">
        <v>131</v>
      </c>
      <c r="AR410" t="s">
        <v>523</v>
      </c>
      <c r="AS410">
        <v>1815</v>
      </c>
      <c r="AT410">
        <v>1872</v>
      </c>
      <c r="AU410">
        <v>0</v>
      </c>
      <c r="AV410">
        <v>0</v>
      </c>
      <c r="AW410">
        <v>3.6869999999999998</v>
      </c>
      <c r="AX410">
        <v>0.14748</v>
      </c>
      <c r="AY410">
        <v>4.2769199999999996</v>
      </c>
      <c r="AZ410" t="s">
        <v>135</v>
      </c>
      <c r="BA410">
        <v>1.7230800000000004</v>
      </c>
      <c r="BB410">
        <v>11.683482506102525</v>
      </c>
      <c r="BC410" t="s">
        <v>133</v>
      </c>
      <c r="BD410">
        <v>0</v>
      </c>
      <c r="BE410" t="s">
        <v>133</v>
      </c>
      <c r="BF41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3.6869999999999998</v>
      </c>
    </row>
    <row r="411" spans="1:58" x14ac:dyDescent="0.25">
      <c r="A411" t="s">
        <v>628</v>
      </c>
      <c r="B411" t="s">
        <v>19</v>
      </c>
      <c r="C411">
        <v>1</v>
      </c>
      <c r="D411">
        <v>411</v>
      </c>
      <c r="E411" t="s">
        <v>2110</v>
      </c>
      <c r="F411" t="s">
        <v>123</v>
      </c>
      <c r="G411" t="s">
        <v>124</v>
      </c>
      <c r="H411" t="s">
        <v>125</v>
      </c>
      <c r="I411" t="s">
        <v>126</v>
      </c>
      <c r="J411" t="s">
        <v>126</v>
      </c>
      <c r="K411" t="s">
        <v>127</v>
      </c>
      <c r="L411">
        <v>50</v>
      </c>
      <c r="M411">
        <v>1017497</v>
      </c>
      <c r="N411">
        <v>6</v>
      </c>
      <c r="O411">
        <v>2</v>
      </c>
      <c r="P411" t="s">
        <v>128</v>
      </c>
      <c r="Q411" t="s">
        <v>129</v>
      </c>
      <c r="R411">
        <v>38</v>
      </c>
      <c r="T411">
        <v>11</v>
      </c>
      <c r="U411">
        <v>16</v>
      </c>
      <c r="V411">
        <v>2</v>
      </c>
      <c r="W411">
        <v>0</v>
      </c>
      <c r="X411">
        <v>2</v>
      </c>
      <c r="Y411">
        <v>5</v>
      </c>
      <c r="Z411">
        <v>18</v>
      </c>
      <c r="AA411">
        <v>23</v>
      </c>
      <c r="AB411">
        <v>50</v>
      </c>
      <c r="AC411">
        <v>20</v>
      </c>
      <c r="AD411">
        <v>5</v>
      </c>
      <c r="AE411">
        <v>8</v>
      </c>
      <c r="AF411">
        <v>33</v>
      </c>
      <c r="AG411">
        <v>0</v>
      </c>
      <c r="AH411">
        <v>30</v>
      </c>
      <c r="AI411">
        <v>17</v>
      </c>
      <c r="AJ411">
        <v>22</v>
      </c>
      <c r="AK411">
        <v>30</v>
      </c>
      <c r="AL411">
        <v>0</v>
      </c>
      <c r="AM411">
        <v>0.12</v>
      </c>
      <c r="AN411">
        <v>2</v>
      </c>
      <c r="AO411">
        <v>0</v>
      </c>
      <c r="AP411" t="s">
        <v>130</v>
      </c>
      <c r="AQ411" t="s">
        <v>131</v>
      </c>
      <c r="AR411" t="s">
        <v>523</v>
      </c>
      <c r="AS411">
        <v>1670</v>
      </c>
      <c r="AT411">
        <v>1687</v>
      </c>
      <c r="AU411">
        <v>0</v>
      </c>
      <c r="AV411">
        <v>0</v>
      </c>
      <c r="AW411">
        <v>3.3570000000000002</v>
      </c>
      <c r="AX411">
        <v>0.16785</v>
      </c>
      <c r="AY411">
        <v>5.5390499999999996</v>
      </c>
      <c r="AZ411" t="s">
        <v>135</v>
      </c>
      <c r="BA411">
        <v>0.46095000000000041</v>
      </c>
      <c r="BB411">
        <v>2.7462019660411108</v>
      </c>
      <c r="BC411" t="s">
        <v>133</v>
      </c>
      <c r="BD411">
        <v>0</v>
      </c>
      <c r="BE411" t="s">
        <v>133</v>
      </c>
      <c r="BF41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3.3570000000000002</v>
      </c>
    </row>
    <row r="412" spans="1:58" x14ac:dyDescent="0.25">
      <c r="A412" t="s">
        <v>629</v>
      </c>
      <c r="B412" t="s">
        <v>19</v>
      </c>
      <c r="C412">
        <v>1</v>
      </c>
      <c r="D412">
        <v>412</v>
      </c>
      <c r="E412" t="s">
        <v>2110</v>
      </c>
      <c r="F412" t="s">
        <v>123</v>
      </c>
      <c r="G412" t="s">
        <v>124</v>
      </c>
      <c r="H412" t="s">
        <v>125</v>
      </c>
      <c r="I412" t="s">
        <v>126</v>
      </c>
      <c r="J412" t="s">
        <v>126</v>
      </c>
      <c r="K412" t="s">
        <v>127</v>
      </c>
      <c r="L412">
        <v>50</v>
      </c>
      <c r="M412">
        <v>1017499</v>
      </c>
      <c r="N412">
        <v>6</v>
      </c>
      <c r="O412">
        <v>2</v>
      </c>
      <c r="P412" t="s">
        <v>128</v>
      </c>
      <c r="Q412" t="s">
        <v>129</v>
      </c>
      <c r="R412">
        <v>38</v>
      </c>
      <c r="T412">
        <v>5</v>
      </c>
      <c r="U412">
        <v>10</v>
      </c>
      <c r="V412">
        <v>3</v>
      </c>
      <c r="W412">
        <v>0</v>
      </c>
      <c r="X412">
        <v>3</v>
      </c>
      <c r="Y412">
        <v>2</v>
      </c>
      <c r="Z412">
        <v>10</v>
      </c>
      <c r="AA412">
        <v>15</v>
      </c>
      <c r="AB412">
        <v>50</v>
      </c>
      <c r="AC412">
        <v>13</v>
      </c>
      <c r="AD412">
        <v>7</v>
      </c>
      <c r="AE412">
        <v>5</v>
      </c>
      <c r="AF412">
        <v>25</v>
      </c>
      <c r="AG412">
        <v>0</v>
      </c>
      <c r="AH412">
        <v>37</v>
      </c>
      <c r="AI412">
        <v>25</v>
      </c>
      <c r="AJ412">
        <v>32</v>
      </c>
      <c r="AK412">
        <v>37</v>
      </c>
      <c r="AL412">
        <v>0</v>
      </c>
      <c r="AM412">
        <v>0.12</v>
      </c>
      <c r="AN412">
        <v>2.9090909090909092</v>
      </c>
      <c r="AO412">
        <v>0</v>
      </c>
      <c r="AP412" t="s">
        <v>130</v>
      </c>
      <c r="AQ412" t="s">
        <v>131</v>
      </c>
      <c r="AR412" t="s">
        <v>523</v>
      </c>
      <c r="AS412">
        <v>1271</v>
      </c>
      <c r="AT412">
        <v>1295</v>
      </c>
      <c r="AU412">
        <v>0</v>
      </c>
      <c r="AV412">
        <v>0</v>
      </c>
      <c r="AW412">
        <v>2.5659999999999998</v>
      </c>
      <c r="AX412">
        <v>0.19738461538461538</v>
      </c>
      <c r="AY412">
        <v>4.9346153846153848</v>
      </c>
      <c r="AZ412" t="s">
        <v>135</v>
      </c>
      <c r="BA412">
        <v>1.0653846153846152</v>
      </c>
      <c r="BB412">
        <v>5.3975058456741998</v>
      </c>
      <c r="BC412" t="s">
        <v>133</v>
      </c>
      <c r="BD412">
        <v>0</v>
      </c>
      <c r="BE412" t="s">
        <v>133</v>
      </c>
      <c r="BF41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2.5659999999999998</v>
      </c>
    </row>
    <row r="413" spans="1:58" x14ac:dyDescent="0.25">
      <c r="A413" t="s">
        <v>630</v>
      </c>
      <c r="B413" t="s">
        <v>19</v>
      </c>
      <c r="C413">
        <v>1</v>
      </c>
      <c r="D413">
        <v>413</v>
      </c>
      <c r="E413" t="s">
        <v>2110</v>
      </c>
      <c r="F413" t="s">
        <v>123</v>
      </c>
      <c r="G413" t="s">
        <v>124</v>
      </c>
      <c r="H413" t="s">
        <v>136</v>
      </c>
      <c r="I413" t="s">
        <v>137</v>
      </c>
      <c r="J413" t="s">
        <v>138</v>
      </c>
      <c r="K413" t="s">
        <v>127</v>
      </c>
      <c r="L413">
        <v>50</v>
      </c>
      <c r="M413">
        <v>1017501</v>
      </c>
      <c r="N413">
        <v>5</v>
      </c>
      <c r="O413">
        <v>2</v>
      </c>
      <c r="P413" t="s">
        <v>128</v>
      </c>
      <c r="Q413" t="s">
        <v>129</v>
      </c>
      <c r="R413">
        <v>38</v>
      </c>
      <c r="T413">
        <v>0</v>
      </c>
      <c r="U413">
        <v>4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4</v>
      </c>
      <c r="AB413">
        <v>50</v>
      </c>
      <c r="AC413">
        <v>4</v>
      </c>
      <c r="AD413">
        <v>0</v>
      </c>
      <c r="AE413">
        <v>0</v>
      </c>
      <c r="AF413">
        <v>4</v>
      </c>
      <c r="AG413">
        <v>0</v>
      </c>
      <c r="AH413">
        <v>46</v>
      </c>
      <c r="AI413">
        <v>46</v>
      </c>
      <c r="AJ413">
        <v>46</v>
      </c>
      <c r="AK413">
        <v>46</v>
      </c>
      <c r="AL413">
        <v>0</v>
      </c>
      <c r="AM413">
        <v>0.1</v>
      </c>
      <c r="AN413">
        <v>4.1818181818181817</v>
      </c>
      <c r="AO413">
        <v>0</v>
      </c>
      <c r="AP413" t="s">
        <v>139</v>
      </c>
      <c r="AQ413" t="s">
        <v>131</v>
      </c>
      <c r="AR413" t="s">
        <v>523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 t="s">
        <v>134</v>
      </c>
      <c r="BA413">
        <v>5</v>
      </c>
      <c r="BB413">
        <v>0</v>
      </c>
      <c r="BC413" t="s">
        <v>133</v>
      </c>
      <c r="BD413">
        <v>0</v>
      </c>
      <c r="BE413" t="s">
        <v>133</v>
      </c>
      <c r="BF41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14" spans="1:58" x14ac:dyDescent="0.25">
      <c r="A414" t="s">
        <v>631</v>
      </c>
      <c r="B414" t="s">
        <v>19</v>
      </c>
      <c r="C414">
        <v>1</v>
      </c>
      <c r="D414">
        <v>414</v>
      </c>
      <c r="E414" t="s">
        <v>2110</v>
      </c>
      <c r="F414" t="s">
        <v>123</v>
      </c>
      <c r="G414" t="s">
        <v>124</v>
      </c>
      <c r="H414" t="s">
        <v>125</v>
      </c>
      <c r="I414" t="s">
        <v>126</v>
      </c>
      <c r="J414" t="s">
        <v>126</v>
      </c>
      <c r="K414" t="s">
        <v>127</v>
      </c>
      <c r="L414">
        <v>50</v>
      </c>
      <c r="M414">
        <v>1017503</v>
      </c>
      <c r="N414">
        <v>6</v>
      </c>
      <c r="O414">
        <v>2</v>
      </c>
      <c r="P414" t="s">
        <v>128</v>
      </c>
      <c r="Q414" t="s">
        <v>129</v>
      </c>
      <c r="R414">
        <v>38</v>
      </c>
      <c r="T414">
        <v>6</v>
      </c>
      <c r="U414">
        <v>11</v>
      </c>
      <c r="V414">
        <v>5</v>
      </c>
      <c r="W414">
        <v>2</v>
      </c>
      <c r="X414">
        <v>3</v>
      </c>
      <c r="Y414">
        <v>2</v>
      </c>
      <c r="Z414">
        <v>13</v>
      </c>
      <c r="AA414">
        <v>18</v>
      </c>
      <c r="AB414">
        <v>50</v>
      </c>
      <c r="AC414">
        <v>15</v>
      </c>
      <c r="AD414">
        <v>5</v>
      </c>
      <c r="AE414">
        <v>5</v>
      </c>
      <c r="AF414">
        <v>27</v>
      </c>
      <c r="AG414">
        <v>2</v>
      </c>
      <c r="AH414">
        <v>35</v>
      </c>
      <c r="AI414">
        <v>23</v>
      </c>
      <c r="AJ414">
        <v>28</v>
      </c>
      <c r="AK414">
        <v>33</v>
      </c>
      <c r="AL414">
        <v>0</v>
      </c>
      <c r="AM414">
        <v>0.12</v>
      </c>
      <c r="AN414">
        <v>2.5454545454545454</v>
      </c>
      <c r="AO414">
        <v>0.27272727272727271</v>
      </c>
      <c r="AP414" t="s">
        <v>130</v>
      </c>
      <c r="AQ414" t="s">
        <v>131</v>
      </c>
      <c r="AR414" t="s">
        <v>523</v>
      </c>
      <c r="AS414">
        <v>1391</v>
      </c>
      <c r="AT414">
        <v>1396</v>
      </c>
      <c r="AU414">
        <v>0</v>
      </c>
      <c r="AV414">
        <v>0</v>
      </c>
      <c r="AW414">
        <v>2.7869999999999999</v>
      </c>
      <c r="AX414">
        <v>0.18579999999999999</v>
      </c>
      <c r="AY414">
        <v>5.0165999999999995</v>
      </c>
      <c r="AZ414" t="s">
        <v>135</v>
      </c>
      <c r="BA414">
        <v>0.9834000000000005</v>
      </c>
      <c r="BB414">
        <v>5.2927879440258367</v>
      </c>
      <c r="BC414" t="s">
        <v>133</v>
      </c>
      <c r="BD414">
        <v>0</v>
      </c>
      <c r="BE414" t="s">
        <v>133</v>
      </c>
      <c r="BF41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2.7869999999999999</v>
      </c>
    </row>
    <row r="415" spans="1:58" x14ac:dyDescent="0.25">
      <c r="A415" t="s">
        <v>632</v>
      </c>
      <c r="B415" t="s">
        <v>19</v>
      </c>
      <c r="C415">
        <v>1</v>
      </c>
      <c r="D415">
        <v>415</v>
      </c>
      <c r="E415" t="s">
        <v>2110</v>
      </c>
      <c r="F415" t="s">
        <v>123</v>
      </c>
      <c r="G415" t="s">
        <v>124</v>
      </c>
      <c r="H415" t="s">
        <v>125</v>
      </c>
      <c r="I415" t="s">
        <v>126</v>
      </c>
      <c r="J415" t="s">
        <v>126</v>
      </c>
      <c r="K415" t="s">
        <v>127</v>
      </c>
      <c r="L415">
        <v>50</v>
      </c>
      <c r="M415">
        <v>1017505</v>
      </c>
      <c r="N415">
        <v>6</v>
      </c>
      <c r="O415">
        <v>2</v>
      </c>
      <c r="P415" t="s">
        <v>128</v>
      </c>
      <c r="Q415" t="s">
        <v>129</v>
      </c>
      <c r="R415">
        <v>38</v>
      </c>
      <c r="T415">
        <v>5</v>
      </c>
      <c r="U415">
        <v>10</v>
      </c>
      <c r="V415">
        <v>4</v>
      </c>
      <c r="W415">
        <v>1</v>
      </c>
      <c r="X415">
        <v>3</v>
      </c>
      <c r="Y415">
        <v>6</v>
      </c>
      <c r="Z415">
        <v>15</v>
      </c>
      <c r="AA415">
        <v>20</v>
      </c>
      <c r="AB415">
        <v>50</v>
      </c>
      <c r="AC415">
        <v>10</v>
      </c>
      <c r="AD415">
        <v>9</v>
      </c>
      <c r="AE415">
        <v>10</v>
      </c>
      <c r="AF415">
        <v>30</v>
      </c>
      <c r="AG415">
        <v>1</v>
      </c>
      <c r="AH415">
        <v>40</v>
      </c>
      <c r="AI415">
        <v>20</v>
      </c>
      <c r="AJ415">
        <v>29</v>
      </c>
      <c r="AK415">
        <v>39</v>
      </c>
      <c r="AL415">
        <v>0</v>
      </c>
      <c r="AM415">
        <v>0.12</v>
      </c>
      <c r="AN415">
        <v>2.6363636363636362</v>
      </c>
      <c r="AO415">
        <v>0.13636363636363635</v>
      </c>
      <c r="AP415" t="s">
        <v>130</v>
      </c>
      <c r="AQ415" t="s">
        <v>131</v>
      </c>
      <c r="AR415" t="s">
        <v>523</v>
      </c>
      <c r="AS415">
        <v>1441</v>
      </c>
      <c r="AT415">
        <v>1434</v>
      </c>
      <c r="AU415">
        <v>0</v>
      </c>
      <c r="AV415">
        <v>0</v>
      </c>
      <c r="AW415">
        <v>2.875</v>
      </c>
      <c r="AX415">
        <v>0.28749999999999998</v>
      </c>
      <c r="AY415">
        <v>8.625</v>
      </c>
      <c r="AZ415" t="s">
        <v>135</v>
      </c>
      <c r="BA415">
        <v>-2.625</v>
      </c>
      <c r="BB415">
        <v>-9.1304347826086971</v>
      </c>
      <c r="BC415" t="s">
        <v>133</v>
      </c>
      <c r="BD415">
        <v>0</v>
      </c>
      <c r="BE415" t="s">
        <v>133</v>
      </c>
      <c r="BF41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2.875</v>
      </c>
    </row>
    <row r="416" spans="1:58" x14ac:dyDescent="0.25">
      <c r="A416" t="s">
        <v>633</v>
      </c>
      <c r="B416" t="s">
        <v>19</v>
      </c>
      <c r="C416">
        <v>1</v>
      </c>
      <c r="D416">
        <v>416</v>
      </c>
      <c r="E416" t="s">
        <v>2110</v>
      </c>
      <c r="F416" t="s">
        <v>123</v>
      </c>
      <c r="G416" t="s">
        <v>124</v>
      </c>
      <c r="H416" t="s">
        <v>125</v>
      </c>
      <c r="I416" t="s">
        <v>126</v>
      </c>
      <c r="J416" t="s">
        <v>126</v>
      </c>
      <c r="K416" t="s">
        <v>127</v>
      </c>
      <c r="L416">
        <v>50</v>
      </c>
      <c r="M416">
        <v>1017507</v>
      </c>
      <c r="N416">
        <v>6</v>
      </c>
      <c r="O416">
        <v>2</v>
      </c>
      <c r="P416" t="s">
        <v>128</v>
      </c>
      <c r="Q416" t="s">
        <v>129</v>
      </c>
      <c r="R416">
        <v>38</v>
      </c>
      <c r="T416">
        <v>7</v>
      </c>
      <c r="U416">
        <v>12</v>
      </c>
      <c r="V416">
        <v>4</v>
      </c>
      <c r="W416">
        <v>0</v>
      </c>
      <c r="X416">
        <v>4</v>
      </c>
      <c r="Y416">
        <v>1</v>
      </c>
      <c r="Z416">
        <v>12</v>
      </c>
      <c r="AA416">
        <v>17</v>
      </c>
      <c r="AB416">
        <v>50</v>
      </c>
      <c r="AC416">
        <v>16</v>
      </c>
      <c r="AD416">
        <v>9</v>
      </c>
      <c r="AE416">
        <v>1</v>
      </c>
      <c r="AF416">
        <v>26</v>
      </c>
      <c r="AG416">
        <v>0</v>
      </c>
      <c r="AH416">
        <v>34</v>
      </c>
      <c r="AI416">
        <v>24</v>
      </c>
      <c r="AJ416">
        <v>33</v>
      </c>
      <c r="AK416">
        <v>34</v>
      </c>
      <c r="AL416">
        <v>0</v>
      </c>
      <c r="AM416">
        <v>0.12</v>
      </c>
      <c r="AN416">
        <v>3</v>
      </c>
      <c r="AO416">
        <v>0</v>
      </c>
      <c r="AP416" t="s">
        <v>130</v>
      </c>
      <c r="AQ416" t="s">
        <v>131</v>
      </c>
      <c r="AR416" t="s">
        <v>523</v>
      </c>
      <c r="AS416">
        <v>1416</v>
      </c>
      <c r="AT416">
        <v>1232</v>
      </c>
      <c r="AU416">
        <v>0</v>
      </c>
      <c r="AV416">
        <v>0</v>
      </c>
      <c r="AW416">
        <v>2.6480000000000001</v>
      </c>
      <c r="AX416">
        <v>0.16550000000000001</v>
      </c>
      <c r="AY416">
        <v>4.3029999999999999</v>
      </c>
      <c r="AZ416" t="s">
        <v>135</v>
      </c>
      <c r="BA416">
        <v>1.6970000000000001</v>
      </c>
      <c r="BB416">
        <v>10.253776435045317</v>
      </c>
      <c r="BC416" t="s">
        <v>133</v>
      </c>
      <c r="BD416">
        <v>0</v>
      </c>
      <c r="BE416" t="s">
        <v>133</v>
      </c>
      <c r="BF41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2.6480000000000001</v>
      </c>
    </row>
    <row r="417" spans="1:58" x14ac:dyDescent="0.25">
      <c r="A417" t="s">
        <v>634</v>
      </c>
      <c r="B417" t="s">
        <v>19</v>
      </c>
      <c r="C417">
        <v>1</v>
      </c>
      <c r="D417">
        <v>417</v>
      </c>
      <c r="E417" t="s">
        <v>2110</v>
      </c>
      <c r="F417" t="s">
        <v>123</v>
      </c>
      <c r="G417" t="s">
        <v>124</v>
      </c>
      <c r="H417" t="s">
        <v>125</v>
      </c>
      <c r="I417" t="s">
        <v>126</v>
      </c>
      <c r="J417" t="s">
        <v>126</v>
      </c>
      <c r="K417" t="s">
        <v>127</v>
      </c>
      <c r="L417">
        <v>50</v>
      </c>
      <c r="M417">
        <v>1017509</v>
      </c>
      <c r="N417">
        <v>6</v>
      </c>
      <c r="O417">
        <v>2</v>
      </c>
      <c r="P417" t="s">
        <v>128</v>
      </c>
      <c r="Q417" t="s">
        <v>129</v>
      </c>
      <c r="R417">
        <v>38</v>
      </c>
      <c r="T417">
        <v>7</v>
      </c>
      <c r="U417">
        <v>12</v>
      </c>
      <c r="V417">
        <v>2</v>
      </c>
      <c r="W417">
        <v>0</v>
      </c>
      <c r="X417">
        <v>2</v>
      </c>
      <c r="Y417">
        <v>3</v>
      </c>
      <c r="Z417">
        <v>12</v>
      </c>
      <c r="AA417">
        <v>17</v>
      </c>
      <c r="AB417">
        <v>50</v>
      </c>
      <c r="AC417">
        <v>12</v>
      </c>
      <c r="AD417">
        <v>5</v>
      </c>
      <c r="AE417">
        <v>4</v>
      </c>
      <c r="AF417">
        <v>21</v>
      </c>
      <c r="AG417">
        <v>0</v>
      </c>
      <c r="AH417">
        <v>38</v>
      </c>
      <c r="AI417">
        <v>29</v>
      </c>
      <c r="AJ417">
        <v>34</v>
      </c>
      <c r="AK417">
        <v>38</v>
      </c>
      <c r="AL417">
        <v>0</v>
      </c>
      <c r="AM417">
        <v>0.12</v>
      </c>
      <c r="AN417">
        <v>3.0909090909090908</v>
      </c>
      <c r="AO417">
        <v>0</v>
      </c>
      <c r="AP417" t="s">
        <v>130</v>
      </c>
      <c r="AQ417" t="s">
        <v>131</v>
      </c>
      <c r="AR417" t="s">
        <v>523</v>
      </c>
      <c r="AS417">
        <v>875</v>
      </c>
      <c r="AT417">
        <v>816</v>
      </c>
      <c r="AU417">
        <v>0</v>
      </c>
      <c r="AV417">
        <v>0</v>
      </c>
      <c r="AW417">
        <v>1.6910000000000001</v>
      </c>
      <c r="AX417">
        <v>0.14091666666666666</v>
      </c>
      <c r="AY417">
        <v>2.9592499999999999</v>
      </c>
      <c r="AZ417" t="s">
        <v>135</v>
      </c>
      <c r="BA417">
        <v>3.0407500000000001</v>
      </c>
      <c r="BB417">
        <v>21.578356002365464</v>
      </c>
      <c r="BC417" t="s">
        <v>133</v>
      </c>
      <c r="BD417">
        <v>0</v>
      </c>
      <c r="BE417" t="s">
        <v>133</v>
      </c>
      <c r="BF41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1.6910000000000001</v>
      </c>
    </row>
    <row r="418" spans="1:58" x14ac:dyDescent="0.25">
      <c r="A418" t="s">
        <v>635</v>
      </c>
      <c r="B418" t="s">
        <v>19</v>
      </c>
      <c r="C418">
        <v>1</v>
      </c>
      <c r="D418">
        <v>418</v>
      </c>
      <c r="E418" t="s">
        <v>2110</v>
      </c>
      <c r="F418" t="s">
        <v>123</v>
      </c>
      <c r="G418" t="s">
        <v>124</v>
      </c>
      <c r="H418" t="s">
        <v>125</v>
      </c>
      <c r="I418" t="s">
        <v>126</v>
      </c>
      <c r="J418" t="s">
        <v>126</v>
      </c>
      <c r="K418" t="s">
        <v>127</v>
      </c>
      <c r="L418">
        <v>50</v>
      </c>
      <c r="M418">
        <v>1017511</v>
      </c>
      <c r="N418">
        <v>6</v>
      </c>
      <c r="O418">
        <v>2</v>
      </c>
      <c r="P418" t="s">
        <v>128</v>
      </c>
      <c r="Q418" t="s">
        <v>129</v>
      </c>
      <c r="R418">
        <v>38</v>
      </c>
      <c r="T418">
        <v>11</v>
      </c>
      <c r="U418">
        <v>16</v>
      </c>
      <c r="V418">
        <v>4</v>
      </c>
      <c r="W418">
        <v>0</v>
      </c>
      <c r="X418">
        <v>4</v>
      </c>
      <c r="Y418">
        <v>4</v>
      </c>
      <c r="Z418">
        <v>19</v>
      </c>
      <c r="AA418">
        <v>24</v>
      </c>
      <c r="AB418">
        <v>50</v>
      </c>
      <c r="AC418">
        <v>18</v>
      </c>
      <c r="AD418">
        <v>10</v>
      </c>
      <c r="AE418">
        <v>5</v>
      </c>
      <c r="AF418">
        <v>33</v>
      </c>
      <c r="AG418">
        <v>0</v>
      </c>
      <c r="AH418">
        <v>32</v>
      </c>
      <c r="AI418">
        <v>17</v>
      </c>
      <c r="AJ418">
        <v>27</v>
      </c>
      <c r="AK418">
        <v>32</v>
      </c>
      <c r="AL418">
        <v>0</v>
      </c>
      <c r="AM418">
        <v>0.12</v>
      </c>
      <c r="AN418">
        <v>2.4545454545454546</v>
      </c>
      <c r="AO418">
        <v>0</v>
      </c>
      <c r="AP418" t="s">
        <v>130</v>
      </c>
      <c r="AQ418" t="s">
        <v>131</v>
      </c>
      <c r="AR418" t="s">
        <v>523</v>
      </c>
      <c r="AS418">
        <v>1244</v>
      </c>
      <c r="AT418">
        <v>1188</v>
      </c>
      <c r="AU418">
        <v>0</v>
      </c>
      <c r="AV418">
        <v>0</v>
      </c>
      <c r="AW418">
        <v>2.4319999999999999</v>
      </c>
      <c r="AX418">
        <v>0.1351111111111111</v>
      </c>
      <c r="AY418">
        <v>4.4586666666666659</v>
      </c>
      <c r="AZ418" t="s">
        <v>135</v>
      </c>
      <c r="BA418">
        <v>1.5413333333333341</v>
      </c>
      <c r="BB418">
        <v>11.407894736842112</v>
      </c>
      <c r="BC418" t="s">
        <v>144</v>
      </c>
      <c r="BD418">
        <v>0</v>
      </c>
      <c r="BE418" t="s">
        <v>133</v>
      </c>
      <c r="BF41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2.4319999999999999</v>
      </c>
    </row>
    <row r="419" spans="1:58" x14ac:dyDescent="0.25">
      <c r="A419" t="s">
        <v>636</v>
      </c>
      <c r="B419" t="s">
        <v>19</v>
      </c>
      <c r="C419">
        <v>1</v>
      </c>
      <c r="D419">
        <v>419</v>
      </c>
      <c r="E419" t="s">
        <v>2109</v>
      </c>
      <c r="F419" t="s">
        <v>123</v>
      </c>
      <c r="G419" t="s">
        <v>124</v>
      </c>
      <c r="H419" t="s">
        <v>125</v>
      </c>
      <c r="I419" t="s">
        <v>183</v>
      </c>
      <c r="J419" t="s">
        <v>140</v>
      </c>
      <c r="K419" t="s">
        <v>127</v>
      </c>
      <c r="L419">
        <v>50</v>
      </c>
      <c r="M419">
        <v>3458380</v>
      </c>
      <c r="N419">
        <v>20</v>
      </c>
      <c r="O419">
        <v>2</v>
      </c>
      <c r="P419" t="s">
        <v>128</v>
      </c>
      <c r="Q419" t="s">
        <v>129</v>
      </c>
      <c r="R419">
        <v>39</v>
      </c>
      <c r="S419" t="s">
        <v>637</v>
      </c>
      <c r="T419">
        <v>22</v>
      </c>
      <c r="U419">
        <v>25</v>
      </c>
      <c r="V419">
        <v>0</v>
      </c>
      <c r="W419">
        <v>0</v>
      </c>
      <c r="X419">
        <v>0</v>
      </c>
      <c r="Y419">
        <v>0</v>
      </c>
      <c r="Z419">
        <v>22</v>
      </c>
      <c r="AA419">
        <v>25</v>
      </c>
      <c r="AB419">
        <v>50</v>
      </c>
      <c r="AC419">
        <v>49</v>
      </c>
      <c r="AD419">
        <v>0</v>
      </c>
      <c r="AE419">
        <v>0</v>
      </c>
      <c r="AF419">
        <v>49</v>
      </c>
      <c r="AG419">
        <v>0</v>
      </c>
      <c r="AH419">
        <v>1</v>
      </c>
      <c r="AI419">
        <v>1</v>
      </c>
      <c r="AJ419">
        <v>1</v>
      </c>
      <c r="AK419">
        <v>1</v>
      </c>
      <c r="AL419">
        <v>0</v>
      </c>
      <c r="AM419">
        <v>0.4</v>
      </c>
      <c r="AN419">
        <v>9.0909090909090912E-2</v>
      </c>
      <c r="AO419">
        <v>0</v>
      </c>
      <c r="AP419" t="s">
        <v>188</v>
      </c>
      <c r="AQ419" t="s">
        <v>131</v>
      </c>
      <c r="AR419" t="s">
        <v>229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 t="s">
        <v>147</v>
      </c>
      <c r="BA419">
        <v>20</v>
      </c>
      <c r="BB419">
        <v>0</v>
      </c>
      <c r="BC419" t="s">
        <v>132</v>
      </c>
      <c r="BD419">
        <v>0</v>
      </c>
      <c r="BE419" t="s">
        <v>133</v>
      </c>
      <c r="BF41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20" spans="1:58" x14ac:dyDescent="0.25">
      <c r="A420" t="s">
        <v>638</v>
      </c>
      <c r="B420" t="s">
        <v>19</v>
      </c>
      <c r="C420">
        <v>1</v>
      </c>
      <c r="D420">
        <v>420</v>
      </c>
      <c r="E420" t="s">
        <v>2109</v>
      </c>
      <c r="F420" t="s">
        <v>123</v>
      </c>
      <c r="G420" t="s">
        <v>124</v>
      </c>
      <c r="H420" t="s">
        <v>125</v>
      </c>
      <c r="I420" t="s">
        <v>183</v>
      </c>
      <c r="J420" t="s">
        <v>140</v>
      </c>
      <c r="K420" t="s">
        <v>127</v>
      </c>
      <c r="L420">
        <v>50</v>
      </c>
      <c r="M420">
        <v>3458382</v>
      </c>
      <c r="N420">
        <v>20</v>
      </c>
      <c r="O420">
        <v>2</v>
      </c>
      <c r="P420" t="s">
        <v>128</v>
      </c>
      <c r="Q420" t="s">
        <v>129</v>
      </c>
      <c r="R420">
        <v>39</v>
      </c>
      <c r="S420" t="s">
        <v>639</v>
      </c>
      <c r="T420">
        <v>22</v>
      </c>
      <c r="U420">
        <v>25</v>
      </c>
      <c r="V420">
        <v>0</v>
      </c>
      <c r="W420">
        <v>0</v>
      </c>
      <c r="X420">
        <v>0</v>
      </c>
      <c r="Y420">
        <v>0</v>
      </c>
      <c r="Z420">
        <v>22</v>
      </c>
      <c r="AA420">
        <v>25</v>
      </c>
      <c r="AB420">
        <v>50</v>
      </c>
      <c r="AC420">
        <v>49</v>
      </c>
      <c r="AD420">
        <v>0</v>
      </c>
      <c r="AE420">
        <v>0</v>
      </c>
      <c r="AF420">
        <v>49</v>
      </c>
      <c r="AG420">
        <v>0</v>
      </c>
      <c r="AH420">
        <v>1</v>
      </c>
      <c r="AI420">
        <v>1</v>
      </c>
      <c r="AJ420">
        <v>1</v>
      </c>
      <c r="AK420">
        <v>1</v>
      </c>
      <c r="AL420">
        <v>0</v>
      </c>
      <c r="AM420">
        <v>0.4</v>
      </c>
      <c r="AN420">
        <v>9.0909090909090912E-2</v>
      </c>
      <c r="AO420">
        <v>0</v>
      </c>
      <c r="AP420" t="s">
        <v>188</v>
      </c>
      <c r="AQ420" t="s">
        <v>131</v>
      </c>
      <c r="AR420" t="s">
        <v>229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 t="s">
        <v>147</v>
      </c>
      <c r="BA420">
        <v>20</v>
      </c>
      <c r="BB420">
        <v>0</v>
      </c>
      <c r="BC420" t="s">
        <v>133</v>
      </c>
      <c r="BD420">
        <v>0</v>
      </c>
      <c r="BE420" t="s">
        <v>133</v>
      </c>
      <c r="BF42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21" spans="1:58" x14ac:dyDescent="0.25">
      <c r="A421" t="s">
        <v>640</v>
      </c>
      <c r="B421" t="s">
        <v>19</v>
      </c>
      <c r="C421">
        <v>1</v>
      </c>
      <c r="D421">
        <v>421</v>
      </c>
      <c r="E421" t="s">
        <v>2109</v>
      </c>
      <c r="F421" t="s">
        <v>123</v>
      </c>
      <c r="G421" t="s">
        <v>124</v>
      </c>
      <c r="H421" t="s">
        <v>125</v>
      </c>
      <c r="I421" t="s">
        <v>183</v>
      </c>
      <c r="J421" t="s">
        <v>140</v>
      </c>
      <c r="K421" t="s">
        <v>127</v>
      </c>
      <c r="L421">
        <v>50</v>
      </c>
      <c r="M421">
        <v>3458384</v>
      </c>
      <c r="N421">
        <v>20</v>
      </c>
      <c r="O421">
        <v>2</v>
      </c>
      <c r="P421" t="s">
        <v>128</v>
      </c>
      <c r="Q421" t="s">
        <v>129</v>
      </c>
      <c r="R421">
        <v>39</v>
      </c>
      <c r="S421" t="s">
        <v>639</v>
      </c>
      <c r="T421">
        <v>22</v>
      </c>
      <c r="U421">
        <v>25</v>
      </c>
      <c r="V421">
        <v>0</v>
      </c>
      <c r="W421">
        <v>0</v>
      </c>
      <c r="X421">
        <v>0</v>
      </c>
      <c r="Y421">
        <v>0</v>
      </c>
      <c r="Z421">
        <v>22</v>
      </c>
      <c r="AA421">
        <v>25</v>
      </c>
      <c r="AB421">
        <v>50</v>
      </c>
      <c r="AC421">
        <v>49</v>
      </c>
      <c r="AD421">
        <v>0</v>
      </c>
      <c r="AE421">
        <v>0</v>
      </c>
      <c r="AF421">
        <v>49</v>
      </c>
      <c r="AG421">
        <v>0</v>
      </c>
      <c r="AH421">
        <v>1</v>
      </c>
      <c r="AI421">
        <v>1</v>
      </c>
      <c r="AJ421">
        <v>1</v>
      </c>
      <c r="AK421">
        <v>1</v>
      </c>
      <c r="AL421">
        <v>0</v>
      </c>
      <c r="AM421">
        <v>0.4</v>
      </c>
      <c r="AN421">
        <v>9.0909090909090912E-2</v>
      </c>
      <c r="AO421">
        <v>0</v>
      </c>
      <c r="AP421" t="s">
        <v>188</v>
      </c>
      <c r="AQ421" t="s">
        <v>131</v>
      </c>
      <c r="AR421" t="s">
        <v>229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 t="s">
        <v>147</v>
      </c>
      <c r="BA421">
        <v>20</v>
      </c>
      <c r="BB421">
        <v>0</v>
      </c>
      <c r="BC421" t="s">
        <v>133</v>
      </c>
      <c r="BD421">
        <v>0</v>
      </c>
      <c r="BE421" t="s">
        <v>133</v>
      </c>
      <c r="BF42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22" spans="1:58" x14ac:dyDescent="0.25">
      <c r="A422" t="s">
        <v>641</v>
      </c>
      <c r="B422" t="s">
        <v>19</v>
      </c>
      <c r="C422">
        <v>1</v>
      </c>
      <c r="D422">
        <v>422</v>
      </c>
      <c r="E422" t="s">
        <v>2109</v>
      </c>
      <c r="F422" t="s">
        <v>123</v>
      </c>
      <c r="G422" t="s">
        <v>124</v>
      </c>
      <c r="H422" t="s">
        <v>125</v>
      </c>
      <c r="I422" t="s">
        <v>183</v>
      </c>
      <c r="J422" t="s">
        <v>140</v>
      </c>
      <c r="K422" t="s">
        <v>166</v>
      </c>
      <c r="L422">
        <v>50</v>
      </c>
      <c r="M422">
        <v>3479484</v>
      </c>
      <c r="N422">
        <v>20</v>
      </c>
      <c r="O422">
        <v>2</v>
      </c>
      <c r="P422" t="s">
        <v>128</v>
      </c>
      <c r="Q422" t="s">
        <v>129</v>
      </c>
      <c r="R422">
        <v>39</v>
      </c>
      <c r="S422" t="s">
        <v>642</v>
      </c>
      <c r="T422">
        <v>22</v>
      </c>
      <c r="U422">
        <v>25</v>
      </c>
      <c r="V422">
        <v>0</v>
      </c>
      <c r="W422">
        <v>0</v>
      </c>
      <c r="X422">
        <v>0</v>
      </c>
      <c r="Y422">
        <v>0</v>
      </c>
      <c r="Z422">
        <v>22</v>
      </c>
      <c r="AA422">
        <v>25</v>
      </c>
      <c r="AB422">
        <v>50</v>
      </c>
      <c r="AC422">
        <v>49</v>
      </c>
      <c r="AD422">
        <v>0</v>
      </c>
      <c r="AE422">
        <v>0</v>
      </c>
      <c r="AF422">
        <v>49</v>
      </c>
      <c r="AG422">
        <v>0</v>
      </c>
      <c r="AH422">
        <v>1</v>
      </c>
      <c r="AI422">
        <v>1</v>
      </c>
      <c r="AJ422">
        <v>1</v>
      </c>
      <c r="AK422">
        <v>1</v>
      </c>
      <c r="AL422">
        <v>0</v>
      </c>
      <c r="AM422">
        <v>0.4</v>
      </c>
      <c r="AN422">
        <v>9.0909090909090912E-2</v>
      </c>
      <c r="AO422">
        <v>0</v>
      </c>
      <c r="AP422" t="s">
        <v>184</v>
      </c>
      <c r="AQ422" t="s">
        <v>131</v>
      </c>
      <c r="AR422" t="s">
        <v>229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 t="s">
        <v>135</v>
      </c>
      <c r="BA422">
        <v>20</v>
      </c>
      <c r="BB422">
        <v>0</v>
      </c>
      <c r="BC422" t="s">
        <v>133</v>
      </c>
      <c r="BD422">
        <v>0</v>
      </c>
      <c r="BE422" t="s">
        <v>133</v>
      </c>
      <c r="BF42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23" spans="1:58" x14ac:dyDescent="0.25">
      <c r="A423" t="s">
        <v>643</v>
      </c>
      <c r="B423" t="s">
        <v>19</v>
      </c>
      <c r="C423">
        <v>1</v>
      </c>
      <c r="D423">
        <v>423</v>
      </c>
      <c r="E423" t="s">
        <v>2109</v>
      </c>
      <c r="F423" t="s">
        <v>123</v>
      </c>
      <c r="G423" t="s">
        <v>124</v>
      </c>
      <c r="H423" t="s">
        <v>125</v>
      </c>
      <c r="I423" t="s">
        <v>154</v>
      </c>
      <c r="J423" t="s">
        <v>154</v>
      </c>
      <c r="K423" t="s">
        <v>151</v>
      </c>
      <c r="L423">
        <v>50</v>
      </c>
      <c r="M423">
        <v>1017521</v>
      </c>
      <c r="N423">
        <v>0</v>
      </c>
      <c r="O423">
        <v>2</v>
      </c>
      <c r="P423" t="s">
        <v>128</v>
      </c>
      <c r="Q423" t="s">
        <v>129</v>
      </c>
      <c r="R423">
        <v>39</v>
      </c>
      <c r="S423" t="s">
        <v>189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50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50</v>
      </c>
      <c r="AJ423">
        <v>50</v>
      </c>
      <c r="AK423">
        <v>50</v>
      </c>
      <c r="AL423">
        <v>50</v>
      </c>
      <c r="AM423">
        <v>0</v>
      </c>
      <c r="AN423">
        <v>4.5454545454545459</v>
      </c>
      <c r="AO423">
        <v>0</v>
      </c>
      <c r="AP423" t="s">
        <v>172</v>
      </c>
      <c r="AQ423" t="s">
        <v>155</v>
      </c>
      <c r="AR423" t="s">
        <v>229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 t="s">
        <v>147</v>
      </c>
      <c r="BA423">
        <v>0</v>
      </c>
      <c r="BB423">
        <v>0</v>
      </c>
      <c r="BC423" t="s">
        <v>133</v>
      </c>
      <c r="BD423">
        <v>1</v>
      </c>
      <c r="BE423" t="s">
        <v>133</v>
      </c>
      <c r="BF42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24" spans="1:58" x14ac:dyDescent="0.25">
      <c r="A424" t="s">
        <v>644</v>
      </c>
      <c r="B424" t="s">
        <v>19</v>
      </c>
      <c r="C424">
        <v>1</v>
      </c>
      <c r="D424">
        <v>424</v>
      </c>
      <c r="E424" t="s">
        <v>2109</v>
      </c>
      <c r="F424" t="s">
        <v>123</v>
      </c>
      <c r="G424" t="s">
        <v>124</v>
      </c>
      <c r="H424" t="s">
        <v>125</v>
      </c>
      <c r="I424" t="s">
        <v>154</v>
      </c>
      <c r="J424" t="s">
        <v>154</v>
      </c>
      <c r="K424" t="s">
        <v>151</v>
      </c>
      <c r="L424">
        <v>50</v>
      </c>
      <c r="M424">
        <v>1017523</v>
      </c>
      <c r="N424">
        <v>0</v>
      </c>
      <c r="O424">
        <v>2</v>
      </c>
      <c r="P424" t="s">
        <v>128</v>
      </c>
      <c r="Q424" t="s">
        <v>129</v>
      </c>
      <c r="R424">
        <v>39</v>
      </c>
      <c r="S424" t="s">
        <v>189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50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50</v>
      </c>
      <c r="AJ424">
        <v>50</v>
      </c>
      <c r="AK424">
        <v>50</v>
      </c>
      <c r="AL424">
        <v>50</v>
      </c>
      <c r="AM424">
        <v>0</v>
      </c>
      <c r="AN424">
        <v>4.5454545454545459</v>
      </c>
      <c r="AO424">
        <v>0</v>
      </c>
      <c r="AP424" t="s">
        <v>172</v>
      </c>
      <c r="AQ424" t="s">
        <v>155</v>
      </c>
      <c r="AR424" t="s">
        <v>229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 t="s">
        <v>147</v>
      </c>
      <c r="BA424">
        <v>0</v>
      </c>
      <c r="BB424">
        <v>0</v>
      </c>
      <c r="BC424" t="s">
        <v>133</v>
      </c>
      <c r="BD424">
        <v>2</v>
      </c>
      <c r="BE424" t="s">
        <v>133</v>
      </c>
      <c r="BF42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25" spans="1:58" x14ac:dyDescent="0.25">
      <c r="A425" t="s">
        <v>645</v>
      </c>
      <c r="B425" t="s">
        <v>19</v>
      </c>
      <c r="C425">
        <v>1</v>
      </c>
      <c r="D425">
        <v>425</v>
      </c>
      <c r="E425" t="s">
        <v>2109</v>
      </c>
      <c r="F425" t="s">
        <v>123</v>
      </c>
      <c r="G425" t="s">
        <v>124</v>
      </c>
      <c r="H425" t="s">
        <v>125</v>
      </c>
      <c r="I425" t="s">
        <v>154</v>
      </c>
      <c r="J425" t="s">
        <v>154</v>
      </c>
      <c r="K425" t="s">
        <v>151</v>
      </c>
      <c r="L425">
        <v>50</v>
      </c>
      <c r="M425">
        <v>1017525</v>
      </c>
      <c r="N425">
        <v>0</v>
      </c>
      <c r="O425">
        <v>2</v>
      </c>
      <c r="P425" t="s">
        <v>128</v>
      </c>
      <c r="Q425" t="s">
        <v>129</v>
      </c>
      <c r="R425">
        <v>39</v>
      </c>
      <c r="S425" t="s">
        <v>189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50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50</v>
      </c>
      <c r="AJ425">
        <v>50</v>
      </c>
      <c r="AK425">
        <v>50</v>
      </c>
      <c r="AL425">
        <v>50</v>
      </c>
      <c r="AM425">
        <v>0</v>
      </c>
      <c r="AN425">
        <v>4.5454545454545459</v>
      </c>
      <c r="AO425">
        <v>0</v>
      </c>
      <c r="AP425" t="s">
        <v>172</v>
      </c>
      <c r="AQ425" t="s">
        <v>155</v>
      </c>
      <c r="AR425" t="s">
        <v>229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 t="s">
        <v>147</v>
      </c>
      <c r="BA425">
        <v>0</v>
      </c>
      <c r="BB425">
        <v>0</v>
      </c>
      <c r="BC425" t="s">
        <v>133</v>
      </c>
      <c r="BD425">
        <v>3</v>
      </c>
      <c r="BE425" t="s">
        <v>133</v>
      </c>
      <c r="BF42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26" spans="1:58" x14ac:dyDescent="0.25">
      <c r="A426" t="s">
        <v>646</v>
      </c>
      <c r="B426" t="s">
        <v>19</v>
      </c>
      <c r="C426">
        <v>1</v>
      </c>
      <c r="D426">
        <v>426</v>
      </c>
      <c r="E426" t="s">
        <v>2109</v>
      </c>
      <c r="F426" t="s">
        <v>123</v>
      </c>
      <c r="G426" t="s">
        <v>124</v>
      </c>
      <c r="H426" t="s">
        <v>125</v>
      </c>
      <c r="I426" t="s">
        <v>154</v>
      </c>
      <c r="J426" t="s">
        <v>154</v>
      </c>
      <c r="K426" t="s">
        <v>151</v>
      </c>
      <c r="L426">
        <v>50</v>
      </c>
      <c r="M426">
        <v>1017527</v>
      </c>
      <c r="N426">
        <v>0</v>
      </c>
      <c r="O426">
        <v>2</v>
      </c>
      <c r="P426" t="s">
        <v>128</v>
      </c>
      <c r="Q426" t="s">
        <v>129</v>
      </c>
      <c r="R426">
        <v>39</v>
      </c>
      <c r="S426" t="s">
        <v>189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50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50</v>
      </c>
      <c r="AJ426">
        <v>50</v>
      </c>
      <c r="AK426">
        <v>50</v>
      </c>
      <c r="AL426">
        <v>50</v>
      </c>
      <c r="AM426">
        <v>0</v>
      </c>
      <c r="AN426">
        <v>4.5454545454545459</v>
      </c>
      <c r="AO426">
        <v>0</v>
      </c>
      <c r="AP426" t="s">
        <v>172</v>
      </c>
      <c r="AQ426" t="s">
        <v>155</v>
      </c>
      <c r="AR426" t="s">
        <v>229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 t="s">
        <v>147</v>
      </c>
      <c r="BA426">
        <v>0</v>
      </c>
      <c r="BB426">
        <v>0</v>
      </c>
      <c r="BC426" t="s">
        <v>133</v>
      </c>
      <c r="BD426">
        <v>4</v>
      </c>
      <c r="BE426" t="s">
        <v>133</v>
      </c>
      <c r="BF42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27" spans="1:58" x14ac:dyDescent="0.25">
      <c r="A427" t="s">
        <v>647</v>
      </c>
      <c r="B427" t="s">
        <v>19</v>
      </c>
      <c r="C427">
        <v>1</v>
      </c>
      <c r="D427">
        <v>427</v>
      </c>
      <c r="E427" t="s">
        <v>2109</v>
      </c>
      <c r="F427" t="s">
        <v>123</v>
      </c>
      <c r="G427" t="s">
        <v>124</v>
      </c>
      <c r="H427" t="s">
        <v>125</v>
      </c>
      <c r="I427" t="s">
        <v>154</v>
      </c>
      <c r="J427" t="s">
        <v>154</v>
      </c>
      <c r="K427" t="s">
        <v>151</v>
      </c>
      <c r="L427">
        <v>50</v>
      </c>
      <c r="M427">
        <v>1017529</v>
      </c>
      <c r="N427">
        <v>0</v>
      </c>
      <c r="O427">
        <v>2</v>
      </c>
      <c r="P427" t="s">
        <v>128</v>
      </c>
      <c r="Q427" t="s">
        <v>129</v>
      </c>
      <c r="R427">
        <v>39</v>
      </c>
      <c r="S427" t="s">
        <v>189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50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50</v>
      </c>
      <c r="AJ427">
        <v>50</v>
      </c>
      <c r="AK427">
        <v>50</v>
      </c>
      <c r="AL427">
        <v>50</v>
      </c>
      <c r="AM427">
        <v>0</v>
      </c>
      <c r="AN427">
        <v>4.5454545454545459</v>
      </c>
      <c r="AO427">
        <v>0</v>
      </c>
      <c r="AP427" t="s">
        <v>172</v>
      </c>
      <c r="AQ427" t="s">
        <v>155</v>
      </c>
      <c r="AR427" t="s">
        <v>229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 t="s">
        <v>147</v>
      </c>
      <c r="BA427">
        <v>0</v>
      </c>
      <c r="BB427">
        <v>0</v>
      </c>
      <c r="BC427" t="s">
        <v>133</v>
      </c>
      <c r="BD427">
        <v>5</v>
      </c>
      <c r="BE427" t="s">
        <v>133</v>
      </c>
      <c r="BF42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28" spans="1:58" x14ac:dyDescent="0.25">
      <c r="A428" t="s">
        <v>648</v>
      </c>
      <c r="B428" t="s">
        <v>19</v>
      </c>
      <c r="C428">
        <v>1</v>
      </c>
      <c r="D428">
        <v>428</v>
      </c>
      <c r="E428" t="s">
        <v>2109</v>
      </c>
      <c r="F428" t="s">
        <v>123</v>
      </c>
      <c r="G428" t="s">
        <v>124</v>
      </c>
      <c r="H428" t="s">
        <v>125</v>
      </c>
      <c r="I428" t="s">
        <v>154</v>
      </c>
      <c r="J428" t="s">
        <v>154</v>
      </c>
      <c r="K428" t="s">
        <v>151</v>
      </c>
      <c r="L428">
        <v>50</v>
      </c>
      <c r="M428">
        <v>1017531</v>
      </c>
      <c r="N428">
        <v>0</v>
      </c>
      <c r="O428">
        <v>2</v>
      </c>
      <c r="P428" t="s">
        <v>128</v>
      </c>
      <c r="Q428" t="s">
        <v>129</v>
      </c>
      <c r="R428">
        <v>39</v>
      </c>
      <c r="S428" t="s">
        <v>189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50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50</v>
      </c>
      <c r="AJ428">
        <v>50</v>
      </c>
      <c r="AK428">
        <v>50</v>
      </c>
      <c r="AL428">
        <v>50</v>
      </c>
      <c r="AM428">
        <v>0</v>
      </c>
      <c r="AN428">
        <v>4.5454545454545459</v>
      </c>
      <c r="AO428">
        <v>0</v>
      </c>
      <c r="AP428" t="s">
        <v>172</v>
      </c>
      <c r="AQ428" t="s">
        <v>155</v>
      </c>
      <c r="AR428" t="s">
        <v>229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 t="s">
        <v>147</v>
      </c>
      <c r="BA428">
        <v>0</v>
      </c>
      <c r="BB428">
        <v>0</v>
      </c>
      <c r="BC428" t="s">
        <v>133</v>
      </c>
      <c r="BD428">
        <v>6</v>
      </c>
      <c r="BE428" t="s">
        <v>133</v>
      </c>
      <c r="BF42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29" spans="1:58" x14ac:dyDescent="0.25">
      <c r="A429" t="s">
        <v>649</v>
      </c>
      <c r="B429" t="s">
        <v>19</v>
      </c>
      <c r="C429">
        <v>1</v>
      </c>
      <c r="D429">
        <v>429</v>
      </c>
      <c r="E429" t="s">
        <v>2109</v>
      </c>
      <c r="F429" t="s">
        <v>123</v>
      </c>
      <c r="G429" t="s">
        <v>124</v>
      </c>
      <c r="H429" t="s">
        <v>125</v>
      </c>
      <c r="I429" t="s">
        <v>154</v>
      </c>
      <c r="J429" t="s">
        <v>154</v>
      </c>
      <c r="K429" t="s">
        <v>151</v>
      </c>
      <c r="L429">
        <v>50</v>
      </c>
      <c r="M429">
        <v>1017533</v>
      </c>
      <c r="N429">
        <v>0</v>
      </c>
      <c r="O429">
        <v>2</v>
      </c>
      <c r="P429" t="s">
        <v>128</v>
      </c>
      <c r="Q429" t="s">
        <v>129</v>
      </c>
      <c r="R429">
        <v>39</v>
      </c>
      <c r="S429" t="s">
        <v>189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50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50</v>
      </c>
      <c r="AJ429">
        <v>50</v>
      </c>
      <c r="AK429">
        <v>50</v>
      </c>
      <c r="AL429">
        <v>50</v>
      </c>
      <c r="AM429">
        <v>0</v>
      </c>
      <c r="AN429">
        <v>4.5454545454545459</v>
      </c>
      <c r="AO429">
        <v>0</v>
      </c>
      <c r="AP429" t="s">
        <v>172</v>
      </c>
      <c r="AQ429" t="s">
        <v>155</v>
      </c>
      <c r="AR429" t="s">
        <v>229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 t="s">
        <v>147</v>
      </c>
      <c r="BA429">
        <v>0</v>
      </c>
      <c r="BB429">
        <v>0</v>
      </c>
      <c r="BC429" t="s">
        <v>144</v>
      </c>
      <c r="BD429">
        <v>7</v>
      </c>
      <c r="BE429" t="s">
        <v>133</v>
      </c>
      <c r="BF42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30" spans="1:58" x14ac:dyDescent="0.25">
      <c r="A430" t="s">
        <v>650</v>
      </c>
      <c r="B430" t="s">
        <v>19</v>
      </c>
      <c r="C430">
        <v>1</v>
      </c>
      <c r="D430">
        <v>430</v>
      </c>
      <c r="E430" t="s">
        <v>2110</v>
      </c>
      <c r="F430" t="s">
        <v>123</v>
      </c>
      <c r="G430" t="s">
        <v>124</v>
      </c>
      <c r="H430" t="s">
        <v>125</v>
      </c>
      <c r="I430" t="s">
        <v>137</v>
      </c>
      <c r="J430" t="s">
        <v>164</v>
      </c>
      <c r="K430" t="s">
        <v>127</v>
      </c>
      <c r="L430">
        <v>50</v>
      </c>
      <c r="M430">
        <v>1017535</v>
      </c>
      <c r="N430">
        <v>6</v>
      </c>
      <c r="O430">
        <v>2</v>
      </c>
      <c r="P430" t="s">
        <v>128</v>
      </c>
      <c r="Q430" t="s">
        <v>129</v>
      </c>
      <c r="R430">
        <v>40</v>
      </c>
      <c r="T430">
        <v>0</v>
      </c>
      <c r="U430">
        <v>0</v>
      </c>
      <c r="V430">
        <v>12</v>
      </c>
      <c r="W430">
        <v>0</v>
      </c>
      <c r="X430">
        <v>12</v>
      </c>
      <c r="Y430">
        <v>0</v>
      </c>
      <c r="Z430">
        <v>0</v>
      </c>
      <c r="AA430">
        <v>12</v>
      </c>
      <c r="AB430">
        <v>50</v>
      </c>
      <c r="AC430">
        <v>0</v>
      </c>
      <c r="AD430">
        <v>12</v>
      </c>
      <c r="AE430">
        <v>0</v>
      </c>
      <c r="AF430">
        <v>12</v>
      </c>
      <c r="AG430">
        <v>0</v>
      </c>
      <c r="AH430">
        <v>50</v>
      </c>
      <c r="AI430">
        <v>38</v>
      </c>
      <c r="AJ430">
        <v>50</v>
      </c>
      <c r="AK430">
        <v>50</v>
      </c>
      <c r="AL430">
        <v>0</v>
      </c>
      <c r="AM430">
        <v>0.12</v>
      </c>
      <c r="AN430">
        <v>4.5454545454545459</v>
      </c>
      <c r="AO430">
        <v>0</v>
      </c>
      <c r="AP430" t="s">
        <v>139</v>
      </c>
      <c r="AQ430" t="s">
        <v>131</v>
      </c>
      <c r="AR430" t="s">
        <v>523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 t="s">
        <v>147</v>
      </c>
      <c r="BA430">
        <v>6</v>
      </c>
      <c r="BB430">
        <v>0</v>
      </c>
      <c r="BC430" t="s">
        <v>132</v>
      </c>
      <c r="BD430">
        <v>1</v>
      </c>
      <c r="BE430" t="s">
        <v>133</v>
      </c>
      <c r="BF43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31" spans="1:58" x14ac:dyDescent="0.25">
      <c r="A431" t="s">
        <v>651</v>
      </c>
      <c r="B431" t="s">
        <v>19</v>
      </c>
      <c r="C431">
        <v>1</v>
      </c>
      <c r="D431">
        <v>431</v>
      </c>
      <c r="E431" t="s">
        <v>2110</v>
      </c>
      <c r="F431" t="s">
        <v>123</v>
      </c>
      <c r="G431" t="s">
        <v>124</v>
      </c>
      <c r="H431" t="s">
        <v>125</v>
      </c>
      <c r="I431" t="s">
        <v>137</v>
      </c>
      <c r="J431" t="s">
        <v>163</v>
      </c>
      <c r="K431" t="s">
        <v>127</v>
      </c>
      <c r="L431">
        <v>50</v>
      </c>
      <c r="M431">
        <v>1017537</v>
      </c>
      <c r="N431">
        <v>6</v>
      </c>
      <c r="O431">
        <v>2</v>
      </c>
      <c r="P431" t="s">
        <v>128</v>
      </c>
      <c r="Q431" t="s">
        <v>129</v>
      </c>
      <c r="R431">
        <v>40</v>
      </c>
      <c r="T431">
        <v>0</v>
      </c>
      <c r="U431">
        <v>0</v>
      </c>
      <c r="V431">
        <v>11</v>
      </c>
      <c r="W431">
        <v>0</v>
      </c>
      <c r="X431">
        <v>11</v>
      </c>
      <c r="Y431">
        <v>1</v>
      </c>
      <c r="Z431">
        <v>0</v>
      </c>
      <c r="AA431">
        <v>12</v>
      </c>
      <c r="AB431">
        <v>50</v>
      </c>
      <c r="AC431">
        <v>0</v>
      </c>
      <c r="AD431">
        <v>11</v>
      </c>
      <c r="AE431">
        <v>1</v>
      </c>
      <c r="AF431">
        <v>12</v>
      </c>
      <c r="AG431">
        <v>0</v>
      </c>
      <c r="AH431">
        <v>50</v>
      </c>
      <c r="AI431">
        <v>38</v>
      </c>
      <c r="AJ431">
        <v>49</v>
      </c>
      <c r="AK431">
        <v>50</v>
      </c>
      <c r="AL431">
        <v>0</v>
      </c>
      <c r="AM431">
        <v>0.12</v>
      </c>
      <c r="AN431">
        <v>4.454545454545455</v>
      </c>
      <c r="AO431">
        <v>0</v>
      </c>
      <c r="AP431" t="s">
        <v>139</v>
      </c>
      <c r="AQ431" t="s">
        <v>131</v>
      </c>
      <c r="AR431" t="s">
        <v>523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 t="s">
        <v>147</v>
      </c>
      <c r="BA431">
        <v>6</v>
      </c>
      <c r="BB431">
        <v>0</v>
      </c>
      <c r="BC431" t="s">
        <v>133</v>
      </c>
      <c r="BD431">
        <v>2</v>
      </c>
      <c r="BE431" t="s">
        <v>133</v>
      </c>
      <c r="BF43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32" spans="1:58" x14ac:dyDescent="0.25">
      <c r="A432" t="s">
        <v>652</v>
      </c>
      <c r="B432" t="s">
        <v>19</v>
      </c>
      <c r="C432">
        <v>1</v>
      </c>
      <c r="D432">
        <v>433</v>
      </c>
      <c r="E432" t="s">
        <v>2110</v>
      </c>
      <c r="F432" t="s">
        <v>123</v>
      </c>
      <c r="G432" t="s">
        <v>124</v>
      </c>
      <c r="H432" t="s">
        <v>136</v>
      </c>
      <c r="I432" t="s">
        <v>137</v>
      </c>
      <c r="J432" t="s">
        <v>156</v>
      </c>
      <c r="K432" t="s">
        <v>127</v>
      </c>
      <c r="L432">
        <v>50</v>
      </c>
      <c r="M432">
        <v>1017593</v>
      </c>
      <c r="N432">
        <v>9.1</v>
      </c>
      <c r="O432">
        <v>2</v>
      </c>
      <c r="P432" t="s">
        <v>128</v>
      </c>
      <c r="Q432" t="s">
        <v>129</v>
      </c>
      <c r="R432">
        <v>40</v>
      </c>
      <c r="T432">
        <v>11</v>
      </c>
      <c r="U432">
        <v>17</v>
      </c>
      <c r="V432">
        <v>0</v>
      </c>
      <c r="W432">
        <v>0</v>
      </c>
      <c r="X432">
        <v>0</v>
      </c>
      <c r="Y432">
        <v>2</v>
      </c>
      <c r="Z432">
        <v>11</v>
      </c>
      <c r="AA432">
        <v>19</v>
      </c>
      <c r="AB432">
        <v>50</v>
      </c>
      <c r="AC432">
        <v>29</v>
      </c>
      <c r="AD432">
        <v>0</v>
      </c>
      <c r="AE432">
        <v>2</v>
      </c>
      <c r="AF432">
        <v>31</v>
      </c>
      <c r="AG432">
        <v>0</v>
      </c>
      <c r="AH432">
        <v>21</v>
      </c>
      <c r="AI432">
        <v>19</v>
      </c>
      <c r="AJ432">
        <v>19</v>
      </c>
      <c r="AK432">
        <v>21</v>
      </c>
      <c r="AL432">
        <v>0</v>
      </c>
      <c r="AM432">
        <v>0.182</v>
      </c>
      <c r="AN432">
        <v>1.7272727272727273</v>
      </c>
      <c r="AO432">
        <v>0</v>
      </c>
      <c r="AP432" t="s">
        <v>139</v>
      </c>
      <c r="AQ432" t="s">
        <v>131</v>
      </c>
      <c r="AR432" t="s">
        <v>523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 t="s">
        <v>147</v>
      </c>
      <c r="BA432">
        <v>9.1</v>
      </c>
      <c r="BB432">
        <v>0</v>
      </c>
      <c r="BC432" t="s">
        <v>133</v>
      </c>
      <c r="BD432">
        <v>0</v>
      </c>
      <c r="BE432" t="s">
        <v>133</v>
      </c>
      <c r="BF43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33" spans="1:58" x14ac:dyDescent="0.25">
      <c r="A433" t="s">
        <v>653</v>
      </c>
      <c r="B433" t="s">
        <v>19</v>
      </c>
      <c r="C433">
        <v>1</v>
      </c>
      <c r="D433">
        <v>434</v>
      </c>
      <c r="E433" t="s">
        <v>2110</v>
      </c>
      <c r="F433" t="s">
        <v>123</v>
      </c>
      <c r="G433" t="s">
        <v>124</v>
      </c>
      <c r="H433" t="s">
        <v>136</v>
      </c>
      <c r="I433" t="s">
        <v>137</v>
      </c>
      <c r="J433" t="s">
        <v>153</v>
      </c>
      <c r="K433" t="s">
        <v>127</v>
      </c>
      <c r="L433">
        <v>50</v>
      </c>
      <c r="M433">
        <v>1017595</v>
      </c>
      <c r="N433">
        <v>9.1</v>
      </c>
      <c r="O433">
        <v>2</v>
      </c>
      <c r="P433" t="s">
        <v>128</v>
      </c>
      <c r="Q433" t="s">
        <v>129</v>
      </c>
      <c r="R433">
        <v>40</v>
      </c>
      <c r="T433">
        <v>0</v>
      </c>
      <c r="U433">
        <v>1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1</v>
      </c>
      <c r="AB433">
        <v>50</v>
      </c>
      <c r="AC433">
        <v>25</v>
      </c>
      <c r="AD433">
        <v>0</v>
      </c>
      <c r="AE433">
        <v>0</v>
      </c>
      <c r="AF433">
        <v>25</v>
      </c>
      <c r="AG433">
        <v>0</v>
      </c>
      <c r="AH433">
        <v>25</v>
      </c>
      <c r="AI433">
        <v>25</v>
      </c>
      <c r="AJ433">
        <v>25</v>
      </c>
      <c r="AK433">
        <v>25</v>
      </c>
      <c r="AL433">
        <v>0</v>
      </c>
      <c r="AM433">
        <v>0.182</v>
      </c>
      <c r="AN433">
        <v>2.2727272727272729</v>
      </c>
      <c r="AO433">
        <v>0</v>
      </c>
      <c r="AP433" t="s">
        <v>139</v>
      </c>
      <c r="AQ433" t="s">
        <v>131</v>
      </c>
      <c r="AR433" t="s">
        <v>523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 t="s">
        <v>147</v>
      </c>
      <c r="BA433">
        <v>9.1</v>
      </c>
      <c r="BB433">
        <v>0</v>
      </c>
      <c r="BC433" t="s">
        <v>133</v>
      </c>
      <c r="BD433">
        <v>0</v>
      </c>
      <c r="BE433" t="s">
        <v>133</v>
      </c>
      <c r="BF43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34" spans="1:58" x14ac:dyDescent="0.25">
      <c r="A434" t="s">
        <v>654</v>
      </c>
      <c r="B434" t="s">
        <v>19</v>
      </c>
      <c r="C434">
        <v>1</v>
      </c>
      <c r="D434">
        <v>435</v>
      </c>
      <c r="E434" t="s">
        <v>2110</v>
      </c>
      <c r="F434" t="s">
        <v>123</v>
      </c>
      <c r="G434" t="s">
        <v>124</v>
      </c>
      <c r="H434" t="s">
        <v>136</v>
      </c>
      <c r="I434" t="s">
        <v>137</v>
      </c>
      <c r="J434" t="s">
        <v>153</v>
      </c>
      <c r="K434" t="s">
        <v>127</v>
      </c>
      <c r="L434">
        <v>50</v>
      </c>
      <c r="M434">
        <v>1017597</v>
      </c>
      <c r="N434">
        <v>9.1</v>
      </c>
      <c r="O434">
        <v>2</v>
      </c>
      <c r="P434" t="s">
        <v>128</v>
      </c>
      <c r="Q434" t="s">
        <v>129</v>
      </c>
      <c r="R434">
        <v>40</v>
      </c>
      <c r="T434">
        <v>0</v>
      </c>
      <c r="U434">
        <v>2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2</v>
      </c>
      <c r="AB434">
        <v>50</v>
      </c>
      <c r="AC434">
        <v>26</v>
      </c>
      <c r="AD434">
        <v>0</v>
      </c>
      <c r="AE434">
        <v>0</v>
      </c>
      <c r="AF434">
        <v>26</v>
      </c>
      <c r="AG434">
        <v>0</v>
      </c>
      <c r="AH434">
        <v>24</v>
      </c>
      <c r="AI434">
        <v>24</v>
      </c>
      <c r="AJ434">
        <v>24</v>
      </c>
      <c r="AK434">
        <v>24</v>
      </c>
      <c r="AL434">
        <v>0</v>
      </c>
      <c r="AM434">
        <v>0.182</v>
      </c>
      <c r="AN434">
        <v>2.1818181818181817</v>
      </c>
      <c r="AO434">
        <v>0</v>
      </c>
      <c r="AP434" t="s">
        <v>139</v>
      </c>
      <c r="AQ434" t="s">
        <v>131</v>
      </c>
      <c r="AR434" t="s">
        <v>523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 t="s">
        <v>147</v>
      </c>
      <c r="BA434">
        <v>9.1</v>
      </c>
      <c r="BB434">
        <v>0</v>
      </c>
      <c r="BC434" t="s">
        <v>133</v>
      </c>
      <c r="BD434">
        <v>0</v>
      </c>
      <c r="BE434" t="s">
        <v>133</v>
      </c>
      <c r="BF43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35" spans="1:58" x14ac:dyDescent="0.25">
      <c r="A435" t="s">
        <v>655</v>
      </c>
      <c r="B435" t="s">
        <v>19</v>
      </c>
      <c r="C435">
        <v>1</v>
      </c>
      <c r="D435">
        <v>436</v>
      </c>
      <c r="E435" t="s">
        <v>2110</v>
      </c>
      <c r="F435" t="s">
        <v>123</v>
      </c>
      <c r="G435" t="s">
        <v>124</v>
      </c>
      <c r="H435" t="s">
        <v>136</v>
      </c>
      <c r="I435" t="s">
        <v>137</v>
      </c>
      <c r="J435" t="s">
        <v>153</v>
      </c>
      <c r="K435" t="s">
        <v>127</v>
      </c>
      <c r="L435">
        <v>50</v>
      </c>
      <c r="M435">
        <v>1017599</v>
      </c>
      <c r="N435">
        <v>9.1</v>
      </c>
      <c r="O435">
        <v>2</v>
      </c>
      <c r="P435" t="s">
        <v>128</v>
      </c>
      <c r="Q435" t="s">
        <v>129</v>
      </c>
      <c r="R435">
        <v>40</v>
      </c>
      <c r="T435">
        <v>0</v>
      </c>
      <c r="U435">
        <v>1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1</v>
      </c>
      <c r="AB435">
        <v>50</v>
      </c>
      <c r="AC435">
        <v>25</v>
      </c>
      <c r="AD435">
        <v>0</v>
      </c>
      <c r="AE435">
        <v>0</v>
      </c>
      <c r="AF435">
        <v>25</v>
      </c>
      <c r="AG435">
        <v>0</v>
      </c>
      <c r="AH435">
        <v>25</v>
      </c>
      <c r="AI435">
        <v>25</v>
      </c>
      <c r="AJ435">
        <v>25</v>
      </c>
      <c r="AK435">
        <v>25</v>
      </c>
      <c r="AL435">
        <v>0</v>
      </c>
      <c r="AM435">
        <v>0.182</v>
      </c>
      <c r="AN435">
        <v>2.2727272727272729</v>
      </c>
      <c r="AO435">
        <v>0</v>
      </c>
      <c r="AP435" t="s">
        <v>139</v>
      </c>
      <c r="AQ435" t="s">
        <v>131</v>
      </c>
      <c r="AR435" t="s">
        <v>523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 t="s">
        <v>147</v>
      </c>
      <c r="BA435">
        <v>9.1</v>
      </c>
      <c r="BB435">
        <v>0</v>
      </c>
      <c r="BC435" t="s">
        <v>133</v>
      </c>
      <c r="BD435">
        <v>0</v>
      </c>
      <c r="BE435" t="s">
        <v>133</v>
      </c>
      <c r="BF43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36" spans="1:58" x14ac:dyDescent="0.25">
      <c r="A436" t="s">
        <v>656</v>
      </c>
      <c r="B436" t="s">
        <v>19</v>
      </c>
      <c r="C436">
        <v>1</v>
      </c>
      <c r="D436">
        <v>437</v>
      </c>
      <c r="E436" t="s">
        <v>2110</v>
      </c>
      <c r="F436" t="s">
        <v>123</v>
      </c>
      <c r="G436" t="s">
        <v>124</v>
      </c>
      <c r="H436" t="s">
        <v>136</v>
      </c>
      <c r="I436" t="s">
        <v>137</v>
      </c>
      <c r="J436" t="s">
        <v>153</v>
      </c>
      <c r="K436" t="s">
        <v>127</v>
      </c>
      <c r="L436">
        <v>50</v>
      </c>
      <c r="M436">
        <v>1017601</v>
      </c>
      <c r="N436">
        <v>9.1</v>
      </c>
      <c r="O436">
        <v>2</v>
      </c>
      <c r="P436" t="s">
        <v>128</v>
      </c>
      <c r="Q436" t="s">
        <v>129</v>
      </c>
      <c r="R436">
        <v>40</v>
      </c>
      <c r="T436">
        <v>0</v>
      </c>
      <c r="U436">
        <v>1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1</v>
      </c>
      <c r="AB436">
        <v>50</v>
      </c>
      <c r="AC436">
        <v>25</v>
      </c>
      <c r="AD436">
        <v>0</v>
      </c>
      <c r="AE436">
        <v>0</v>
      </c>
      <c r="AF436">
        <v>25</v>
      </c>
      <c r="AG436">
        <v>0</v>
      </c>
      <c r="AH436">
        <v>25</v>
      </c>
      <c r="AI436">
        <v>25</v>
      </c>
      <c r="AJ436">
        <v>25</v>
      </c>
      <c r="AK436">
        <v>25</v>
      </c>
      <c r="AL436">
        <v>0</v>
      </c>
      <c r="AM436">
        <v>0.182</v>
      </c>
      <c r="AN436">
        <v>2.2727272727272729</v>
      </c>
      <c r="AO436">
        <v>0</v>
      </c>
      <c r="AP436" t="s">
        <v>139</v>
      </c>
      <c r="AQ436" t="s">
        <v>131</v>
      </c>
      <c r="AR436" t="s">
        <v>523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 t="s">
        <v>147</v>
      </c>
      <c r="BA436">
        <v>9.1</v>
      </c>
      <c r="BB436">
        <v>0</v>
      </c>
      <c r="BC436" t="s">
        <v>133</v>
      </c>
      <c r="BD436">
        <v>0</v>
      </c>
      <c r="BE436" t="s">
        <v>133</v>
      </c>
      <c r="BF43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37" spans="1:58" x14ac:dyDescent="0.25">
      <c r="A437" t="s">
        <v>657</v>
      </c>
      <c r="B437" t="s">
        <v>19</v>
      </c>
      <c r="C437">
        <v>1</v>
      </c>
      <c r="D437">
        <v>438</v>
      </c>
      <c r="E437" t="s">
        <v>2110</v>
      </c>
      <c r="F437" t="s">
        <v>123</v>
      </c>
      <c r="G437" t="s">
        <v>124</v>
      </c>
      <c r="H437" t="s">
        <v>136</v>
      </c>
      <c r="I437" t="s">
        <v>137</v>
      </c>
      <c r="J437" t="s">
        <v>156</v>
      </c>
      <c r="K437" t="s">
        <v>181</v>
      </c>
      <c r="L437">
        <v>50</v>
      </c>
      <c r="M437">
        <v>1017603</v>
      </c>
      <c r="N437">
        <v>9.1</v>
      </c>
      <c r="O437">
        <v>2</v>
      </c>
      <c r="P437" t="s">
        <v>128</v>
      </c>
      <c r="Q437" t="s">
        <v>129</v>
      </c>
      <c r="R437">
        <v>40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50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50</v>
      </c>
      <c r="AJ437">
        <v>50</v>
      </c>
      <c r="AK437">
        <v>50</v>
      </c>
      <c r="AL437">
        <v>50</v>
      </c>
      <c r="AM437">
        <v>0.182</v>
      </c>
      <c r="AN437">
        <v>4.5454545454545459</v>
      </c>
      <c r="AO437">
        <v>0</v>
      </c>
      <c r="AP437" t="s">
        <v>346</v>
      </c>
      <c r="AQ437" t="s">
        <v>155</v>
      </c>
      <c r="AR437" t="s">
        <v>523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 t="s">
        <v>135</v>
      </c>
      <c r="BA437">
        <v>9.1</v>
      </c>
      <c r="BB437">
        <v>0</v>
      </c>
      <c r="BC437" t="s">
        <v>133</v>
      </c>
      <c r="BD437">
        <v>1</v>
      </c>
      <c r="BE437" t="s">
        <v>133</v>
      </c>
      <c r="BF43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38" spans="1:58" x14ac:dyDescent="0.25">
      <c r="A438" t="s">
        <v>658</v>
      </c>
      <c r="B438" t="s">
        <v>19</v>
      </c>
      <c r="C438">
        <v>1</v>
      </c>
      <c r="D438">
        <v>439</v>
      </c>
      <c r="E438" t="s">
        <v>2110</v>
      </c>
      <c r="F438" t="s">
        <v>123</v>
      </c>
      <c r="G438" t="s">
        <v>124</v>
      </c>
      <c r="H438" t="s">
        <v>136</v>
      </c>
      <c r="I438" t="s">
        <v>137</v>
      </c>
      <c r="J438" t="s">
        <v>156</v>
      </c>
      <c r="K438" t="s">
        <v>127</v>
      </c>
      <c r="L438">
        <v>50</v>
      </c>
      <c r="M438">
        <v>1017605</v>
      </c>
      <c r="N438">
        <v>9.1</v>
      </c>
      <c r="O438">
        <v>2</v>
      </c>
      <c r="P438" t="s">
        <v>128</v>
      </c>
      <c r="Q438" t="s">
        <v>129</v>
      </c>
      <c r="R438">
        <v>40</v>
      </c>
      <c r="T438">
        <v>0</v>
      </c>
      <c r="U438">
        <v>2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2</v>
      </c>
      <c r="AB438">
        <v>50</v>
      </c>
      <c r="AC438">
        <v>28</v>
      </c>
      <c r="AD438">
        <v>0</v>
      </c>
      <c r="AE438">
        <v>0</v>
      </c>
      <c r="AF438">
        <v>28</v>
      </c>
      <c r="AG438">
        <v>0</v>
      </c>
      <c r="AH438">
        <v>22</v>
      </c>
      <c r="AI438">
        <v>22</v>
      </c>
      <c r="AJ438">
        <v>22</v>
      </c>
      <c r="AK438">
        <v>22</v>
      </c>
      <c r="AL438">
        <v>0</v>
      </c>
      <c r="AM438">
        <v>0.182</v>
      </c>
      <c r="AN438">
        <v>2</v>
      </c>
      <c r="AO438">
        <v>0</v>
      </c>
      <c r="AP438" t="s">
        <v>139</v>
      </c>
      <c r="AQ438" t="s">
        <v>131</v>
      </c>
      <c r="AR438" t="s">
        <v>523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 t="s">
        <v>147</v>
      </c>
      <c r="BA438">
        <v>9.1</v>
      </c>
      <c r="BB438">
        <v>0</v>
      </c>
      <c r="BC438" t="s">
        <v>133</v>
      </c>
      <c r="BD438">
        <v>0</v>
      </c>
      <c r="BE438" t="s">
        <v>133</v>
      </c>
      <c r="BF43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39" spans="1:58" x14ac:dyDescent="0.25">
      <c r="A439" t="s">
        <v>659</v>
      </c>
      <c r="B439" t="s">
        <v>19</v>
      </c>
      <c r="C439">
        <v>1</v>
      </c>
      <c r="D439">
        <v>440</v>
      </c>
      <c r="E439" t="s">
        <v>2110</v>
      </c>
      <c r="F439" t="s">
        <v>123</v>
      </c>
      <c r="G439" t="s">
        <v>124</v>
      </c>
      <c r="H439" t="s">
        <v>136</v>
      </c>
      <c r="I439" t="s">
        <v>137</v>
      </c>
      <c r="J439" t="s">
        <v>152</v>
      </c>
      <c r="K439" t="s">
        <v>127</v>
      </c>
      <c r="L439">
        <v>50</v>
      </c>
      <c r="M439">
        <v>1017607</v>
      </c>
      <c r="N439">
        <v>0</v>
      </c>
      <c r="O439">
        <v>2</v>
      </c>
      <c r="P439" t="s">
        <v>128</v>
      </c>
      <c r="Q439" t="s">
        <v>129</v>
      </c>
      <c r="R439">
        <v>40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50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50</v>
      </c>
      <c r="AI439">
        <v>50</v>
      </c>
      <c r="AJ439">
        <v>50</v>
      </c>
      <c r="AK439">
        <v>50</v>
      </c>
      <c r="AL439">
        <v>0</v>
      </c>
      <c r="AM439">
        <v>0</v>
      </c>
      <c r="AN439">
        <v>4.5454545454545459</v>
      </c>
      <c r="AO439">
        <v>0</v>
      </c>
      <c r="AP439" t="s">
        <v>139</v>
      </c>
      <c r="AQ439" t="s">
        <v>155</v>
      </c>
      <c r="AR439" t="s">
        <v>523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 t="s">
        <v>147</v>
      </c>
      <c r="BA439">
        <v>0</v>
      </c>
      <c r="BB439">
        <v>0</v>
      </c>
      <c r="BC439" t="s">
        <v>144</v>
      </c>
      <c r="BD439">
        <v>1</v>
      </c>
      <c r="BE439" t="s">
        <v>133</v>
      </c>
      <c r="BF43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40" spans="1:58" x14ac:dyDescent="0.25">
      <c r="A440" t="s">
        <v>660</v>
      </c>
      <c r="B440" t="s">
        <v>19</v>
      </c>
      <c r="C440">
        <v>1</v>
      </c>
      <c r="D440">
        <v>441</v>
      </c>
      <c r="E440" t="s">
        <v>2110</v>
      </c>
      <c r="F440" t="s">
        <v>123</v>
      </c>
      <c r="G440" t="s">
        <v>124</v>
      </c>
      <c r="H440" t="s">
        <v>125</v>
      </c>
      <c r="I440" t="s">
        <v>148</v>
      </c>
      <c r="J440" t="s">
        <v>149</v>
      </c>
      <c r="K440" t="s">
        <v>127</v>
      </c>
      <c r="L440">
        <v>50</v>
      </c>
      <c r="M440">
        <v>1017609</v>
      </c>
      <c r="N440">
        <v>6</v>
      </c>
      <c r="O440">
        <v>2</v>
      </c>
      <c r="P440" t="s">
        <v>128</v>
      </c>
      <c r="Q440" t="s">
        <v>129</v>
      </c>
      <c r="R440">
        <v>41</v>
      </c>
      <c r="T440">
        <v>15</v>
      </c>
      <c r="U440">
        <v>15</v>
      </c>
      <c r="V440">
        <v>0</v>
      </c>
      <c r="W440">
        <v>0</v>
      </c>
      <c r="X440">
        <v>0</v>
      </c>
      <c r="Y440">
        <v>0</v>
      </c>
      <c r="Z440">
        <v>15</v>
      </c>
      <c r="AA440">
        <v>15</v>
      </c>
      <c r="AB440">
        <v>50</v>
      </c>
      <c r="AC440">
        <v>42</v>
      </c>
      <c r="AD440">
        <v>0</v>
      </c>
      <c r="AE440">
        <v>0</v>
      </c>
      <c r="AF440">
        <v>42</v>
      </c>
      <c r="AG440">
        <v>0</v>
      </c>
      <c r="AH440">
        <v>8</v>
      </c>
      <c r="AI440">
        <v>8</v>
      </c>
      <c r="AJ440">
        <v>8</v>
      </c>
      <c r="AK440">
        <v>8</v>
      </c>
      <c r="AL440">
        <v>0</v>
      </c>
      <c r="AM440">
        <v>0.12</v>
      </c>
      <c r="AN440">
        <v>0.72727272727272729</v>
      </c>
      <c r="AO440">
        <v>0</v>
      </c>
      <c r="AP440" t="s">
        <v>150</v>
      </c>
      <c r="AQ440" t="s">
        <v>131</v>
      </c>
      <c r="AR440" t="s">
        <v>523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 t="s">
        <v>147</v>
      </c>
      <c r="BA440">
        <v>6</v>
      </c>
      <c r="BB440">
        <v>0</v>
      </c>
      <c r="BC440" t="s">
        <v>132</v>
      </c>
      <c r="BD440">
        <v>0</v>
      </c>
      <c r="BE440" t="s">
        <v>133</v>
      </c>
      <c r="BF44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41" spans="1:58" x14ac:dyDescent="0.25">
      <c r="A441" t="s">
        <v>661</v>
      </c>
      <c r="B441" t="s">
        <v>19</v>
      </c>
      <c r="C441">
        <v>1</v>
      </c>
      <c r="D441">
        <v>442</v>
      </c>
      <c r="E441" t="s">
        <v>2110</v>
      </c>
      <c r="F441" t="s">
        <v>123</v>
      </c>
      <c r="G441" t="s">
        <v>124</v>
      </c>
      <c r="H441" t="s">
        <v>125</v>
      </c>
      <c r="I441" t="s">
        <v>148</v>
      </c>
      <c r="J441" t="s">
        <v>149</v>
      </c>
      <c r="K441" t="s">
        <v>127</v>
      </c>
      <c r="L441">
        <v>50</v>
      </c>
      <c r="M441">
        <v>1017611</v>
      </c>
      <c r="N441">
        <v>6</v>
      </c>
      <c r="O441">
        <v>2</v>
      </c>
      <c r="P441" t="s">
        <v>128</v>
      </c>
      <c r="Q441" t="s">
        <v>129</v>
      </c>
      <c r="R441">
        <v>41</v>
      </c>
      <c r="T441">
        <v>11</v>
      </c>
      <c r="U441">
        <v>15</v>
      </c>
      <c r="V441">
        <v>0</v>
      </c>
      <c r="W441">
        <v>0</v>
      </c>
      <c r="X441">
        <v>0</v>
      </c>
      <c r="Y441">
        <v>0</v>
      </c>
      <c r="Z441">
        <v>11</v>
      </c>
      <c r="AA441">
        <v>15</v>
      </c>
      <c r="AB441">
        <v>50</v>
      </c>
      <c r="AC441">
        <v>44</v>
      </c>
      <c r="AD441">
        <v>0</v>
      </c>
      <c r="AE441">
        <v>0</v>
      </c>
      <c r="AF441">
        <v>44</v>
      </c>
      <c r="AG441">
        <v>0</v>
      </c>
      <c r="AH441">
        <v>6</v>
      </c>
      <c r="AI441">
        <v>6</v>
      </c>
      <c r="AJ441">
        <v>6</v>
      </c>
      <c r="AK441">
        <v>6</v>
      </c>
      <c r="AL441">
        <v>0</v>
      </c>
      <c r="AM441">
        <v>0.12</v>
      </c>
      <c r="AN441">
        <v>0.54545454545454541</v>
      </c>
      <c r="AO441">
        <v>0</v>
      </c>
      <c r="AP441" t="s">
        <v>150</v>
      </c>
      <c r="AQ441" t="s">
        <v>131</v>
      </c>
      <c r="AR441" t="s">
        <v>523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 t="s">
        <v>147</v>
      </c>
      <c r="BA441">
        <v>6</v>
      </c>
      <c r="BB441">
        <v>0</v>
      </c>
      <c r="BC441" t="s">
        <v>133</v>
      </c>
      <c r="BD441">
        <v>0</v>
      </c>
      <c r="BE441" t="s">
        <v>133</v>
      </c>
      <c r="BF44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42" spans="1:58" x14ac:dyDescent="0.25">
      <c r="A442" t="s">
        <v>662</v>
      </c>
      <c r="B442" t="s">
        <v>19</v>
      </c>
      <c r="C442">
        <v>1</v>
      </c>
      <c r="D442">
        <v>443</v>
      </c>
      <c r="E442" t="s">
        <v>2110</v>
      </c>
      <c r="F442" t="s">
        <v>123</v>
      </c>
      <c r="G442" t="s">
        <v>124</v>
      </c>
      <c r="H442" t="s">
        <v>125</v>
      </c>
      <c r="I442" t="s">
        <v>148</v>
      </c>
      <c r="J442" t="s">
        <v>149</v>
      </c>
      <c r="K442" t="s">
        <v>127</v>
      </c>
      <c r="L442">
        <v>50</v>
      </c>
      <c r="M442">
        <v>1017613</v>
      </c>
      <c r="N442">
        <v>6</v>
      </c>
      <c r="O442">
        <v>2</v>
      </c>
      <c r="P442" t="s">
        <v>128</v>
      </c>
      <c r="Q442" t="s">
        <v>129</v>
      </c>
      <c r="R442">
        <v>41</v>
      </c>
      <c r="T442">
        <v>9</v>
      </c>
      <c r="U442">
        <v>15</v>
      </c>
      <c r="V442">
        <v>0</v>
      </c>
      <c r="W442">
        <v>0</v>
      </c>
      <c r="X442">
        <v>0</v>
      </c>
      <c r="Y442">
        <v>0</v>
      </c>
      <c r="Z442">
        <v>9</v>
      </c>
      <c r="AA442">
        <v>15</v>
      </c>
      <c r="AB442">
        <v>50</v>
      </c>
      <c r="AC442">
        <v>45</v>
      </c>
      <c r="AD442">
        <v>0</v>
      </c>
      <c r="AE442">
        <v>0</v>
      </c>
      <c r="AF442">
        <v>45</v>
      </c>
      <c r="AG442">
        <v>0</v>
      </c>
      <c r="AH442">
        <v>5</v>
      </c>
      <c r="AI442">
        <v>5</v>
      </c>
      <c r="AJ442">
        <v>5</v>
      </c>
      <c r="AK442">
        <v>5</v>
      </c>
      <c r="AL442">
        <v>0</v>
      </c>
      <c r="AM442">
        <v>0.12</v>
      </c>
      <c r="AN442">
        <v>0.45454545454545459</v>
      </c>
      <c r="AO442">
        <v>0</v>
      </c>
      <c r="AP442" t="s">
        <v>150</v>
      </c>
      <c r="AQ442" t="s">
        <v>131</v>
      </c>
      <c r="AR442" t="s">
        <v>523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 t="s">
        <v>147</v>
      </c>
      <c r="BA442">
        <v>6</v>
      </c>
      <c r="BB442">
        <v>0</v>
      </c>
      <c r="BC442" t="s">
        <v>133</v>
      </c>
      <c r="BD442">
        <v>0</v>
      </c>
      <c r="BE442" t="s">
        <v>133</v>
      </c>
      <c r="BF44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43" spans="1:58" x14ac:dyDescent="0.25">
      <c r="A443" t="s">
        <v>663</v>
      </c>
      <c r="B443" t="s">
        <v>19</v>
      </c>
      <c r="C443">
        <v>1</v>
      </c>
      <c r="D443">
        <v>444</v>
      </c>
      <c r="E443" t="s">
        <v>2110</v>
      </c>
      <c r="F443" t="s">
        <v>123</v>
      </c>
      <c r="G443" t="s">
        <v>124</v>
      </c>
      <c r="H443" t="s">
        <v>125</v>
      </c>
      <c r="I443" t="s">
        <v>148</v>
      </c>
      <c r="J443" t="s">
        <v>149</v>
      </c>
      <c r="K443" t="s">
        <v>127</v>
      </c>
      <c r="L443">
        <v>50</v>
      </c>
      <c r="M443">
        <v>1017615</v>
      </c>
      <c r="N443">
        <v>6</v>
      </c>
      <c r="O443">
        <v>2</v>
      </c>
      <c r="P443" t="s">
        <v>128</v>
      </c>
      <c r="Q443" t="s">
        <v>129</v>
      </c>
      <c r="R443">
        <v>41</v>
      </c>
      <c r="T443">
        <v>11</v>
      </c>
      <c r="U443">
        <v>14</v>
      </c>
      <c r="V443">
        <v>0</v>
      </c>
      <c r="W443">
        <v>0</v>
      </c>
      <c r="X443">
        <v>0</v>
      </c>
      <c r="Y443">
        <v>0</v>
      </c>
      <c r="Z443">
        <v>11</v>
      </c>
      <c r="AA443">
        <v>14</v>
      </c>
      <c r="AB443">
        <v>50</v>
      </c>
      <c r="AC443">
        <v>44</v>
      </c>
      <c r="AD443">
        <v>0</v>
      </c>
      <c r="AE443">
        <v>0</v>
      </c>
      <c r="AF443">
        <v>44</v>
      </c>
      <c r="AG443">
        <v>0</v>
      </c>
      <c r="AH443">
        <v>6</v>
      </c>
      <c r="AI443">
        <v>6</v>
      </c>
      <c r="AJ443">
        <v>6</v>
      </c>
      <c r="AK443">
        <v>6</v>
      </c>
      <c r="AL443">
        <v>0</v>
      </c>
      <c r="AM443">
        <v>0.12</v>
      </c>
      <c r="AN443">
        <v>0.54545454545454541</v>
      </c>
      <c r="AO443">
        <v>0</v>
      </c>
      <c r="AP443" t="s">
        <v>150</v>
      </c>
      <c r="AQ443" t="s">
        <v>131</v>
      </c>
      <c r="AR443" t="s">
        <v>523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 t="s">
        <v>147</v>
      </c>
      <c r="BA443">
        <v>6</v>
      </c>
      <c r="BB443">
        <v>0</v>
      </c>
      <c r="BC443" t="s">
        <v>133</v>
      </c>
      <c r="BD443">
        <v>0</v>
      </c>
      <c r="BE443" t="s">
        <v>133</v>
      </c>
      <c r="BF44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44" spans="1:58" x14ac:dyDescent="0.25">
      <c r="A444" t="s">
        <v>664</v>
      </c>
      <c r="B444" t="s">
        <v>19</v>
      </c>
      <c r="C444">
        <v>1</v>
      </c>
      <c r="D444">
        <v>445</v>
      </c>
      <c r="E444" t="s">
        <v>2110</v>
      </c>
      <c r="F444" t="s">
        <v>123</v>
      </c>
      <c r="G444" t="s">
        <v>124</v>
      </c>
      <c r="H444" t="s">
        <v>125</v>
      </c>
      <c r="I444" t="s">
        <v>148</v>
      </c>
      <c r="J444" t="s">
        <v>149</v>
      </c>
      <c r="K444" t="s">
        <v>127</v>
      </c>
      <c r="L444">
        <v>50</v>
      </c>
      <c r="M444">
        <v>1017617</v>
      </c>
      <c r="N444">
        <v>6</v>
      </c>
      <c r="O444">
        <v>2</v>
      </c>
      <c r="P444" t="s">
        <v>128</v>
      </c>
      <c r="Q444" t="s">
        <v>129</v>
      </c>
      <c r="R444">
        <v>41</v>
      </c>
      <c r="T444">
        <v>13</v>
      </c>
      <c r="U444">
        <v>15</v>
      </c>
      <c r="V444">
        <v>0</v>
      </c>
      <c r="W444">
        <v>0</v>
      </c>
      <c r="X444">
        <v>0</v>
      </c>
      <c r="Y444">
        <v>0</v>
      </c>
      <c r="Z444">
        <v>13</v>
      </c>
      <c r="AA444">
        <v>15</v>
      </c>
      <c r="AB444">
        <v>50</v>
      </c>
      <c r="AC444">
        <v>42</v>
      </c>
      <c r="AD444">
        <v>0</v>
      </c>
      <c r="AE444">
        <v>0</v>
      </c>
      <c r="AF444">
        <v>42</v>
      </c>
      <c r="AG444">
        <v>0</v>
      </c>
      <c r="AH444">
        <v>8</v>
      </c>
      <c r="AI444">
        <v>8</v>
      </c>
      <c r="AJ444">
        <v>8</v>
      </c>
      <c r="AK444">
        <v>8</v>
      </c>
      <c r="AL444">
        <v>0</v>
      </c>
      <c r="AM444">
        <v>0.12</v>
      </c>
      <c r="AN444">
        <v>0.72727272727272729</v>
      </c>
      <c r="AO444">
        <v>0</v>
      </c>
      <c r="AP444" t="s">
        <v>150</v>
      </c>
      <c r="AQ444" t="s">
        <v>131</v>
      </c>
      <c r="AR444" t="s">
        <v>523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 t="s">
        <v>147</v>
      </c>
      <c r="BA444">
        <v>6</v>
      </c>
      <c r="BB444">
        <v>0</v>
      </c>
      <c r="BC444" t="s">
        <v>133</v>
      </c>
      <c r="BD444">
        <v>0</v>
      </c>
      <c r="BE444" t="s">
        <v>133</v>
      </c>
      <c r="BF44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45" spans="1:58" x14ac:dyDescent="0.25">
      <c r="A445" t="s">
        <v>665</v>
      </c>
      <c r="B445" t="s">
        <v>19</v>
      </c>
      <c r="C445">
        <v>1</v>
      </c>
      <c r="D445">
        <v>446</v>
      </c>
      <c r="E445" t="s">
        <v>2110</v>
      </c>
      <c r="F445" t="s">
        <v>123</v>
      </c>
      <c r="G445" t="s">
        <v>124</v>
      </c>
      <c r="H445" t="s">
        <v>125</v>
      </c>
      <c r="I445" t="s">
        <v>148</v>
      </c>
      <c r="J445" t="s">
        <v>149</v>
      </c>
      <c r="K445" t="s">
        <v>127</v>
      </c>
      <c r="L445">
        <v>50</v>
      </c>
      <c r="M445">
        <v>1017619</v>
      </c>
      <c r="N445">
        <v>6</v>
      </c>
      <c r="O445">
        <v>2</v>
      </c>
      <c r="P445" t="s">
        <v>128</v>
      </c>
      <c r="Q445" t="s">
        <v>129</v>
      </c>
      <c r="R445">
        <v>41</v>
      </c>
      <c r="T445">
        <v>14</v>
      </c>
      <c r="U445">
        <v>16</v>
      </c>
      <c r="V445">
        <v>0</v>
      </c>
      <c r="W445">
        <v>0</v>
      </c>
      <c r="X445">
        <v>0</v>
      </c>
      <c r="Y445">
        <v>0</v>
      </c>
      <c r="Z445">
        <v>14</v>
      </c>
      <c r="AA445">
        <v>16</v>
      </c>
      <c r="AB445">
        <v>50</v>
      </c>
      <c r="AC445">
        <v>42</v>
      </c>
      <c r="AD445">
        <v>0</v>
      </c>
      <c r="AE445">
        <v>0</v>
      </c>
      <c r="AF445">
        <v>42</v>
      </c>
      <c r="AG445">
        <v>0</v>
      </c>
      <c r="AH445">
        <v>8</v>
      </c>
      <c r="AI445">
        <v>8</v>
      </c>
      <c r="AJ445">
        <v>8</v>
      </c>
      <c r="AK445">
        <v>8</v>
      </c>
      <c r="AL445">
        <v>0</v>
      </c>
      <c r="AM445">
        <v>0.12</v>
      </c>
      <c r="AN445">
        <v>0.72727272727272729</v>
      </c>
      <c r="AO445">
        <v>0</v>
      </c>
      <c r="AP445" t="s">
        <v>150</v>
      </c>
      <c r="AQ445" t="s">
        <v>131</v>
      </c>
      <c r="AR445" t="s">
        <v>523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 t="s">
        <v>147</v>
      </c>
      <c r="BA445">
        <v>6</v>
      </c>
      <c r="BB445">
        <v>0</v>
      </c>
      <c r="BC445" t="s">
        <v>133</v>
      </c>
      <c r="BD445">
        <v>0</v>
      </c>
      <c r="BE445" t="s">
        <v>133</v>
      </c>
      <c r="BF44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46" spans="1:58" x14ac:dyDescent="0.25">
      <c r="A446" t="s">
        <v>666</v>
      </c>
      <c r="B446" t="s">
        <v>19</v>
      </c>
      <c r="C446">
        <v>1</v>
      </c>
      <c r="D446">
        <v>447</v>
      </c>
      <c r="E446" t="s">
        <v>2110</v>
      </c>
      <c r="F446" t="s">
        <v>123</v>
      </c>
      <c r="G446" t="s">
        <v>124</v>
      </c>
      <c r="H446" t="s">
        <v>125</v>
      </c>
      <c r="I446" t="s">
        <v>148</v>
      </c>
      <c r="J446" t="s">
        <v>149</v>
      </c>
      <c r="K446" t="s">
        <v>127</v>
      </c>
      <c r="L446">
        <v>50</v>
      </c>
      <c r="M446">
        <v>1017621</v>
      </c>
      <c r="N446">
        <v>6</v>
      </c>
      <c r="O446">
        <v>2</v>
      </c>
      <c r="P446" t="s">
        <v>128</v>
      </c>
      <c r="Q446" t="s">
        <v>129</v>
      </c>
      <c r="R446">
        <v>41</v>
      </c>
      <c r="T446">
        <v>13</v>
      </c>
      <c r="U446">
        <v>14</v>
      </c>
      <c r="V446">
        <v>0</v>
      </c>
      <c r="W446">
        <v>0</v>
      </c>
      <c r="X446">
        <v>0</v>
      </c>
      <c r="Y446">
        <v>0</v>
      </c>
      <c r="Z446">
        <v>13</v>
      </c>
      <c r="AA446">
        <v>14</v>
      </c>
      <c r="AB446">
        <v>50</v>
      </c>
      <c r="AC446">
        <v>41</v>
      </c>
      <c r="AD446">
        <v>0</v>
      </c>
      <c r="AE446">
        <v>0</v>
      </c>
      <c r="AF446">
        <v>41</v>
      </c>
      <c r="AG446">
        <v>0</v>
      </c>
      <c r="AH446">
        <v>9</v>
      </c>
      <c r="AI446">
        <v>9</v>
      </c>
      <c r="AJ446">
        <v>9</v>
      </c>
      <c r="AK446">
        <v>9</v>
      </c>
      <c r="AL446">
        <v>0</v>
      </c>
      <c r="AM446">
        <v>0.12</v>
      </c>
      <c r="AN446">
        <v>0.81818181818181823</v>
      </c>
      <c r="AO446">
        <v>0</v>
      </c>
      <c r="AP446" t="s">
        <v>150</v>
      </c>
      <c r="AQ446" t="s">
        <v>131</v>
      </c>
      <c r="AR446" t="s">
        <v>523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 t="s">
        <v>147</v>
      </c>
      <c r="BA446">
        <v>6</v>
      </c>
      <c r="BB446">
        <v>0</v>
      </c>
      <c r="BC446" t="s">
        <v>133</v>
      </c>
      <c r="BD446">
        <v>0</v>
      </c>
      <c r="BE446" t="s">
        <v>133</v>
      </c>
      <c r="BF44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47" spans="1:58" x14ac:dyDescent="0.25">
      <c r="A447" t="s">
        <v>667</v>
      </c>
      <c r="B447" t="s">
        <v>19</v>
      </c>
      <c r="C447">
        <v>1</v>
      </c>
      <c r="D447">
        <v>448</v>
      </c>
      <c r="E447" t="s">
        <v>2110</v>
      </c>
      <c r="F447" t="s">
        <v>123</v>
      </c>
      <c r="G447" t="s">
        <v>124</v>
      </c>
      <c r="H447" t="s">
        <v>125</v>
      </c>
      <c r="I447" t="s">
        <v>148</v>
      </c>
      <c r="J447" t="s">
        <v>149</v>
      </c>
      <c r="K447" t="s">
        <v>127</v>
      </c>
      <c r="L447">
        <v>50</v>
      </c>
      <c r="M447">
        <v>1017623</v>
      </c>
      <c r="N447">
        <v>6</v>
      </c>
      <c r="O447">
        <v>2</v>
      </c>
      <c r="P447" t="s">
        <v>128</v>
      </c>
      <c r="Q447" t="s">
        <v>129</v>
      </c>
      <c r="R447">
        <v>41</v>
      </c>
      <c r="T447">
        <v>11</v>
      </c>
      <c r="U447">
        <v>14</v>
      </c>
      <c r="V447">
        <v>0</v>
      </c>
      <c r="W447">
        <v>0</v>
      </c>
      <c r="X447">
        <v>0</v>
      </c>
      <c r="Y447">
        <v>1</v>
      </c>
      <c r="Z447">
        <v>12</v>
      </c>
      <c r="AA447">
        <v>15</v>
      </c>
      <c r="AB447">
        <v>50</v>
      </c>
      <c r="AC447">
        <v>44</v>
      </c>
      <c r="AD447">
        <v>0</v>
      </c>
      <c r="AE447">
        <v>4</v>
      </c>
      <c r="AF447">
        <v>48</v>
      </c>
      <c r="AG447">
        <v>0</v>
      </c>
      <c r="AH447">
        <v>6</v>
      </c>
      <c r="AI447">
        <v>2</v>
      </c>
      <c r="AJ447">
        <v>2</v>
      </c>
      <c r="AK447">
        <v>6</v>
      </c>
      <c r="AL447">
        <v>0</v>
      </c>
      <c r="AM447">
        <v>0.12</v>
      </c>
      <c r="AN447">
        <v>0.18181818181818182</v>
      </c>
      <c r="AO447">
        <v>0</v>
      </c>
      <c r="AP447" t="s">
        <v>150</v>
      </c>
      <c r="AQ447" t="s">
        <v>131</v>
      </c>
      <c r="AR447" t="s">
        <v>523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 t="s">
        <v>147</v>
      </c>
      <c r="BA447">
        <v>6</v>
      </c>
      <c r="BB447">
        <v>0</v>
      </c>
      <c r="BC447" t="s">
        <v>133</v>
      </c>
      <c r="BD447">
        <v>0</v>
      </c>
      <c r="BE447" t="s">
        <v>133</v>
      </c>
      <c r="BF44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48" spans="1:58" x14ac:dyDescent="0.25">
      <c r="A448" t="s">
        <v>668</v>
      </c>
      <c r="B448" t="s">
        <v>19</v>
      </c>
      <c r="C448">
        <v>1</v>
      </c>
      <c r="D448">
        <v>449</v>
      </c>
      <c r="E448" t="s">
        <v>2110</v>
      </c>
      <c r="F448" t="s">
        <v>123</v>
      </c>
      <c r="G448" t="s">
        <v>124</v>
      </c>
      <c r="H448" t="s">
        <v>125</v>
      </c>
      <c r="I448" t="s">
        <v>148</v>
      </c>
      <c r="J448" t="s">
        <v>149</v>
      </c>
      <c r="K448" t="s">
        <v>127</v>
      </c>
      <c r="L448">
        <v>50</v>
      </c>
      <c r="M448">
        <v>1017625</v>
      </c>
      <c r="N448">
        <v>6</v>
      </c>
      <c r="O448">
        <v>2</v>
      </c>
      <c r="P448" t="s">
        <v>128</v>
      </c>
      <c r="Q448" t="s">
        <v>129</v>
      </c>
      <c r="R448">
        <v>41</v>
      </c>
      <c r="T448">
        <v>9</v>
      </c>
      <c r="U448">
        <v>15</v>
      </c>
      <c r="V448">
        <v>0</v>
      </c>
      <c r="W448">
        <v>0</v>
      </c>
      <c r="X448">
        <v>0</v>
      </c>
      <c r="Y448">
        <v>0</v>
      </c>
      <c r="Z448">
        <v>9</v>
      </c>
      <c r="AA448">
        <v>15</v>
      </c>
      <c r="AB448">
        <v>50</v>
      </c>
      <c r="AC448">
        <v>45</v>
      </c>
      <c r="AD448">
        <v>0</v>
      </c>
      <c r="AE448">
        <v>0</v>
      </c>
      <c r="AF448">
        <v>45</v>
      </c>
      <c r="AG448">
        <v>0</v>
      </c>
      <c r="AH448">
        <v>5</v>
      </c>
      <c r="AI448">
        <v>5</v>
      </c>
      <c r="AJ448">
        <v>5</v>
      </c>
      <c r="AK448">
        <v>5</v>
      </c>
      <c r="AL448">
        <v>0</v>
      </c>
      <c r="AM448">
        <v>0.12</v>
      </c>
      <c r="AN448">
        <v>0.45454545454545459</v>
      </c>
      <c r="AO448">
        <v>0</v>
      </c>
      <c r="AP448" t="s">
        <v>150</v>
      </c>
      <c r="AQ448" t="s">
        <v>131</v>
      </c>
      <c r="AR448" t="s">
        <v>523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 t="s">
        <v>147</v>
      </c>
      <c r="BA448">
        <v>6</v>
      </c>
      <c r="BB448">
        <v>0</v>
      </c>
      <c r="BC448" t="s">
        <v>133</v>
      </c>
      <c r="BD448">
        <v>0</v>
      </c>
      <c r="BE448" t="s">
        <v>133</v>
      </c>
      <c r="BF44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49" spans="1:58" x14ac:dyDescent="0.25">
      <c r="A449" t="s">
        <v>669</v>
      </c>
      <c r="B449" t="s">
        <v>19</v>
      </c>
      <c r="C449">
        <v>1</v>
      </c>
      <c r="D449">
        <v>450</v>
      </c>
      <c r="E449" t="s">
        <v>2110</v>
      </c>
      <c r="F449" t="s">
        <v>123</v>
      </c>
      <c r="G449" t="s">
        <v>124</v>
      </c>
      <c r="H449" t="s">
        <v>125</v>
      </c>
      <c r="I449" t="s">
        <v>148</v>
      </c>
      <c r="J449" t="s">
        <v>149</v>
      </c>
      <c r="K449" t="s">
        <v>127</v>
      </c>
      <c r="L449">
        <v>50</v>
      </c>
      <c r="M449">
        <v>1017627</v>
      </c>
      <c r="N449">
        <v>6</v>
      </c>
      <c r="O449">
        <v>2</v>
      </c>
      <c r="P449" t="s">
        <v>128</v>
      </c>
      <c r="Q449" t="s">
        <v>129</v>
      </c>
      <c r="R449">
        <v>41</v>
      </c>
      <c r="T449">
        <v>11</v>
      </c>
      <c r="U449">
        <v>15</v>
      </c>
      <c r="V449">
        <v>0</v>
      </c>
      <c r="W449">
        <v>0</v>
      </c>
      <c r="X449">
        <v>0</v>
      </c>
      <c r="Y449">
        <v>0</v>
      </c>
      <c r="Z449">
        <v>11</v>
      </c>
      <c r="AA449">
        <v>15</v>
      </c>
      <c r="AB449">
        <v>50</v>
      </c>
      <c r="AC449">
        <v>44</v>
      </c>
      <c r="AD449">
        <v>0</v>
      </c>
      <c r="AE449">
        <v>0</v>
      </c>
      <c r="AF449">
        <v>44</v>
      </c>
      <c r="AG449">
        <v>0</v>
      </c>
      <c r="AH449">
        <v>6</v>
      </c>
      <c r="AI449">
        <v>6</v>
      </c>
      <c r="AJ449">
        <v>6</v>
      </c>
      <c r="AK449">
        <v>6</v>
      </c>
      <c r="AL449">
        <v>0</v>
      </c>
      <c r="AM449">
        <v>0.12</v>
      </c>
      <c r="AN449">
        <v>0.54545454545454541</v>
      </c>
      <c r="AO449">
        <v>0</v>
      </c>
      <c r="AP449" t="s">
        <v>150</v>
      </c>
      <c r="AQ449" t="s">
        <v>131</v>
      </c>
      <c r="AR449" t="s">
        <v>523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 t="s">
        <v>147</v>
      </c>
      <c r="BA449">
        <v>6</v>
      </c>
      <c r="BB449">
        <v>0</v>
      </c>
      <c r="BC449" t="s">
        <v>133</v>
      </c>
      <c r="BD449">
        <v>0</v>
      </c>
      <c r="BE449" t="s">
        <v>133</v>
      </c>
      <c r="BF44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50" spans="1:58" x14ac:dyDescent="0.25">
      <c r="A450" t="s">
        <v>670</v>
      </c>
      <c r="B450" t="s">
        <v>19</v>
      </c>
      <c r="C450">
        <v>1</v>
      </c>
      <c r="D450">
        <v>451</v>
      </c>
      <c r="E450" t="s">
        <v>2110</v>
      </c>
      <c r="F450" t="s">
        <v>123</v>
      </c>
      <c r="G450" t="s">
        <v>124</v>
      </c>
      <c r="H450" t="s">
        <v>125</v>
      </c>
      <c r="I450" t="s">
        <v>148</v>
      </c>
      <c r="J450" t="s">
        <v>149</v>
      </c>
      <c r="K450" t="s">
        <v>127</v>
      </c>
      <c r="L450">
        <v>50</v>
      </c>
      <c r="M450">
        <v>1017629</v>
      </c>
      <c r="N450">
        <v>6</v>
      </c>
      <c r="O450">
        <v>2</v>
      </c>
      <c r="P450" t="s">
        <v>128</v>
      </c>
      <c r="Q450" t="s">
        <v>129</v>
      </c>
      <c r="R450">
        <v>41</v>
      </c>
      <c r="T450">
        <v>15</v>
      </c>
      <c r="U450">
        <v>15</v>
      </c>
      <c r="V450">
        <v>0</v>
      </c>
      <c r="W450">
        <v>0</v>
      </c>
      <c r="X450">
        <v>0</v>
      </c>
      <c r="Y450">
        <v>0</v>
      </c>
      <c r="Z450">
        <v>15</v>
      </c>
      <c r="AA450">
        <v>15</v>
      </c>
      <c r="AB450">
        <v>50</v>
      </c>
      <c r="AC450">
        <v>42</v>
      </c>
      <c r="AD450">
        <v>0</v>
      </c>
      <c r="AE450">
        <v>0</v>
      </c>
      <c r="AF450">
        <v>42</v>
      </c>
      <c r="AG450">
        <v>0</v>
      </c>
      <c r="AH450">
        <v>8</v>
      </c>
      <c r="AI450">
        <v>8</v>
      </c>
      <c r="AJ450">
        <v>8</v>
      </c>
      <c r="AK450">
        <v>8</v>
      </c>
      <c r="AL450">
        <v>0</v>
      </c>
      <c r="AM450">
        <v>0.12</v>
      </c>
      <c r="AN450">
        <v>0.72727272727272729</v>
      </c>
      <c r="AO450">
        <v>0</v>
      </c>
      <c r="AP450" t="s">
        <v>150</v>
      </c>
      <c r="AQ450" t="s">
        <v>131</v>
      </c>
      <c r="AR450" t="s">
        <v>523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 t="s">
        <v>147</v>
      </c>
      <c r="BA450">
        <v>6</v>
      </c>
      <c r="BB450">
        <v>0</v>
      </c>
      <c r="BC450" t="s">
        <v>144</v>
      </c>
      <c r="BD450">
        <v>0</v>
      </c>
      <c r="BE450" t="s">
        <v>133</v>
      </c>
      <c r="BF45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51" spans="1:58" x14ac:dyDescent="0.25">
      <c r="A451" t="s">
        <v>671</v>
      </c>
      <c r="B451" t="s">
        <v>19</v>
      </c>
      <c r="C451">
        <v>1</v>
      </c>
      <c r="D451">
        <v>452</v>
      </c>
      <c r="E451" t="s">
        <v>2109</v>
      </c>
      <c r="F451" t="s">
        <v>123</v>
      </c>
      <c r="G451" t="s">
        <v>124</v>
      </c>
      <c r="H451" t="s">
        <v>136</v>
      </c>
      <c r="I451" t="s">
        <v>183</v>
      </c>
      <c r="J451" t="s">
        <v>137</v>
      </c>
      <c r="K451" t="s">
        <v>127</v>
      </c>
      <c r="L451">
        <v>50</v>
      </c>
      <c r="M451">
        <v>1017631</v>
      </c>
      <c r="N451">
        <v>10</v>
      </c>
      <c r="O451">
        <v>2</v>
      </c>
      <c r="P451" t="s">
        <v>128</v>
      </c>
      <c r="Q451" t="s">
        <v>129</v>
      </c>
      <c r="R451">
        <v>42</v>
      </c>
      <c r="S451" t="s">
        <v>672</v>
      </c>
      <c r="T451">
        <v>0</v>
      </c>
      <c r="U451">
        <v>3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3</v>
      </c>
      <c r="AB451">
        <v>50</v>
      </c>
      <c r="AC451">
        <v>3</v>
      </c>
      <c r="AD451">
        <v>0</v>
      </c>
      <c r="AE451">
        <v>0</v>
      </c>
      <c r="AF451">
        <v>3</v>
      </c>
      <c r="AG451">
        <v>0</v>
      </c>
      <c r="AH451">
        <v>47</v>
      </c>
      <c r="AI451">
        <v>47</v>
      </c>
      <c r="AJ451">
        <v>47</v>
      </c>
      <c r="AK451">
        <v>47</v>
      </c>
      <c r="AL451">
        <v>0</v>
      </c>
      <c r="AM451">
        <v>0.2</v>
      </c>
      <c r="AN451">
        <v>4.2727272727272725</v>
      </c>
      <c r="AO451">
        <v>0</v>
      </c>
      <c r="AP451" t="s">
        <v>188</v>
      </c>
      <c r="AQ451" t="s">
        <v>131</v>
      </c>
      <c r="AR451" t="s">
        <v>229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 t="s">
        <v>147</v>
      </c>
      <c r="BA451">
        <v>10</v>
      </c>
      <c r="BB451">
        <v>0</v>
      </c>
      <c r="BC451" t="s">
        <v>132</v>
      </c>
      <c r="BD451">
        <v>0</v>
      </c>
      <c r="BE451" t="s">
        <v>133</v>
      </c>
      <c r="BF45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52" spans="1:58" x14ac:dyDescent="0.25">
      <c r="A452" t="s">
        <v>673</v>
      </c>
      <c r="B452" t="s">
        <v>19</v>
      </c>
      <c r="C452">
        <v>1</v>
      </c>
      <c r="D452">
        <v>453</v>
      </c>
      <c r="E452" t="s">
        <v>2109</v>
      </c>
      <c r="F452" t="s">
        <v>123</v>
      </c>
      <c r="G452" t="s">
        <v>124</v>
      </c>
      <c r="H452" t="s">
        <v>136</v>
      </c>
      <c r="I452" t="s">
        <v>183</v>
      </c>
      <c r="J452" t="s">
        <v>137</v>
      </c>
      <c r="K452" t="s">
        <v>127</v>
      </c>
      <c r="L452">
        <v>50</v>
      </c>
      <c r="M452">
        <v>1017633</v>
      </c>
      <c r="N452">
        <v>10</v>
      </c>
      <c r="O452">
        <v>2</v>
      </c>
      <c r="P452" t="s">
        <v>128</v>
      </c>
      <c r="Q452" t="s">
        <v>129</v>
      </c>
      <c r="R452">
        <v>42</v>
      </c>
      <c r="S452" t="s">
        <v>672</v>
      </c>
      <c r="T452">
        <v>0</v>
      </c>
      <c r="U452">
        <v>4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4</v>
      </c>
      <c r="AB452">
        <v>50</v>
      </c>
      <c r="AC452">
        <v>4</v>
      </c>
      <c r="AD452">
        <v>0</v>
      </c>
      <c r="AE452">
        <v>0</v>
      </c>
      <c r="AF452">
        <v>4</v>
      </c>
      <c r="AG452">
        <v>0</v>
      </c>
      <c r="AH452">
        <v>46</v>
      </c>
      <c r="AI452">
        <v>46</v>
      </c>
      <c r="AJ452">
        <v>46</v>
      </c>
      <c r="AK452">
        <v>46</v>
      </c>
      <c r="AL452">
        <v>0</v>
      </c>
      <c r="AM452">
        <v>0.2</v>
      </c>
      <c r="AN452">
        <v>4.1818181818181817</v>
      </c>
      <c r="AO452">
        <v>0</v>
      </c>
      <c r="AP452" t="s">
        <v>188</v>
      </c>
      <c r="AQ452" t="s">
        <v>131</v>
      </c>
      <c r="AR452" t="s">
        <v>229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 t="s">
        <v>147</v>
      </c>
      <c r="BA452">
        <v>10</v>
      </c>
      <c r="BB452">
        <v>0</v>
      </c>
      <c r="BC452" t="s">
        <v>133</v>
      </c>
      <c r="BD452">
        <v>0</v>
      </c>
      <c r="BE452" t="s">
        <v>133</v>
      </c>
      <c r="BF45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53" spans="1:58" x14ac:dyDescent="0.25">
      <c r="A453" t="s">
        <v>674</v>
      </c>
      <c r="B453" t="s">
        <v>19</v>
      </c>
      <c r="C453">
        <v>1</v>
      </c>
      <c r="D453">
        <v>454</v>
      </c>
      <c r="E453" t="s">
        <v>2109</v>
      </c>
      <c r="F453" t="s">
        <v>123</v>
      </c>
      <c r="G453" t="s">
        <v>124</v>
      </c>
      <c r="H453" t="s">
        <v>125</v>
      </c>
      <c r="I453" t="s">
        <v>183</v>
      </c>
      <c r="J453" t="s">
        <v>140</v>
      </c>
      <c r="K453" t="s">
        <v>166</v>
      </c>
      <c r="L453">
        <v>50</v>
      </c>
      <c r="M453">
        <v>3439072</v>
      </c>
      <c r="N453">
        <v>20</v>
      </c>
      <c r="O453">
        <v>2</v>
      </c>
      <c r="P453" t="s">
        <v>128</v>
      </c>
      <c r="Q453" t="s">
        <v>129</v>
      </c>
      <c r="R453">
        <v>42</v>
      </c>
      <c r="S453" t="s">
        <v>675</v>
      </c>
      <c r="T453">
        <v>22</v>
      </c>
      <c r="U453">
        <v>25</v>
      </c>
      <c r="V453">
        <v>0</v>
      </c>
      <c r="W453">
        <v>0</v>
      </c>
      <c r="X453">
        <v>0</v>
      </c>
      <c r="Y453">
        <v>0</v>
      </c>
      <c r="Z453">
        <v>22</v>
      </c>
      <c r="AA453">
        <v>25</v>
      </c>
      <c r="AB453">
        <v>50</v>
      </c>
      <c r="AC453">
        <v>49</v>
      </c>
      <c r="AD453">
        <v>0</v>
      </c>
      <c r="AE453">
        <v>0</v>
      </c>
      <c r="AF453">
        <v>49</v>
      </c>
      <c r="AG453">
        <v>0</v>
      </c>
      <c r="AH453">
        <v>1</v>
      </c>
      <c r="AI453">
        <v>1</v>
      </c>
      <c r="AJ453">
        <v>1</v>
      </c>
      <c r="AK453">
        <v>1</v>
      </c>
      <c r="AL453">
        <v>0</v>
      </c>
      <c r="AM453">
        <v>0.4</v>
      </c>
      <c r="AN453">
        <v>9.0909090909090912E-2</v>
      </c>
      <c r="AO453">
        <v>0</v>
      </c>
      <c r="AP453" t="s">
        <v>184</v>
      </c>
      <c r="AQ453" t="s">
        <v>131</v>
      </c>
      <c r="AR453" t="s">
        <v>229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 t="s">
        <v>135</v>
      </c>
      <c r="BA453">
        <v>20</v>
      </c>
      <c r="BB453">
        <v>0</v>
      </c>
      <c r="BC453" t="s">
        <v>133</v>
      </c>
      <c r="BD453">
        <v>0</v>
      </c>
      <c r="BE453" t="s">
        <v>133</v>
      </c>
      <c r="BF45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54" spans="1:58" x14ac:dyDescent="0.25">
      <c r="A454" t="s">
        <v>676</v>
      </c>
      <c r="B454" t="s">
        <v>19</v>
      </c>
      <c r="C454">
        <v>1</v>
      </c>
      <c r="D454">
        <v>455</v>
      </c>
      <c r="E454" t="s">
        <v>2109</v>
      </c>
      <c r="F454" t="s">
        <v>123</v>
      </c>
      <c r="G454" t="s">
        <v>124</v>
      </c>
      <c r="H454" t="s">
        <v>125</v>
      </c>
      <c r="I454" t="s">
        <v>183</v>
      </c>
      <c r="J454" t="s">
        <v>140</v>
      </c>
      <c r="K454" t="s">
        <v>127</v>
      </c>
      <c r="L454">
        <v>50</v>
      </c>
      <c r="M454">
        <v>3467150</v>
      </c>
      <c r="N454">
        <v>20</v>
      </c>
      <c r="O454">
        <v>2</v>
      </c>
      <c r="P454" t="s">
        <v>128</v>
      </c>
      <c r="Q454" t="s">
        <v>129</v>
      </c>
      <c r="R454">
        <v>42</v>
      </c>
      <c r="S454" t="s">
        <v>677</v>
      </c>
      <c r="T454">
        <v>9</v>
      </c>
      <c r="U454">
        <v>12</v>
      </c>
      <c r="V454">
        <v>5</v>
      </c>
      <c r="W454">
        <v>0</v>
      </c>
      <c r="X454">
        <v>5</v>
      </c>
      <c r="Y454">
        <v>0</v>
      </c>
      <c r="Z454">
        <v>13</v>
      </c>
      <c r="AA454">
        <v>17</v>
      </c>
      <c r="AB454">
        <v>50</v>
      </c>
      <c r="AC454">
        <v>23</v>
      </c>
      <c r="AD454">
        <v>9</v>
      </c>
      <c r="AE454">
        <v>0</v>
      </c>
      <c r="AF454">
        <v>32</v>
      </c>
      <c r="AG454">
        <v>0</v>
      </c>
      <c r="AH454">
        <v>27</v>
      </c>
      <c r="AI454">
        <v>18</v>
      </c>
      <c r="AJ454">
        <v>27</v>
      </c>
      <c r="AK454">
        <v>27</v>
      </c>
      <c r="AL454">
        <v>0</v>
      </c>
      <c r="AM454">
        <v>0.4</v>
      </c>
      <c r="AN454">
        <v>2.4545454545454546</v>
      </c>
      <c r="AO454">
        <v>0</v>
      </c>
      <c r="AP454" t="s">
        <v>188</v>
      </c>
      <c r="AQ454" t="s">
        <v>131</v>
      </c>
      <c r="AR454" t="s">
        <v>229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 t="s">
        <v>147</v>
      </c>
      <c r="BA454">
        <v>20</v>
      </c>
      <c r="BB454">
        <v>0</v>
      </c>
      <c r="BC454" t="s">
        <v>133</v>
      </c>
      <c r="BD454">
        <v>0</v>
      </c>
      <c r="BE454" t="s">
        <v>133</v>
      </c>
      <c r="BF45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55" spans="1:58" x14ac:dyDescent="0.25">
      <c r="A455" t="s">
        <v>678</v>
      </c>
      <c r="B455" t="s">
        <v>19</v>
      </c>
      <c r="C455">
        <v>1</v>
      </c>
      <c r="D455">
        <v>456</v>
      </c>
      <c r="E455" t="s">
        <v>2109</v>
      </c>
      <c r="F455" t="s">
        <v>123</v>
      </c>
      <c r="G455" t="s">
        <v>124</v>
      </c>
      <c r="H455" t="s">
        <v>125</v>
      </c>
      <c r="I455" t="s">
        <v>154</v>
      </c>
      <c r="J455" t="s">
        <v>154</v>
      </c>
      <c r="K455" t="s">
        <v>151</v>
      </c>
      <c r="L455">
        <v>50</v>
      </c>
      <c r="M455">
        <v>1017639</v>
      </c>
      <c r="N455">
        <v>0</v>
      </c>
      <c r="O455">
        <v>2</v>
      </c>
      <c r="P455" t="s">
        <v>128</v>
      </c>
      <c r="Q455" t="s">
        <v>129</v>
      </c>
      <c r="R455">
        <v>42</v>
      </c>
      <c r="S455" t="s">
        <v>189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50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50</v>
      </c>
      <c r="AJ455">
        <v>50</v>
      </c>
      <c r="AK455">
        <v>50</v>
      </c>
      <c r="AL455">
        <v>50</v>
      </c>
      <c r="AM455">
        <v>0</v>
      </c>
      <c r="AN455">
        <v>4.5454545454545459</v>
      </c>
      <c r="AO455">
        <v>0</v>
      </c>
      <c r="AP455" t="s">
        <v>172</v>
      </c>
      <c r="AQ455" t="s">
        <v>155</v>
      </c>
      <c r="AR455" t="s">
        <v>229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 t="s">
        <v>147</v>
      </c>
      <c r="BA455">
        <v>0</v>
      </c>
      <c r="BB455">
        <v>0</v>
      </c>
      <c r="BC455" t="s">
        <v>133</v>
      </c>
      <c r="BD455">
        <v>1</v>
      </c>
      <c r="BE455" t="s">
        <v>133</v>
      </c>
      <c r="BF45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56" spans="1:58" x14ac:dyDescent="0.25">
      <c r="A456" t="s">
        <v>679</v>
      </c>
      <c r="B456" t="s">
        <v>19</v>
      </c>
      <c r="C456">
        <v>1</v>
      </c>
      <c r="D456">
        <v>457</v>
      </c>
      <c r="E456" t="s">
        <v>2109</v>
      </c>
      <c r="F456" t="s">
        <v>123</v>
      </c>
      <c r="G456" t="s">
        <v>124</v>
      </c>
      <c r="H456" t="s">
        <v>125</v>
      </c>
      <c r="I456" t="s">
        <v>154</v>
      </c>
      <c r="J456" t="s">
        <v>154</v>
      </c>
      <c r="K456" t="s">
        <v>151</v>
      </c>
      <c r="L456">
        <v>50</v>
      </c>
      <c r="M456">
        <v>1017641</v>
      </c>
      <c r="N456">
        <v>0</v>
      </c>
      <c r="O456">
        <v>2</v>
      </c>
      <c r="P456" t="s">
        <v>128</v>
      </c>
      <c r="Q456" t="s">
        <v>129</v>
      </c>
      <c r="R456">
        <v>42</v>
      </c>
      <c r="S456" t="s">
        <v>189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50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50</v>
      </c>
      <c r="AJ456">
        <v>50</v>
      </c>
      <c r="AK456">
        <v>50</v>
      </c>
      <c r="AL456">
        <v>50</v>
      </c>
      <c r="AM456">
        <v>0</v>
      </c>
      <c r="AN456">
        <v>4.5454545454545459</v>
      </c>
      <c r="AO456">
        <v>0</v>
      </c>
      <c r="AP456" t="s">
        <v>172</v>
      </c>
      <c r="AQ456" t="s">
        <v>155</v>
      </c>
      <c r="AR456" t="s">
        <v>229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 t="s">
        <v>147</v>
      </c>
      <c r="BA456">
        <v>0</v>
      </c>
      <c r="BB456">
        <v>0</v>
      </c>
      <c r="BC456" t="s">
        <v>133</v>
      </c>
      <c r="BD456">
        <v>2</v>
      </c>
      <c r="BE456" t="s">
        <v>133</v>
      </c>
      <c r="BF45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57" spans="1:58" x14ac:dyDescent="0.25">
      <c r="A457" t="s">
        <v>680</v>
      </c>
      <c r="B457" t="s">
        <v>19</v>
      </c>
      <c r="C457">
        <v>1</v>
      </c>
      <c r="D457">
        <v>458</v>
      </c>
      <c r="E457" t="s">
        <v>2109</v>
      </c>
      <c r="F457" t="s">
        <v>123</v>
      </c>
      <c r="G457" t="s">
        <v>124</v>
      </c>
      <c r="H457" t="s">
        <v>125</v>
      </c>
      <c r="I457" t="s">
        <v>154</v>
      </c>
      <c r="J457" t="s">
        <v>154</v>
      </c>
      <c r="K457" t="s">
        <v>151</v>
      </c>
      <c r="L457">
        <v>50</v>
      </c>
      <c r="M457">
        <v>1017643</v>
      </c>
      <c r="N457">
        <v>0</v>
      </c>
      <c r="O457">
        <v>2</v>
      </c>
      <c r="P457" t="s">
        <v>128</v>
      </c>
      <c r="Q457" t="s">
        <v>129</v>
      </c>
      <c r="R457">
        <v>42</v>
      </c>
      <c r="S457" t="s">
        <v>189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50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50</v>
      </c>
      <c r="AJ457">
        <v>50</v>
      </c>
      <c r="AK457">
        <v>50</v>
      </c>
      <c r="AL457">
        <v>50</v>
      </c>
      <c r="AM457">
        <v>0</v>
      </c>
      <c r="AN457">
        <v>4.5454545454545459</v>
      </c>
      <c r="AO457">
        <v>0</v>
      </c>
      <c r="AP457" t="s">
        <v>172</v>
      </c>
      <c r="AQ457" t="s">
        <v>155</v>
      </c>
      <c r="AR457" t="s">
        <v>229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 t="s">
        <v>147</v>
      </c>
      <c r="BA457">
        <v>0</v>
      </c>
      <c r="BB457">
        <v>0</v>
      </c>
      <c r="BC457" t="s">
        <v>133</v>
      </c>
      <c r="BD457">
        <v>3</v>
      </c>
      <c r="BE457" t="s">
        <v>133</v>
      </c>
      <c r="BF45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58" spans="1:58" x14ac:dyDescent="0.25">
      <c r="A458" t="s">
        <v>681</v>
      </c>
      <c r="B458" t="s">
        <v>19</v>
      </c>
      <c r="C458">
        <v>1</v>
      </c>
      <c r="D458">
        <v>459</v>
      </c>
      <c r="E458" t="s">
        <v>2109</v>
      </c>
      <c r="F458" t="s">
        <v>123</v>
      </c>
      <c r="G458" t="s">
        <v>124</v>
      </c>
      <c r="H458" t="s">
        <v>125</v>
      </c>
      <c r="I458" t="s">
        <v>154</v>
      </c>
      <c r="J458" t="s">
        <v>154</v>
      </c>
      <c r="K458" t="s">
        <v>151</v>
      </c>
      <c r="L458">
        <v>50</v>
      </c>
      <c r="M458">
        <v>1017645</v>
      </c>
      <c r="N458">
        <v>0</v>
      </c>
      <c r="O458">
        <v>2</v>
      </c>
      <c r="P458" t="s">
        <v>128</v>
      </c>
      <c r="Q458" t="s">
        <v>129</v>
      </c>
      <c r="R458">
        <v>42</v>
      </c>
      <c r="S458" t="s">
        <v>189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50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50</v>
      </c>
      <c r="AJ458">
        <v>50</v>
      </c>
      <c r="AK458">
        <v>50</v>
      </c>
      <c r="AL458">
        <v>50</v>
      </c>
      <c r="AM458">
        <v>0</v>
      </c>
      <c r="AN458">
        <v>4.5454545454545459</v>
      </c>
      <c r="AO458">
        <v>0</v>
      </c>
      <c r="AP458" t="s">
        <v>172</v>
      </c>
      <c r="AQ458" t="s">
        <v>155</v>
      </c>
      <c r="AR458" t="s">
        <v>229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 t="s">
        <v>147</v>
      </c>
      <c r="BA458">
        <v>0</v>
      </c>
      <c r="BB458">
        <v>0</v>
      </c>
      <c r="BC458" t="s">
        <v>133</v>
      </c>
      <c r="BD458">
        <v>4</v>
      </c>
      <c r="BE458" t="s">
        <v>133</v>
      </c>
      <c r="BF45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59" spans="1:58" x14ac:dyDescent="0.25">
      <c r="A459" t="s">
        <v>682</v>
      </c>
      <c r="B459" t="s">
        <v>19</v>
      </c>
      <c r="C459">
        <v>1</v>
      </c>
      <c r="D459">
        <v>460</v>
      </c>
      <c r="E459" t="s">
        <v>2109</v>
      </c>
      <c r="F459" t="s">
        <v>123</v>
      </c>
      <c r="G459" t="s">
        <v>124</v>
      </c>
      <c r="H459" t="s">
        <v>125</v>
      </c>
      <c r="I459" t="s">
        <v>154</v>
      </c>
      <c r="J459" t="s">
        <v>154</v>
      </c>
      <c r="K459" t="s">
        <v>151</v>
      </c>
      <c r="L459">
        <v>50</v>
      </c>
      <c r="M459">
        <v>1017647</v>
      </c>
      <c r="N459">
        <v>0</v>
      </c>
      <c r="O459">
        <v>2</v>
      </c>
      <c r="P459" t="s">
        <v>128</v>
      </c>
      <c r="Q459" t="s">
        <v>129</v>
      </c>
      <c r="R459">
        <v>42</v>
      </c>
      <c r="S459" t="s">
        <v>189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50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50</v>
      </c>
      <c r="AJ459">
        <v>50</v>
      </c>
      <c r="AK459">
        <v>50</v>
      </c>
      <c r="AL459">
        <v>50</v>
      </c>
      <c r="AM459">
        <v>0</v>
      </c>
      <c r="AN459">
        <v>4.5454545454545459</v>
      </c>
      <c r="AO459">
        <v>0</v>
      </c>
      <c r="AP459" t="s">
        <v>172</v>
      </c>
      <c r="AQ459" t="s">
        <v>155</v>
      </c>
      <c r="AR459" t="s">
        <v>229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 t="s">
        <v>147</v>
      </c>
      <c r="BA459">
        <v>0</v>
      </c>
      <c r="BB459">
        <v>0</v>
      </c>
      <c r="BC459" t="s">
        <v>133</v>
      </c>
      <c r="BD459">
        <v>5</v>
      </c>
      <c r="BE459" t="s">
        <v>133</v>
      </c>
      <c r="BF45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60" spans="1:58" x14ac:dyDescent="0.25">
      <c r="A460" t="s">
        <v>683</v>
      </c>
      <c r="B460" t="s">
        <v>19</v>
      </c>
      <c r="C460">
        <v>1</v>
      </c>
      <c r="D460">
        <v>461</v>
      </c>
      <c r="E460" t="s">
        <v>2109</v>
      </c>
      <c r="F460" t="s">
        <v>123</v>
      </c>
      <c r="G460" t="s">
        <v>124</v>
      </c>
      <c r="H460" t="s">
        <v>125</v>
      </c>
      <c r="I460" t="s">
        <v>154</v>
      </c>
      <c r="J460" t="s">
        <v>154</v>
      </c>
      <c r="K460" t="s">
        <v>151</v>
      </c>
      <c r="L460">
        <v>50</v>
      </c>
      <c r="M460">
        <v>1017649</v>
      </c>
      <c r="N460">
        <v>0</v>
      </c>
      <c r="O460">
        <v>2</v>
      </c>
      <c r="P460" t="s">
        <v>128</v>
      </c>
      <c r="Q460" t="s">
        <v>129</v>
      </c>
      <c r="R460">
        <v>42</v>
      </c>
      <c r="S460" t="s">
        <v>189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50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50</v>
      </c>
      <c r="AJ460">
        <v>50</v>
      </c>
      <c r="AK460">
        <v>50</v>
      </c>
      <c r="AL460">
        <v>50</v>
      </c>
      <c r="AM460">
        <v>0</v>
      </c>
      <c r="AN460">
        <v>4.5454545454545459</v>
      </c>
      <c r="AO460">
        <v>0</v>
      </c>
      <c r="AP460" t="s">
        <v>172</v>
      </c>
      <c r="AQ460" t="s">
        <v>155</v>
      </c>
      <c r="AR460" t="s">
        <v>229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 t="s">
        <v>147</v>
      </c>
      <c r="BA460">
        <v>0</v>
      </c>
      <c r="BB460">
        <v>0</v>
      </c>
      <c r="BC460" t="s">
        <v>133</v>
      </c>
      <c r="BD460">
        <v>6</v>
      </c>
      <c r="BE460" t="s">
        <v>133</v>
      </c>
      <c r="BF46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61" spans="1:58" x14ac:dyDescent="0.25">
      <c r="A461" t="s">
        <v>684</v>
      </c>
      <c r="B461" t="s">
        <v>19</v>
      </c>
      <c r="C461">
        <v>1</v>
      </c>
      <c r="D461">
        <v>462</v>
      </c>
      <c r="E461" t="s">
        <v>2109</v>
      </c>
      <c r="F461" t="s">
        <v>123</v>
      </c>
      <c r="G461" t="s">
        <v>124</v>
      </c>
      <c r="H461" t="s">
        <v>125</v>
      </c>
      <c r="I461" t="s">
        <v>154</v>
      </c>
      <c r="J461" t="s">
        <v>154</v>
      </c>
      <c r="K461" t="s">
        <v>151</v>
      </c>
      <c r="L461">
        <v>50</v>
      </c>
      <c r="M461">
        <v>1017651</v>
      </c>
      <c r="N461">
        <v>0</v>
      </c>
      <c r="O461">
        <v>2</v>
      </c>
      <c r="P461" t="s">
        <v>128</v>
      </c>
      <c r="Q461" t="s">
        <v>129</v>
      </c>
      <c r="R461">
        <v>42</v>
      </c>
      <c r="S461" t="s">
        <v>189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50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50</v>
      </c>
      <c r="AJ461">
        <v>50</v>
      </c>
      <c r="AK461">
        <v>50</v>
      </c>
      <c r="AL461">
        <v>50</v>
      </c>
      <c r="AM461">
        <v>0</v>
      </c>
      <c r="AN461">
        <v>4.5454545454545459</v>
      </c>
      <c r="AO461">
        <v>0</v>
      </c>
      <c r="AP461" t="s">
        <v>172</v>
      </c>
      <c r="AQ461" t="s">
        <v>155</v>
      </c>
      <c r="AR461" t="s">
        <v>229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 t="s">
        <v>147</v>
      </c>
      <c r="BA461">
        <v>0</v>
      </c>
      <c r="BB461">
        <v>0</v>
      </c>
      <c r="BC461" t="s">
        <v>144</v>
      </c>
      <c r="BD461">
        <v>7</v>
      </c>
      <c r="BE461" t="s">
        <v>133</v>
      </c>
      <c r="BF46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62" spans="1:58" x14ac:dyDescent="0.25">
      <c r="A462" t="s">
        <v>685</v>
      </c>
      <c r="B462" t="s">
        <v>19</v>
      </c>
      <c r="C462">
        <v>1</v>
      </c>
      <c r="D462">
        <v>463</v>
      </c>
      <c r="E462" t="s">
        <v>2110</v>
      </c>
      <c r="F462" t="s">
        <v>123</v>
      </c>
      <c r="G462" t="s">
        <v>124</v>
      </c>
      <c r="H462" t="s">
        <v>125</v>
      </c>
      <c r="I462" t="s">
        <v>148</v>
      </c>
      <c r="J462" t="s">
        <v>157</v>
      </c>
      <c r="K462" t="s">
        <v>127</v>
      </c>
      <c r="L462">
        <v>50</v>
      </c>
      <c r="M462">
        <v>1017653</v>
      </c>
      <c r="N462">
        <v>6</v>
      </c>
      <c r="O462">
        <v>2</v>
      </c>
      <c r="P462" t="s">
        <v>128</v>
      </c>
      <c r="Q462" t="s">
        <v>129</v>
      </c>
      <c r="R462">
        <v>43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50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50</v>
      </c>
      <c r="AI462">
        <v>50</v>
      </c>
      <c r="AJ462">
        <v>50</v>
      </c>
      <c r="AK462">
        <v>50</v>
      </c>
      <c r="AL462">
        <v>0</v>
      </c>
      <c r="AM462">
        <v>0.12</v>
      </c>
      <c r="AN462">
        <v>4.5454545454545459</v>
      </c>
      <c r="AO462">
        <v>0</v>
      </c>
      <c r="AP462" t="s">
        <v>150</v>
      </c>
      <c r="AQ462" t="s">
        <v>155</v>
      </c>
      <c r="AR462" t="s">
        <v>523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 t="s">
        <v>147</v>
      </c>
      <c r="BA462">
        <v>6</v>
      </c>
      <c r="BB462">
        <v>0</v>
      </c>
      <c r="BC462" t="s">
        <v>132</v>
      </c>
      <c r="BD462">
        <v>1</v>
      </c>
      <c r="BE462" t="s">
        <v>133</v>
      </c>
      <c r="BF46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63" spans="1:58" x14ac:dyDescent="0.25">
      <c r="A463" t="s">
        <v>686</v>
      </c>
      <c r="B463" t="s">
        <v>19</v>
      </c>
      <c r="C463">
        <v>1</v>
      </c>
      <c r="D463">
        <v>464</v>
      </c>
      <c r="E463" t="s">
        <v>2110</v>
      </c>
      <c r="F463" t="s">
        <v>123</v>
      </c>
      <c r="G463" t="s">
        <v>124</v>
      </c>
      <c r="H463" t="s">
        <v>125</v>
      </c>
      <c r="I463" t="s">
        <v>148</v>
      </c>
      <c r="J463" t="s">
        <v>157</v>
      </c>
      <c r="K463" t="s">
        <v>127</v>
      </c>
      <c r="L463">
        <v>50</v>
      </c>
      <c r="M463">
        <v>1017655</v>
      </c>
      <c r="N463">
        <v>6</v>
      </c>
      <c r="O463">
        <v>2</v>
      </c>
      <c r="P463" t="s">
        <v>128</v>
      </c>
      <c r="Q463" t="s">
        <v>129</v>
      </c>
      <c r="R463">
        <v>43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50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50</v>
      </c>
      <c r="AI463">
        <v>50</v>
      </c>
      <c r="AJ463">
        <v>50</v>
      </c>
      <c r="AK463">
        <v>50</v>
      </c>
      <c r="AL463">
        <v>0</v>
      </c>
      <c r="AM463">
        <v>0.12</v>
      </c>
      <c r="AN463">
        <v>4.5454545454545459</v>
      </c>
      <c r="AO463">
        <v>0</v>
      </c>
      <c r="AP463" t="s">
        <v>150</v>
      </c>
      <c r="AQ463" t="s">
        <v>155</v>
      </c>
      <c r="AR463" t="s">
        <v>523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 t="s">
        <v>147</v>
      </c>
      <c r="BA463">
        <v>6</v>
      </c>
      <c r="BB463">
        <v>0</v>
      </c>
      <c r="BC463" t="s">
        <v>133</v>
      </c>
      <c r="BD463">
        <v>2</v>
      </c>
      <c r="BE463" t="s">
        <v>133</v>
      </c>
      <c r="BF46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64" spans="1:58" x14ac:dyDescent="0.25">
      <c r="A464" t="s">
        <v>687</v>
      </c>
      <c r="B464" t="s">
        <v>19</v>
      </c>
      <c r="C464">
        <v>1</v>
      </c>
      <c r="D464">
        <v>465</v>
      </c>
      <c r="E464" t="s">
        <v>2110</v>
      </c>
      <c r="F464" t="s">
        <v>123</v>
      </c>
      <c r="G464" t="s">
        <v>124</v>
      </c>
      <c r="H464" t="s">
        <v>125</v>
      </c>
      <c r="I464" t="s">
        <v>148</v>
      </c>
      <c r="J464" t="s">
        <v>157</v>
      </c>
      <c r="K464" t="s">
        <v>127</v>
      </c>
      <c r="L464">
        <v>50</v>
      </c>
      <c r="M464">
        <v>1017657</v>
      </c>
      <c r="N464">
        <v>6</v>
      </c>
      <c r="O464">
        <v>2</v>
      </c>
      <c r="P464" t="s">
        <v>128</v>
      </c>
      <c r="Q464" t="s">
        <v>129</v>
      </c>
      <c r="R464">
        <v>43</v>
      </c>
      <c r="T464">
        <v>0</v>
      </c>
      <c r="U464">
        <v>6</v>
      </c>
      <c r="V464">
        <v>0</v>
      </c>
      <c r="W464">
        <v>0</v>
      </c>
      <c r="X464">
        <v>0</v>
      </c>
      <c r="Y464">
        <v>1</v>
      </c>
      <c r="Z464">
        <v>0</v>
      </c>
      <c r="AA464">
        <v>7</v>
      </c>
      <c r="AB464">
        <v>50</v>
      </c>
      <c r="AC464">
        <v>22</v>
      </c>
      <c r="AD464">
        <v>0</v>
      </c>
      <c r="AE464">
        <v>1</v>
      </c>
      <c r="AF464">
        <v>23</v>
      </c>
      <c r="AG464">
        <v>0</v>
      </c>
      <c r="AH464">
        <v>28</v>
      </c>
      <c r="AI464">
        <v>27</v>
      </c>
      <c r="AJ464">
        <v>27</v>
      </c>
      <c r="AK464">
        <v>28</v>
      </c>
      <c r="AL464">
        <v>0</v>
      </c>
      <c r="AM464">
        <v>0.12</v>
      </c>
      <c r="AN464">
        <v>2.4545454545454546</v>
      </c>
      <c r="AO464">
        <v>0</v>
      </c>
      <c r="AP464" t="s">
        <v>150</v>
      </c>
      <c r="AQ464" t="s">
        <v>131</v>
      </c>
      <c r="AR464" t="s">
        <v>523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 t="s">
        <v>147</v>
      </c>
      <c r="BA464">
        <v>6</v>
      </c>
      <c r="BB464">
        <v>0</v>
      </c>
      <c r="BC464" t="s">
        <v>133</v>
      </c>
      <c r="BD464">
        <v>0</v>
      </c>
      <c r="BE464" t="s">
        <v>133</v>
      </c>
      <c r="BF46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65" spans="1:58" x14ac:dyDescent="0.25">
      <c r="A465" t="s">
        <v>688</v>
      </c>
      <c r="B465" t="s">
        <v>19</v>
      </c>
      <c r="C465">
        <v>1</v>
      </c>
      <c r="D465">
        <v>466</v>
      </c>
      <c r="E465" t="s">
        <v>2110</v>
      </c>
      <c r="F465" t="s">
        <v>123</v>
      </c>
      <c r="G465" t="s">
        <v>124</v>
      </c>
      <c r="H465" t="s">
        <v>125</v>
      </c>
      <c r="I465" t="s">
        <v>148</v>
      </c>
      <c r="J465" t="s">
        <v>157</v>
      </c>
      <c r="K465" t="s">
        <v>127</v>
      </c>
      <c r="L465">
        <v>50</v>
      </c>
      <c r="M465">
        <v>1017659</v>
      </c>
      <c r="N465">
        <v>6</v>
      </c>
      <c r="O465">
        <v>2</v>
      </c>
      <c r="P465" t="s">
        <v>128</v>
      </c>
      <c r="Q465" t="s">
        <v>129</v>
      </c>
      <c r="R465">
        <v>43</v>
      </c>
      <c r="T465">
        <v>0</v>
      </c>
      <c r="U465">
        <v>2</v>
      </c>
      <c r="V465">
        <v>0</v>
      </c>
      <c r="W465">
        <v>0</v>
      </c>
      <c r="X465">
        <v>0</v>
      </c>
      <c r="Y465">
        <v>1</v>
      </c>
      <c r="Z465">
        <v>0</v>
      </c>
      <c r="AA465">
        <v>3</v>
      </c>
      <c r="AB465">
        <v>50</v>
      </c>
      <c r="AC465">
        <v>2</v>
      </c>
      <c r="AD465">
        <v>0</v>
      </c>
      <c r="AE465">
        <v>1</v>
      </c>
      <c r="AF465">
        <v>3</v>
      </c>
      <c r="AG465">
        <v>0</v>
      </c>
      <c r="AH465">
        <v>48</v>
      </c>
      <c r="AI465">
        <v>47</v>
      </c>
      <c r="AJ465">
        <v>47</v>
      </c>
      <c r="AK465">
        <v>48</v>
      </c>
      <c r="AL465">
        <v>0</v>
      </c>
      <c r="AM465">
        <v>0.12</v>
      </c>
      <c r="AN465">
        <v>4.2727272727272725</v>
      </c>
      <c r="AO465">
        <v>0</v>
      </c>
      <c r="AP465" t="s">
        <v>150</v>
      </c>
      <c r="AQ465" t="s">
        <v>131</v>
      </c>
      <c r="AR465" t="s">
        <v>523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 t="s">
        <v>147</v>
      </c>
      <c r="BA465">
        <v>6</v>
      </c>
      <c r="BB465">
        <v>0</v>
      </c>
      <c r="BC465" t="s">
        <v>133</v>
      </c>
      <c r="BD465">
        <v>0</v>
      </c>
      <c r="BE465" t="s">
        <v>133</v>
      </c>
      <c r="BF46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66" spans="1:58" x14ac:dyDescent="0.25">
      <c r="A466" t="s">
        <v>689</v>
      </c>
      <c r="B466" t="s">
        <v>19</v>
      </c>
      <c r="C466">
        <v>1</v>
      </c>
      <c r="D466">
        <v>467</v>
      </c>
      <c r="E466" t="s">
        <v>2110</v>
      </c>
      <c r="F466" t="s">
        <v>123</v>
      </c>
      <c r="G466" t="s">
        <v>124</v>
      </c>
      <c r="H466" t="s">
        <v>125</v>
      </c>
      <c r="I466" t="s">
        <v>148</v>
      </c>
      <c r="J466" t="s">
        <v>157</v>
      </c>
      <c r="K466" t="s">
        <v>127</v>
      </c>
      <c r="L466">
        <v>50</v>
      </c>
      <c r="M466">
        <v>1017661</v>
      </c>
      <c r="N466">
        <v>6</v>
      </c>
      <c r="O466">
        <v>2</v>
      </c>
      <c r="P466" t="s">
        <v>128</v>
      </c>
      <c r="Q466" t="s">
        <v>129</v>
      </c>
      <c r="R466">
        <v>43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50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50</v>
      </c>
      <c r="AI466">
        <v>50</v>
      </c>
      <c r="AJ466">
        <v>50</v>
      </c>
      <c r="AK466">
        <v>50</v>
      </c>
      <c r="AL466">
        <v>0</v>
      </c>
      <c r="AM466">
        <v>0.12</v>
      </c>
      <c r="AN466">
        <v>4.5454545454545459</v>
      </c>
      <c r="AO466">
        <v>0</v>
      </c>
      <c r="AP466" t="s">
        <v>150</v>
      </c>
      <c r="AQ466" t="s">
        <v>155</v>
      </c>
      <c r="AR466" t="s">
        <v>523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 t="s">
        <v>147</v>
      </c>
      <c r="BA466">
        <v>6</v>
      </c>
      <c r="BB466">
        <v>0</v>
      </c>
      <c r="BC466" t="s">
        <v>133</v>
      </c>
      <c r="BD466">
        <v>1</v>
      </c>
      <c r="BE466" t="s">
        <v>133</v>
      </c>
      <c r="BF46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67" spans="1:58" x14ac:dyDescent="0.25">
      <c r="A467" t="s">
        <v>690</v>
      </c>
      <c r="B467" t="s">
        <v>19</v>
      </c>
      <c r="C467">
        <v>1</v>
      </c>
      <c r="D467">
        <v>468</v>
      </c>
      <c r="E467" t="s">
        <v>2110</v>
      </c>
      <c r="F467" t="s">
        <v>123</v>
      </c>
      <c r="G467" t="s">
        <v>124</v>
      </c>
      <c r="H467" t="s">
        <v>125</v>
      </c>
      <c r="I467" t="s">
        <v>148</v>
      </c>
      <c r="J467" t="s">
        <v>157</v>
      </c>
      <c r="K467" t="s">
        <v>127</v>
      </c>
      <c r="L467">
        <v>50</v>
      </c>
      <c r="M467">
        <v>1017663</v>
      </c>
      <c r="N467">
        <v>6</v>
      </c>
      <c r="O467">
        <v>2</v>
      </c>
      <c r="P467" t="s">
        <v>128</v>
      </c>
      <c r="Q467" t="s">
        <v>129</v>
      </c>
      <c r="R467">
        <v>43</v>
      </c>
      <c r="T467">
        <v>0</v>
      </c>
      <c r="U467">
        <v>1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1</v>
      </c>
      <c r="AB467">
        <v>50</v>
      </c>
      <c r="AC467">
        <v>1</v>
      </c>
      <c r="AD467">
        <v>0</v>
      </c>
      <c r="AE467">
        <v>0</v>
      </c>
      <c r="AF467">
        <v>1</v>
      </c>
      <c r="AG467">
        <v>0</v>
      </c>
      <c r="AH467">
        <v>49</v>
      </c>
      <c r="AI467">
        <v>49</v>
      </c>
      <c r="AJ467">
        <v>49</v>
      </c>
      <c r="AK467">
        <v>49</v>
      </c>
      <c r="AL467">
        <v>0</v>
      </c>
      <c r="AM467">
        <v>0.12</v>
      </c>
      <c r="AN467">
        <v>4.454545454545455</v>
      </c>
      <c r="AO467">
        <v>0</v>
      </c>
      <c r="AP467" t="s">
        <v>150</v>
      </c>
      <c r="AQ467" t="s">
        <v>131</v>
      </c>
      <c r="AR467" t="s">
        <v>523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 t="s">
        <v>147</v>
      </c>
      <c r="BA467">
        <v>6</v>
      </c>
      <c r="BB467">
        <v>0</v>
      </c>
      <c r="BC467" t="s">
        <v>133</v>
      </c>
      <c r="BD467">
        <v>0</v>
      </c>
      <c r="BE467" t="s">
        <v>133</v>
      </c>
      <c r="BF46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68" spans="1:58" x14ac:dyDescent="0.25">
      <c r="A468" t="s">
        <v>691</v>
      </c>
      <c r="B468" t="s">
        <v>19</v>
      </c>
      <c r="C468">
        <v>1</v>
      </c>
      <c r="D468">
        <v>469</v>
      </c>
      <c r="E468" t="s">
        <v>2110</v>
      </c>
      <c r="F468" t="s">
        <v>123</v>
      </c>
      <c r="G468" t="s">
        <v>124</v>
      </c>
      <c r="H468" t="s">
        <v>125</v>
      </c>
      <c r="I468" t="s">
        <v>148</v>
      </c>
      <c r="J468" t="s">
        <v>157</v>
      </c>
      <c r="K468" t="s">
        <v>127</v>
      </c>
      <c r="L468">
        <v>50</v>
      </c>
      <c r="M468">
        <v>1017665</v>
      </c>
      <c r="N468">
        <v>6</v>
      </c>
      <c r="O468">
        <v>2</v>
      </c>
      <c r="P468" t="s">
        <v>128</v>
      </c>
      <c r="Q468" t="s">
        <v>129</v>
      </c>
      <c r="R468">
        <v>43</v>
      </c>
      <c r="T468">
        <v>0</v>
      </c>
      <c r="U468">
        <v>17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17</v>
      </c>
      <c r="AB468">
        <v>50</v>
      </c>
      <c r="AC468">
        <v>43</v>
      </c>
      <c r="AD468">
        <v>0</v>
      </c>
      <c r="AE468">
        <v>0</v>
      </c>
      <c r="AF468">
        <v>43</v>
      </c>
      <c r="AG468">
        <v>0</v>
      </c>
      <c r="AH468">
        <v>7</v>
      </c>
      <c r="AI468">
        <v>7</v>
      </c>
      <c r="AJ468">
        <v>7</v>
      </c>
      <c r="AK468">
        <v>7</v>
      </c>
      <c r="AL468">
        <v>0</v>
      </c>
      <c r="AM468">
        <v>0.12</v>
      </c>
      <c r="AN468">
        <v>0.63636363636363635</v>
      </c>
      <c r="AO468">
        <v>0</v>
      </c>
      <c r="AP468" t="s">
        <v>150</v>
      </c>
      <c r="AQ468" t="s">
        <v>131</v>
      </c>
      <c r="AR468" t="s">
        <v>523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 t="s">
        <v>147</v>
      </c>
      <c r="BA468">
        <v>6</v>
      </c>
      <c r="BB468">
        <v>0</v>
      </c>
      <c r="BC468" t="s">
        <v>133</v>
      </c>
      <c r="BD468">
        <v>0</v>
      </c>
      <c r="BE468" t="s">
        <v>133</v>
      </c>
      <c r="BF46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69" spans="1:58" x14ac:dyDescent="0.25">
      <c r="A469" t="s">
        <v>692</v>
      </c>
      <c r="B469" t="s">
        <v>19</v>
      </c>
      <c r="C469">
        <v>1</v>
      </c>
      <c r="D469">
        <v>470</v>
      </c>
      <c r="E469" t="s">
        <v>2110</v>
      </c>
      <c r="F469" t="s">
        <v>123</v>
      </c>
      <c r="G469" t="s">
        <v>124</v>
      </c>
      <c r="H469" t="s">
        <v>125</v>
      </c>
      <c r="I469" t="s">
        <v>148</v>
      </c>
      <c r="J469" t="s">
        <v>157</v>
      </c>
      <c r="K469" t="s">
        <v>127</v>
      </c>
      <c r="L469">
        <v>50</v>
      </c>
      <c r="M469">
        <v>1017667</v>
      </c>
      <c r="N469">
        <v>6</v>
      </c>
      <c r="O469">
        <v>2</v>
      </c>
      <c r="P469" t="s">
        <v>128</v>
      </c>
      <c r="Q469" t="s">
        <v>129</v>
      </c>
      <c r="R469">
        <v>43</v>
      </c>
      <c r="T469">
        <v>0</v>
      </c>
      <c r="U469">
        <v>18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18</v>
      </c>
      <c r="AB469">
        <v>50</v>
      </c>
      <c r="AC469">
        <v>58</v>
      </c>
      <c r="AD469">
        <v>0</v>
      </c>
      <c r="AE469">
        <v>0</v>
      </c>
      <c r="AF469">
        <v>58</v>
      </c>
      <c r="AG469">
        <v>0</v>
      </c>
      <c r="AH469">
        <v>-8</v>
      </c>
      <c r="AI469">
        <v>-8</v>
      </c>
      <c r="AJ469">
        <v>-8</v>
      </c>
      <c r="AK469">
        <v>-8</v>
      </c>
      <c r="AL469">
        <v>0</v>
      </c>
      <c r="AM469">
        <v>0.12</v>
      </c>
      <c r="AN469">
        <v>-0.72727272727272729</v>
      </c>
      <c r="AO469">
        <v>0</v>
      </c>
      <c r="AP469" t="s">
        <v>150</v>
      </c>
      <c r="AQ469" t="s">
        <v>131</v>
      </c>
      <c r="AR469" t="s">
        <v>523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 t="s">
        <v>147</v>
      </c>
      <c r="BA469">
        <v>6</v>
      </c>
      <c r="BB469">
        <v>0</v>
      </c>
      <c r="BC469" t="s">
        <v>133</v>
      </c>
      <c r="BD469">
        <v>0</v>
      </c>
      <c r="BE469" t="s">
        <v>133</v>
      </c>
      <c r="BF46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70" spans="1:58" x14ac:dyDescent="0.25">
      <c r="A470" t="s">
        <v>693</v>
      </c>
      <c r="B470" t="s">
        <v>19</v>
      </c>
      <c r="C470">
        <v>1</v>
      </c>
      <c r="D470">
        <v>471</v>
      </c>
      <c r="E470" t="s">
        <v>2110</v>
      </c>
      <c r="F470" t="s">
        <v>123</v>
      </c>
      <c r="G470" t="s">
        <v>124</v>
      </c>
      <c r="H470" t="s">
        <v>125</v>
      </c>
      <c r="I470" t="s">
        <v>148</v>
      </c>
      <c r="J470" t="s">
        <v>157</v>
      </c>
      <c r="K470" t="s">
        <v>127</v>
      </c>
      <c r="L470">
        <v>50</v>
      </c>
      <c r="M470">
        <v>1017669</v>
      </c>
      <c r="N470">
        <v>6</v>
      </c>
      <c r="O470">
        <v>2</v>
      </c>
      <c r="P470" t="s">
        <v>128</v>
      </c>
      <c r="Q470" t="s">
        <v>129</v>
      </c>
      <c r="R470">
        <v>43</v>
      </c>
      <c r="T470">
        <v>0</v>
      </c>
      <c r="U470">
        <v>6</v>
      </c>
      <c r="V470">
        <v>0</v>
      </c>
      <c r="W470">
        <v>0</v>
      </c>
      <c r="X470">
        <v>0</v>
      </c>
      <c r="Y470">
        <v>6</v>
      </c>
      <c r="Z470">
        <v>0</v>
      </c>
      <c r="AA470">
        <v>12</v>
      </c>
      <c r="AB470">
        <v>50</v>
      </c>
      <c r="AC470">
        <v>24</v>
      </c>
      <c r="AD470">
        <v>0</v>
      </c>
      <c r="AE470">
        <v>24</v>
      </c>
      <c r="AF470">
        <v>48</v>
      </c>
      <c r="AG470">
        <v>0</v>
      </c>
      <c r="AH470">
        <v>26</v>
      </c>
      <c r="AI470">
        <v>2</v>
      </c>
      <c r="AJ470">
        <v>2</v>
      </c>
      <c r="AK470">
        <v>26</v>
      </c>
      <c r="AL470">
        <v>0</v>
      </c>
      <c r="AM470">
        <v>0.12</v>
      </c>
      <c r="AN470">
        <v>0.18181818181818182</v>
      </c>
      <c r="AO470">
        <v>0</v>
      </c>
      <c r="AP470" t="s">
        <v>150</v>
      </c>
      <c r="AQ470" t="s">
        <v>131</v>
      </c>
      <c r="AR470" t="s">
        <v>523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 t="s">
        <v>147</v>
      </c>
      <c r="BA470">
        <v>6</v>
      </c>
      <c r="BB470">
        <v>0</v>
      </c>
      <c r="BC470" t="s">
        <v>133</v>
      </c>
      <c r="BD470">
        <v>0</v>
      </c>
      <c r="BE470" t="s">
        <v>133</v>
      </c>
      <c r="BF47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71" spans="1:58" x14ac:dyDescent="0.25">
      <c r="A471" t="s">
        <v>694</v>
      </c>
      <c r="B471" t="s">
        <v>19</v>
      </c>
      <c r="C471">
        <v>1</v>
      </c>
      <c r="D471">
        <v>472</v>
      </c>
      <c r="E471" t="s">
        <v>2110</v>
      </c>
      <c r="F471" t="s">
        <v>123</v>
      </c>
      <c r="G471" t="s">
        <v>124</v>
      </c>
      <c r="H471" t="s">
        <v>125</v>
      </c>
      <c r="I471" t="s">
        <v>148</v>
      </c>
      <c r="J471" t="s">
        <v>157</v>
      </c>
      <c r="K471" t="s">
        <v>127</v>
      </c>
      <c r="L471">
        <v>50</v>
      </c>
      <c r="M471">
        <v>1017671</v>
      </c>
      <c r="N471">
        <v>6</v>
      </c>
      <c r="O471">
        <v>2</v>
      </c>
      <c r="P471" t="s">
        <v>128</v>
      </c>
      <c r="Q471" t="s">
        <v>129</v>
      </c>
      <c r="R471">
        <v>43</v>
      </c>
      <c r="T471">
        <v>0</v>
      </c>
      <c r="U471">
        <v>3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3</v>
      </c>
      <c r="AB471">
        <v>50</v>
      </c>
      <c r="AC471">
        <v>3</v>
      </c>
      <c r="AD471">
        <v>0</v>
      </c>
      <c r="AE471">
        <v>0</v>
      </c>
      <c r="AF471">
        <v>3</v>
      </c>
      <c r="AG471">
        <v>0</v>
      </c>
      <c r="AH471">
        <v>47</v>
      </c>
      <c r="AI471">
        <v>47</v>
      </c>
      <c r="AJ471">
        <v>47</v>
      </c>
      <c r="AK471">
        <v>47</v>
      </c>
      <c r="AL471">
        <v>0</v>
      </c>
      <c r="AM471">
        <v>0.12</v>
      </c>
      <c r="AN471">
        <v>4.2727272727272725</v>
      </c>
      <c r="AO471">
        <v>0</v>
      </c>
      <c r="AP471" t="s">
        <v>150</v>
      </c>
      <c r="AQ471" t="s">
        <v>131</v>
      </c>
      <c r="AR471" t="s">
        <v>523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 t="s">
        <v>147</v>
      </c>
      <c r="BA471">
        <v>6</v>
      </c>
      <c r="BB471">
        <v>0</v>
      </c>
      <c r="BC471" t="s">
        <v>133</v>
      </c>
      <c r="BD471">
        <v>0</v>
      </c>
      <c r="BE471" t="s">
        <v>133</v>
      </c>
      <c r="BF47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72" spans="1:58" x14ac:dyDescent="0.25">
      <c r="A472" t="s">
        <v>695</v>
      </c>
      <c r="B472" t="s">
        <v>19</v>
      </c>
      <c r="C472">
        <v>1</v>
      </c>
      <c r="D472">
        <v>473</v>
      </c>
      <c r="E472" t="s">
        <v>2110</v>
      </c>
      <c r="F472" t="s">
        <v>123</v>
      </c>
      <c r="G472" t="s">
        <v>124</v>
      </c>
      <c r="H472" t="s">
        <v>125</v>
      </c>
      <c r="I472" t="s">
        <v>148</v>
      </c>
      <c r="J472" t="s">
        <v>157</v>
      </c>
      <c r="K472" t="s">
        <v>127</v>
      </c>
      <c r="L472">
        <v>50</v>
      </c>
      <c r="M472">
        <v>1017673</v>
      </c>
      <c r="N472">
        <v>6</v>
      </c>
      <c r="O472">
        <v>2</v>
      </c>
      <c r="P472" t="s">
        <v>128</v>
      </c>
      <c r="Q472" t="s">
        <v>129</v>
      </c>
      <c r="R472">
        <v>43</v>
      </c>
      <c r="T472">
        <v>0</v>
      </c>
      <c r="U472">
        <v>7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7</v>
      </c>
      <c r="AB472">
        <v>50</v>
      </c>
      <c r="AC472">
        <v>23</v>
      </c>
      <c r="AD472">
        <v>0</v>
      </c>
      <c r="AE472">
        <v>0</v>
      </c>
      <c r="AF472">
        <v>23</v>
      </c>
      <c r="AG472">
        <v>0</v>
      </c>
      <c r="AH472">
        <v>27</v>
      </c>
      <c r="AI472">
        <v>27</v>
      </c>
      <c r="AJ472">
        <v>27</v>
      </c>
      <c r="AK472">
        <v>27</v>
      </c>
      <c r="AL472">
        <v>0</v>
      </c>
      <c r="AM472">
        <v>0.12</v>
      </c>
      <c r="AN472">
        <v>2.4545454545454546</v>
      </c>
      <c r="AO472">
        <v>0</v>
      </c>
      <c r="AP472" t="s">
        <v>150</v>
      </c>
      <c r="AQ472" t="s">
        <v>131</v>
      </c>
      <c r="AR472" t="s">
        <v>523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 t="s">
        <v>147</v>
      </c>
      <c r="BA472">
        <v>6</v>
      </c>
      <c r="BB472">
        <v>0</v>
      </c>
      <c r="BC472" t="s">
        <v>144</v>
      </c>
      <c r="BD472">
        <v>0</v>
      </c>
      <c r="BE472" t="s">
        <v>133</v>
      </c>
      <c r="BF47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73" spans="1:58" x14ac:dyDescent="0.25">
      <c r="A473" t="s">
        <v>696</v>
      </c>
      <c r="B473" t="s">
        <v>19</v>
      </c>
      <c r="C473">
        <v>1</v>
      </c>
      <c r="D473">
        <v>474</v>
      </c>
      <c r="E473" t="s">
        <v>2110</v>
      </c>
      <c r="F473" t="s">
        <v>123</v>
      </c>
      <c r="G473" t="s">
        <v>124</v>
      </c>
      <c r="H473" t="s">
        <v>125</v>
      </c>
      <c r="I473" t="s">
        <v>148</v>
      </c>
      <c r="J473" t="s">
        <v>157</v>
      </c>
      <c r="K473" t="s">
        <v>127</v>
      </c>
      <c r="L473">
        <v>50</v>
      </c>
      <c r="M473">
        <v>1017675</v>
      </c>
      <c r="N473">
        <v>6</v>
      </c>
      <c r="O473">
        <v>2</v>
      </c>
      <c r="P473" t="s">
        <v>128</v>
      </c>
      <c r="Q473" t="s">
        <v>129</v>
      </c>
      <c r="R473">
        <v>44</v>
      </c>
      <c r="T473">
        <v>0</v>
      </c>
      <c r="U473">
        <v>4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4</v>
      </c>
      <c r="AB473">
        <v>50</v>
      </c>
      <c r="AC473">
        <v>6</v>
      </c>
      <c r="AD473">
        <v>0</v>
      </c>
      <c r="AE473">
        <v>0</v>
      </c>
      <c r="AF473">
        <v>6</v>
      </c>
      <c r="AG473">
        <v>0</v>
      </c>
      <c r="AH473">
        <v>44</v>
      </c>
      <c r="AI473">
        <v>44</v>
      </c>
      <c r="AJ473">
        <v>44</v>
      </c>
      <c r="AK473">
        <v>44</v>
      </c>
      <c r="AL473">
        <v>0</v>
      </c>
      <c r="AM473">
        <v>0.12</v>
      </c>
      <c r="AN473">
        <v>4</v>
      </c>
      <c r="AO473">
        <v>0</v>
      </c>
      <c r="AP473" t="s">
        <v>150</v>
      </c>
      <c r="AQ473" t="s">
        <v>131</v>
      </c>
      <c r="AR473" t="s">
        <v>523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 t="s">
        <v>147</v>
      </c>
      <c r="BA473">
        <v>6</v>
      </c>
      <c r="BB473">
        <v>0</v>
      </c>
      <c r="BC473" t="s">
        <v>132</v>
      </c>
      <c r="BD473">
        <v>0</v>
      </c>
      <c r="BE473" t="s">
        <v>133</v>
      </c>
      <c r="BF47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74" spans="1:58" x14ac:dyDescent="0.25">
      <c r="A474" t="s">
        <v>697</v>
      </c>
      <c r="B474" t="s">
        <v>19</v>
      </c>
      <c r="C474">
        <v>1</v>
      </c>
      <c r="D474">
        <v>475</v>
      </c>
      <c r="E474" t="s">
        <v>2110</v>
      </c>
      <c r="F474" t="s">
        <v>123</v>
      </c>
      <c r="G474" t="s">
        <v>124</v>
      </c>
      <c r="H474" t="s">
        <v>125</v>
      </c>
      <c r="I474" t="s">
        <v>148</v>
      </c>
      <c r="J474" t="s">
        <v>157</v>
      </c>
      <c r="K474" t="s">
        <v>127</v>
      </c>
      <c r="L474">
        <v>50</v>
      </c>
      <c r="M474">
        <v>1017677</v>
      </c>
      <c r="N474">
        <v>6</v>
      </c>
      <c r="O474">
        <v>2</v>
      </c>
      <c r="P474" t="s">
        <v>128</v>
      </c>
      <c r="Q474" t="s">
        <v>129</v>
      </c>
      <c r="R474">
        <v>44</v>
      </c>
      <c r="T474">
        <v>0</v>
      </c>
      <c r="U474">
        <v>6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6</v>
      </c>
      <c r="AB474">
        <v>50</v>
      </c>
      <c r="AC474">
        <v>22</v>
      </c>
      <c r="AD474">
        <v>0</v>
      </c>
      <c r="AE474">
        <v>0</v>
      </c>
      <c r="AF474">
        <v>22</v>
      </c>
      <c r="AG474">
        <v>0</v>
      </c>
      <c r="AH474">
        <v>28</v>
      </c>
      <c r="AI474">
        <v>28</v>
      </c>
      <c r="AJ474">
        <v>28</v>
      </c>
      <c r="AK474">
        <v>28</v>
      </c>
      <c r="AL474">
        <v>0</v>
      </c>
      <c r="AM474">
        <v>0.12</v>
      </c>
      <c r="AN474">
        <v>2.5454545454545454</v>
      </c>
      <c r="AO474">
        <v>0</v>
      </c>
      <c r="AP474" t="s">
        <v>150</v>
      </c>
      <c r="AQ474" t="s">
        <v>131</v>
      </c>
      <c r="AR474" t="s">
        <v>523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 t="s">
        <v>147</v>
      </c>
      <c r="BA474">
        <v>6</v>
      </c>
      <c r="BB474">
        <v>0</v>
      </c>
      <c r="BC474" t="s">
        <v>133</v>
      </c>
      <c r="BD474">
        <v>0</v>
      </c>
      <c r="BE474" t="s">
        <v>133</v>
      </c>
      <c r="BF47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75" spans="1:58" x14ac:dyDescent="0.25">
      <c r="A475" t="s">
        <v>698</v>
      </c>
      <c r="B475" t="s">
        <v>19</v>
      </c>
      <c r="C475">
        <v>1</v>
      </c>
      <c r="D475">
        <v>476</v>
      </c>
      <c r="E475" t="s">
        <v>2110</v>
      </c>
      <c r="F475" t="s">
        <v>123</v>
      </c>
      <c r="G475" t="s">
        <v>124</v>
      </c>
      <c r="H475" t="s">
        <v>125</v>
      </c>
      <c r="I475" t="s">
        <v>148</v>
      </c>
      <c r="J475" t="s">
        <v>157</v>
      </c>
      <c r="K475" t="s">
        <v>127</v>
      </c>
      <c r="L475">
        <v>50</v>
      </c>
      <c r="M475">
        <v>1017679</v>
      </c>
      <c r="N475">
        <v>6</v>
      </c>
      <c r="O475">
        <v>2</v>
      </c>
      <c r="P475" t="s">
        <v>128</v>
      </c>
      <c r="Q475" t="s">
        <v>129</v>
      </c>
      <c r="R475">
        <v>44</v>
      </c>
      <c r="T475">
        <v>0</v>
      </c>
      <c r="U475">
        <v>11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11</v>
      </c>
      <c r="AB475">
        <v>50</v>
      </c>
      <c r="AC475">
        <v>31</v>
      </c>
      <c r="AD475">
        <v>0</v>
      </c>
      <c r="AE475">
        <v>0</v>
      </c>
      <c r="AF475">
        <v>31</v>
      </c>
      <c r="AG475">
        <v>0</v>
      </c>
      <c r="AH475">
        <v>19</v>
      </c>
      <c r="AI475">
        <v>19</v>
      </c>
      <c r="AJ475">
        <v>19</v>
      </c>
      <c r="AK475">
        <v>19</v>
      </c>
      <c r="AL475">
        <v>0</v>
      </c>
      <c r="AM475">
        <v>0.12</v>
      </c>
      <c r="AN475">
        <v>1.7272727272727273</v>
      </c>
      <c r="AO475">
        <v>0</v>
      </c>
      <c r="AP475" t="s">
        <v>150</v>
      </c>
      <c r="AQ475" t="s">
        <v>131</v>
      </c>
      <c r="AR475" t="s">
        <v>523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 t="s">
        <v>147</v>
      </c>
      <c r="BA475">
        <v>6</v>
      </c>
      <c r="BB475">
        <v>0</v>
      </c>
      <c r="BC475" t="s">
        <v>133</v>
      </c>
      <c r="BD475">
        <v>0</v>
      </c>
      <c r="BE475" t="s">
        <v>133</v>
      </c>
      <c r="BF47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76" spans="1:58" x14ac:dyDescent="0.25">
      <c r="A476" t="s">
        <v>699</v>
      </c>
      <c r="B476" t="s">
        <v>19</v>
      </c>
      <c r="C476">
        <v>1</v>
      </c>
      <c r="D476">
        <v>477</v>
      </c>
      <c r="E476" t="s">
        <v>2110</v>
      </c>
      <c r="F476" t="s">
        <v>123</v>
      </c>
      <c r="G476" t="s">
        <v>124</v>
      </c>
      <c r="H476" t="s">
        <v>125</v>
      </c>
      <c r="I476" t="s">
        <v>148</v>
      </c>
      <c r="J476" t="s">
        <v>157</v>
      </c>
      <c r="K476" t="s">
        <v>127</v>
      </c>
      <c r="L476">
        <v>50</v>
      </c>
      <c r="M476">
        <v>1017681</v>
      </c>
      <c r="N476">
        <v>6</v>
      </c>
      <c r="O476">
        <v>2</v>
      </c>
      <c r="P476" t="s">
        <v>128</v>
      </c>
      <c r="Q476" t="s">
        <v>129</v>
      </c>
      <c r="R476">
        <v>44</v>
      </c>
      <c r="T476">
        <v>0</v>
      </c>
      <c r="U476">
        <v>9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9</v>
      </c>
      <c r="AB476">
        <v>50</v>
      </c>
      <c r="AC476">
        <v>27</v>
      </c>
      <c r="AD476">
        <v>0</v>
      </c>
      <c r="AE476">
        <v>0</v>
      </c>
      <c r="AF476">
        <v>27</v>
      </c>
      <c r="AG476">
        <v>0</v>
      </c>
      <c r="AH476">
        <v>23</v>
      </c>
      <c r="AI476">
        <v>23</v>
      </c>
      <c r="AJ476">
        <v>23</v>
      </c>
      <c r="AK476">
        <v>23</v>
      </c>
      <c r="AL476">
        <v>0</v>
      </c>
      <c r="AM476">
        <v>0.12</v>
      </c>
      <c r="AN476">
        <v>2.0909090909090908</v>
      </c>
      <c r="AO476">
        <v>0</v>
      </c>
      <c r="AP476" t="s">
        <v>150</v>
      </c>
      <c r="AQ476" t="s">
        <v>131</v>
      </c>
      <c r="AR476" t="s">
        <v>523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 t="s">
        <v>147</v>
      </c>
      <c r="BA476">
        <v>6</v>
      </c>
      <c r="BB476">
        <v>0</v>
      </c>
      <c r="BC476" t="s">
        <v>133</v>
      </c>
      <c r="BD476">
        <v>0</v>
      </c>
      <c r="BE476" t="s">
        <v>133</v>
      </c>
      <c r="BF47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77" spans="1:58" x14ac:dyDescent="0.25">
      <c r="A477" t="s">
        <v>700</v>
      </c>
      <c r="B477" t="s">
        <v>19</v>
      </c>
      <c r="C477">
        <v>1</v>
      </c>
      <c r="D477">
        <v>478</v>
      </c>
      <c r="E477" t="s">
        <v>2110</v>
      </c>
      <c r="F477" t="s">
        <v>123</v>
      </c>
      <c r="G477" t="s">
        <v>124</v>
      </c>
      <c r="H477" t="s">
        <v>125</v>
      </c>
      <c r="I477" t="s">
        <v>148</v>
      </c>
      <c r="J477" t="s">
        <v>157</v>
      </c>
      <c r="K477" t="s">
        <v>127</v>
      </c>
      <c r="L477">
        <v>50</v>
      </c>
      <c r="M477">
        <v>1017683</v>
      </c>
      <c r="N477">
        <v>6</v>
      </c>
      <c r="O477">
        <v>2</v>
      </c>
      <c r="P477" t="s">
        <v>128</v>
      </c>
      <c r="Q477" t="s">
        <v>129</v>
      </c>
      <c r="R477">
        <v>44</v>
      </c>
      <c r="T477">
        <v>0</v>
      </c>
      <c r="U477">
        <v>6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6</v>
      </c>
      <c r="AB477">
        <v>50</v>
      </c>
      <c r="AC477">
        <v>24</v>
      </c>
      <c r="AD477">
        <v>0</v>
      </c>
      <c r="AE477">
        <v>0</v>
      </c>
      <c r="AF477">
        <v>24</v>
      </c>
      <c r="AG477">
        <v>0</v>
      </c>
      <c r="AH477">
        <v>26</v>
      </c>
      <c r="AI477">
        <v>26</v>
      </c>
      <c r="AJ477">
        <v>26</v>
      </c>
      <c r="AK477">
        <v>26</v>
      </c>
      <c r="AL477">
        <v>0</v>
      </c>
      <c r="AM477">
        <v>0.12</v>
      </c>
      <c r="AN477">
        <v>2.3636363636363638</v>
      </c>
      <c r="AO477">
        <v>0</v>
      </c>
      <c r="AP477" t="s">
        <v>150</v>
      </c>
      <c r="AQ477" t="s">
        <v>131</v>
      </c>
      <c r="AR477" t="s">
        <v>523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 t="s">
        <v>147</v>
      </c>
      <c r="BA477">
        <v>6</v>
      </c>
      <c r="BB477">
        <v>0</v>
      </c>
      <c r="BC477" t="s">
        <v>133</v>
      </c>
      <c r="BD477">
        <v>0</v>
      </c>
      <c r="BE477" t="s">
        <v>133</v>
      </c>
      <c r="BF47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78" spans="1:58" x14ac:dyDescent="0.25">
      <c r="A478" t="s">
        <v>701</v>
      </c>
      <c r="B478" t="s">
        <v>19</v>
      </c>
      <c r="C478">
        <v>1</v>
      </c>
      <c r="D478">
        <v>479</v>
      </c>
      <c r="E478" t="s">
        <v>2110</v>
      </c>
      <c r="F478" t="s">
        <v>123</v>
      </c>
      <c r="G478" t="s">
        <v>124</v>
      </c>
      <c r="H478" t="s">
        <v>125</v>
      </c>
      <c r="I478" t="s">
        <v>148</v>
      </c>
      <c r="J478" t="s">
        <v>157</v>
      </c>
      <c r="K478" t="s">
        <v>127</v>
      </c>
      <c r="L478">
        <v>50</v>
      </c>
      <c r="M478">
        <v>1017685</v>
      </c>
      <c r="N478">
        <v>6</v>
      </c>
      <c r="O478">
        <v>2</v>
      </c>
      <c r="P478" t="s">
        <v>128</v>
      </c>
      <c r="Q478" t="s">
        <v>129</v>
      </c>
      <c r="R478">
        <v>44</v>
      </c>
      <c r="T478">
        <v>0</v>
      </c>
      <c r="U478">
        <v>1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1</v>
      </c>
      <c r="AB478">
        <v>50</v>
      </c>
      <c r="AC478">
        <v>1</v>
      </c>
      <c r="AD478">
        <v>0</v>
      </c>
      <c r="AE478">
        <v>0</v>
      </c>
      <c r="AF478">
        <v>1</v>
      </c>
      <c r="AG478">
        <v>0</v>
      </c>
      <c r="AH478">
        <v>49</v>
      </c>
      <c r="AI478">
        <v>49</v>
      </c>
      <c r="AJ478">
        <v>49</v>
      </c>
      <c r="AK478">
        <v>49</v>
      </c>
      <c r="AL478">
        <v>0</v>
      </c>
      <c r="AM478">
        <v>0.12</v>
      </c>
      <c r="AN478">
        <v>4.454545454545455</v>
      </c>
      <c r="AO478">
        <v>0</v>
      </c>
      <c r="AP478" t="s">
        <v>150</v>
      </c>
      <c r="AQ478" t="s">
        <v>131</v>
      </c>
      <c r="AR478" t="s">
        <v>523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 t="s">
        <v>147</v>
      </c>
      <c r="BA478">
        <v>6</v>
      </c>
      <c r="BB478">
        <v>0</v>
      </c>
      <c r="BC478" t="s">
        <v>133</v>
      </c>
      <c r="BD478">
        <v>0</v>
      </c>
      <c r="BE478" t="s">
        <v>133</v>
      </c>
      <c r="BF47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79" spans="1:58" x14ac:dyDescent="0.25">
      <c r="A479" t="s">
        <v>702</v>
      </c>
      <c r="B479" t="s">
        <v>19</v>
      </c>
      <c r="C479">
        <v>1</v>
      </c>
      <c r="D479">
        <v>480</v>
      </c>
      <c r="E479" t="s">
        <v>2110</v>
      </c>
      <c r="F479" t="s">
        <v>123</v>
      </c>
      <c r="G479" t="s">
        <v>124</v>
      </c>
      <c r="H479" t="s">
        <v>125</v>
      </c>
      <c r="I479" t="s">
        <v>148</v>
      </c>
      <c r="J479" t="s">
        <v>157</v>
      </c>
      <c r="K479" t="s">
        <v>127</v>
      </c>
      <c r="L479">
        <v>50</v>
      </c>
      <c r="M479">
        <v>1017687</v>
      </c>
      <c r="N479">
        <v>6</v>
      </c>
      <c r="O479">
        <v>2</v>
      </c>
      <c r="P479" t="s">
        <v>128</v>
      </c>
      <c r="Q479" t="s">
        <v>129</v>
      </c>
      <c r="R479">
        <v>44</v>
      </c>
      <c r="T479">
        <v>0</v>
      </c>
      <c r="U479">
        <v>1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1</v>
      </c>
      <c r="AB479">
        <v>50</v>
      </c>
      <c r="AC479">
        <v>1</v>
      </c>
      <c r="AD479">
        <v>0</v>
      </c>
      <c r="AE479">
        <v>0</v>
      </c>
      <c r="AF479">
        <v>1</v>
      </c>
      <c r="AG479">
        <v>0</v>
      </c>
      <c r="AH479">
        <v>49</v>
      </c>
      <c r="AI479">
        <v>49</v>
      </c>
      <c r="AJ479">
        <v>49</v>
      </c>
      <c r="AK479">
        <v>49</v>
      </c>
      <c r="AL479">
        <v>0</v>
      </c>
      <c r="AM479">
        <v>0.12</v>
      </c>
      <c r="AN479">
        <v>4.454545454545455</v>
      </c>
      <c r="AO479">
        <v>0</v>
      </c>
      <c r="AP479" t="s">
        <v>150</v>
      </c>
      <c r="AQ479" t="s">
        <v>131</v>
      </c>
      <c r="AR479" t="s">
        <v>523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 t="s">
        <v>147</v>
      </c>
      <c r="BA479">
        <v>6</v>
      </c>
      <c r="BB479">
        <v>0</v>
      </c>
      <c r="BC479" t="s">
        <v>133</v>
      </c>
      <c r="BD479">
        <v>0</v>
      </c>
      <c r="BE479" t="s">
        <v>133</v>
      </c>
      <c r="BF47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80" spans="1:58" x14ac:dyDescent="0.25">
      <c r="A480" t="s">
        <v>703</v>
      </c>
      <c r="B480" t="s">
        <v>19</v>
      </c>
      <c r="C480">
        <v>1</v>
      </c>
      <c r="D480">
        <v>481</v>
      </c>
      <c r="E480" t="s">
        <v>2110</v>
      </c>
      <c r="F480" t="s">
        <v>123</v>
      </c>
      <c r="G480" t="s">
        <v>124</v>
      </c>
      <c r="H480" t="s">
        <v>125</v>
      </c>
      <c r="I480" t="s">
        <v>148</v>
      </c>
      <c r="J480" t="s">
        <v>157</v>
      </c>
      <c r="K480" t="s">
        <v>127</v>
      </c>
      <c r="L480">
        <v>50</v>
      </c>
      <c r="M480">
        <v>1017689</v>
      </c>
      <c r="N480">
        <v>6</v>
      </c>
      <c r="O480">
        <v>2</v>
      </c>
      <c r="P480" t="s">
        <v>128</v>
      </c>
      <c r="Q480" t="s">
        <v>129</v>
      </c>
      <c r="R480">
        <v>44</v>
      </c>
      <c r="T480">
        <v>0</v>
      </c>
      <c r="U480">
        <v>12</v>
      </c>
      <c r="V480">
        <v>0</v>
      </c>
      <c r="W480">
        <v>0</v>
      </c>
      <c r="X480">
        <v>0</v>
      </c>
      <c r="Y480">
        <v>1</v>
      </c>
      <c r="Z480">
        <v>0</v>
      </c>
      <c r="AA480">
        <v>13</v>
      </c>
      <c r="AB480">
        <v>50</v>
      </c>
      <c r="AC480">
        <v>48</v>
      </c>
      <c r="AD480">
        <v>0</v>
      </c>
      <c r="AE480">
        <v>1</v>
      </c>
      <c r="AF480">
        <v>49</v>
      </c>
      <c r="AG480">
        <v>0</v>
      </c>
      <c r="AH480">
        <v>2</v>
      </c>
      <c r="AI480">
        <v>1</v>
      </c>
      <c r="AJ480">
        <v>1</v>
      </c>
      <c r="AK480">
        <v>2</v>
      </c>
      <c r="AL480">
        <v>0</v>
      </c>
      <c r="AM480">
        <v>0.12</v>
      </c>
      <c r="AN480">
        <v>9.0909090909090912E-2</v>
      </c>
      <c r="AO480">
        <v>0</v>
      </c>
      <c r="AP480" t="s">
        <v>150</v>
      </c>
      <c r="AQ480" t="s">
        <v>131</v>
      </c>
      <c r="AR480" t="s">
        <v>523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 t="s">
        <v>147</v>
      </c>
      <c r="BA480">
        <v>6</v>
      </c>
      <c r="BB480">
        <v>0</v>
      </c>
      <c r="BC480" t="s">
        <v>133</v>
      </c>
      <c r="BD480">
        <v>0</v>
      </c>
      <c r="BE480" t="s">
        <v>133</v>
      </c>
      <c r="BF48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81" spans="1:58" x14ac:dyDescent="0.25">
      <c r="A481" t="s">
        <v>704</v>
      </c>
      <c r="B481" t="s">
        <v>19</v>
      </c>
      <c r="C481">
        <v>1</v>
      </c>
      <c r="D481">
        <v>482</v>
      </c>
      <c r="E481" t="s">
        <v>2110</v>
      </c>
      <c r="F481" t="s">
        <v>123</v>
      </c>
      <c r="G481" t="s">
        <v>124</v>
      </c>
      <c r="H481" t="s">
        <v>125</v>
      </c>
      <c r="I481" t="s">
        <v>148</v>
      </c>
      <c r="J481" t="s">
        <v>157</v>
      </c>
      <c r="K481" t="s">
        <v>127</v>
      </c>
      <c r="L481">
        <v>50</v>
      </c>
      <c r="M481">
        <v>1017691</v>
      </c>
      <c r="N481">
        <v>6</v>
      </c>
      <c r="O481">
        <v>2</v>
      </c>
      <c r="P481" t="s">
        <v>128</v>
      </c>
      <c r="Q481" t="s">
        <v>129</v>
      </c>
      <c r="R481">
        <v>44</v>
      </c>
      <c r="T481">
        <v>0</v>
      </c>
      <c r="U481">
        <v>6</v>
      </c>
      <c r="V481">
        <v>0</v>
      </c>
      <c r="W481">
        <v>0</v>
      </c>
      <c r="X481">
        <v>0</v>
      </c>
      <c r="Y481">
        <v>1</v>
      </c>
      <c r="Z481">
        <v>0</v>
      </c>
      <c r="AA481">
        <v>7</v>
      </c>
      <c r="AB481">
        <v>50</v>
      </c>
      <c r="AC481">
        <v>24</v>
      </c>
      <c r="AD481">
        <v>0</v>
      </c>
      <c r="AE481">
        <v>1</v>
      </c>
      <c r="AF481">
        <v>25</v>
      </c>
      <c r="AG481">
        <v>0</v>
      </c>
      <c r="AH481">
        <v>26</v>
      </c>
      <c r="AI481">
        <v>25</v>
      </c>
      <c r="AJ481">
        <v>25</v>
      </c>
      <c r="AK481">
        <v>26</v>
      </c>
      <c r="AL481">
        <v>0</v>
      </c>
      <c r="AM481">
        <v>0.12</v>
      </c>
      <c r="AN481">
        <v>2.2727272727272729</v>
      </c>
      <c r="AO481">
        <v>0</v>
      </c>
      <c r="AP481" t="s">
        <v>150</v>
      </c>
      <c r="AQ481" t="s">
        <v>131</v>
      </c>
      <c r="AR481" t="s">
        <v>523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 t="s">
        <v>147</v>
      </c>
      <c r="BA481">
        <v>6</v>
      </c>
      <c r="BB481">
        <v>0</v>
      </c>
      <c r="BC481" t="s">
        <v>133</v>
      </c>
      <c r="BD481">
        <v>0</v>
      </c>
      <c r="BE481" t="s">
        <v>133</v>
      </c>
      <c r="BF48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82" spans="1:58" x14ac:dyDescent="0.25">
      <c r="A482" t="s">
        <v>705</v>
      </c>
      <c r="B482" t="s">
        <v>19</v>
      </c>
      <c r="C482">
        <v>1</v>
      </c>
      <c r="D482">
        <v>483</v>
      </c>
      <c r="E482" t="s">
        <v>2110</v>
      </c>
      <c r="F482" t="s">
        <v>123</v>
      </c>
      <c r="G482" t="s">
        <v>124</v>
      </c>
      <c r="H482" t="s">
        <v>125</v>
      </c>
      <c r="I482" t="s">
        <v>148</v>
      </c>
      <c r="J482" t="s">
        <v>157</v>
      </c>
      <c r="K482" t="s">
        <v>127</v>
      </c>
      <c r="L482">
        <v>50</v>
      </c>
      <c r="M482">
        <v>1017693</v>
      </c>
      <c r="N482">
        <v>6</v>
      </c>
      <c r="O482">
        <v>2</v>
      </c>
      <c r="P482" t="s">
        <v>128</v>
      </c>
      <c r="Q482" t="s">
        <v>129</v>
      </c>
      <c r="R482">
        <v>44</v>
      </c>
      <c r="T482">
        <v>0</v>
      </c>
      <c r="U482">
        <v>3</v>
      </c>
      <c r="V482">
        <v>0</v>
      </c>
      <c r="W482">
        <v>0</v>
      </c>
      <c r="X482">
        <v>0</v>
      </c>
      <c r="Y482">
        <v>6</v>
      </c>
      <c r="Z482">
        <v>0</v>
      </c>
      <c r="AA482">
        <v>9</v>
      </c>
      <c r="AB482">
        <v>50</v>
      </c>
      <c r="AC482">
        <v>3</v>
      </c>
      <c r="AD482">
        <v>0</v>
      </c>
      <c r="AE482">
        <v>20</v>
      </c>
      <c r="AF482">
        <v>23</v>
      </c>
      <c r="AG482">
        <v>0</v>
      </c>
      <c r="AH482">
        <v>47</v>
      </c>
      <c r="AI482">
        <v>27</v>
      </c>
      <c r="AJ482">
        <v>27</v>
      </c>
      <c r="AK482">
        <v>47</v>
      </c>
      <c r="AL482">
        <v>0</v>
      </c>
      <c r="AM482">
        <v>0.12</v>
      </c>
      <c r="AN482">
        <v>2.4545454545454546</v>
      </c>
      <c r="AO482">
        <v>0</v>
      </c>
      <c r="AP482" t="s">
        <v>150</v>
      </c>
      <c r="AQ482" t="s">
        <v>131</v>
      </c>
      <c r="AR482" t="s">
        <v>523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 t="s">
        <v>147</v>
      </c>
      <c r="BA482">
        <v>6</v>
      </c>
      <c r="BB482">
        <v>0</v>
      </c>
      <c r="BC482" t="s">
        <v>133</v>
      </c>
      <c r="BD482">
        <v>0</v>
      </c>
      <c r="BE482" t="s">
        <v>133</v>
      </c>
      <c r="BF48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83" spans="1:58" x14ac:dyDescent="0.25">
      <c r="A483" t="s">
        <v>706</v>
      </c>
      <c r="B483" t="s">
        <v>19</v>
      </c>
      <c r="C483">
        <v>1</v>
      </c>
      <c r="D483">
        <v>484</v>
      </c>
      <c r="E483" t="s">
        <v>2110</v>
      </c>
      <c r="F483" t="s">
        <v>123</v>
      </c>
      <c r="G483" t="s">
        <v>124</v>
      </c>
      <c r="H483" t="s">
        <v>125</v>
      </c>
      <c r="I483" t="s">
        <v>148</v>
      </c>
      <c r="J483" t="s">
        <v>157</v>
      </c>
      <c r="K483" t="s">
        <v>127</v>
      </c>
      <c r="L483">
        <v>50</v>
      </c>
      <c r="M483">
        <v>1017695</v>
      </c>
      <c r="N483">
        <v>6</v>
      </c>
      <c r="O483">
        <v>2</v>
      </c>
      <c r="P483" t="s">
        <v>128</v>
      </c>
      <c r="Q483" t="s">
        <v>129</v>
      </c>
      <c r="R483">
        <v>44</v>
      </c>
      <c r="T483">
        <v>0</v>
      </c>
      <c r="U483">
        <v>15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15</v>
      </c>
      <c r="AB483">
        <v>50</v>
      </c>
      <c r="AC483">
        <v>51</v>
      </c>
      <c r="AD483">
        <v>0</v>
      </c>
      <c r="AE483">
        <v>0</v>
      </c>
      <c r="AF483">
        <v>51</v>
      </c>
      <c r="AG483">
        <v>0</v>
      </c>
      <c r="AH483">
        <v>-1</v>
      </c>
      <c r="AI483">
        <v>-1</v>
      </c>
      <c r="AJ483">
        <v>-1</v>
      </c>
      <c r="AK483">
        <v>-1</v>
      </c>
      <c r="AL483">
        <v>0</v>
      </c>
      <c r="AM483">
        <v>0.12</v>
      </c>
      <c r="AN483">
        <v>-9.0909090909090912E-2</v>
      </c>
      <c r="AO483">
        <v>0</v>
      </c>
      <c r="AP483" t="s">
        <v>150</v>
      </c>
      <c r="AQ483" t="s">
        <v>131</v>
      </c>
      <c r="AR483" t="s">
        <v>523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 t="s">
        <v>147</v>
      </c>
      <c r="BA483">
        <v>6</v>
      </c>
      <c r="BB483">
        <v>0</v>
      </c>
      <c r="BC483" t="s">
        <v>144</v>
      </c>
      <c r="BD483">
        <v>0</v>
      </c>
      <c r="BE483" t="s">
        <v>133</v>
      </c>
      <c r="BF48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84" spans="1:58" x14ac:dyDescent="0.25">
      <c r="A484" t="s">
        <v>707</v>
      </c>
      <c r="B484" t="s">
        <v>19</v>
      </c>
      <c r="C484">
        <v>1</v>
      </c>
      <c r="D484">
        <v>485</v>
      </c>
      <c r="E484" t="s">
        <v>2110</v>
      </c>
      <c r="F484" t="s">
        <v>123</v>
      </c>
      <c r="G484" t="s">
        <v>124</v>
      </c>
      <c r="H484" t="s">
        <v>125</v>
      </c>
      <c r="I484" t="s">
        <v>148</v>
      </c>
      <c r="J484" t="s">
        <v>157</v>
      </c>
      <c r="K484" t="s">
        <v>127</v>
      </c>
      <c r="L484">
        <v>50</v>
      </c>
      <c r="M484">
        <v>1017697</v>
      </c>
      <c r="N484">
        <v>6</v>
      </c>
      <c r="O484">
        <v>2</v>
      </c>
      <c r="P484" t="s">
        <v>128</v>
      </c>
      <c r="Q484" t="s">
        <v>129</v>
      </c>
      <c r="R484">
        <v>45</v>
      </c>
      <c r="S484" t="s">
        <v>708</v>
      </c>
      <c r="T484">
        <v>0</v>
      </c>
      <c r="U484">
        <v>11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11</v>
      </c>
      <c r="AB484">
        <v>50</v>
      </c>
      <c r="AC484">
        <v>45</v>
      </c>
      <c r="AD484">
        <v>0</v>
      </c>
      <c r="AE484">
        <v>0</v>
      </c>
      <c r="AF484">
        <v>45</v>
      </c>
      <c r="AG484">
        <v>0</v>
      </c>
      <c r="AH484">
        <v>5</v>
      </c>
      <c r="AI484">
        <v>5</v>
      </c>
      <c r="AJ484">
        <v>5</v>
      </c>
      <c r="AK484">
        <v>5</v>
      </c>
      <c r="AL484">
        <v>0</v>
      </c>
      <c r="AM484">
        <v>0.12</v>
      </c>
      <c r="AN484">
        <v>0.45454545454545459</v>
      </c>
      <c r="AO484">
        <v>0</v>
      </c>
      <c r="AP484" t="s">
        <v>150</v>
      </c>
      <c r="AQ484" t="s">
        <v>131</v>
      </c>
      <c r="AR484" t="s">
        <v>523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 t="s">
        <v>147</v>
      </c>
      <c r="BA484">
        <v>6</v>
      </c>
      <c r="BB484">
        <v>0</v>
      </c>
      <c r="BC484" t="s">
        <v>132</v>
      </c>
      <c r="BD484">
        <v>0</v>
      </c>
      <c r="BE484" t="s">
        <v>133</v>
      </c>
      <c r="BF48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85" spans="1:58" x14ac:dyDescent="0.25">
      <c r="A485" t="s">
        <v>709</v>
      </c>
      <c r="B485" t="s">
        <v>19</v>
      </c>
      <c r="C485">
        <v>1</v>
      </c>
      <c r="D485">
        <v>486</v>
      </c>
      <c r="E485" t="s">
        <v>2110</v>
      </c>
      <c r="F485" t="s">
        <v>123</v>
      </c>
      <c r="G485" t="s">
        <v>124</v>
      </c>
      <c r="H485" t="s">
        <v>125</v>
      </c>
      <c r="I485" t="s">
        <v>148</v>
      </c>
      <c r="J485" t="s">
        <v>157</v>
      </c>
      <c r="K485" t="s">
        <v>127</v>
      </c>
      <c r="L485">
        <v>50</v>
      </c>
      <c r="M485">
        <v>1017699</v>
      </c>
      <c r="N485">
        <v>6</v>
      </c>
      <c r="O485">
        <v>2</v>
      </c>
      <c r="P485" t="s">
        <v>128</v>
      </c>
      <c r="Q485" t="s">
        <v>129</v>
      </c>
      <c r="R485">
        <v>45</v>
      </c>
      <c r="S485" t="s">
        <v>708</v>
      </c>
      <c r="T485">
        <v>0</v>
      </c>
      <c r="U485">
        <v>10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10</v>
      </c>
      <c r="AB485">
        <v>50</v>
      </c>
      <c r="AC485">
        <v>30</v>
      </c>
      <c r="AD485">
        <v>0</v>
      </c>
      <c r="AE485">
        <v>0</v>
      </c>
      <c r="AF485">
        <v>30</v>
      </c>
      <c r="AG485">
        <v>0</v>
      </c>
      <c r="AH485">
        <v>20</v>
      </c>
      <c r="AI485">
        <v>20</v>
      </c>
      <c r="AJ485">
        <v>20</v>
      </c>
      <c r="AK485">
        <v>20</v>
      </c>
      <c r="AL485">
        <v>0</v>
      </c>
      <c r="AM485">
        <v>0.12</v>
      </c>
      <c r="AN485">
        <v>1.8181818181818183</v>
      </c>
      <c r="AO485">
        <v>0</v>
      </c>
      <c r="AP485" t="s">
        <v>150</v>
      </c>
      <c r="AQ485" t="s">
        <v>131</v>
      </c>
      <c r="AR485" t="s">
        <v>523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 t="s">
        <v>147</v>
      </c>
      <c r="BA485">
        <v>6</v>
      </c>
      <c r="BB485">
        <v>0</v>
      </c>
      <c r="BC485" t="s">
        <v>133</v>
      </c>
      <c r="BD485">
        <v>0</v>
      </c>
      <c r="BE485" t="s">
        <v>133</v>
      </c>
      <c r="BF48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86" spans="1:58" x14ac:dyDescent="0.25">
      <c r="A486" t="s">
        <v>710</v>
      </c>
      <c r="B486" t="s">
        <v>19</v>
      </c>
      <c r="C486">
        <v>1</v>
      </c>
      <c r="D486">
        <v>487</v>
      </c>
      <c r="E486" t="s">
        <v>2110</v>
      </c>
      <c r="F486" t="s">
        <v>123</v>
      </c>
      <c r="G486" t="s">
        <v>124</v>
      </c>
      <c r="H486" t="s">
        <v>125</v>
      </c>
      <c r="I486" t="s">
        <v>148</v>
      </c>
      <c r="J486" t="s">
        <v>157</v>
      </c>
      <c r="K486" t="s">
        <v>127</v>
      </c>
      <c r="L486">
        <v>50</v>
      </c>
      <c r="M486">
        <v>1017701</v>
      </c>
      <c r="N486">
        <v>6</v>
      </c>
      <c r="O486">
        <v>2</v>
      </c>
      <c r="P486" t="s">
        <v>128</v>
      </c>
      <c r="Q486" t="s">
        <v>129</v>
      </c>
      <c r="R486">
        <v>45</v>
      </c>
      <c r="S486" t="s">
        <v>708</v>
      </c>
      <c r="T486">
        <v>0</v>
      </c>
      <c r="U486">
        <v>8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8</v>
      </c>
      <c r="AB486">
        <v>50</v>
      </c>
      <c r="AC486">
        <v>28</v>
      </c>
      <c r="AD486">
        <v>0</v>
      </c>
      <c r="AE486">
        <v>0</v>
      </c>
      <c r="AF486">
        <v>28</v>
      </c>
      <c r="AG486">
        <v>0</v>
      </c>
      <c r="AH486">
        <v>22</v>
      </c>
      <c r="AI486">
        <v>22</v>
      </c>
      <c r="AJ486">
        <v>22</v>
      </c>
      <c r="AK486">
        <v>22</v>
      </c>
      <c r="AL486">
        <v>0</v>
      </c>
      <c r="AM486">
        <v>0.12</v>
      </c>
      <c r="AN486">
        <v>2</v>
      </c>
      <c r="AO486">
        <v>0</v>
      </c>
      <c r="AP486" t="s">
        <v>150</v>
      </c>
      <c r="AQ486" t="s">
        <v>131</v>
      </c>
      <c r="AR486" t="s">
        <v>523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 t="s">
        <v>147</v>
      </c>
      <c r="BA486">
        <v>6</v>
      </c>
      <c r="BB486">
        <v>0</v>
      </c>
      <c r="BC486" t="s">
        <v>133</v>
      </c>
      <c r="BD486">
        <v>0</v>
      </c>
      <c r="BE486" t="s">
        <v>133</v>
      </c>
      <c r="BF48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87" spans="1:58" x14ac:dyDescent="0.25">
      <c r="A487" t="s">
        <v>711</v>
      </c>
      <c r="B487" t="s">
        <v>19</v>
      </c>
      <c r="C487">
        <v>1</v>
      </c>
      <c r="D487">
        <v>488</v>
      </c>
      <c r="E487" t="s">
        <v>2110</v>
      </c>
      <c r="F487" t="s">
        <v>123</v>
      </c>
      <c r="G487" t="s">
        <v>124</v>
      </c>
      <c r="H487" t="s">
        <v>125</v>
      </c>
      <c r="I487" t="s">
        <v>148</v>
      </c>
      <c r="J487" t="s">
        <v>157</v>
      </c>
      <c r="K487" t="s">
        <v>127</v>
      </c>
      <c r="L487">
        <v>50</v>
      </c>
      <c r="M487">
        <v>1017703</v>
      </c>
      <c r="N487">
        <v>6</v>
      </c>
      <c r="O487">
        <v>2</v>
      </c>
      <c r="P487" t="s">
        <v>128</v>
      </c>
      <c r="Q487" t="s">
        <v>129</v>
      </c>
      <c r="R487">
        <v>45</v>
      </c>
      <c r="S487" t="s">
        <v>708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50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50</v>
      </c>
      <c r="AI487">
        <v>50</v>
      </c>
      <c r="AJ487">
        <v>50</v>
      </c>
      <c r="AK487">
        <v>50</v>
      </c>
      <c r="AL487">
        <v>0</v>
      </c>
      <c r="AM487">
        <v>0.12</v>
      </c>
      <c r="AN487">
        <v>4.5454545454545459</v>
      </c>
      <c r="AO487">
        <v>0</v>
      </c>
      <c r="AP487" t="s">
        <v>150</v>
      </c>
      <c r="AQ487" t="s">
        <v>155</v>
      </c>
      <c r="AR487" t="s">
        <v>523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 t="s">
        <v>147</v>
      </c>
      <c r="BA487">
        <v>6</v>
      </c>
      <c r="BB487">
        <v>0</v>
      </c>
      <c r="BC487" t="s">
        <v>133</v>
      </c>
      <c r="BD487">
        <v>1</v>
      </c>
      <c r="BE487" t="s">
        <v>133</v>
      </c>
      <c r="BF48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88" spans="1:58" x14ac:dyDescent="0.25">
      <c r="A488" t="s">
        <v>712</v>
      </c>
      <c r="B488" t="s">
        <v>19</v>
      </c>
      <c r="C488">
        <v>1</v>
      </c>
      <c r="D488">
        <v>489</v>
      </c>
      <c r="E488" t="s">
        <v>2110</v>
      </c>
      <c r="F488" t="s">
        <v>123</v>
      </c>
      <c r="G488" t="s">
        <v>124</v>
      </c>
      <c r="H488" t="s">
        <v>125</v>
      </c>
      <c r="I488" t="s">
        <v>148</v>
      </c>
      <c r="J488" t="s">
        <v>157</v>
      </c>
      <c r="K488" t="s">
        <v>127</v>
      </c>
      <c r="L488">
        <v>50</v>
      </c>
      <c r="M488">
        <v>1017705</v>
      </c>
      <c r="N488">
        <v>6</v>
      </c>
      <c r="O488">
        <v>2</v>
      </c>
      <c r="P488" t="s">
        <v>128</v>
      </c>
      <c r="Q488" t="s">
        <v>129</v>
      </c>
      <c r="R488">
        <v>45</v>
      </c>
      <c r="S488" t="s">
        <v>708</v>
      </c>
      <c r="T488">
        <v>0</v>
      </c>
      <c r="U488">
        <v>1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1</v>
      </c>
      <c r="AB488">
        <v>50</v>
      </c>
      <c r="AC488">
        <v>1</v>
      </c>
      <c r="AD488">
        <v>0</v>
      </c>
      <c r="AE488">
        <v>0</v>
      </c>
      <c r="AF488">
        <v>1</v>
      </c>
      <c r="AG488">
        <v>0</v>
      </c>
      <c r="AH488">
        <v>49</v>
      </c>
      <c r="AI488">
        <v>49</v>
      </c>
      <c r="AJ488">
        <v>49</v>
      </c>
      <c r="AK488">
        <v>49</v>
      </c>
      <c r="AL488">
        <v>0</v>
      </c>
      <c r="AM488">
        <v>0.12</v>
      </c>
      <c r="AN488">
        <v>4.454545454545455</v>
      </c>
      <c r="AO488">
        <v>0</v>
      </c>
      <c r="AP488" t="s">
        <v>150</v>
      </c>
      <c r="AQ488" t="s">
        <v>131</v>
      </c>
      <c r="AR488" t="s">
        <v>523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 t="s">
        <v>147</v>
      </c>
      <c r="BA488">
        <v>6</v>
      </c>
      <c r="BB488">
        <v>0</v>
      </c>
      <c r="BC488" t="s">
        <v>133</v>
      </c>
      <c r="BD488">
        <v>0</v>
      </c>
      <c r="BE488" t="s">
        <v>133</v>
      </c>
      <c r="BF48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89" spans="1:58" x14ac:dyDescent="0.25">
      <c r="A489" t="s">
        <v>713</v>
      </c>
      <c r="B489" t="s">
        <v>19</v>
      </c>
      <c r="C489">
        <v>1</v>
      </c>
      <c r="D489">
        <v>490</v>
      </c>
      <c r="E489" t="s">
        <v>2110</v>
      </c>
      <c r="F489" t="s">
        <v>123</v>
      </c>
      <c r="G489" t="s">
        <v>124</v>
      </c>
      <c r="H489" t="s">
        <v>125</v>
      </c>
      <c r="I489" t="s">
        <v>148</v>
      </c>
      <c r="J489" t="s">
        <v>157</v>
      </c>
      <c r="K489" t="s">
        <v>127</v>
      </c>
      <c r="L489">
        <v>50</v>
      </c>
      <c r="M489">
        <v>1017707</v>
      </c>
      <c r="N489">
        <v>6</v>
      </c>
      <c r="O489">
        <v>2</v>
      </c>
      <c r="P489" t="s">
        <v>128</v>
      </c>
      <c r="Q489" t="s">
        <v>129</v>
      </c>
      <c r="R489">
        <v>45</v>
      </c>
      <c r="S489" t="s">
        <v>708</v>
      </c>
      <c r="T489">
        <v>0</v>
      </c>
      <c r="U489">
        <v>1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1</v>
      </c>
      <c r="AB489">
        <v>50</v>
      </c>
      <c r="AC489">
        <v>1</v>
      </c>
      <c r="AD489">
        <v>0</v>
      </c>
      <c r="AE489">
        <v>0</v>
      </c>
      <c r="AF489">
        <v>1</v>
      </c>
      <c r="AG489">
        <v>0</v>
      </c>
      <c r="AH489">
        <v>49</v>
      </c>
      <c r="AI489">
        <v>49</v>
      </c>
      <c r="AJ489">
        <v>49</v>
      </c>
      <c r="AK489">
        <v>49</v>
      </c>
      <c r="AL489">
        <v>0</v>
      </c>
      <c r="AM489">
        <v>0.12</v>
      </c>
      <c r="AN489">
        <v>4.454545454545455</v>
      </c>
      <c r="AO489">
        <v>0</v>
      </c>
      <c r="AP489" t="s">
        <v>150</v>
      </c>
      <c r="AQ489" t="s">
        <v>131</v>
      </c>
      <c r="AR489" t="s">
        <v>523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 t="s">
        <v>147</v>
      </c>
      <c r="BA489">
        <v>6</v>
      </c>
      <c r="BB489">
        <v>0</v>
      </c>
      <c r="BC489" t="s">
        <v>133</v>
      </c>
      <c r="BD489">
        <v>0</v>
      </c>
      <c r="BE489" t="s">
        <v>133</v>
      </c>
      <c r="BF48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90" spans="1:58" x14ac:dyDescent="0.25">
      <c r="A490" t="s">
        <v>714</v>
      </c>
      <c r="B490" t="s">
        <v>19</v>
      </c>
      <c r="C490">
        <v>1</v>
      </c>
      <c r="D490">
        <v>491</v>
      </c>
      <c r="E490" t="s">
        <v>2110</v>
      </c>
      <c r="F490" t="s">
        <v>123</v>
      </c>
      <c r="G490" t="s">
        <v>124</v>
      </c>
      <c r="H490" t="s">
        <v>125</v>
      </c>
      <c r="I490" t="s">
        <v>148</v>
      </c>
      <c r="J490" t="s">
        <v>157</v>
      </c>
      <c r="K490" t="s">
        <v>127</v>
      </c>
      <c r="L490">
        <v>50</v>
      </c>
      <c r="M490">
        <v>1017709</v>
      </c>
      <c r="N490">
        <v>6</v>
      </c>
      <c r="O490">
        <v>2</v>
      </c>
      <c r="P490" t="s">
        <v>128</v>
      </c>
      <c r="Q490" t="s">
        <v>129</v>
      </c>
      <c r="R490">
        <v>45</v>
      </c>
      <c r="S490" t="s">
        <v>708</v>
      </c>
      <c r="T490">
        <v>0</v>
      </c>
      <c r="U490">
        <v>6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6</v>
      </c>
      <c r="AB490">
        <v>50</v>
      </c>
      <c r="AC490">
        <v>24</v>
      </c>
      <c r="AD490">
        <v>0</v>
      </c>
      <c r="AE490">
        <v>0</v>
      </c>
      <c r="AF490">
        <v>24</v>
      </c>
      <c r="AG490">
        <v>0</v>
      </c>
      <c r="AH490">
        <v>26</v>
      </c>
      <c r="AI490">
        <v>26</v>
      </c>
      <c r="AJ490">
        <v>26</v>
      </c>
      <c r="AK490">
        <v>26</v>
      </c>
      <c r="AL490">
        <v>0</v>
      </c>
      <c r="AM490">
        <v>0.12</v>
      </c>
      <c r="AN490">
        <v>2.3636363636363638</v>
      </c>
      <c r="AO490">
        <v>0</v>
      </c>
      <c r="AP490" t="s">
        <v>150</v>
      </c>
      <c r="AQ490" t="s">
        <v>131</v>
      </c>
      <c r="AR490" t="s">
        <v>523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 t="s">
        <v>147</v>
      </c>
      <c r="BA490">
        <v>6</v>
      </c>
      <c r="BB490">
        <v>0</v>
      </c>
      <c r="BC490" t="s">
        <v>133</v>
      </c>
      <c r="BD490">
        <v>0</v>
      </c>
      <c r="BE490" t="s">
        <v>133</v>
      </c>
      <c r="BF49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91" spans="1:58" x14ac:dyDescent="0.25">
      <c r="A491" t="s">
        <v>715</v>
      </c>
      <c r="B491" t="s">
        <v>19</v>
      </c>
      <c r="C491">
        <v>1</v>
      </c>
      <c r="D491">
        <v>492</v>
      </c>
      <c r="E491" t="s">
        <v>2110</v>
      </c>
      <c r="F491" t="s">
        <v>123</v>
      </c>
      <c r="G491" t="s">
        <v>124</v>
      </c>
      <c r="H491" t="s">
        <v>125</v>
      </c>
      <c r="I491" t="s">
        <v>148</v>
      </c>
      <c r="J491" t="s">
        <v>157</v>
      </c>
      <c r="K491" t="s">
        <v>127</v>
      </c>
      <c r="L491">
        <v>50</v>
      </c>
      <c r="M491">
        <v>1017711</v>
      </c>
      <c r="N491">
        <v>6</v>
      </c>
      <c r="O491">
        <v>2</v>
      </c>
      <c r="P491" t="s">
        <v>128</v>
      </c>
      <c r="Q491" t="s">
        <v>129</v>
      </c>
      <c r="R491">
        <v>45</v>
      </c>
      <c r="S491" t="s">
        <v>708</v>
      </c>
      <c r="T491">
        <v>0</v>
      </c>
      <c r="U491">
        <v>12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12</v>
      </c>
      <c r="AB491">
        <v>50</v>
      </c>
      <c r="AC491">
        <v>46</v>
      </c>
      <c r="AD491">
        <v>0</v>
      </c>
      <c r="AE491">
        <v>0</v>
      </c>
      <c r="AF491">
        <v>46</v>
      </c>
      <c r="AG491">
        <v>0</v>
      </c>
      <c r="AH491">
        <v>4</v>
      </c>
      <c r="AI491">
        <v>4</v>
      </c>
      <c r="AJ491">
        <v>4</v>
      </c>
      <c r="AK491">
        <v>4</v>
      </c>
      <c r="AL491">
        <v>0</v>
      </c>
      <c r="AM491">
        <v>0.12</v>
      </c>
      <c r="AN491">
        <v>0.36363636363636365</v>
      </c>
      <c r="AO491">
        <v>0</v>
      </c>
      <c r="AP491" t="s">
        <v>150</v>
      </c>
      <c r="AQ491" t="s">
        <v>131</v>
      </c>
      <c r="AR491" t="s">
        <v>523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 t="s">
        <v>147</v>
      </c>
      <c r="BA491">
        <v>6</v>
      </c>
      <c r="BB491">
        <v>0</v>
      </c>
      <c r="BC491" t="s">
        <v>133</v>
      </c>
      <c r="BD491">
        <v>0</v>
      </c>
      <c r="BE491" t="s">
        <v>133</v>
      </c>
      <c r="BF49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92" spans="1:58" x14ac:dyDescent="0.25">
      <c r="A492" t="s">
        <v>716</v>
      </c>
      <c r="B492" t="s">
        <v>19</v>
      </c>
      <c r="C492">
        <v>1</v>
      </c>
      <c r="D492">
        <v>493</v>
      </c>
      <c r="E492" t="s">
        <v>2110</v>
      </c>
      <c r="F492" t="s">
        <v>123</v>
      </c>
      <c r="G492" t="s">
        <v>124</v>
      </c>
      <c r="H492" t="s">
        <v>125</v>
      </c>
      <c r="I492" t="s">
        <v>148</v>
      </c>
      <c r="J492" t="s">
        <v>157</v>
      </c>
      <c r="K492" t="s">
        <v>127</v>
      </c>
      <c r="L492">
        <v>50</v>
      </c>
      <c r="M492">
        <v>1017713</v>
      </c>
      <c r="N492">
        <v>6</v>
      </c>
      <c r="O492">
        <v>2</v>
      </c>
      <c r="P492" t="s">
        <v>128</v>
      </c>
      <c r="Q492" t="s">
        <v>129</v>
      </c>
      <c r="R492">
        <v>45</v>
      </c>
      <c r="S492" t="s">
        <v>708</v>
      </c>
      <c r="T492">
        <v>0</v>
      </c>
      <c r="U492">
        <v>10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10</v>
      </c>
      <c r="AB492">
        <v>50</v>
      </c>
      <c r="AC492">
        <v>30</v>
      </c>
      <c r="AD492">
        <v>0</v>
      </c>
      <c r="AE492">
        <v>0</v>
      </c>
      <c r="AF492">
        <v>30</v>
      </c>
      <c r="AG492">
        <v>0</v>
      </c>
      <c r="AH492">
        <v>20</v>
      </c>
      <c r="AI492">
        <v>20</v>
      </c>
      <c r="AJ492">
        <v>20</v>
      </c>
      <c r="AK492">
        <v>20</v>
      </c>
      <c r="AL492">
        <v>0</v>
      </c>
      <c r="AM492">
        <v>0.12</v>
      </c>
      <c r="AN492">
        <v>1.8181818181818183</v>
      </c>
      <c r="AO492">
        <v>0</v>
      </c>
      <c r="AP492" t="s">
        <v>150</v>
      </c>
      <c r="AQ492" t="s">
        <v>131</v>
      </c>
      <c r="AR492" t="s">
        <v>523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 t="s">
        <v>147</v>
      </c>
      <c r="BA492">
        <v>6</v>
      </c>
      <c r="BB492">
        <v>0</v>
      </c>
      <c r="BC492" t="s">
        <v>133</v>
      </c>
      <c r="BD492">
        <v>0</v>
      </c>
      <c r="BE492" t="s">
        <v>133</v>
      </c>
      <c r="BF49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93" spans="1:58" x14ac:dyDescent="0.25">
      <c r="A493" t="s">
        <v>717</v>
      </c>
      <c r="B493" t="s">
        <v>19</v>
      </c>
      <c r="C493">
        <v>1</v>
      </c>
      <c r="D493">
        <v>494</v>
      </c>
      <c r="E493" t="s">
        <v>2110</v>
      </c>
      <c r="F493" t="s">
        <v>123</v>
      </c>
      <c r="G493" t="s">
        <v>124</v>
      </c>
      <c r="H493" t="s">
        <v>125</v>
      </c>
      <c r="I493" t="s">
        <v>148</v>
      </c>
      <c r="J493" t="s">
        <v>157</v>
      </c>
      <c r="K493" t="s">
        <v>127</v>
      </c>
      <c r="L493">
        <v>50</v>
      </c>
      <c r="M493">
        <v>1017715</v>
      </c>
      <c r="N493">
        <v>6</v>
      </c>
      <c r="O493">
        <v>2</v>
      </c>
      <c r="P493" t="s">
        <v>128</v>
      </c>
      <c r="Q493" t="s">
        <v>129</v>
      </c>
      <c r="R493">
        <v>45</v>
      </c>
      <c r="S493" t="s">
        <v>708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50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50</v>
      </c>
      <c r="AI493">
        <v>50</v>
      </c>
      <c r="AJ493">
        <v>50</v>
      </c>
      <c r="AK493">
        <v>50</v>
      </c>
      <c r="AL493">
        <v>0</v>
      </c>
      <c r="AM493">
        <v>0.12</v>
      </c>
      <c r="AN493">
        <v>4.5454545454545459</v>
      </c>
      <c r="AO493">
        <v>0</v>
      </c>
      <c r="AP493" t="s">
        <v>150</v>
      </c>
      <c r="AQ493" t="s">
        <v>155</v>
      </c>
      <c r="AR493" t="s">
        <v>523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 t="s">
        <v>147</v>
      </c>
      <c r="BA493">
        <v>6</v>
      </c>
      <c r="BB493">
        <v>0</v>
      </c>
      <c r="BC493" t="s">
        <v>133</v>
      </c>
      <c r="BD493">
        <v>1</v>
      </c>
      <c r="BE493" t="s">
        <v>133</v>
      </c>
      <c r="BF49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94" spans="1:58" x14ac:dyDescent="0.25">
      <c r="A494" t="s">
        <v>718</v>
      </c>
      <c r="B494" t="s">
        <v>19</v>
      </c>
      <c r="C494">
        <v>1</v>
      </c>
      <c r="D494">
        <v>495</v>
      </c>
      <c r="E494" t="s">
        <v>2110</v>
      </c>
      <c r="F494" t="s">
        <v>123</v>
      </c>
      <c r="G494" t="s">
        <v>124</v>
      </c>
      <c r="H494" t="s">
        <v>125</v>
      </c>
      <c r="I494" t="s">
        <v>148</v>
      </c>
      <c r="J494" t="s">
        <v>157</v>
      </c>
      <c r="K494" t="s">
        <v>127</v>
      </c>
      <c r="L494">
        <v>50</v>
      </c>
      <c r="M494">
        <v>1017717</v>
      </c>
      <c r="N494">
        <v>6</v>
      </c>
      <c r="O494">
        <v>2</v>
      </c>
      <c r="P494" t="s">
        <v>128</v>
      </c>
      <c r="Q494" t="s">
        <v>129</v>
      </c>
      <c r="R494">
        <v>45</v>
      </c>
      <c r="S494" t="s">
        <v>708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50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50</v>
      </c>
      <c r="AI494">
        <v>50</v>
      </c>
      <c r="AJ494">
        <v>50</v>
      </c>
      <c r="AK494">
        <v>50</v>
      </c>
      <c r="AL494">
        <v>0</v>
      </c>
      <c r="AM494">
        <v>0.12</v>
      </c>
      <c r="AN494">
        <v>4.5454545454545459</v>
      </c>
      <c r="AO494">
        <v>0</v>
      </c>
      <c r="AP494" t="s">
        <v>150</v>
      </c>
      <c r="AQ494" t="s">
        <v>155</v>
      </c>
      <c r="AR494" t="s">
        <v>523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 t="s">
        <v>147</v>
      </c>
      <c r="BA494">
        <v>6</v>
      </c>
      <c r="BB494">
        <v>0</v>
      </c>
      <c r="BC494" t="s">
        <v>144</v>
      </c>
      <c r="BD494">
        <v>2</v>
      </c>
      <c r="BE494" t="s">
        <v>133</v>
      </c>
      <c r="BF49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95" spans="1:58" x14ac:dyDescent="0.25">
      <c r="A495" t="s">
        <v>719</v>
      </c>
      <c r="B495" t="s">
        <v>19</v>
      </c>
      <c r="C495">
        <v>1</v>
      </c>
      <c r="D495">
        <v>496</v>
      </c>
      <c r="E495" t="s">
        <v>2110</v>
      </c>
      <c r="F495" t="s">
        <v>123</v>
      </c>
      <c r="G495" t="s">
        <v>124</v>
      </c>
      <c r="H495" t="s">
        <v>125</v>
      </c>
      <c r="I495" t="s">
        <v>148</v>
      </c>
      <c r="J495" t="s">
        <v>157</v>
      </c>
      <c r="K495" t="s">
        <v>127</v>
      </c>
      <c r="L495">
        <v>50</v>
      </c>
      <c r="M495">
        <v>1017719</v>
      </c>
      <c r="N495">
        <v>6</v>
      </c>
      <c r="O495">
        <v>2</v>
      </c>
      <c r="P495" t="s">
        <v>128</v>
      </c>
      <c r="Q495" t="s">
        <v>129</v>
      </c>
      <c r="R495">
        <v>46</v>
      </c>
      <c r="T495">
        <v>0</v>
      </c>
      <c r="U495">
        <v>12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12</v>
      </c>
      <c r="AB495">
        <v>50</v>
      </c>
      <c r="AC495">
        <v>46</v>
      </c>
      <c r="AD495">
        <v>0</v>
      </c>
      <c r="AE495">
        <v>0</v>
      </c>
      <c r="AF495">
        <v>46</v>
      </c>
      <c r="AG495">
        <v>0</v>
      </c>
      <c r="AH495">
        <v>4</v>
      </c>
      <c r="AI495">
        <v>4</v>
      </c>
      <c r="AJ495">
        <v>4</v>
      </c>
      <c r="AK495">
        <v>4</v>
      </c>
      <c r="AL495">
        <v>0</v>
      </c>
      <c r="AM495">
        <v>0.12</v>
      </c>
      <c r="AN495">
        <v>0.36363636363636365</v>
      </c>
      <c r="AO495">
        <v>0</v>
      </c>
      <c r="AP495" t="s">
        <v>150</v>
      </c>
      <c r="AQ495" t="s">
        <v>131</v>
      </c>
      <c r="AR495" t="s">
        <v>523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 t="s">
        <v>147</v>
      </c>
      <c r="BA495">
        <v>6</v>
      </c>
      <c r="BB495">
        <v>0</v>
      </c>
      <c r="BC495" t="s">
        <v>132</v>
      </c>
      <c r="BD495">
        <v>0</v>
      </c>
      <c r="BE495" t="s">
        <v>133</v>
      </c>
      <c r="BF49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96" spans="1:58" x14ac:dyDescent="0.25">
      <c r="A496" t="s">
        <v>720</v>
      </c>
      <c r="B496" t="s">
        <v>19</v>
      </c>
      <c r="C496">
        <v>1</v>
      </c>
      <c r="D496">
        <v>497</v>
      </c>
      <c r="E496" t="s">
        <v>2110</v>
      </c>
      <c r="F496" t="s">
        <v>123</v>
      </c>
      <c r="G496" t="s">
        <v>124</v>
      </c>
      <c r="H496" t="s">
        <v>125</v>
      </c>
      <c r="I496" t="s">
        <v>148</v>
      </c>
      <c r="J496" t="s">
        <v>157</v>
      </c>
      <c r="K496" t="s">
        <v>127</v>
      </c>
      <c r="L496">
        <v>50</v>
      </c>
      <c r="M496">
        <v>1017721</v>
      </c>
      <c r="N496">
        <v>6</v>
      </c>
      <c r="O496">
        <v>2</v>
      </c>
      <c r="P496" t="s">
        <v>128</v>
      </c>
      <c r="Q496" t="s">
        <v>129</v>
      </c>
      <c r="R496">
        <v>46</v>
      </c>
      <c r="T496">
        <v>0</v>
      </c>
      <c r="U496">
        <v>10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10</v>
      </c>
      <c r="AB496">
        <v>50</v>
      </c>
      <c r="AC496">
        <v>30</v>
      </c>
      <c r="AD496">
        <v>0</v>
      </c>
      <c r="AE496">
        <v>0</v>
      </c>
      <c r="AF496">
        <v>30</v>
      </c>
      <c r="AG496">
        <v>0</v>
      </c>
      <c r="AH496">
        <v>20</v>
      </c>
      <c r="AI496">
        <v>20</v>
      </c>
      <c r="AJ496">
        <v>20</v>
      </c>
      <c r="AK496">
        <v>20</v>
      </c>
      <c r="AL496">
        <v>0</v>
      </c>
      <c r="AM496">
        <v>0.12</v>
      </c>
      <c r="AN496">
        <v>1.8181818181818183</v>
      </c>
      <c r="AO496">
        <v>0</v>
      </c>
      <c r="AP496" t="s">
        <v>150</v>
      </c>
      <c r="AQ496" t="s">
        <v>131</v>
      </c>
      <c r="AR496" t="s">
        <v>523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 t="s">
        <v>147</v>
      </c>
      <c r="BA496">
        <v>6</v>
      </c>
      <c r="BB496">
        <v>0</v>
      </c>
      <c r="BC496" t="s">
        <v>133</v>
      </c>
      <c r="BD496">
        <v>0</v>
      </c>
      <c r="BE496" t="s">
        <v>133</v>
      </c>
      <c r="BF49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97" spans="1:58" x14ac:dyDescent="0.25">
      <c r="A497" t="s">
        <v>721</v>
      </c>
      <c r="B497" t="s">
        <v>19</v>
      </c>
      <c r="C497">
        <v>1</v>
      </c>
      <c r="D497">
        <v>498</v>
      </c>
      <c r="E497" t="s">
        <v>2110</v>
      </c>
      <c r="F497" t="s">
        <v>123</v>
      </c>
      <c r="G497" t="s">
        <v>124</v>
      </c>
      <c r="H497" t="s">
        <v>125</v>
      </c>
      <c r="I497" t="s">
        <v>148</v>
      </c>
      <c r="J497" t="s">
        <v>157</v>
      </c>
      <c r="K497" t="s">
        <v>127</v>
      </c>
      <c r="L497">
        <v>50</v>
      </c>
      <c r="M497">
        <v>1017723</v>
      </c>
      <c r="N497">
        <v>6</v>
      </c>
      <c r="O497">
        <v>2</v>
      </c>
      <c r="P497" t="s">
        <v>128</v>
      </c>
      <c r="Q497" t="s">
        <v>129</v>
      </c>
      <c r="R497">
        <v>46</v>
      </c>
      <c r="T497">
        <v>0</v>
      </c>
      <c r="U497">
        <v>12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12</v>
      </c>
      <c r="AB497">
        <v>50</v>
      </c>
      <c r="AC497">
        <v>48</v>
      </c>
      <c r="AD497">
        <v>0</v>
      </c>
      <c r="AE497">
        <v>0</v>
      </c>
      <c r="AF497">
        <v>48</v>
      </c>
      <c r="AG497">
        <v>0</v>
      </c>
      <c r="AH497">
        <v>2</v>
      </c>
      <c r="AI497">
        <v>2</v>
      </c>
      <c r="AJ497">
        <v>2</v>
      </c>
      <c r="AK497">
        <v>2</v>
      </c>
      <c r="AL497">
        <v>0</v>
      </c>
      <c r="AM497">
        <v>0.12</v>
      </c>
      <c r="AN497">
        <v>0.18181818181818182</v>
      </c>
      <c r="AO497">
        <v>0</v>
      </c>
      <c r="AP497" t="s">
        <v>150</v>
      </c>
      <c r="AQ497" t="s">
        <v>131</v>
      </c>
      <c r="AR497" t="s">
        <v>523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 t="s">
        <v>147</v>
      </c>
      <c r="BA497">
        <v>6</v>
      </c>
      <c r="BB497">
        <v>0</v>
      </c>
      <c r="BC497" t="s">
        <v>133</v>
      </c>
      <c r="BD497">
        <v>0</v>
      </c>
      <c r="BE497" t="s">
        <v>133</v>
      </c>
      <c r="BF49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98" spans="1:58" x14ac:dyDescent="0.25">
      <c r="A498" t="s">
        <v>722</v>
      </c>
      <c r="B498" t="s">
        <v>19</v>
      </c>
      <c r="C498">
        <v>1</v>
      </c>
      <c r="D498">
        <v>499</v>
      </c>
      <c r="E498" t="s">
        <v>2110</v>
      </c>
      <c r="F498" t="s">
        <v>123</v>
      </c>
      <c r="G498" t="s">
        <v>124</v>
      </c>
      <c r="H498" t="s">
        <v>125</v>
      </c>
      <c r="I498" t="s">
        <v>148</v>
      </c>
      <c r="J498" t="s">
        <v>157</v>
      </c>
      <c r="K498" t="s">
        <v>127</v>
      </c>
      <c r="L498">
        <v>50</v>
      </c>
      <c r="M498">
        <v>1017725</v>
      </c>
      <c r="N498">
        <v>6</v>
      </c>
      <c r="O498">
        <v>2</v>
      </c>
      <c r="P498" t="s">
        <v>128</v>
      </c>
      <c r="Q498" t="s">
        <v>129</v>
      </c>
      <c r="R498">
        <v>46</v>
      </c>
      <c r="T498">
        <v>0</v>
      </c>
      <c r="U498">
        <v>6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6</v>
      </c>
      <c r="AB498">
        <v>50</v>
      </c>
      <c r="AC498">
        <v>24</v>
      </c>
      <c r="AD498">
        <v>0</v>
      </c>
      <c r="AE498">
        <v>0</v>
      </c>
      <c r="AF498">
        <v>24</v>
      </c>
      <c r="AG498">
        <v>0</v>
      </c>
      <c r="AH498">
        <v>26</v>
      </c>
      <c r="AI498">
        <v>26</v>
      </c>
      <c r="AJ498">
        <v>26</v>
      </c>
      <c r="AK498">
        <v>26</v>
      </c>
      <c r="AL498">
        <v>0</v>
      </c>
      <c r="AM498">
        <v>0.12</v>
      </c>
      <c r="AN498">
        <v>2.3636363636363638</v>
      </c>
      <c r="AO498">
        <v>0</v>
      </c>
      <c r="AP498" t="s">
        <v>150</v>
      </c>
      <c r="AQ498" t="s">
        <v>131</v>
      </c>
      <c r="AR498" t="s">
        <v>523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 t="s">
        <v>147</v>
      </c>
      <c r="BA498">
        <v>6</v>
      </c>
      <c r="BB498">
        <v>0</v>
      </c>
      <c r="BC498" t="s">
        <v>133</v>
      </c>
      <c r="BD498">
        <v>0</v>
      </c>
      <c r="BE498" t="s">
        <v>133</v>
      </c>
      <c r="BF49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499" spans="1:58" x14ac:dyDescent="0.25">
      <c r="A499" t="s">
        <v>723</v>
      </c>
      <c r="B499" t="s">
        <v>19</v>
      </c>
      <c r="C499">
        <v>1</v>
      </c>
      <c r="D499">
        <v>500</v>
      </c>
      <c r="E499" t="s">
        <v>2110</v>
      </c>
      <c r="F499" t="s">
        <v>123</v>
      </c>
      <c r="G499" t="s">
        <v>124</v>
      </c>
      <c r="H499" t="s">
        <v>125</v>
      </c>
      <c r="I499" t="s">
        <v>148</v>
      </c>
      <c r="J499" t="s">
        <v>157</v>
      </c>
      <c r="K499" t="s">
        <v>127</v>
      </c>
      <c r="L499">
        <v>50</v>
      </c>
      <c r="M499">
        <v>1017727</v>
      </c>
      <c r="N499">
        <v>6</v>
      </c>
      <c r="O499">
        <v>2</v>
      </c>
      <c r="P499" t="s">
        <v>128</v>
      </c>
      <c r="Q499" t="s">
        <v>129</v>
      </c>
      <c r="R499">
        <v>46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50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50</v>
      </c>
      <c r="AI499">
        <v>50</v>
      </c>
      <c r="AJ499">
        <v>50</v>
      </c>
      <c r="AK499">
        <v>50</v>
      </c>
      <c r="AL499">
        <v>0</v>
      </c>
      <c r="AM499">
        <v>0.12</v>
      </c>
      <c r="AN499">
        <v>4.5454545454545459</v>
      </c>
      <c r="AO499">
        <v>0</v>
      </c>
      <c r="AP499" t="s">
        <v>150</v>
      </c>
      <c r="AQ499" t="s">
        <v>155</v>
      </c>
      <c r="AR499" t="s">
        <v>523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 t="s">
        <v>147</v>
      </c>
      <c r="BA499">
        <v>6</v>
      </c>
      <c r="BB499">
        <v>0</v>
      </c>
      <c r="BC499" t="s">
        <v>133</v>
      </c>
      <c r="BD499">
        <v>1</v>
      </c>
      <c r="BE499" t="s">
        <v>133</v>
      </c>
      <c r="BF49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00" spans="1:58" x14ac:dyDescent="0.25">
      <c r="A500" t="s">
        <v>724</v>
      </c>
      <c r="B500" t="s">
        <v>19</v>
      </c>
      <c r="C500">
        <v>1</v>
      </c>
      <c r="D500">
        <v>501</v>
      </c>
      <c r="E500" t="s">
        <v>2110</v>
      </c>
      <c r="F500" t="s">
        <v>123</v>
      </c>
      <c r="G500" t="s">
        <v>124</v>
      </c>
      <c r="H500" t="s">
        <v>125</v>
      </c>
      <c r="I500" t="s">
        <v>148</v>
      </c>
      <c r="J500" t="s">
        <v>157</v>
      </c>
      <c r="K500" t="s">
        <v>127</v>
      </c>
      <c r="L500">
        <v>50</v>
      </c>
      <c r="M500">
        <v>1017729</v>
      </c>
      <c r="N500">
        <v>6</v>
      </c>
      <c r="O500">
        <v>2</v>
      </c>
      <c r="P500" t="s">
        <v>128</v>
      </c>
      <c r="Q500" t="s">
        <v>129</v>
      </c>
      <c r="R500">
        <v>46</v>
      </c>
      <c r="T500">
        <v>0</v>
      </c>
      <c r="U500">
        <v>1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1</v>
      </c>
      <c r="AB500">
        <v>50</v>
      </c>
      <c r="AC500">
        <v>1</v>
      </c>
      <c r="AD500">
        <v>0</v>
      </c>
      <c r="AE500">
        <v>0</v>
      </c>
      <c r="AF500">
        <v>1</v>
      </c>
      <c r="AG500">
        <v>0</v>
      </c>
      <c r="AH500">
        <v>49</v>
      </c>
      <c r="AI500">
        <v>49</v>
      </c>
      <c r="AJ500">
        <v>49</v>
      </c>
      <c r="AK500">
        <v>49</v>
      </c>
      <c r="AL500">
        <v>0</v>
      </c>
      <c r="AM500">
        <v>0.12</v>
      </c>
      <c r="AN500">
        <v>4.454545454545455</v>
      </c>
      <c r="AO500">
        <v>0</v>
      </c>
      <c r="AP500" t="s">
        <v>150</v>
      </c>
      <c r="AQ500" t="s">
        <v>131</v>
      </c>
      <c r="AR500" t="s">
        <v>523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 t="s">
        <v>147</v>
      </c>
      <c r="BA500">
        <v>6</v>
      </c>
      <c r="BB500">
        <v>0</v>
      </c>
      <c r="BC500" t="s">
        <v>133</v>
      </c>
      <c r="BD500">
        <v>0</v>
      </c>
      <c r="BE500" t="s">
        <v>133</v>
      </c>
      <c r="BF50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01" spans="1:58" x14ac:dyDescent="0.25">
      <c r="A501" t="s">
        <v>725</v>
      </c>
      <c r="B501" t="s">
        <v>19</v>
      </c>
      <c r="C501">
        <v>1</v>
      </c>
      <c r="D501">
        <v>502</v>
      </c>
      <c r="E501" t="s">
        <v>2110</v>
      </c>
      <c r="F501" t="s">
        <v>123</v>
      </c>
      <c r="G501" t="s">
        <v>124</v>
      </c>
      <c r="H501" t="s">
        <v>125</v>
      </c>
      <c r="I501" t="s">
        <v>148</v>
      </c>
      <c r="J501" t="s">
        <v>157</v>
      </c>
      <c r="K501" t="s">
        <v>127</v>
      </c>
      <c r="L501">
        <v>50</v>
      </c>
      <c r="M501">
        <v>1017731</v>
      </c>
      <c r="N501">
        <v>6</v>
      </c>
      <c r="O501">
        <v>2</v>
      </c>
      <c r="P501" t="s">
        <v>128</v>
      </c>
      <c r="Q501" t="s">
        <v>129</v>
      </c>
      <c r="R501">
        <v>46</v>
      </c>
      <c r="T501">
        <v>0</v>
      </c>
      <c r="U501">
        <v>16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16</v>
      </c>
      <c r="AB501">
        <v>50</v>
      </c>
      <c r="AC501">
        <v>52</v>
      </c>
      <c r="AD501">
        <v>0</v>
      </c>
      <c r="AE501">
        <v>0</v>
      </c>
      <c r="AF501">
        <v>52</v>
      </c>
      <c r="AG501">
        <v>0</v>
      </c>
      <c r="AH501">
        <v>-2</v>
      </c>
      <c r="AI501">
        <v>-2</v>
      </c>
      <c r="AJ501">
        <v>-2</v>
      </c>
      <c r="AK501">
        <v>-2</v>
      </c>
      <c r="AL501">
        <v>0</v>
      </c>
      <c r="AM501">
        <v>0.12</v>
      </c>
      <c r="AN501">
        <v>-0.18181818181818182</v>
      </c>
      <c r="AO501">
        <v>0</v>
      </c>
      <c r="AP501" t="s">
        <v>150</v>
      </c>
      <c r="AQ501" t="s">
        <v>131</v>
      </c>
      <c r="AR501" t="s">
        <v>523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 t="s">
        <v>147</v>
      </c>
      <c r="BA501">
        <v>6</v>
      </c>
      <c r="BB501">
        <v>0</v>
      </c>
      <c r="BC501" t="s">
        <v>133</v>
      </c>
      <c r="BD501">
        <v>0</v>
      </c>
      <c r="BE501" t="s">
        <v>133</v>
      </c>
      <c r="BF50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02" spans="1:58" x14ac:dyDescent="0.25">
      <c r="A502" t="s">
        <v>726</v>
      </c>
      <c r="B502" t="s">
        <v>19</v>
      </c>
      <c r="C502">
        <v>1</v>
      </c>
      <c r="D502">
        <v>503</v>
      </c>
      <c r="E502" t="s">
        <v>2110</v>
      </c>
      <c r="F502" t="s">
        <v>123</v>
      </c>
      <c r="G502" t="s">
        <v>124</v>
      </c>
      <c r="H502" t="s">
        <v>125</v>
      </c>
      <c r="I502" t="s">
        <v>148</v>
      </c>
      <c r="J502" t="s">
        <v>157</v>
      </c>
      <c r="K502" t="s">
        <v>127</v>
      </c>
      <c r="L502">
        <v>50</v>
      </c>
      <c r="M502">
        <v>1017733</v>
      </c>
      <c r="N502">
        <v>6</v>
      </c>
      <c r="O502">
        <v>2</v>
      </c>
      <c r="P502" t="s">
        <v>128</v>
      </c>
      <c r="Q502" t="s">
        <v>129</v>
      </c>
      <c r="R502">
        <v>46</v>
      </c>
      <c r="T502">
        <v>0</v>
      </c>
      <c r="U502">
        <v>17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17</v>
      </c>
      <c r="AB502">
        <v>50</v>
      </c>
      <c r="AC502">
        <v>47</v>
      </c>
      <c r="AD502">
        <v>0</v>
      </c>
      <c r="AE502">
        <v>0</v>
      </c>
      <c r="AF502">
        <v>47</v>
      </c>
      <c r="AG502">
        <v>0</v>
      </c>
      <c r="AH502">
        <v>3</v>
      </c>
      <c r="AI502">
        <v>3</v>
      </c>
      <c r="AJ502">
        <v>3</v>
      </c>
      <c r="AK502">
        <v>3</v>
      </c>
      <c r="AL502">
        <v>0</v>
      </c>
      <c r="AM502">
        <v>0.12</v>
      </c>
      <c r="AN502">
        <v>0.27272727272727271</v>
      </c>
      <c r="AO502">
        <v>0</v>
      </c>
      <c r="AP502" t="s">
        <v>150</v>
      </c>
      <c r="AQ502" t="s">
        <v>131</v>
      </c>
      <c r="AR502" t="s">
        <v>523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 t="s">
        <v>147</v>
      </c>
      <c r="BA502">
        <v>6</v>
      </c>
      <c r="BB502">
        <v>0</v>
      </c>
      <c r="BC502" t="s">
        <v>133</v>
      </c>
      <c r="BD502">
        <v>0</v>
      </c>
      <c r="BE502" t="s">
        <v>133</v>
      </c>
      <c r="BF50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03" spans="1:58" x14ac:dyDescent="0.25">
      <c r="A503" t="s">
        <v>727</v>
      </c>
      <c r="B503" t="s">
        <v>19</v>
      </c>
      <c r="C503">
        <v>1</v>
      </c>
      <c r="D503">
        <v>504</v>
      </c>
      <c r="E503" t="s">
        <v>2110</v>
      </c>
      <c r="F503" t="s">
        <v>123</v>
      </c>
      <c r="G503" t="s">
        <v>124</v>
      </c>
      <c r="H503" t="s">
        <v>125</v>
      </c>
      <c r="I503" t="s">
        <v>148</v>
      </c>
      <c r="J503" t="s">
        <v>157</v>
      </c>
      <c r="K503" t="s">
        <v>127</v>
      </c>
      <c r="L503">
        <v>50</v>
      </c>
      <c r="M503">
        <v>1017735</v>
      </c>
      <c r="N503">
        <v>6</v>
      </c>
      <c r="O503">
        <v>2</v>
      </c>
      <c r="P503" t="s">
        <v>128</v>
      </c>
      <c r="Q503" t="s">
        <v>129</v>
      </c>
      <c r="R503">
        <v>46</v>
      </c>
      <c r="T503">
        <v>0</v>
      </c>
      <c r="U503">
        <v>13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13</v>
      </c>
      <c r="AB503">
        <v>50</v>
      </c>
      <c r="AC503">
        <v>35</v>
      </c>
      <c r="AD503">
        <v>0</v>
      </c>
      <c r="AE503">
        <v>0</v>
      </c>
      <c r="AF503">
        <v>35</v>
      </c>
      <c r="AG503">
        <v>0</v>
      </c>
      <c r="AH503">
        <v>15</v>
      </c>
      <c r="AI503">
        <v>15</v>
      </c>
      <c r="AJ503">
        <v>15</v>
      </c>
      <c r="AK503">
        <v>15</v>
      </c>
      <c r="AL503">
        <v>0</v>
      </c>
      <c r="AM503">
        <v>0.12</v>
      </c>
      <c r="AN503">
        <v>1.3636363636363638</v>
      </c>
      <c r="AO503">
        <v>0</v>
      </c>
      <c r="AP503" t="s">
        <v>150</v>
      </c>
      <c r="AQ503" t="s">
        <v>131</v>
      </c>
      <c r="AR503" t="s">
        <v>523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 t="s">
        <v>147</v>
      </c>
      <c r="BA503">
        <v>6</v>
      </c>
      <c r="BB503">
        <v>0</v>
      </c>
      <c r="BC503" t="s">
        <v>133</v>
      </c>
      <c r="BD503">
        <v>0</v>
      </c>
      <c r="BE503" t="s">
        <v>133</v>
      </c>
      <c r="BF50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04" spans="1:58" x14ac:dyDescent="0.25">
      <c r="A504" t="s">
        <v>728</v>
      </c>
      <c r="B504" t="s">
        <v>19</v>
      </c>
      <c r="C504">
        <v>1</v>
      </c>
      <c r="D504">
        <v>505</v>
      </c>
      <c r="E504" t="s">
        <v>2110</v>
      </c>
      <c r="F504" t="s">
        <v>123</v>
      </c>
      <c r="G504" t="s">
        <v>124</v>
      </c>
      <c r="H504" t="s">
        <v>125</v>
      </c>
      <c r="I504" t="s">
        <v>148</v>
      </c>
      <c r="J504" t="s">
        <v>157</v>
      </c>
      <c r="K504" t="s">
        <v>127</v>
      </c>
      <c r="L504">
        <v>50</v>
      </c>
      <c r="M504">
        <v>1017737</v>
      </c>
      <c r="N504">
        <v>6</v>
      </c>
      <c r="O504">
        <v>2</v>
      </c>
      <c r="P504" t="s">
        <v>128</v>
      </c>
      <c r="Q504" t="s">
        <v>129</v>
      </c>
      <c r="R504">
        <v>46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50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50</v>
      </c>
      <c r="AI504">
        <v>50</v>
      </c>
      <c r="AJ504">
        <v>50</v>
      </c>
      <c r="AK504">
        <v>50</v>
      </c>
      <c r="AL504">
        <v>0</v>
      </c>
      <c r="AM504">
        <v>0.12</v>
      </c>
      <c r="AN504">
        <v>4.5454545454545459</v>
      </c>
      <c r="AO504">
        <v>0</v>
      </c>
      <c r="AP504" t="s">
        <v>150</v>
      </c>
      <c r="AQ504" t="s">
        <v>155</v>
      </c>
      <c r="AR504" t="s">
        <v>523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 t="s">
        <v>147</v>
      </c>
      <c r="BA504">
        <v>6</v>
      </c>
      <c r="BB504">
        <v>0</v>
      </c>
      <c r="BC504" t="s">
        <v>133</v>
      </c>
      <c r="BD504">
        <v>1</v>
      </c>
      <c r="BE504" t="s">
        <v>133</v>
      </c>
      <c r="BF50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05" spans="1:58" x14ac:dyDescent="0.25">
      <c r="A505" t="s">
        <v>729</v>
      </c>
      <c r="B505" t="s">
        <v>19</v>
      </c>
      <c r="C505">
        <v>1</v>
      </c>
      <c r="D505">
        <v>506</v>
      </c>
      <c r="E505" t="s">
        <v>2110</v>
      </c>
      <c r="F505" t="s">
        <v>123</v>
      </c>
      <c r="G505" t="s">
        <v>124</v>
      </c>
      <c r="H505" t="s">
        <v>125</v>
      </c>
      <c r="I505" t="s">
        <v>148</v>
      </c>
      <c r="J505" t="s">
        <v>157</v>
      </c>
      <c r="K505" t="s">
        <v>127</v>
      </c>
      <c r="L505">
        <v>50</v>
      </c>
      <c r="M505">
        <v>1017739</v>
      </c>
      <c r="N505">
        <v>6</v>
      </c>
      <c r="O505">
        <v>2</v>
      </c>
      <c r="P505" t="s">
        <v>128</v>
      </c>
      <c r="Q505" t="s">
        <v>129</v>
      </c>
      <c r="R505">
        <v>46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50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50</v>
      </c>
      <c r="AI505">
        <v>50</v>
      </c>
      <c r="AJ505">
        <v>50</v>
      </c>
      <c r="AK505">
        <v>50</v>
      </c>
      <c r="AL505">
        <v>0</v>
      </c>
      <c r="AM505">
        <v>0.12</v>
      </c>
      <c r="AN505">
        <v>4.5454545454545459</v>
      </c>
      <c r="AO505">
        <v>0</v>
      </c>
      <c r="AP505" t="s">
        <v>150</v>
      </c>
      <c r="AQ505" t="s">
        <v>155</v>
      </c>
      <c r="AR505" t="s">
        <v>523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 t="s">
        <v>147</v>
      </c>
      <c r="BA505">
        <v>6</v>
      </c>
      <c r="BB505">
        <v>0</v>
      </c>
      <c r="BC505" t="s">
        <v>144</v>
      </c>
      <c r="BD505">
        <v>2</v>
      </c>
      <c r="BE505" t="s">
        <v>133</v>
      </c>
      <c r="BF50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06" spans="1:58" x14ac:dyDescent="0.25">
      <c r="A506" t="s">
        <v>730</v>
      </c>
      <c r="B506" t="s">
        <v>19</v>
      </c>
      <c r="C506">
        <v>1</v>
      </c>
      <c r="D506">
        <v>507</v>
      </c>
      <c r="E506" t="s">
        <v>2110</v>
      </c>
      <c r="F506" t="s">
        <v>123</v>
      </c>
      <c r="G506" t="s">
        <v>124</v>
      </c>
      <c r="H506" t="s">
        <v>125</v>
      </c>
      <c r="I506" t="s">
        <v>126</v>
      </c>
      <c r="J506" t="s">
        <v>126</v>
      </c>
      <c r="K506" t="s">
        <v>127</v>
      </c>
      <c r="L506">
        <v>50</v>
      </c>
      <c r="M506">
        <v>1017741</v>
      </c>
      <c r="N506">
        <v>6</v>
      </c>
      <c r="O506">
        <v>2</v>
      </c>
      <c r="P506" t="s">
        <v>128</v>
      </c>
      <c r="Q506" t="s">
        <v>129</v>
      </c>
      <c r="R506">
        <v>47</v>
      </c>
      <c r="T506">
        <v>7</v>
      </c>
      <c r="U506">
        <v>12</v>
      </c>
      <c r="V506">
        <v>6</v>
      </c>
      <c r="W506">
        <v>0</v>
      </c>
      <c r="X506">
        <v>6</v>
      </c>
      <c r="Y506">
        <v>4</v>
      </c>
      <c r="Z506">
        <v>17</v>
      </c>
      <c r="AA506">
        <v>22</v>
      </c>
      <c r="AB506">
        <v>50</v>
      </c>
      <c r="AC506">
        <v>12</v>
      </c>
      <c r="AD506">
        <v>7</v>
      </c>
      <c r="AE506">
        <v>9</v>
      </c>
      <c r="AF506">
        <v>28</v>
      </c>
      <c r="AG506">
        <v>0</v>
      </c>
      <c r="AH506">
        <v>38</v>
      </c>
      <c r="AI506">
        <v>22</v>
      </c>
      <c r="AJ506">
        <v>29</v>
      </c>
      <c r="AK506">
        <v>38</v>
      </c>
      <c r="AL506">
        <v>0</v>
      </c>
      <c r="AM506">
        <v>0.12</v>
      </c>
      <c r="AN506">
        <v>2.6363636363636362</v>
      </c>
      <c r="AO506">
        <v>0</v>
      </c>
      <c r="AP506" t="s">
        <v>130</v>
      </c>
      <c r="AQ506" t="s">
        <v>131</v>
      </c>
      <c r="AR506" t="s">
        <v>523</v>
      </c>
      <c r="AS506">
        <v>1467</v>
      </c>
      <c r="AT506">
        <v>1437</v>
      </c>
      <c r="AU506">
        <v>0</v>
      </c>
      <c r="AV506">
        <v>0</v>
      </c>
      <c r="AW506">
        <v>2.9039999999999999</v>
      </c>
      <c r="AX506">
        <v>0.24199999999999999</v>
      </c>
      <c r="AY506">
        <v>6.7759999999999998</v>
      </c>
      <c r="AZ506" t="s">
        <v>135</v>
      </c>
      <c r="BA506">
        <v>-0.7759999999999998</v>
      </c>
      <c r="BB506">
        <v>-3.206611570247933</v>
      </c>
      <c r="BC506" t="s">
        <v>132</v>
      </c>
      <c r="BD506">
        <v>0</v>
      </c>
      <c r="BE506" t="s">
        <v>133</v>
      </c>
      <c r="BF50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2.9039999999999999</v>
      </c>
    </row>
    <row r="507" spans="1:58" x14ac:dyDescent="0.25">
      <c r="A507" t="s">
        <v>731</v>
      </c>
      <c r="B507" t="s">
        <v>19</v>
      </c>
      <c r="C507">
        <v>1</v>
      </c>
      <c r="D507">
        <v>508</v>
      </c>
      <c r="E507" t="s">
        <v>2110</v>
      </c>
      <c r="F507" t="s">
        <v>123</v>
      </c>
      <c r="G507" t="s">
        <v>124</v>
      </c>
      <c r="H507" t="s">
        <v>125</v>
      </c>
      <c r="I507" t="s">
        <v>126</v>
      </c>
      <c r="J507" t="s">
        <v>126</v>
      </c>
      <c r="K507" t="s">
        <v>127</v>
      </c>
      <c r="L507">
        <v>50</v>
      </c>
      <c r="M507">
        <v>1017743</v>
      </c>
      <c r="N507">
        <v>6</v>
      </c>
      <c r="O507">
        <v>2</v>
      </c>
      <c r="P507" t="s">
        <v>128</v>
      </c>
      <c r="Q507" t="s">
        <v>129</v>
      </c>
      <c r="R507">
        <v>47</v>
      </c>
      <c r="T507">
        <v>8</v>
      </c>
      <c r="U507">
        <v>13</v>
      </c>
      <c r="V507">
        <v>5</v>
      </c>
      <c r="W507">
        <v>1</v>
      </c>
      <c r="X507">
        <v>4</v>
      </c>
      <c r="Y507">
        <v>1</v>
      </c>
      <c r="Z507">
        <v>14</v>
      </c>
      <c r="AA507">
        <v>19</v>
      </c>
      <c r="AB507">
        <v>50</v>
      </c>
      <c r="AC507">
        <v>13</v>
      </c>
      <c r="AD507">
        <v>10</v>
      </c>
      <c r="AE507">
        <v>1</v>
      </c>
      <c r="AF507">
        <v>25</v>
      </c>
      <c r="AG507">
        <v>1</v>
      </c>
      <c r="AH507">
        <v>37</v>
      </c>
      <c r="AI507">
        <v>25</v>
      </c>
      <c r="AJ507">
        <v>35</v>
      </c>
      <c r="AK507">
        <v>36</v>
      </c>
      <c r="AL507">
        <v>0</v>
      </c>
      <c r="AM507">
        <v>0.12</v>
      </c>
      <c r="AN507">
        <v>3.1818181818181821</v>
      </c>
      <c r="AO507">
        <v>0.13636363636363635</v>
      </c>
      <c r="AP507" t="s">
        <v>130</v>
      </c>
      <c r="AQ507" t="s">
        <v>131</v>
      </c>
      <c r="AR507" t="s">
        <v>523</v>
      </c>
      <c r="AS507">
        <v>1360</v>
      </c>
      <c r="AT507">
        <v>1314</v>
      </c>
      <c r="AU507">
        <v>0</v>
      </c>
      <c r="AV507">
        <v>0</v>
      </c>
      <c r="AW507">
        <v>2.6739999999999999</v>
      </c>
      <c r="AX507">
        <v>0.20569230769230767</v>
      </c>
      <c r="AY507">
        <v>5.1423076923076918</v>
      </c>
      <c r="AZ507" t="s">
        <v>135</v>
      </c>
      <c r="BA507">
        <v>0.8576923076923082</v>
      </c>
      <c r="BB507">
        <v>4.1697830964846698</v>
      </c>
      <c r="BC507" t="s">
        <v>133</v>
      </c>
      <c r="BD507">
        <v>0</v>
      </c>
      <c r="BE507" t="s">
        <v>133</v>
      </c>
      <c r="BF50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2.6739999999999999</v>
      </c>
    </row>
    <row r="508" spans="1:58" x14ac:dyDescent="0.25">
      <c r="A508" t="s">
        <v>732</v>
      </c>
      <c r="B508" t="s">
        <v>19</v>
      </c>
      <c r="C508">
        <v>1</v>
      </c>
      <c r="D508">
        <v>509</v>
      </c>
      <c r="E508" t="s">
        <v>2110</v>
      </c>
      <c r="F508" t="s">
        <v>123</v>
      </c>
      <c r="G508" t="s">
        <v>124</v>
      </c>
      <c r="H508" t="s">
        <v>125</v>
      </c>
      <c r="I508" t="s">
        <v>126</v>
      </c>
      <c r="J508" t="s">
        <v>126</v>
      </c>
      <c r="K508" t="s">
        <v>127</v>
      </c>
      <c r="L508">
        <v>50</v>
      </c>
      <c r="M508">
        <v>1017745</v>
      </c>
      <c r="N508">
        <v>6</v>
      </c>
      <c r="O508">
        <v>2</v>
      </c>
      <c r="P508" t="s">
        <v>128</v>
      </c>
      <c r="Q508" t="s">
        <v>129</v>
      </c>
      <c r="R508">
        <v>47</v>
      </c>
      <c r="T508">
        <v>7</v>
      </c>
      <c r="U508">
        <v>12</v>
      </c>
      <c r="V508">
        <v>6</v>
      </c>
      <c r="W508">
        <v>0</v>
      </c>
      <c r="X508">
        <v>6</v>
      </c>
      <c r="Y508">
        <v>1</v>
      </c>
      <c r="Z508">
        <v>14</v>
      </c>
      <c r="AA508">
        <v>19</v>
      </c>
      <c r="AB508">
        <v>50</v>
      </c>
      <c r="AC508">
        <v>13</v>
      </c>
      <c r="AD508">
        <v>12</v>
      </c>
      <c r="AE508">
        <v>4</v>
      </c>
      <c r="AF508">
        <v>29</v>
      </c>
      <c r="AG508">
        <v>0</v>
      </c>
      <c r="AH508">
        <v>37</v>
      </c>
      <c r="AI508">
        <v>21</v>
      </c>
      <c r="AJ508">
        <v>33</v>
      </c>
      <c r="AK508">
        <v>37</v>
      </c>
      <c r="AL508">
        <v>0</v>
      </c>
      <c r="AM508">
        <v>0.12</v>
      </c>
      <c r="AN508">
        <v>3</v>
      </c>
      <c r="AO508">
        <v>0</v>
      </c>
      <c r="AP508" t="s">
        <v>130</v>
      </c>
      <c r="AQ508" t="s">
        <v>131</v>
      </c>
      <c r="AR508" t="s">
        <v>523</v>
      </c>
      <c r="AS508">
        <v>1233</v>
      </c>
      <c r="AT508">
        <v>1179</v>
      </c>
      <c r="AU508">
        <v>0</v>
      </c>
      <c r="AV508">
        <v>0</v>
      </c>
      <c r="AW508">
        <v>2.4119999999999999</v>
      </c>
      <c r="AX508">
        <v>0.18553846153846154</v>
      </c>
      <c r="AY508">
        <v>5.3806153846153846</v>
      </c>
      <c r="AZ508" t="s">
        <v>135</v>
      </c>
      <c r="BA508">
        <v>0.61938461538461542</v>
      </c>
      <c r="BB508">
        <v>3.338308457711443</v>
      </c>
      <c r="BC508" t="s">
        <v>133</v>
      </c>
      <c r="BD508">
        <v>0</v>
      </c>
      <c r="BE508" t="s">
        <v>133</v>
      </c>
      <c r="BF50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2.4119999999999999</v>
      </c>
    </row>
    <row r="509" spans="1:58" x14ac:dyDescent="0.25">
      <c r="A509" t="s">
        <v>733</v>
      </c>
      <c r="B509" t="s">
        <v>19</v>
      </c>
      <c r="C509">
        <v>1</v>
      </c>
      <c r="D509">
        <v>510</v>
      </c>
      <c r="E509" t="s">
        <v>2110</v>
      </c>
      <c r="F509" t="s">
        <v>123</v>
      </c>
      <c r="G509" t="s">
        <v>124</v>
      </c>
      <c r="H509" t="s">
        <v>125</v>
      </c>
      <c r="I509" t="s">
        <v>126</v>
      </c>
      <c r="J509" t="s">
        <v>126</v>
      </c>
      <c r="K509" t="s">
        <v>127</v>
      </c>
      <c r="L509">
        <v>50</v>
      </c>
      <c r="M509">
        <v>1017747</v>
      </c>
      <c r="N509">
        <v>6</v>
      </c>
      <c r="O509">
        <v>2</v>
      </c>
      <c r="P509" t="s">
        <v>128</v>
      </c>
      <c r="Q509" t="s">
        <v>129</v>
      </c>
      <c r="R509">
        <v>47</v>
      </c>
      <c r="T509">
        <v>5</v>
      </c>
      <c r="U509">
        <v>10</v>
      </c>
      <c r="V509">
        <v>5</v>
      </c>
      <c r="W509">
        <v>1</v>
      </c>
      <c r="X509">
        <v>4</v>
      </c>
      <c r="Y509">
        <v>2</v>
      </c>
      <c r="Z509">
        <v>12</v>
      </c>
      <c r="AA509">
        <v>17</v>
      </c>
      <c r="AB509">
        <v>50</v>
      </c>
      <c r="AC509">
        <v>10</v>
      </c>
      <c r="AD509">
        <v>11</v>
      </c>
      <c r="AE509">
        <v>3</v>
      </c>
      <c r="AF509">
        <v>25</v>
      </c>
      <c r="AG509">
        <v>1</v>
      </c>
      <c r="AH509">
        <v>40</v>
      </c>
      <c r="AI509">
        <v>25</v>
      </c>
      <c r="AJ509">
        <v>36</v>
      </c>
      <c r="AK509">
        <v>39</v>
      </c>
      <c r="AL509">
        <v>0</v>
      </c>
      <c r="AM509">
        <v>0.12</v>
      </c>
      <c r="AN509">
        <v>3.2727272727272729</v>
      </c>
      <c r="AO509">
        <v>0.13636363636363635</v>
      </c>
      <c r="AP509" t="s">
        <v>130</v>
      </c>
      <c r="AQ509" t="s">
        <v>131</v>
      </c>
      <c r="AR509" t="s">
        <v>523</v>
      </c>
      <c r="AS509">
        <v>801</v>
      </c>
      <c r="AT509">
        <v>0</v>
      </c>
      <c r="AU509">
        <v>0</v>
      </c>
      <c r="AV509">
        <v>0</v>
      </c>
      <c r="AW509">
        <v>0.80100000000000005</v>
      </c>
      <c r="AX509">
        <v>8.0100000000000005E-2</v>
      </c>
      <c r="AY509">
        <v>2.0024999999999999</v>
      </c>
      <c r="AZ509" t="s">
        <v>143</v>
      </c>
      <c r="BA509">
        <v>3.9975000000000001</v>
      </c>
      <c r="BB509">
        <v>49.9063670411985</v>
      </c>
      <c r="BC509" t="s">
        <v>133</v>
      </c>
      <c r="BD509">
        <v>0</v>
      </c>
      <c r="BE509" t="s">
        <v>133</v>
      </c>
      <c r="BF50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0.80100000000000005</v>
      </c>
    </row>
    <row r="510" spans="1:58" x14ac:dyDescent="0.25">
      <c r="A510" t="s">
        <v>734</v>
      </c>
      <c r="B510" t="s">
        <v>19</v>
      </c>
      <c r="C510">
        <v>1</v>
      </c>
      <c r="D510">
        <v>511</v>
      </c>
      <c r="E510" t="s">
        <v>2110</v>
      </c>
      <c r="F510" t="s">
        <v>123</v>
      </c>
      <c r="G510" t="s">
        <v>124</v>
      </c>
      <c r="H510" t="s">
        <v>125</v>
      </c>
      <c r="I510" t="s">
        <v>126</v>
      </c>
      <c r="J510" t="s">
        <v>126</v>
      </c>
      <c r="K510" t="s">
        <v>127</v>
      </c>
      <c r="L510">
        <v>50</v>
      </c>
      <c r="M510">
        <v>1017749</v>
      </c>
      <c r="N510">
        <v>6</v>
      </c>
      <c r="O510">
        <v>2</v>
      </c>
      <c r="P510" t="s">
        <v>128</v>
      </c>
      <c r="Q510" t="s">
        <v>129</v>
      </c>
      <c r="R510">
        <v>47</v>
      </c>
      <c r="T510">
        <v>7</v>
      </c>
      <c r="U510">
        <v>12</v>
      </c>
      <c r="V510">
        <v>5</v>
      </c>
      <c r="W510">
        <v>0</v>
      </c>
      <c r="X510">
        <v>5</v>
      </c>
      <c r="Y510">
        <v>1</v>
      </c>
      <c r="Z510">
        <v>13</v>
      </c>
      <c r="AA510">
        <v>18</v>
      </c>
      <c r="AB510">
        <v>50</v>
      </c>
      <c r="AC510">
        <v>16</v>
      </c>
      <c r="AD510">
        <v>6</v>
      </c>
      <c r="AE510">
        <v>1</v>
      </c>
      <c r="AF510">
        <v>23</v>
      </c>
      <c r="AG510">
        <v>0</v>
      </c>
      <c r="AH510">
        <v>34</v>
      </c>
      <c r="AI510">
        <v>27</v>
      </c>
      <c r="AJ510">
        <v>33</v>
      </c>
      <c r="AK510">
        <v>34</v>
      </c>
      <c r="AL510">
        <v>0</v>
      </c>
      <c r="AM510">
        <v>0.12</v>
      </c>
      <c r="AN510">
        <v>3</v>
      </c>
      <c r="AO510">
        <v>0</v>
      </c>
      <c r="AP510" t="s">
        <v>130</v>
      </c>
      <c r="AQ510" t="s">
        <v>131</v>
      </c>
      <c r="AR510" t="s">
        <v>523</v>
      </c>
      <c r="AS510">
        <v>1157</v>
      </c>
      <c r="AT510">
        <v>1566</v>
      </c>
      <c r="AU510">
        <v>0</v>
      </c>
      <c r="AV510">
        <v>0</v>
      </c>
      <c r="AW510">
        <v>2.7229999999999999</v>
      </c>
      <c r="AX510">
        <v>0.17018749999999999</v>
      </c>
      <c r="AY510">
        <v>3.9143124999999999</v>
      </c>
      <c r="AZ510" t="s">
        <v>135</v>
      </c>
      <c r="BA510">
        <v>2.0856875000000001</v>
      </c>
      <c r="BB510">
        <v>12.25523319867793</v>
      </c>
      <c r="BC510" t="s">
        <v>133</v>
      </c>
      <c r="BD510">
        <v>0</v>
      </c>
      <c r="BE510" t="s">
        <v>133</v>
      </c>
      <c r="BF51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2.7229999999999999</v>
      </c>
    </row>
    <row r="511" spans="1:58" x14ac:dyDescent="0.25">
      <c r="A511" t="s">
        <v>735</v>
      </c>
      <c r="B511" t="s">
        <v>19</v>
      </c>
      <c r="C511">
        <v>1</v>
      </c>
      <c r="D511">
        <v>512</v>
      </c>
      <c r="E511" t="s">
        <v>2110</v>
      </c>
      <c r="F511" t="s">
        <v>123</v>
      </c>
      <c r="G511" t="s">
        <v>124</v>
      </c>
      <c r="H511" t="s">
        <v>136</v>
      </c>
      <c r="I511" t="s">
        <v>137</v>
      </c>
      <c r="J511" t="s">
        <v>138</v>
      </c>
      <c r="K511" t="s">
        <v>127</v>
      </c>
      <c r="L511">
        <v>50</v>
      </c>
      <c r="M511">
        <v>1017751</v>
      </c>
      <c r="N511">
        <v>5</v>
      </c>
      <c r="O511">
        <v>2</v>
      </c>
      <c r="P511" t="s">
        <v>128</v>
      </c>
      <c r="Q511" t="s">
        <v>129</v>
      </c>
      <c r="R511">
        <v>47</v>
      </c>
      <c r="T511">
        <v>0</v>
      </c>
      <c r="U511">
        <v>4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4</v>
      </c>
      <c r="AB511">
        <v>50</v>
      </c>
      <c r="AC511">
        <v>4</v>
      </c>
      <c r="AD511">
        <v>0</v>
      </c>
      <c r="AE511">
        <v>0</v>
      </c>
      <c r="AF511">
        <v>4</v>
      </c>
      <c r="AG511">
        <v>0</v>
      </c>
      <c r="AH511">
        <v>46</v>
      </c>
      <c r="AI511">
        <v>46</v>
      </c>
      <c r="AJ511">
        <v>46</v>
      </c>
      <c r="AK511">
        <v>46</v>
      </c>
      <c r="AL511">
        <v>0</v>
      </c>
      <c r="AM511">
        <v>0.1</v>
      </c>
      <c r="AN511">
        <v>4.1818181818181817</v>
      </c>
      <c r="AO511">
        <v>0</v>
      </c>
      <c r="AP511" t="s">
        <v>139</v>
      </c>
      <c r="AQ511" t="s">
        <v>131</v>
      </c>
      <c r="AR511" t="s">
        <v>523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 t="s">
        <v>134</v>
      </c>
      <c r="BA511">
        <v>5</v>
      </c>
      <c r="BB511">
        <v>0</v>
      </c>
      <c r="BC511" t="s">
        <v>133</v>
      </c>
      <c r="BD511">
        <v>0</v>
      </c>
      <c r="BE511" t="s">
        <v>133</v>
      </c>
      <c r="BF51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12" spans="1:58" x14ac:dyDescent="0.25">
      <c r="A512" t="s">
        <v>736</v>
      </c>
      <c r="B512" t="s">
        <v>19</v>
      </c>
      <c r="C512">
        <v>1</v>
      </c>
      <c r="D512">
        <v>513</v>
      </c>
      <c r="E512" t="s">
        <v>2110</v>
      </c>
      <c r="F512" t="s">
        <v>123</v>
      </c>
      <c r="G512" t="s">
        <v>124</v>
      </c>
      <c r="H512" t="s">
        <v>125</v>
      </c>
      <c r="I512" t="s">
        <v>126</v>
      </c>
      <c r="J512" t="s">
        <v>126</v>
      </c>
      <c r="K512" t="s">
        <v>127</v>
      </c>
      <c r="L512">
        <v>50</v>
      </c>
      <c r="M512">
        <v>1017753</v>
      </c>
      <c r="N512">
        <v>6</v>
      </c>
      <c r="O512">
        <v>2</v>
      </c>
      <c r="P512" t="s">
        <v>128</v>
      </c>
      <c r="Q512" t="s">
        <v>129</v>
      </c>
      <c r="R512">
        <v>47</v>
      </c>
      <c r="T512">
        <v>11</v>
      </c>
      <c r="U512">
        <v>16</v>
      </c>
      <c r="V512">
        <v>3</v>
      </c>
      <c r="W512">
        <v>0</v>
      </c>
      <c r="X512">
        <v>3</v>
      </c>
      <c r="Y512">
        <v>0</v>
      </c>
      <c r="Z512">
        <v>14</v>
      </c>
      <c r="AA512">
        <v>19</v>
      </c>
      <c r="AB512">
        <v>50</v>
      </c>
      <c r="AC512">
        <v>21</v>
      </c>
      <c r="AD512">
        <v>5</v>
      </c>
      <c r="AE512">
        <v>0</v>
      </c>
      <c r="AF512">
        <v>26</v>
      </c>
      <c r="AG512">
        <v>0</v>
      </c>
      <c r="AH512">
        <v>29</v>
      </c>
      <c r="AI512">
        <v>24</v>
      </c>
      <c r="AJ512">
        <v>29</v>
      </c>
      <c r="AK512">
        <v>29</v>
      </c>
      <c r="AL512">
        <v>0</v>
      </c>
      <c r="AM512">
        <v>0.12</v>
      </c>
      <c r="AN512">
        <v>2.6363636363636362</v>
      </c>
      <c r="AO512">
        <v>0</v>
      </c>
      <c r="AP512" t="s">
        <v>130</v>
      </c>
      <c r="AQ512" t="s">
        <v>131</v>
      </c>
      <c r="AR512" t="s">
        <v>523</v>
      </c>
      <c r="AS512">
        <v>1613</v>
      </c>
      <c r="AT512">
        <v>1594</v>
      </c>
      <c r="AU512">
        <v>0</v>
      </c>
      <c r="AV512">
        <v>0</v>
      </c>
      <c r="AW512">
        <v>3.2069999999999999</v>
      </c>
      <c r="AX512">
        <v>0.15271428571428572</v>
      </c>
      <c r="AY512">
        <v>3.9705714285714286</v>
      </c>
      <c r="AZ512" t="s">
        <v>135</v>
      </c>
      <c r="BA512">
        <v>2.0294285714285714</v>
      </c>
      <c r="BB512">
        <v>13.289055191768007</v>
      </c>
      <c r="BC512" t="s">
        <v>133</v>
      </c>
      <c r="BD512">
        <v>0</v>
      </c>
      <c r="BE512" t="s">
        <v>133</v>
      </c>
      <c r="BF51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3.2069999999999999</v>
      </c>
    </row>
    <row r="513" spans="1:58" x14ac:dyDescent="0.25">
      <c r="A513" t="s">
        <v>737</v>
      </c>
      <c r="B513" t="s">
        <v>19</v>
      </c>
      <c r="C513">
        <v>1</v>
      </c>
      <c r="D513">
        <v>514</v>
      </c>
      <c r="E513" t="s">
        <v>2110</v>
      </c>
      <c r="F513" t="s">
        <v>123</v>
      </c>
      <c r="G513" t="s">
        <v>124</v>
      </c>
      <c r="H513" t="s">
        <v>125</v>
      </c>
      <c r="I513" t="s">
        <v>126</v>
      </c>
      <c r="J513" t="s">
        <v>126</v>
      </c>
      <c r="K513" t="s">
        <v>127</v>
      </c>
      <c r="L513">
        <v>50</v>
      </c>
      <c r="M513">
        <v>1017755</v>
      </c>
      <c r="N513">
        <v>6</v>
      </c>
      <c r="O513">
        <v>2</v>
      </c>
      <c r="P513" t="s">
        <v>128</v>
      </c>
      <c r="Q513" t="s">
        <v>129</v>
      </c>
      <c r="R513">
        <v>47</v>
      </c>
      <c r="T513">
        <v>4</v>
      </c>
      <c r="U513">
        <v>9</v>
      </c>
      <c r="V513">
        <v>14</v>
      </c>
      <c r="W513">
        <v>0</v>
      </c>
      <c r="X513">
        <v>14</v>
      </c>
      <c r="Y513">
        <v>3</v>
      </c>
      <c r="Z513">
        <v>21</v>
      </c>
      <c r="AA513">
        <v>26</v>
      </c>
      <c r="AB513">
        <v>50</v>
      </c>
      <c r="AC513">
        <v>12</v>
      </c>
      <c r="AD513">
        <v>19</v>
      </c>
      <c r="AE513">
        <v>6</v>
      </c>
      <c r="AF513">
        <v>37</v>
      </c>
      <c r="AG513">
        <v>0</v>
      </c>
      <c r="AH513">
        <v>38</v>
      </c>
      <c r="AI513">
        <v>13</v>
      </c>
      <c r="AJ513">
        <v>32</v>
      </c>
      <c r="AK513">
        <v>38</v>
      </c>
      <c r="AL513">
        <v>0</v>
      </c>
      <c r="AM513">
        <v>0.12</v>
      </c>
      <c r="AN513">
        <v>2.9090909090909092</v>
      </c>
      <c r="AO513">
        <v>0</v>
      </c>
      <c r="AP513" t="s">
        <v>130</v>
      </c>
      <c r="AQ513" t="s">
        <v>131</v>
      </c>
      <c r="AR513" t="s">
        <v>523</v>
      </c>
      <c r="AS513">
        <v>1116</v>
      </c>
      <c r="AT513">
        <v>1092</v>
      </c>
      <c r="AU513">
        <v>0</v>
      </c>
      <c r="AV513">
        <v>0</v>
      </c>
      <c r="AW513">
        <v>2.2080000000000002</v>
      </c>
      <c r="AX513">
        <v>0.18400000000000002</v>
      </c>
      <c r="AY513">
        <v>6.8080000000000007</v>
      </c>
      <c r="AZ513" t="s">
        <v>135</v>
      </c>
      <c r="BA513">
        <v>-0.80800000000000072</v>
      </c>
      <c r="BB513">
        <v>-4.3913043478260905</v>
      </c>
      <c r="BC513" t="s">
        <v>133</v>
      </c>
      <c r="BD513">
        <v>0</v>
      </c>
      <c r="BE513" t="s">
        <v>133</v>
      </c>
      <c r="BF51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2.2080000000000002</v>
      </c>
    </row>
    <row r="514" spans="1:58" x14ac:dyDescent="0.25">
      <c r="A514" t="s">
        <v>738</v>
      </c>
      <c r="B514" t="s">
        <v>19</v>
      </c>
      <c r="C514">
        <v>1</v>
      </c>
      <c r="D514">
        <v>515</v>
      </c>
      <c r="E514" t="s">
        <v>2110</v>
      </c>
      <c r="F514" t="s">
        <v>123</v>
      </c>
      <c r="G514" t="s">
        <v>124</v>
      </c>
      <c r="H514" t="s">
        <v>125</v>
      </c>
      <c r="I514" t="s">
        <v>126</v>
      </c>
      <c r="J514" t="s">
        <v>126</v>
      </c>
      <c r="K514" t="s">
        <v>127</v>
      </c>
      <c r="L514">
        <v>50</v>
      </c>
      <c r="M514">
        <v>1017757</v>
      </c>
      <c r="N514">
        <v>6</v>
      </c>
      <c r="O514">
        <v>2</v>
      </c>
      <c r="P514" t="s">
        <v>128</v>
      </c>
      <c r="Q514" t="s">
        <v>129</v>
      </c>
      <c r="R514">
        <v>47</v>
      </c>
      <c r="T514">
        <v>9</v>
      </c>
      <c r="U514">
        <v>14</v>
      </c>
      <c r="V514">
        <v>2</v>
      </c>
      <c r="W514">
        <v>1</v>
      </c>
      <c r="X514">
        <v>1</v>
      </c>
      <c r="Y514">
        <v>0</v>
      </c>
      <c r="Z514">
        <v>11</v>
      </c>
      <c r="AA514">
        <v>16</v>
      </c>
      <c r="AB514">
        <v>50</v>
      </c>
      <c r="AC514">
        <v>21</v>
      </c>
      <c r="AD514">
        <v>1</v>
      </c>
      <c r="AE514">
        <v>0</v>
      </c>
      <c r="AF514">
        <v>23</v>
      </c>
      <c r="AG514">
        <v>1</v>
      </c>
      <c r="AH514">
        <v>29</v>
      </c>
      <c r="AI514">
        <v>27</v>
      </c>
      <c r="AJ514">
        <v>28</v>
      </c>
      <c r="AK514">
        <v>28</v>
      </c>
      <c r="AL514">
        <v>0</v>
      </c>
      <c r="AM514">
        <v>0.12</v>
      </c>
      <c r="AN514">
        <v>2.5454545454545454</v>
      </c>
      <c r="AO514">
        <v>0.13636363636363635</v>
      </c>
      <c r="AP514" t="s">
        <v>130</v>
      </c>
      <c r="AQ514" t="s">
        <v>131</v>
      </c>
      <c r="AR514" t="s">
        <v>523</v>
      </c>
      <c r="AS514">
        <v>1985</v>
      </c>
      <c r="AT514">
        <v>1585</v>
      </c>
      <c r="AU514">
        <v>0</v>
      </c>
      <c r="AV514">
        <v>0</v>
      </c>
      <c r="AW514">
        <v>3.57</v>
      </c>
      <c r="AX514">
        <v>0.16999999999999998</v>
      </c>
      <c r="AY514">
        <v>3.9099999999999997</v>
      </c>
      <c r="AZ514" t="s">
        <v>135</v>
      </c>
      <c r="BA514">
        <v>2.0900000000000003</v>
      </c>
      <c r="BB514">
        <v>12.294117647058826</v>
      </c>
      <c r="BC514" t="s">
        <v>133</v>
      </c>
      <c r="BD514">
        <v>0</v>
      </c>
      <c r="BE514" t="s">
        <v>133</v>
      </c>
      <c r="BF51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3.57</v>
      </c>
    </row>
    <row r="515" spans="1:58" x14ac:dyDescent="0.25">
      <c r="A515" t="s">
        <v>739</v>
      </c>
      <c r="B515" t="s">
        <v>19</v>
      </c>
      <c r="C515">
        <v>1</v>
      </c>
      <c r="D515">
        <v>516</v>
      </c>
      <c r="E515" t="s">
        <v>2110</v>
      </c>
      <c r="F515" t="s">
        <v>123</v>
      </c>
      <c r="G515" t="s">
        <v>124</v>
      </c>
      <c r="H515" t="s">
        <v>125</v>
      </c>
      <c r="I515" t="s">
        <v>126</v>
      </c>
      <c r="J515" t="s">
        <v>126</v>
      </c>
      <c r="K515" t="s">
        <v>127</v>
      </c>
      <c r="L515">
        <v>50</v>
      </c>
      <c r="M515">
        <v>1017759</v>
      </c>
      <c r="N515">
        <v>6</v>
      </c>
      <c r="O515">
        <v>2</v>
      </c>
      <c r="P515" t="s">
        <v>128</v>
      </c>
      <c r="Q515" t="s">
        <v>129</v>
      </c>
      <c r="R515">
        <v>47</v>
      </c>
      <c r="T515">
        <v>12</v>
      </c>
      <c r="U515">
        <v>17</v>
      </c>
      <c r="V515">
        <v>1</v>
      </c>
      <c r="W515">
        <v>0</v>
      </c>
      <c r="X515">
        <v>1</v>
      </c>
      <c r="Y515">
        <v>3</v>
      </c>
      <c r="Z515">
        <v>16</v>
      </c>
      <c r="AA515">
        <v>21</v>
      </c>
      <c r="AB515">
        <v>50</v>
      </c>
      <c r="AC515">
        <v>20</v>
      </c>
      <c r="AD515">
        <v>2</v>
      </c>
      <c r="AE515">
        <v>5</v>
      </c>
      <c r="AF515">
        <v>27</v>
      </c>
      <c r="AG515">
        <v>0</v>
      </c>
      <c r="AH515">
        <v>30</v>
      </c>
      <c r="AI515">
        <v>23</v>
      </c>
      <c r="AJ515">
        <v>25</v>
      </c>
      <c r="AK515">
        <v>30</v>
      </c>
      <c r="AL515">
        <v>0</v>
      </c>
      <c r="AM515">
        <v>0.12</v>
      </c>
      <c r="AN515">
        <v>2.2727272727272729</v>
      </c>
      <c r="AO515">
        <v>0</v>
      </c>
      <c r="AP515" t="s">
        <v>130</v>
      </c>
      <c r="AQ515" t="s">
        <v>131</v>
      </c>
      <c r="AR515" t="s">
        <v>523</v>
      </c>
      <c r="AS515">
        <v>1977</v>
      </c>
      <c r="AT515">
        <v>1952</v>
      </c>
      <c r="AU515">
        <v>0</v>
      </c>
      <c r="AV515">
        <v>0</v>
      </c>
      <c r="AW515">
        <v>3.9289999999999998</v>
      </c>
      <c r="AX515">
        <v>0.19644999999999999</v>
      </c>
      <c r="AY515">
        <v>5.3041499999999999</v>
      </c>
      <c r="AZ515" t="s">
        <v>135</v>
      </c>
      <c r="BA515">
        <v>0.69585000000000008</v>
      </c>
      <c r="BB515">
        <v>3.5421226775260886</v>
      </c>
      <c r="BC515" t="s">
        <v>133</v>
      </c>
      <c r="BD515">
        <v>0</v>
      </c>
      <c r="BE515" t="s">
        <v>133</v>
      </c>
      <c r="BF51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3.9289999999999998</v>
      </c>
    </row>
    <row r="516" spans="1:58" x14ac:dyDescent="0.25">
      <c r="A516" t="s">
        <v>740</v>
      </c>
      <c r="B516" t="s">
        <v>19</v>
      </c>
      <c r="C516">
        <v>1</v>
      </c>
      <c r="D516">
        <v>517</v>
      </c>
      <c r="E516" t="s">
        <v>2110</v>
      </c>
      <c r="F516" t="s">
        <v>123</v>
      </c>
      <c r="G516" t="s">
        <v>124</v>
      </c>
      <c r="H516" t="s">
        <v>125</v>
      </c>
      <c r="I516" t="s">
        <v>126</v>
      </c>
      <c r="J516" t="s">
        <v>126</v>
      </c>
      <c r="K516" t="s">
        <v>127</v>
      </c>
      <c r="L516">
        <v>50</v>
      </c>
      <c r="M516">
        <v>1017761</v>
      </c>
      <c r="N516">
        <v>6</v>
      </c>
      <c r="O516">
        <v>2</v>
      </c>
      <c r="P516" t="s">
        <v>128</v>
      </c>
      <c r="Q516" t="s">
        <v>129</v>
      </c>
      <c r="R516">
        <v>47</v>
      </c>
      <c r="T516">
        <v>6</v>
      </c>
      <c r="U516">
        <v>11</v>
      </c>
      <c r="V516">
        <v>2</v>
      </c>
      <c r="W516">
        <v>0</v>
      </c>
      <c r="X516">
        <v>2</v>
      </c>
      <c r="Y516">
        <v>1</v>
      </c>
      <c r="Z516">
        <v>9</v>
      </c>
      <c r="AA516">
        <v>14</v>
      </c>
      <c r="AB516">
        <v>50</v>
      </c>
      <c r="AC516">
        <v>15</v>
      </c>
      <c r="AD516">
        <v>3</v>
      </c>
      <c r="AE516">
        <v>2</v>
      </c>
      <c r="AF516">
        <v>20</v>
      </c>
      <c r="AG516">
        <v>0</v>
      </c>
      <c r="AH516">
        <v>35</v>
      </c>
      <c r="AI516">
        <v>30</v>
      </c>
      <c r="AJ516">
        <v>33</v>
      </c>
      <c r="AK516">
        <v>35</v>
      </c>
      <c r="AL516">
        <v>0</v>
      </c>
      <c r="AM516">
        <v>0.12</v>
      </c>
      <c r="AN516">
        <v>3</v>
      </c>
      <c r="AO516">
        <v>0</v>
      </c>
      <c r="AP516" t="s">
        <v>130</v>
      </c>
      <c r="AQ516" t="s">
        <v>131</v>
      </c>
      <c r="AR516" t="s">
        <v>523</v>
      </c>
      <c r="AS516">
        <v>1267</v>
      </c>
      <c r="AT516">
        <v>1262</v>
      </c>
      <c r="AU516">
        <v>0</v>
      </c>
      <c r="AV516">
        <v>0</v>
      </c>
      <c r="AW516">
        <v>2.5289999999999999</v>
      </c>
      <c r="AX516">
        <v>0.1686</v>
      </c>
      <c r="AY516">
        <v>3.3719999999999999</v>
      </c>
      <c r="AZ516" t="s">
        <v>135</v>
      </c>
      <c r="BA516">
        <v>2.6280000000000001</v>
      </c>
      <c r="BB516">
        <v>15.587188612099645</v>
      </c>
      <c r="BC516" t="s">
        <v>144</v>
      </c>
      <c r="BD516">
        <v>0</v>
      </c>
      <c r="BE516" t="s">
        <v>133</v>
      </c>
      <c r="BF51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2.5289999999999999</v>
      </c>
    </row>
    <row r="517" spans="1:58" x14ac:dyDescent="0.25">
      <c r="A517" t="s">
        <v>741</v>
      </c>
      <c r="B517" t="s">
        <v>19</v>
      </c>
      <c r="C517">
        <v>1</v>
      </c>
      <c r="D517">
        <v>518</v>
      </c>
      <c r="E517" t="s">
        <v>2110</v>
      </c>
      <c r="F517" t="s">
        <v>123</v>
      </c>
      <c r="G517" t="s">
        <v>124</v>
      </c>
      <c r="H517" t="s">
        <v>125</v>
      </c>
      <c r="I517" t="s">
        <v>126</v>
      </c>
      <c r="J517" t="s">
        <v>126</v>
      </c>
      <c r="K517" t="s">
        <v>127</v>
      </c>
      <c r="L517">
        <v>50</v>
      </c>
      <c r="M517">
        <v>1017763</v>
      </c>
      <c r="N517">
        <v>6</v>
      </c>
      <c r="O517">
        <v>2</v>
      </c>
      <c r="P517" t="s">
        <v>128</v>
      </c>
      <c r="Q517" t="s">
        <v>129</v>
      </c>
      <c r="R517">
        <v>48</v>
      </c>
      <c r="T517">
        <v>7</v>
      </c>
      <c r="U517">
        <v>12</v>
      </c>
      <c r="V517">
        <v>4</v>
      </c>
      <c r="W517">
        <v>0</v>
      </c>
      <c r="X517">
        <v>4</v>
      </c>
      <c r="Y517">
        <v>1</v>
      </c>
      <c r="Z517">
        <v>12</v>
      </c>
      <c r="AA517">
        <v>17</v>
      </c>
      <c r="AB517">
        <v>50</v>
      </c>
      <c r="AC517">
        <v>17</v>
      </c>
      <c r="AD517">
        <v>7</v>
      </c>
      <c r="AE517">
        <v>1</v>
      </c>
      <c r="AF517">
        <v>25</v>
      </c>
      <c r="AG517">
        <v>0</v>
      </c>
      <c r="AH517">
        <v>33</v>
      </c>
      <c r="AI517">
        <v>25</v>
      </c>
      <c r="AJ517">
        <v>32</v>
      </c>
      <c r="AK517">
        <v>33</v>
      </c>
      <c r="AL517">
        <v>0</v>
      </c>
      <c r="AM517">
        <v>0.12</v>
      </c>
      <c r="AN517">
        <v>2.9090909090909092</v>
      </c>
      <c r="AO517">
        <v>0</v>
      </c>
      <c r="AP517" t="s">
        <v>130</v>
      </c>
      <c r="AQ517" t="s">
        <v>131</v>
      </c>
      <c r="AR517" t="s">
        <v>523</v>
      </c>
      <c r="AS517">
        <v>1195</v>
      </c>
      <c r="AT517">
        <v>838</v>
      </c>
      <c r="AU517">
        <v>0</v>
      </c>
      <c r="AV517">
        <v>0</v>
      </c>
      <c r="AW517">
        <v>2.0329999999999999</v>
      </c>
      <c r="AX517">
        <v>0.11958823529411765</v>
      </c>
      <c r="AY517">
        <v>2.9897058823529412</v>
      </c>
      <c r="AZ517" t="s">
        <v>135</v>
      </c>
      <c r="BA517">
        <v>3.0102941176470588</v>
      </c>
      <c r="BB517">
        <v>25.172159370388588</v>
      </c>
      <c r="BC517" t="s">
        <v>132</v>
      </c>
      <c r="BD517">
        <v>0</v>
      </c>
      <c r="BE517" t="s">
        <v>133</v>
      </c>
      <c r="BF51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2.0329999999999999</v>
      </c>
    </row>
    <row r="518" spans="1:58" x14ac:dyDescent="0.25">
      <c r="A518" t="s">
        <v>742</v>
      </c>
      <c r="B518" t="s">
        <v>19</v>
      </c>
      <c r="C518">
        <v>1</v>
      </c>
      <c r="D518">
        <v>519</v>
      </c>
      <c r="E518" t="s">
        <v>2110</v>
      </c>
      <c r="F518" t="s">
        <v>123</v>
      </c>
      <c r="G518" t="s">
        <v>124</v>
      </c>
      <c r="H518" t="s">
        <v>125</v>
      </c>
      <c r="I518" t="s">
        <v>126</v>
      </c>
      <c r="J518" t="s">
        <v>126</v>
      </c>
      <c r="K518" t="s">
        <v>127</v>
      </c>
      <c r="L518">
        <v>50</v>
      </c>
      <c r="M518">
        <v>1017765</v>
      </c>
      <c r="N518">
        <v>6</v>
      </c>
      <c r="O518">
        <v>2</v>
      </c>
      <c r="P518" t="s">
        <v>128</v>
      </c>
      <c r="Q518" t="s">
        <v>129</v>
      </c>
      <c r="R518">
        <v>48</v>
      </c>
      <c r="T518">
        <v>10</v>
      </c>
      <c r="U518">
        <v>15</v>
      </c>
      <c r="V518">
        <v>7</v>
      </c>
      <c r="W518">
        <v>0</v>
      </c>
      <c r="X518">
        <v>7</v>
      </c>
      <c r="Y518">
        <v>1</v>
      </c>
      <c r="Z518">
        <v>18</v>
      </c>
      <c r="AA518">
        <v>23</v>
      </c>
      <c r="AB518">
        <v>50</v>
      </c>
      <c r="AC518">
        <v>21</v>
      </c>
      <c r="AD518">
        <v>13</v>
      </c>
      <c r="AE518">
        <v>1</v>
      </c>
      <c r="AF518">
        <v>35</v>
      </c>
      <c r="AG518">
        <v>0</v>
      </c>
      <c r="AH518">
        <v>29</v>
      </c>
      <c r="AI518">
        <v>15</v>
      </c>
      <c r="AJ518">
        <v>28</v>
      </c>
      <c r="AK518">
        <v>29</v>
      </c>
      <c r="AL518">
        <v>0</v>
      </c>
      <c r="AM518">
        <v>0.12</v>
      </c>
      <c r="AN518">
        <v>2.5454545454545454</v>
      </c>
      <c r="AO518">
        <v>0</v>
      </c>
      <c r="AP518" t="s">
        <v>130</v>
      </c>
      <c r="AQ518" t="s">
        <v>131</v>
      </c>
      <c r="AR518" t="s">
        <v>523</v>
      </c>
      <c r="AS518">
        <v>1451</v>
      </c>
      <c r="AT518">
        <v>1406</v>
      </c>
      <c r="AU518">
        <v>0</v>
      </c>
      <c r="AV518">
        <v>0</v>
      </c>
      <c r="AW518">
        <v>2.8570000000000002</v>
      </c>
      <c r="AX518">
        <v>0.13604761904761906</v>
      </c>
      <c r="AY518">
        <v>4.7616666666666667</v>
      </c>
      <c r="AZ518" t="s">
        <v>135</v>
      </c>
      <c r="BA518">
        <v>1.2383333333333333</v>
      </c>
      <c r="BB518">
        <v>9.102205110255511</v>
      </c>
      <c r="BC518" t="s">
        <v>133</v>
      </c>
      <c r="BD518">
        <v>0</v>
      </c>
      <c r="BE518" t="s">
        <v>133</v>
      </c>
      <c r="BF51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2.8570000000000002</v>
      </c>
    </row>
    <row r="519" spans="1:58" x14ac:dyDescent="0.25">
      <c r="A519" t="s">
        <v>743</v>
      </c>
      <c r="B519" t="s">
        <v>19</v>
      </c>
      <c r="C519">
        <v>1</v>
      </c>
      <c r="D519">
        <v>520</v>
      </c>
      <c r="E519" t="s">
        <v>2110</v>
      </c>
      <c r="F519" t="s">
        <v>123</v>
      </c>
      <c r="G519" t="s">
        <v>124</v>
      </c>
      <c r="H519" t="s">
        <v>125</v>
      </c>
      <c r="I519" t="s">
        <v>126</v>
      </c>
      <c r="J519" t="s">
        <v>126</v>
      </c>
      <c r="K519" t="s">
        <v>127</v>
      </c>
      <c r="L519">
        <v>50</v>
      </c>
      <c r="M519">
        <v>1017767</v>
      </c>
      <c r="N519">
        <v>6</v>
      </c>
      <c r="O519">
        <v>2</v>
      </c>
      <c r="P519" t="s">
        <v>128</v>
      </c>
      <c r="Q519" t="s">
        <v>129</v>
      </c>
      <c r="R519">
        <v>48</v>
      </c>
      <c r="T519">
        <v>5</v>
      </c>
      <c r="U519">
        <v>10</v>
      </c>
      <c r="V519">
        <v>9</v>
      </c>
      <c r="W519">
        <v>0</v>
      </c>
      <c r="X519">
        <v>9</v>
      </c>
      <c r="Y519">
        <v>1</v>
      </c>
      <c r="Z519">
        <v>15</v>
      </c>
      <c r="AA519">
        <v>20</v>
      </c>
      <c r="AB519">
        <v>50</v>
      </c>
      <c r="AC519">
        <v>13</v>
      </c>
      <c r="AD519">
        <v>20</v>
      </c>
      <c r="AE519">
        <v>1</v>
      </c>
      <c r="AF519">
        <v>34</v>
      </c>
      <c r="AG519">
        <v>0</v>
      </c>
      <c r="AH519">
        <v>37</v>
      </c>
      <c r="AI519">
        <v>16</v>
      </c>
      <c r="AJ519">
        <v>36</v>
      </c>
      <c r="AK519">
        <v>37</v>
      </c>
      <c r="AL519">
        <v>0</v>
      </c>
      <c r="AM519">
        <v>0.12</v>
      </c>
      <c r="AN519">
        <v>3.2727272727272729</v>
      </c>
      <c r="AO519">
        <v>0</v>
      </c>
      <c r="AP519" t="s">
        <v>130</v>
      </c>
      <c r="AQ519" t="s">
        <v>131</v>
      </c>
      <c r="AR519" t="s">
        <v>523</v>
      </c>
      <c r="AS519">
        <v>703</v>
      </c>
      <c r="AT519">
        <v>658</v>
      </c>
      <c r="AU519">
        <v>0</v>
      </c>
      <c r="AV519">
        <v>0</v>
      </c>
      <c r="AW519">
        <v>1.361</v>
      </c>
      <c r="AX519">
        <v>0.1046923076923077</v>
      </c>
      <c r="AY519">
        <v>3.5595384615384615</v>
      </c>
      <c r="AZ519" t="s">
        <v>135</v>
      </c>
      <c r="BA519">
        <v>2.4404615384615385</v>
      </c>
      <c r="BB519">
        <v>23.31080088170463</v>
      </c>
      <c r="BC519" t="s">
        <v>133</v>
      </c>
      <c r="BD519">
        <v>0</v>
      </c>
      <c r="BE519" t="s">
        <v>133</v>
      </c>
      <c r="BF51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1.361</v>
      </c>
    </row>
    <row r="520" spans="1:58" x14ac:dyDescent="0.25">
      <c r="A520" t="s">
        <v>744</v>
      </c>
      <c r="B520" t="s">
        <v>19</v>
      </c>
      <c r="C520">
        <v>1</v>
      </c>
      <c r="D520">
        <v>521</v>
      </c>
      <c r="E520" t="s">
        <v>2110</v>
      </c>
      <c r="F520" t="s">
        <v>123</v>
      </c>
      <c r="G520" t="s">
        <v>124</v>
      </c>
      <c r="H520" t="s">
        <v>125</v>
      </c>
      <c r="I520" t="s">
        <v>126</v>
      </c>
      <c r="J520" t="s">
        <v>126</v>
      </c>
      <c r="K520" t="s">
        <v>127</v>
      </c>
      <c r="L520">
        <v>50</v>
      </c>
      <c r="M520">
        <v>1017769</v>
      </c>
      <c r="N520">
        <v>6</v>
      </c>
      <c r="O520">
        <v>2</v>
      </c>
      <c r="P520" t="s">
        <v>128</v>
      </c>
      <c r="Q520" t="s">
        <v>129</v>
      </c>
      <c r="R520">
        <v>48</v>
      </c>
      <c r="T520">
        <v>6</v>
      </c>
      <c r="U520">
        <v>11</v>
      </c>
      <c r="V520">
        <v>2</v>
      </c>
      <c r="W520">
        <v>0</v>
      </c>
      <c r="X520">
        <v>2</v>
      </c>
      <c r="Y520">
        <v>7</v>
      </c>
      <c r="Z520">
        <v>15</v>
      </c>
      <c r="AA520">
        <v>20</v>
      </c>
      <c r="AB520">
        <v>50</v>
      </c>
      <c r="AC520">
        <v>18</v>
      </c>
      <c r="AD520">
        <v>2</v>
      </c>
      <c r="AE520">
        <v>8</v>
      </c>
      <c r="AF520">
        <v>28</v>
      </c>
      <c r="AG520">
        <v>0</v>
      </c>
      <c r="AH520">
        <v>32</v>
      </c>
      <c r="AI520">
        <v>22</v>
      </c>
      <c r="AJ520">
        <v>24</v>
      </c>
      <c r="AK520">
        <v>32</v>
      </c>
      <c r="AL520">
        <v>0</v>
      </c>
      <c r="AM520">
        <v>0.12</v>
      </c>
      <c r="AN520">
        <v>2.1818181818181817</v>
      </c>
      <c r="AO520">
        <v>0</v>
      </c>
      <c r="AP520" t="s">
        <v>130</v>
      </c>
      <c r="AQ520" t="s">
        <v>131</v>
      </c>
      <c r="AR520" t="s">
        <v>523</v>
      </c>
      <c r="AS520">
        <v>1343</v>
      </c>
      <c r="AT520">
        <v>1334</v>
      </c>
      <c r="AU520">
        <v>0</v>
      </c>
      <c r="AV520">
        <v>0</v>
      </c>
      <c r="AW520">
        <v>2.677</v>
      </c>
      <c r="AX520">
        <v>0.14872222222222223</v>
      </c>
      <c r="AY520">
        <v>4.1642222222222225</v>
      </c>
      <c r="AZ520" t="s">
        <v>135</v>
      </c>
      <c r="BA520">
        <v>1.8357777777777775</v>
      </c>
      <c r="BB520">
        <v>12.343668285394095</v>
      </c>
      <c r="BC520" t="s">
        <v>133</v>
      </c>
      <c r="BD520">
        <v>0</v>
      </c>
      <c r="BE520" t="s">
        <v>133</v>
      </c>
      <c r="BF52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2.677</v>
      </c>
    </row>
    <row r="521" spans="1:58" x14ac:dyDescent="0.25">
      <c r="A521" t="s">
        <v>745</v>
      </c>
      <c r="B521" t="s">
        <v>19</v>
      </c>
      <c r="C521">
        <v>1</v>
      </c>
      <c r="D521">
        <v>522</v>
      </c>
      <c r="E521" t="s">
        <v>2110</v>
      </c>
      <c r="F521" t="s">
        <v>123</v>
      </c>
      <c r="G521" t="s">
        <v>124</v>
      </c>
      <c r="H521" t="s">
        <v>125</v>
      </c>
      <c r="I521" t="s">
        <v>126</v>
      </c>
      <c r="J521" t="s">
        <v>126</v>
      </c>
      <c r="K521" t="s">
        <v>127</v>
      </c>
      <c r="L521">
        <v>50</v>
      </c>
      <c r="M521">
        <v>1017771</v>
      </c>
      <c r="N521">
        <v>6</v>
      </c>
      <c r="O521">
        <v>2</v>
      </c>
      <c r="P521" t="s">
        <v>128</v>
      </c>
      <c r="Q521" t="s">
        <v>129</v>
      </c>
      <c r="R521">
        <v>48</v>
      </c>
      <c r="T521">
        <v>10</v>
      </c>
      <c r="U521">
        <v>15</v>
      </c>
      <c r="V521">
        <v>3</v>
      </c>
      <c r="W521">
        <v>0</v>
      </c>
      <c r="X521">
        <v>3</v>
      </c>
      <c r="Y521">
        <v>8</v>
      </c>
      <c r="Z521">
        <v>21</v>
      </c>
      <c r="AA521">
        <v>26</v>
      </c>
      <c r="AB521">
        <v>50</v>
      </c>
      <c r="AC521">
        <v>22</v>
      </c>
      <c r="AD521">
        <v>3</v>
      </c>
      <c r="AE521">
        <v>8</v>
      </c>
      <c r="AF521">
        <v>33</v>
      </c>
      <c r="AG521">
        <v>0</v>
      </c>
      <c r="AH521">
        <v>28</v>
      </c>
      <c r="AI521">
        <v>17</v>
      </c>
      <c r="AJ521">
        <v>20</v>
      </c>
      <c r="AK521">
        <v>28</v>
      </c>
      <c r="AL521">
        <v>0</v>
      </c>
      <c r="AM521">
        <v>0.12</v>
      </c>
      <c r="AN521">
        <v>1.8181818181818183</v>
      </c>
      <c r="AO521">
        <v>0</v>
      </c>
      <c r="AP521" t="s">
        <v>130</v>
      </c>
      <c r="AQ521" t="s">
        <v>131</v>
      </c>
      <c r="AR521" t="s">
        <v>523</v>
      </c>
      <c r="AS521">
        <v>1928</v>
      </c>
      <c r="AT521">
        <v>1979</v>
      </c>
      <c r="AU521">
        <v>0</v>
      </c>
      <c r="AV521">
        <v>0</v>
      </c>
      <c r="AW521">
        <v>3.907</v>
      </c>
      <c r="AX521">
        <v>0.1775909090909091</v>
      </c>
      <c r="AY521">
        <v>5.8605</v>
      </c>
      <c r="AZ521" t="s">
        <v>135</v>
      </c>
      <c r="BA521">
        <v>0.13949999999999996</v>
      </c>
      <c r="BB521">
        <v>0.78551318146915761</v>
      </c>
      <c r="BC521" t="s">
        <v>133</v>
      </c>
      <c r="BD521">
        <v>0</v>
      </c>
      <c r="BE521" t="s">
        <v>133</v>
      </c>
      <c r="BF52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3.907</v>
      </c>
    </row>
    <row r="522" spans="1:58" x14ac:dyDescent="0.25">
      <c r="A522" t="s">
        <v>746</v>
      </c>
      <c r="B522" t="s">
        <v>19</v>
      </c>
      <c r="C522">
        <v>1</v>
      </c>
      <c r="D522">
        <v>523</v>
      </c>
      <c r="E522" t="s">
        <v>2110</v>
      </c>
      <c r="F522" t="s">
        <v>123</v>
      </c>
      <c r="G522" t="s">
        <v>124</v>
      </c>
      <c r="H522" t="s">
        <v>136</v>
      </c>
      <c r="I522" t="s">
        <v>137</v>
      </c>
      <c r="J522" t="s">
        <v>138</v>
      </c>
      <c r="K522" t="s">
        <v>127</v>
      </c>
      <c r="L522">
        <v>50</v>
      </c>
      <c r="M522">
        <v>1017773</v>
      </c>
      <c r="N522">
        <v>5</v>
      </c>
      <c r="O522">
        <v>2</v>
      </c>
      <c r="P522" t="s">
        <v>128</v>
      </c>
      <c r="Q522" t="s">
        <v>129</v>
      </c>
      <c r="R522">
        <v>48</v>
      </c>
      <c r="T522">
        <v>0</v>
      </c>
      <c r="U522">
        <v>4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4</v>
      </c>
      <c r="AB522">
        <v>50</v>
      </c>
      <c r="AC522">
        <v>4</v>
      </c>
      <c r="AD522">
        <v>0</v>
      </c>
      <c r="AE522">
        <v>0</v>
      </c>
      <c r="AF522">
        <v>4</v>
      </c>
      <c r="AG522">
        <v>0</v>
      </c>
      <c r="AH522">
        <v>46</v>
      </c>
      <c r="AI522">
        <v>46</v>
      </c>
      <c r="AJ522">
        <v>46</v>
      </c>
      <c r="AK522">
        <v>46</v>
      </c>
      <c r="AL522">
        <v>0</v>
      </c>
      <c r="AM522">
        <v>0.1</v>
      </c>
      <c r="AN522">
        <v>4.1818181818181817</v>
      </c>
      <c r="AO522">
        <v>0</v>
      </c>
      <c r="AP522" t="s">
        <v>139</v>
      </c>
      <c r="AQ522" t="s">
        <v>131</v>
      </c>
      <c r="AR522" t="s">
        <v>523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 t="s">
        <v>134</v>
      </c>
      <c r="BA522">
        <v>5</v>
      </c>
      <c r="BB522">
        <v>0</v>
      </c>
      <c r="BC522" t="s">
        <v>133</v>
      </c>
      <c r="BD522">
        <v>0</v>
      </c>
      <c r="BE522" t="s">
        <v>133</v>
      </c>
      <c r="BF52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23" spans="1:58" x14ac:dyDescent="0.25">
      <c r="A523" t="s">
        <v>747</v>
      </c>
      <c r="B523" t="s">
        <v>19</v>
      </c>
      <c r="C523">
        <v>1</v>
      </c>
      <c r="D523">
        <v>524</v>
      </c>
      <c r="E523" t="s">
        <v>2110</v>
      </c>
      <c r="F523" t="s">
        <v>123</v>
      </c>
      <c r="G523" t="s">
        <v>124</v>
      </c>
      <c r="H523" t="s">
        <v>125</v>
      </c>
      <c r="I523" t="s">
        <v>126</v>
      </c>
      <c r="J523" t="s">
        <v>126</v>
      </c>
      <c r="K523" t="s">
        <v>127</v>
      </c>
      <c r="L523">
        <v>50</v>
      </c>
      <c r="M523">
        <v>1017775</v>
      </c>
      <c r="N523">
        <v>6</v>
      </c>
      <c r="O523">
        <v>2</v>
      </c>
      <c r="P523" t="s">
        <v>128</v>
      </c>
      <c r="Q523" t="s">
        <v>129</v>
      </c>
      <c r="R523">
        <v>48</v>
      </c>
      <c r="T523">
        <v>17</v>
      </c>
      <c r="U523">
        <v>22</v>
      </c>
      <c r="V523">
        <v>6</v>
      </c>
      <c r="W523">
        <v>1</v>
      </c>
      <c r="X523">
        <v>5</v>
      </c>
      <c r="Y523">
        <v>3</v>
      </c>
      <c r="Z523">
        <v>26</v>
      </c>
      <c r="AA523">
        <v>31</v>
      </c>
      <c r="AB523">
        <v>50</v>
      </c>
      <c r="AC523">
        <v>26</v>
      </c>
      <c r="AD523">
        <v>7</v>
      </c>
      <c r="AE523">
        <v>7</v>
      </c>
      <c r="AF523">
        <v>41</v>
      </c>
      <c r="AG523">
        <v>1</v>
      </c>
      <c r="AH523">
        <v>24</v>
      </c>
      <c r="AI523">
        <v>9</v>
      </c>
      <c r="AJ523">
        <v>16</v>
      </c>
      <c r="AK523">
        <v>23</v>
      </c>
      <c r="AL523">
        <v>0</v>
      </c>
      <c r="AM523">
        <v>0.12</v>
      </c>
      <c r="AN523">
        <v>1.4545454545454546</v>
      </c>
      <c r="AO523">
        <v>0.13636363636363635</v>
      </c>
      <c r="AP523" t="s">
        <v>130</v>
      </c>
      <c r="AQ523" t="s">
        <v>131</v>
      </c>
      <c r="AR523" t="s">
        <v>523</v>
      </c>
      <c r="AS523">
        <v>2551</v>
      </c>
      <c r="AT523">
        <v>2843</v>
      </c>
      <c r="AU523">
        <v>0</v>
      </c>
      <c r="AV523">
        <v>0</v>
      </c>
      <c r="AW523">
        <v>5.3940000000000001</v>
      </c>
      <c r="AX523">
        <v>0.20746153846153847</v>
      </c>
      <c r="AY523">
        <v>8.5059230769230769</v>
      </c>
      <c r="AZ523" t="s">
        <v>135</v>
      </c>
      <c r="BA523">
        <v>-2.5059230769230769</v>
      </c>
      <c r="BB523">
        <v>-12.078976640711902</v>
      </c>
      <c r="BC523" t="s">
        <v>133</v>
      </c>
      <c r="BD523">
        <v>0</v>
      </c>
      <c r="BE523" t="s">
        <v>133</v>
      </c>
      <c r="BF52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5.3940000000000001</v>
      </c>
    </row>
    <row r="524" spans="1:58" x14ac:dyDescent="0.25">
      <c r="A524" t="s">
        <v>748</v>
      </c>
      <c r="B524" t="s">
        <v>19</v>
      </c>
      <c r="C524">
        <v>1</v>
      </c>
      <c r="D524">
        <v>525</v>
      </c>
      <c r="E524" t="s">
        <v>2110</v>
      </c>
      <c r="F524" t="s">
        <v>123</v>
      </c>
      <c r="G524" t="s">
        <v>124</v>
      </c>
      <c r="H524" t="s">
        <v>125</v>
      </c>
      <c r="I524" t="s">
        <v>126</v>
      </c>
      <c r="J524" t="s">
        <v>126</v>
      </c>
      <c r="K524" t="s">
        <v>127</v>
      </c>
      <c r="L524">
        <v>50</v>
      </c>
      <c r="M524">
        <v>1017777</v>
      </c>
      <c r="N524">
        <v>6</v>
      </c>
      <c r="O524">
        <v>2</v>
      </c>
      <c r="P524" t="s">
        <v>128</v>
      </c>
      <c r="Q524" t="s">
        <v>129</v>
      </c>
      <c r="R524">
        <v>48</v>
      </c>
      <c r="T524">
        <v>18</v>
      </c>
      <c r="U524">
        <v>23</v>
      </c>
      <c r="V524">
        <v>2</v>
      </c>
      <c r="W524">
        <v>1</v>
      </c>
      <c r="X524">
        <v>1</v>
      </c>
      <c r="Y524">
        <v>2</v>
      </c>
      <c r="Z524">
        <v>22</v>
      </c>
      <c r="AA524">
        <v>27</v>
      </c>
      <c r="AB524">
        <v>50</v>
      </c>
      <c r="AC524">
        <v>23</v>
      </c>
      <c r="AD524">
        <v>1</v>
      </c>
      <c r="AE524">
        <v>6</v>
      </c>
      <c r="AF524">
        <v>31</v>
      </c>
      <c r="AG524">
        <v>1</v>
      </c>
      <c r="AH524">
        <v>27</v>
      </c>
      <c r="AI524">
        <v>19</v>
      </c>
      <c r="AJ524">
        <v>20</v>
      </c>
      <c r="AK524">
        <v>26</v>
      </c>
      <c r="AL524">
        <v>0</v>
      </c>
      <c r="AM524">
        <v>0.12</v>
      </c>
      <c r="AN524">
        <v>1.8181818181818183</v>
      </c>
      <c r="AO524">
        <v>0.13636363636363635</v>
      </c>
      <c r="AP524" t="s">
        <v>130</v>
      </c>
      <c r="AQ524" t="s">
        <v>131</v>
      </c>
      <c r="AR524" t="s">
        <v>523</v>
      </c>
      <c r="AS524">
        <v>2962</v>
      </c>
      <c r="AT524">
        <v>2213</v>
      </c>
      <c r="AU524">
        <v>0</v>
      </c>
      <c r="AV524">
        <v>0</v>
      </c>
      <c r="AW524">
        <v>5.1749999999999998</v>
      </c>
      <c r="AX524">
        <v>0.22500000000000001</v>
      </c>
      <c r="AY524">
        <v>6.9750000000000005</v>
      </c>
      <c r="AZ524" t="s">
        <v>135</v>
      </c>
      <c r="BA524">
        <v>-0.97500000000000053</v>
      </c>
      <c r="BB524">
        <v>-4.3333333333333357</v>
      </c>
      <c r="BC524" t="s">
        <v>133</v>
      </c>
      <c r="BD524">
        <v>0</v>
      </c>
      <c r="BE524" t="s">
        <v>133</v>
      </c>
      <c r="BF52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5.1749999999999998</v>
      </c>
    </row>
    <row r="525" spans="1:58" x14ac:dyDescent="0.25">
      <c r="A525" t="s">
        <v>749</v>
      </c>
      <c r="B525" t="s">
        <v>19</v>
      </c>
      <c r="C525">
        <v>1</v>
      </c>
      <c r="D525">
        <v>526</v>
      </c>
      <c r="E525" t="s">
        <v>2110</v>
      </c>
      <c r="F525" t="s">
        <v>123</v>
      </c>
      <c r="G525" t="s">
        <v>124</v>
      </c>
      <c r="H525" t="s">
        <v>125</v>
      </c>
      <c r="I525" t="s">
        <v>126</v>
      </c>
      <c r="J525" t="s">
        <v>126</v>
      </c>
      <c r="K525" t="s">
        <v>127</v>
      </c>
      <c r="L525">
        <v>50</v>
      </c>
      <c r="M525">
        <v>1017779</v>
      </c>
      <c r="N525">
        <v>6</v>
      </c>
      <c r="O525">
        <v>2</v>
      </c>
      <c r="P525" t="s">
        <v>128</v>
      </c>
      <c r="Q525" t="s">
        <v>129</v>
      </c>
      <c r="R525">
        <v>48</v>
      </c>
      <c r="T525">
        <v>5</v>
      </c>
      <c r="U525">
        <v>10</v>
      </c>
      <c r="V525">
        <v>5</v>
      </c>
      <c r="W525">
        <v>1</v>
      </c>
      <c r="X525">
        <v>4</v>
      </c>
      <c r="Y525">
        <v>4</v>
      </c>
      <c r="Z525">
        <v>14</v>
      </c>
      <c r="AA525">
        <v>19</v>
      </c>
      <c r="AB525">
        <v>50</v>
      </c>
      <c r="AC525">
        <v>11</v>
      </c>
      <c r="AD525">
        <v>7</v>
      </c>
      <c r="AE525">
        <v>7</v>
      </c>
      <c r="AF525">
        <v>26</v>
      </c>
      <c r="AG525">
        <v>1</v>
      </c>
      <c r="AH525">
        <v>39</v>
      </c>
      <c r="AI525">
        <v>24</v>
      </c>
      <c r="AJ525">
        <v>31</v>
      </c>
      <c r="AK525">
        <v>38</v>
      </c>
      <c r="AL525">
        <v>0</v>
      </c>
      <c r="AM525">
        <v>0.12</v>
      </c>
      <c r="AN525">
        <v>2.8181818181818183</v>
      </c>
      <c r="AO525">
        <v>0.13636363636363635</v>
      </c>
      <c r="AP525" t="s">
        <v>130</v>
      </c>
      <c r="AQ525" t="s">
        <v>131</v>
      </c>
      <c r="AR525" t="s">
        <v>523</v>
      </c>
      <c r="AS525">
        <v>1090</v>
      </c>
      <c r="AT525">
        <v>999</v>
      </c>
      <c r="AU525">
        <v>0</v>
      </c>
      <c r="AV525">
        <v>0</v>
      </c>
      <c r="AW525">
        <v>2.089</v>
      </c>
      <c r="AX525">
        <v>0.18990909090909092</v>
      </c>
      <c r="AY525">
        <v>4.937636363636364</v>
      </c>
      <c r="AZ525" t="s">
        <v>135</v>
      </c>
      <c r="BA525">
        <v>1.062363636363636</v>
      </c>
      <c r="BB525">
        <v>5.5940641455241717</v>
      </c>
      <c r="BC525" t="s">
        <v>133</v>
      </c>
      <c r="BD525">
        <v>0</v>
      </c>
      <c r="BE525" t="s">
        <v>133</v>
      </c>
      <c r="BF52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2.089</v>
      </c>
    </row>
    <row r="526" spans="1:58" x14ac:dyDescent="0.25">
      <c r="A526" t="s">
        <v>750</v>
      </c>
      <c r="B526" t="s">
        <v>19</v>
      </c>
      <c r="C526">
        <v>1</v>
      </c>
      <c r="D526">
        <v>527</v>
      </c>
      <c r="E526" t="s">
        <v>2110</v>
      </c>
      <c r="F526" t="s">
        <v>123</v>
      </c>
      <c r="G526" t="s">
        <v>124</v>
      </c>
      <c r="H526" t="s">
        <v>125</v>
      </c>
      <c r="I526" t="s">
        <v>126</v>
      </c>
      <c r="J526" t="s">
        <v>126</v>
      </c>
      <c r="K526" t="s">
        <v>127</v>
      </c>
      <c r="L526">
        <v>50</v>
      </c>
      <c r="M526">
        <v>1017781</v>
      </c>
      <c r="N526">
        <v>6</v>
      </c>
      <c r="O526">
        <v>2</v>
      </c>
      <c r="P526" t="s">
        <v>128</v>
      </c>
      <c r="Q526" t="s">
        <v>129</v>
      </c>
      <c r="R526">
        <v>48</v>
      </c>
      <c r="T526">
        <v>7</v>
      </c>
      <c r="U526">
        <v>12</v>
      </c>
      <c r="V526">
        <v>5</v>
      </c>
      <c r="W526">
        <v>2</v>
      </c>
      <c r="X526">
        <v>3</v>
      </c>
      <c r="Y526">
        <v>7</v>
      </c>
      <c r="Z526">
        <v>19</v>
      </c>
      <c r="AA526">
        <v>24</v>
      </c>
      <c r="AB526">
        <v>50</v>
      </c>
      <c r="AC526">
        <v>13</v>
      </c>
      <c r="AD526">
        <v>3</v>
      </c>
      <c r="AE526">
        <v>16</v>
      </c>
      <c r="AF526">
        <v>34</v>
      </c>
      <c r="AG526">
        <v>2</v>
      </c>
      <c r="AH526">
        <v>37</v>
      </c>
      <c r="AI526">
        <v>16</v>
      </c>
      <c r="AJ526">
        <v>19</v>
      </c>
      <c r="AK526">
        <v>35</v>
      </c>
      <c r="AL526">
        <v>0</v>
      </c>
      <c r="AM526">
        <v>0.12</v>
      </c>
      <c r="AN526">
        <v>1.7272727272727273</v>
      </c>
      <c r="AO526">
        <v>0.27272727272727271</v>
      </c>
      <c r="AP526" t="s">
        <v>130</v>
      </c>
      <c r="AQ526" t="s">
        <v>131</v>
      </c>
      <c r="AR526" t="s">
        <v>523</v>
      </c>
      <c r="AS526">
        <v>1550</v>
      </c>
      <c r="AT526">
        <v>1461</v>
      </c>
      <c r="AU526">
        <v>0</v>
      </c>
      <c r="AV526">
        <v>0</v>
      </c>
      <c r="AW526">
        <v>3.0110000000000001</v>
      </c>
      <c r="AX526">
        <v>0.23161538461538461</v>
      </c>
      <c r="AY526">
        <v>7.8749230769230767</v>
      </c>
      <c r="AZ526" t="s">
        <v>135</v>
      </c>
      <c r="BA526">
        <v>-1.8749230769230767</v>
      </c>
      <c r="BB526">
        <v>-8.0949850547990696</v>
      </c>
      <c r="BC526" t="s">
        <v>133</v>
      </c>
      <c r="BD526">
        <v>0</v>
      </c>
      <c r="BE526" t="s">
        <v>133</v>
      </c>
      <c r="BF52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3.0110000000000001</v>
      </c>
    </row>
    <row r="527" spans="1:58" x14ac:dyDescent="0.25">
      <c r="A527" t="s">
        <v>751</v>
      </c>
      <c r="B527" t="s">
        <v>19</v>
      </c>
      <c r="C527">
        <v>1</v>
      </c>
      <c r="D527">
        <v>528</v>
      </c>
      <c r="E527" t="s">
        <v>2110</v>
      </c>
      <c r="F527" t="s">
        <v>123</v>
      </c>
      <c r="G527" t="s">
        <v>124</v>
      </c>
      <c r="H527" t="s">
        <v>125</v>
      </c>
      <c r="I527" t="s">
        <v>126</v>
      </c>
      <c r="J527" t="s">
        <v>126</v>
      </c>
      <c r="K527" t="s">
        <v>127</v>
      </c>
      <c r="L527">
        <v>50</v>
      </c>
      <c r="M527">
        <v>1017783</v>
      </c>
      <c r="N527">
        <v>6</v>
      </c>
      <c r="O527">
        <v>2</v>
      </c>
      <c r="P527" t="s">
        <v>128</v>
      </c>
      <c r="Q527" t="s">
        <v>129</v>
      </c>
      <c r="R527">
        <v>48</v>
      </c>
      <c r="T527">
        <v>17</v>
      </c>
      <c r="U527">
        <v>22</v>
      </c>
      <c r="V527">
        <v>4</v>
      </c>
      <c r="W527">
        <v>0</v>
      </c>
      <c r="X527">
        <v>4</v>
      </c>
      <c r="Y527">
        <v>2</v>
      </c>
      <c r="Z527">
        <v>23</v>
      </c>
      <c r="AA527">
        <v>28</v>
      </c>
      <c r="AB527">
        <v>50</v>
      </c>
      <c r="AC527">
        <v>26</v>
      </c>
      <c r="AD527">
        <v>4</v>
      </c>
      <c r="AE527">
        <v>4</v>
      </c>
      <c r="AF527">
        <v>34</v>
      </c>
      <c r="AG527">
        <v>0</v>
      </c>
      <c r="AH527">
        <v>24</v>
      </c>
      <c r="AI527">
        <v>16</v>
      </c>
      <c r="AJ527">
        <v>20</v>
      </c>
      <c r="AK527">
        <v>24</v>
      </c>
      <c r="AL527">
        <v>0</v>
      </c>
      <c r="AM527">
        <v>0.12</v>
      </c>
      <c r="AN527">
        <v>1.8181818181818183</v>
      </c>
      <c r="AO527">
        <v>0</v>
      </c>
      <c r="AP527" t="s">
        <v>130</v>
      </c>
      <c r="AQ527" t="s">
        <v>131</v>
      </c>
      <c r="AR527" t="s">
        <v>523</v>
      </c>
      <c r="AS527">
        <v>2218</v>
      </c>
      <c r="AT527">
        <v>2242</v>
      </c>
      <c r="AU527">
        <v>0</v>
      </c>
      <c r="AV527">
        <v>0</v>
      </c>
      <c r="AW527">
        <v>4.46</v>
      </c>
      <c r="AX527">
        <v>0.17153846153846153</v>
      </c>
      <c r="AY527">
        <v>5.8323076923076922</v>
      </c>
      <c r="AZ527" t="s">
        <v>135</v>
      </c>
      <c r="BA527">
        <v>0.16769230769230781</v>
      </c>
      <c r="BB527">
        <v>0.97757847533632358</v>
      </c>
      <c r="BC527" t="s">
        <v>144</v>
      </c>
      <c r="BD527">
        <v>0</v>
      </c>
      <c r="BE527" t="s">
        <v>133</v>
      </c>
      <c r="BF52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4.46</v>
      </c>
    </row>
    <row r="528" spans="1:58" x14ac:dyDescent="0.25">
      <c r="A528" t="s">
        <v>752</v>
      </c>
      <c r="B528" t="s">
        <v>19</v>
      </c>
      <c r="C528">
        <v>1</v>
      </c>
      <c r="D528">
        <v>529</v>
      </c>
      <c r="E528" t="s">
        <v>2110</v>
      </c>
      <c r="F528" t="s">
        <v>123</v>
      </c>
      <c r="G528" t="s">
        <v>124</v>
      </c>
      <c r="H528" t="s">
        <v>125</v>
      </c>
      <c r="I528" t="s">
        <v>148</v>
      </c>
      <c r="J528" t="s">
        <v>157</v>
      </c>
      <c r="K528" t="s">
        <v>166</v>
      </c>
      <c r="L528">
        <v>50</v>
      </c>
      <c r="M528">
        <v>1017785</v>
      </c>
      <c r="N528">
        <v>6</v>
      </c>
      <c r="O528">
        <v>2</v>
      </c>
      <c r="P528" t="s">
        <v>128</v>
      </c>
      <c r="Q528" t="s">
        <v>129</v>
      </c>
      <c r="R528">
        <v>49</v>
      </c>
      <c r="S528" t="s">
        <v>753</v>
      </c>
      <c r="T528">
        <v>0</v>
      </c>
      <c r="U528">
        <v>1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1</v>
      </c>
      <c r="AB528">
        <v>50</v>
      </c>
      <c r="AC528">
        <v>1</v>
      </c>
      <c r="AD528">
        <v>0</v>
      </c>
      <c r="AE528">
        <v>0</v>
      </c>
      <c r="AF528">
        <v>1</v>
      </c>
      <c r="AG528">
        <v>0</v>
      </c>
      <c r="AH528">
        <v>49</v>
      </c>
      <c r="AI528">
        <v>49</v>
      </c>
      <c r="AJ528">
        <v>49</v>
      </c>
      <c r="AK528">
        <v>49</v>
      </c>
      <c r="AL528">
        <v>0</v>
      </c>
      <c r="AM528">
        <v>0.12</v>
      </c>
      <c r="AN528">
        <v>4.454545454545455</v>
      </c>
      <c r="AO528">
        <v>0</v>
      </c>
      <c r="AP528" t="s">
        <v>169</v>
      </c>
      <c r="AQ528" t="s">
        <v>131</v>
      </c>
      <c r="AR528" t="s">
        <v>523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0</v>
      </c>
      <c r="AZ528" t="s">
        <v>135</v>
      </c>
      <c r="BA528">
        <v>6</v>
      </c>
      <c r="BB528">
        <v>0</v>
      </c>
      <c r="BC528" t="s">
        <v>132</v>
      </c>
      <c r="BD528">
        <v>0</v>
      </c>
      <c r="BE528" t="s">
        <v>133</v>
      </c>
      <c r="BF52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29" spans="1:58" x14ac:dyDescent="0.25">
      <c r="A529" t="s">
        <v>754</v>
      </c>
      <c r="B529" t="s">
        <v>19</v>
      </c>
      <c r="C529">
        <v>1</v>
      </c>
      <c r="D529">
        <v>530</v>
      </c>
      <c r="E529" t="s">
        <v>2110</v>
      </c>
      <c r="F529" t="s">
        <v>123</v>
      </c>
      <c r="G529" t="s">
        <v>124</v>
      </c>
      <c r="H529" t="s">
        <v>125</v>
      </c>
      <c r="I529" t="s">
        <v>148</v>
      </c>
      <c r="J529" t="s">
        <v>157</v>
      </c>
      <c r="K529" t="s">
        <v>166</v>
      </c>
      <c r="L529">
        <v>50</v>
      </c>
      <c r="M529">
        <v>1017787</v>
      </c>
      <c r="N529">
        <v>6</v>
      </c>
      <c r="O529">
        <v>2</v>
      </c>
      <c r="P529" t="s">
        <v>128</v>
      </c>
      <c r="Q529" t="s">
        <v>129</v>
      </c>
      <c r="R529">
        <v>49</v>
      </c>
      <c r="S529" t="s">
        <v>753</v>
      </c>
      <c r="T529">
        <v>0</v>
      </c>
      <c r="U529">
        <v>1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1</v>
      </c>
      <c r="AB529">
        <v>50</v>
      </c>
      <c r="AC529">
        <v>1</v>
      </c>
      <c r="AD529">
        <v>0</v>
      </c>
      <c r="AE529">
        <v>0</v>
      </c>
      <c r="AF529">
        <v>1</v>
      </c>
      <c r="AG529">
        <v>0</v>
      </c>
      <c r="AH529">
        <v>49</v>
      </c>
      <c r="AI529">
        <v>49</v>
      </c>
      <c r="AJ529">
        <v>49</v>
      </c>
      <c r="AK529">
        <v>49</v>
      </c>
      <c r="AL529">
        <v>0</v>
      </c>
      <c r="AM529">
        <v>0.12</v>
      </c>
      <c r="AN529">
        <v>4.454545454545455</v>
      </c>
      <c r="AO529">
        <v>0</v>
      </c>
      <c r="AP529" t="s">
        <v>169</v>
      </c>
      <c r="AQ529" t="s">
        <v>131</v>
      </c>
      <c r="AR529" t="s">
        <v>523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 t="s">
        <v>135</v>
      </c>
      <c r="BA529">
        <v>6</v>
      </c>
      <c r="BB529">
        <v>0</v>
      </c>
      <c r="BC529" t="s">
        <v>133</v>
      </c>
      <c r="BD529">
        <v>0</v>
      </c>
      <c r="BE529" t="s">
        <v>133</v>
      </c>
      <c r="BF52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30" spans="1:58" x14ac:dyDescent="0.25">
      <c r="A530" t="s">
        <v>755</v>
      </c>
      <c r="B530" t="s">
        <v>19</v>
      </c>
      <c r="C530">
        <v>1</v>
      </c>
      <c r="D530">
        <v>531</v>
      </c>
      <c r="E530" t="s">
        <v>2110</v>
      </c>
      <c r="F530" t="s">
        <v>123</v>
      </c>
      <c r="G530" t="s">
        <v>124</v>
      </c>
      <c r="H530" t="s">
        <v>125</v>
      </c>
      <c r="I530" t="s">
        <v>148</v>
      </c>
      <c r="J530" t="s">
        <v>157</v>
      </c>
      <c r="K530" t="s">
        <v>166</v>
      </c>
      <c r="L530">
        <v>50</v>
      </c>
      <c r="M530">
        <v>1017789</v>
      </c>
      <c r="N530">
        <v>6</v>
      </c>
      <c r="O530">
        <v>2</v>
      </c>
      <c r="P530" t="s">
        <v>128</v>
      </c>
      <c r="Q530" t="s">
        <v>129</v>
      </c>
      <c r="R530">
        <v>49</v>
      </c>
      <c r="S530" t="s">
        <v>753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50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50</v>
      </c>
      <c r="AI530">
        <v>50</v>
      </c>
      <c r="AJ530">
        <v>50</v>
      </c>
      <c r="AK530">
        <v>50</v>
      </c>
      <c r="AL530">
        <v>0</v>
      </c>
      <c r="AM530">
        <v>0.12</v>
      </c>
      <c r="AN530">
        <v>4.5454545454545459</v>
      </c>
      <c r="AO530">
        <v>0</v>
      </c>
      <c r="AP530" t="s">
        <v>169</v>
      </c>
      <c r="AQ530" t="s">
        <v>155</v>
      </c>
      <c r="AR530" t="s">
        <v>523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 t="s">
        <v>135</v>
      </c>
      <c r="BA530">
        <v>6</v>
      </c>
      <c r="BB530">
        <v>0</v>
      </c>
      <c r="BC530" t="s">
        <v>133</v>
      </c>
      <c r="BD530">
        <v>1</v>
      </c>
      <c r="BE530" t="s">
        <v>133</v>
      </c>
      <c r="BF53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31" spans="1:58" x14ac:dyDescent="0.25">
      <c r="A531" t="s">
        <v>756</v>
      </c>
      <c r="B531" t="s">
        <v>19</v>
      </c>
      <c r="C531">
        <v>1</v>
      </c>
      <c r="D531">
        <v>532</v>
      </c>
      <c r="E531" t="s">
        <v>2110</v>
      </c>
      <c r="F531" t="s">
        <v>123</v>
      </c>
      <c r="G531" t="s">
        <v>124</v>
      </c>
      <c r="H531" t="s">
        <v>125</v>
      </c>
      <c r="I531" t="s">
        <v>148</v>
      </c>
      <c r="J531" t="s">
        <v>157</v>
      </c>
      <c r="K531" t="s">
        <v>166</v>
      </c>
      <c r="L531">
        <v>50</v>
      </c>
      <c r="M531">
        <v>1017791</v>
      </c>
      <c r="N531">
        <v>6</v>
      </c>
      <c r="O531">
        <v>2</v>
      </c>
      <c r="P531" t="s">
        <v>128</v>
      </c>
      <c r="Q531" t="s">
        <v>129</v>
      </c>
      <c r="R531">
        <v>49</v>
      </c>
      <c r="S531" t="s">
        <v>753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50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50</v>
      </c>
      <c r="AI531">
        <v>50</v>
      </c>
      <c r="AJ531">
        <v>50</v>
      </c>
      <c r="AK531">
        <v>50</v>
      </c>
      <c r="AL531">
        <v>0</v>
      </c>
      <c r="AM531">
        <v>0.12</v>
      </c>
      <c r="AN531">
        <v>4.5454545454545459</v>
      </c>
      <c r="AO531">
        <v>0</v>
      </c>
      <c r="AP531" t="s">
        <v>169</v>
      </c>
      <c r="AQ531" t="s">
        <v>155</v>
      </c>
      <c r="AR531" t="s">
        <v>523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 t="s">
        <v>135</v>
      </c>
      <c r="BA531">
        <v>6</v>
      </c>
      <c r="BB531">
        <v>0</v>
      </c>
      <c r="BC531" t="s">
        <v>133</v>
      </c>
      <c r="BD531">
        <v>2</v>
      </c>
      <c r="BE531" t="s">
        <v>133</v>
      </c>
      <c r="BF53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32" spans="1:58" x14ac:dyDescent="0.25">
      <c r="A532" t="s">
        <v>757</v>
      </c>
      <c r="B532" t="s">
        <v>19</v>
      </c>
      <c r="C532">
        <v>1</v>
      </c>
      <c r="D532">
        <v>533</v>
      </c>
      <c r="E532" t="s">
        <v>2110</v>
      </c>
      <c r="F532" t="s">
        <v>123</v>
      </c>
      <c r="G532" t="s">
        <v>124</v>
      </c>
      <c r="H532" t="s">
        <v>125</v>
      </c>
      <c r="I532" t="s">
        <v>148</v>
      </c>
      <c r="J532" t="s">
        <v>157</v>
      </c>
      <c r="K532" t="s">
        <v>166</v>
      </c>
      <c r="L532">
        <v>50</v>
      </c>
      <c r="M532">
        <v>1017793</v>
      </c>
      <c r="N532">
        <v>6</v>
      </c>
      <c r="O532">
        <v>2</v>
      </c>
      <c r="P532" t="s">
        <v>128</v>
      </c>
      <c r="Q532" t="s">
        <v>129</v>
      </c>
      <c r="R532">
        <v>49</v>
      </c>
      <c r="S532" t="s">
        <v>753</v>
      </c>
      <c r="T532">
        <v>0</v>
      </c>
      <c r="U532">
        <v>1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1</v>
      </c>
      <c r="AB532">
        <v>50</v>
      </c>
      <c r="AC532">
        <v>1</v>
      </c>
      <c r="AD532">
        <v>0</v>
      </c>
      <c r="AE532">
        <v>0</v>
      </c>
      <c r="AF532">
        <v>1</v>
      </c>
      <c r="AG532">
        <v>0</v>
      </c>
      <c r="AH532">
        <v>49</v>
      </c>
      <c r="AI532">
        <v>49</v>
      </c>
      <c r="AJ532">
        <v>49</v>
      </c>
      <c r="AK532">
        <v>49</v>
      </c>
      <c r="AL532">
        <v>0</v>
      </c>
      <c r="AM532">
        <v>0.12</v>
      </c>
      <c r="AN532">
        <v>4.454545454545455</v>
      </c>
      <c r="AO532">
        <v>0</v>
      </c>
      <c r="AP532" t="s">
        <v>169</v>
      </c>
      <c r="AQ532" t="s">
        <v>131</v>
      </c>
      <c r="AR532" t="s">
        <v>523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 t="s">
        <v>135</v>
      </c>
      <c r="BA532">
        <v>6</v>
      </c>
      <c r="BB532">
        <v>0</v>
      </c>
      <c r="BC532" t="s">
        <v>133</v>
      </c>
      <c r="BD532">
        <v>0</v>
      </c>
      <c r="BE532" t="s">
        <v>133</v>
      </c>
      <c r="BF53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33" spans="1:58" x14ac:dyDescent="0.25">
      <c r="A533" t="s">
        <v>758</v>
      </c>
      <c r="B533" t="s">
        <v>19</v>
      </c>
      <c r="C533">
        <v>1</v>
      </c>
      <c r="D533">
        <v>534</v>
      </c>
      <c r="E533" t="s">
        <v>2110</v>
      </c>
      <c r="F533" t="s">
        <v>123</v>
      </c>
      <c r="G533" t="s">
        <v>124</v>
      </c>
      <c r="H533" t="s">
        <v>125</v>
      </c>
      <c r="I533" t="s">
        <v>148</v>
      </c>
      <c r="J533" t="s">
        <v>157</v>
      </c>
      <c r="K533" t="s">
        <v>166</v>
      </c>
      <c r="L533">
        <v>50</v>
      </c>
      <c r="M533">
        <v>1017795</v>
      </c>
      <c r="N533">
        <v>6</v>
      </c>
      <c r="O533">
        <v>2</v>
      </c>
      <c r="P533" t="s">
        <v>128</v>
      </c>
      <c r="Q533" t="s">
        <v>129</v>
      </c>
      <c r="R533">
        <v>49</v>
      </c>
      <c r="S533" t="s">
        <v>753</v>
      </c>
      <c r="T533">
        <v>0</v>
      </c>
      <c r="U533">
        <v>1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1</v>
      </c>
      <c r="AB533">
        <v>50</v>
      </c>
      <c r="AC533">
        <v>1</v>
      </c>
      <c r="AD533">
        <v>0</v>
      </c>
      <c r="AE533">
        <v>0</v>
      </c>
      <c r="AF533">
        <v>1</v>
      </c>
      <c r="AG533">
        <v>0</v>
      </c>
      <c r="AH533">
        <v>49</v>
      </c>
      <c r="AI533">
        <v>49</v>
      </c>
      <c r="AJ533">
        <v>49</v>
      </c>
      <c r="AK533">
        <v>49</v>
      </c>
      <c r="AL533">
        <v>0</v>
      </c>
      <c r="AM533">
        <v>0.12</v>
      </c>
      <c r="AN533">
        <v>4.454545454545455</v>
      </c>
      <c r="AO533">
        <v>0</v>
      </c>
      <c r="AP533" t="s">
        <v>169</v>
      </c>
      <c r="AQ533" t="s">
        <v>131</v>
      </c>
      <c r="AR533" t="s">
        <v>523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 t="s">
        <v>135</v>
      </c>
      <c r="BA533">
        <v>6</v>
      </c>
      <c r="BB533">
        <v>0</v>
      </c>
      <c r="BC533" t="s">
        <v>133</v>
      </c>
      <c r="BD533">
        <v>0</v>
      </c>
      <c r="BE533" t="s">
        <v>133</v>
      </c>
      <c r="BF53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34" spans="1:58" x14ac:dyDescent="0.25">
      <c r="A534" t="s">
        <v>759</v>
      </c>
      <c r="B534" t="s">
        <v>19</v>
      </c>
      <c r="C534">
        <v>1</v>
      </c>
      <c r="D534">
        <v>535</v>
      </c>
      <c r="E534" t="s">
        <v>2110</v>
      </c>
      <c r="F534" t="s">
        <v>123</v>
      </c>
      <c r="G534" t="s">
        <v>124</v>
      </c>
      <c r="H534" t="s">
        <v>125</v>
      </c>
      <c r="I534" t="s">
        <v>148</v>
      </c>
      <c r="J534" t="s">
        <v>157</v>
      </c>
      <c r="K534" t="s">
        <v>166</v>
      </c>
      <c r="L534">
        <v>50</v>
      </c>
      <c r="M534">
        <v>1017797</v>
      </c>
      <c r="N534">
        <v>6</v>
      </c>
      <c r="O534">
        <v>2</v>
      </c>
      <c r="P534" t="s">
        <v>128</v>
      </c>
      <c r="Q534" t="s">
        <v>129</v>
      </c>
      <c r="R534">
        <v>49</v>
      </c>
      <c r="S534" t="s">
        <v>753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50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50</v>
      </c>
      <c r="AI534">
        <v>50</v>
      </c>
      <c r="AJ534">
        <v>50</v>
      </c>
      <c r="AK534">
        <v>50</v>
      </c>
      <c r="AL534">
        <v>0</v>
      </c>
      <c r="AM534">
        <v>0.12</v>
      </c>
      <c r="AN534">
        <v>4.5454545454545459</v>
      </c>
      <c r="AO534">
        <v>0</v>
      </c>
      <c r="AP534" t="s">
        <v>169</v>
      </c>
      <c r="AQ534" t="s">
        <v>155</v>
      </c>
      <c r="AR534" t="s">
        <v>523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 t="s">
        <v>135</v>
      </c>
      <c r="BA534">
        <v>6</v>
      </c>
      <c r="BB534">
        <v>0</v>
      </c>
      <c r="BC534" t="s">
        <v>133</v>
      </c>
      <c r="BD534">
        <v>1</v>
      </c>
      <c r="BE534" t="s">
        <v>133</v>
      </c>
      <c r="BF53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35" spans="1:58" x14ac:dyDescent="0.25">
      <c r="A535" t="s">
        <v>760</v>
      </c>
      <c r="B535" t="s">
        <v>19</v>
      </c>
      <c r="C535">
        <v>1</v>
      </c>
      <c r="D535">
        <v>536</v>
      </c>
      <c r="E535" t="s">
        <v>2110</v>
      </c>
      <c r="F535" t="s">
        <v>123</v>
      </c>
      <c r="G535" t="s">
        <v>124</v>
      </c>
      <c r="H535" t="s">
        <v>125</v>
      </c>
      <c r="I535" t="s">
        <v>148</v>
      </c>
      <c r="J535" t="s">
        <v>157</v>
      </c>
      <c r="K535" t="s">
        <v>166</v>
      </c>
      <c r="L535">
        <v>50</v>
      </c>
      <c r="M535">
        <v>1017799</v>
      </c>
      <c r="N535">
        <v>6</v>
      </c>
      <c r="O535">
        <v>2</v>
      </c>
      <c r="P535" t="s">
        <v>128</v>
      </c>
      <c r="Q535" t="s">
        <v>129</v>
      </c>
      <c r="R535">
        <v>49</v>
      </c>
      <c r="S535" t="s">
        <v>753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50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50</v>
      </c>
      <c r="AI535">
        <v>50</v>
      </c>
      <c r="AJ535">
        <v>50</v>
      </c>
      <c r="AK535">
        <v>50</v>
      </c>
      <c r="AL535">
        <v>0</v>
      </c>
      <c r="AM535">
        <v>0.12</v>
      </c>
      <c r="AN535">
        <v>4.5454545454545459</v>
      </c>
      <c r="AO535">
        <v>0</v>
      </c>
      <c r="AP535" t="s">
        <v>169</v>
      </c>
      <c r="AQ535" t="s">
        <v>155</v>
      </c>
      <c r="AR535" t="s">
        <v>523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 t="s">
        <v>135</v>
      </c>
      <c r="BA535">
        <v>6</v>
      </c>
      <c r="BB535">
        <v>0</v>
      </c>
      <c r="BC535" t="s">
        <v>133</v>
      </c>
      <c r="BD535">
        <v>2</v>
      </c>
      <c r="BE535" t="s">
        <v>133</v>
      </c>
      <c r="BF53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36" spans="1:58" x14ac:dyDescent="0.25">
      <c r="A536" t="s">
        <v>761</v>
      </c>
      <c r="B536" t="s">
        <v>19</v>
      </c>
      <c r="C536">
        <v>1</v>
      </c>
      <c r="D536">
        <v>537</v>
      </c>
      <c r="E536" t="s">
        <v>2110</v>
      </c>
      <c r="F536" t="s">
        <v>123</v>
      </c>
      <c r="G536" t="s">
        <v>124</v>
      </c>
      <c r="H536" t="s">
        <v>125</v>
      </c>
      <c r="I536" t="s">
        <v>148</v>
      </c>
      <c r="J536" t="s">
        <v>157</v>
      </c>
      <c r="K536" t="s">
        <v>166</v>
      </c>
      <c r="L536">
        <v>50</v>
      </c>
      <c r="M536">
        <v>1017801</v>
      </c>
      <c r="N536">
        <v>6</v>
      </c>
      <c r="O536">
        <v>2</v>
      </c>
      <c r="P536" t="s">
        <v>128</v>
      </c>
      <c r="Q536" t="s">
        <v>129</v>
      </c>
      <c r="R536">
        <v>49</v>
      </c>
      <c r="S536" t="s">
        <v>753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50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50</v>
      </c>
      <c r="AI536">
        <v>50</v>
      </c>
      <c r="AJ536">
        <v>50</v>
      </c>
      <c r="AK536">
        <v>50</v>
      </c>
      <c r="AL536">
        <v>0</v>
      </c>
      <c r="AM536">
        <v>0.12</v>
      </c>
      <c r="AN536">
        <v>4.5454545454545459</v>
      </c>
      <c r="AO536">
        <v>0</v>
      </c>
      <c r="AP536" t="s">
        <v>169</v>
      </c>
      <c r="AQ536" t="s">
        <v>155</v>
      </c>
      <c r="AR536" t="s">
        <v>523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 t="s">
        <v>135</v>
      </c>
      <c r="BA536">
        <v>6</v>
      </c>
      <c r="BB536">
        <v>0</v>
      </c>
      <c r="BC536" t="s">
        <v>133</v>
      </c>
      <c r="BD536">
        <v>3</v>
      </c>
      <c r="BE536" t="s">
        <v>133</v>
      </c>
      <c r="BF53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37" spans="1:58" x14ac:dyDescent="0.25">
      <c r="A537" t="s">
        <v>762</v>
      </c>
      <c r="B537" t="s">
        <v>19</v>
      </c>
      <c r="C537">
        <v>1</v>
      </c>
      <c r="D537">
        <v>538</v>
      </c>
      <c r="E537" t="s">
        <v>2110</v>
      </c>
      <c r="F537" t="s">
        <v>123</v>
      </c>
      <c r="G537" t="s">
        <v>124</v>
      </c>
      <c r="H537" t="s">
        <v>125</v>
      </c>
      <c r="I537" t="s">
        <v>148</v>
      </c>
      <c r="J537" t="s">
        <v>157</v>
      </c>
      <c r="K537" t="s">
        <v>166</v>
      </c>
      <c r="L537">
        <v>50</v>
      </c>
      <c r="M537">
        <v>1017803</v>
      </c>
      <c r="N537">
        <v>6</v>
      </c>
      <c r="O537">
        <v>2</v>
      </c>
      <c r="P537" t="s">
        <v>128</v>
      </c>
      <c r="Q537" t="s">
        <v>129</v>
      </c>
      <c r="R537">
        <v>49</v>
      </c>
      <c r="S537" t="s">
        <v>753</v>
      </c>
      <c r="T537">
        <v>0</v>
      </c>
      <c r="U537">
        <v>0</v>
      </c>
      <c r="V537">
        <v>1</v>
      </c>
      <c r="W537">
        <v>0</v>
      </c>
      <c r="X537">
        <v>1</v>
      </c>
      <c r="Y537">
        <v>1</v>
      </c>
      <c r="Z537">
        <v>0</v>
      </c>
      <c r="AA537">
        <v>2</v>
      </c>
      <c r="AB537">
        <v>50</v>
      </c>
      <c r="AC537">
        <v>0</v>
      </c>
      <c r="AD537">
        <v>1</v>
      </c>
      <c r="AE537">
        <v>1</v>
      </c>
      <c r="AF537">
        <v>2</v>
      </c>
      <c r="AG537">
        <v>0</v>
      </c>
      <c r="AH537">
        <v>50</v>
      </c>
      <c r="AI537">
        <v>48</v>
      </c>
      <c r="AJ537">
        <v>49</v>
      </c>
      <c r="AK537">
        <v>50</v>
      </c>
      <c r="AL537">
        <v>0</v>
      </c>
      <c r="AM537">
        <v>0.12</v>
      </c>
      <c r="AN537">
        <v>4.454545454545455</v>
      </c>
      <c r="AO537">
        <v>0</v>
      </c>
      <c r="AP537" t="s">
        <v>169</v>
      </c>
      <c r="AQ537" t="s">
        <v>131</v>
      </c>
      <c r="AR537" t="s">
        <v>523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 t="s">
        <v>135</v>
      </c>
      <c r="BA537">
        <v>6</v>
      </c>
      <c r="BB537">
        <v>0</v>
      </c>
      <c r="BC537" t="s">
        <v>133</v>
      </c>
      <c r="BD537">
        <v>4</v>
      </c>
      <c r="BE537" t="s">
        <v>133</v>
      </c>
      <c r="BF53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38" spans="1:58" x14ac:dyDescent="0.25">
      <c r="A538" t="s">
        <v>763</v>
      </c>
      <c r="B538" t="s">
        <v>19</v>
      </c>
      <c r="C538">
        <v>1</v>
      </c>
      <c r="D538">
        <v>539</v>
      </c>
      <c r="E538" t="s">
        <v>2110</v>
      </c>
      <c r="F538" t="s">
        <v>123</v>
      </c>
      <c r="G538" t="s">
        <v>124</v>
      </c>
      <c r="H538" t="s">
        <v>125</v>
      </c>
      <c r="I538" t="s">
        <v>148</v>
      </c>
      <c r="J538" t="s">
        <v>157</v>
      </c>
      <c r="K538" t="s">
        <v>166</v>
      </c>
      <c r="L538">
        <v>50</v>
      </c>
      <c r="M538">
        <v>1017805</v>
      </c>
      <c r="N538">
        <v>6</v>
      </c>
      <c r="O538">
        <v>2</v>
      </c>
      <c r="P538" t="s">
        <v>128</v>
      </c>
      <c r="Q538" t="s">
        <v>129</v>
      </c>
      <c r="R538">
        <v>49</v>
      </c>
      <c r="S538" t="s">
        <v>753</v>
      </c>
      <c r="T538">
        <v>0</v>
      </c>
      <c r="U538">
        <v>0</v>
      </c>
      <c r="V538">
        <v>1</v>
      </c>
      <c r="W538">
        <v>0</v>
      </c>
      <c r="X538">
        <v>1</v>
      </c>
      <c r="Y538">
        <v>1</v>
      </c>
      <c r="Z538">
        <v>0</v>
      </c>
      <c r="AA538">
        <v>2</v>
      </c>
      <c r="AB538">
        <v>50</v>
      </c>
      <c r="AC538">
        <v>0</v>
      </c>
      <c r="AD538">
        <v>1</v>
      </c>
      <c r="AE538">
        <v>1</v>
      </c>
      <c r="AF538">
        <v>2</v>
      </c>
      <c r="AG538">
        <v>0</v>
      </c>
      <c r="AH538">
        <v>50</v>
      </c>
      <c r="AI538">
        <v>48</v>
      </c>
      <c r="AJ538">
        <v>49</v>
      </c>
      <c r="AK538">
        <v>50</v>
      </c>
      <c r="AL538">
        <v>0</v>
      </c>
      <c r="AM538">
        <v>0.12</v>
      </c>
      <c r="AN538">
        <v>4.454545454545455</v>
      </c>
      <c r="AO538">
        <v>0</v>
      </c>
      <c r="AP538" t="s">
        <v>169</v>
      </c>
      <c r="AQ538" t="s">
        <v>131</v>
      </c>
      <c r="AR538" t="s">
        <v>523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 t="s">
        <v>135</v>
      </c>
      <c r="BA538">
        <v>6</v>
      </c>
      <c r="BB538">
        <v>0</v>
      </c>
      <c r="BC538" t="s">
        <v>144</v>
      </c>
      <c r="BD538">
        <v>5</v>
      </c>
      <c r="BE538" t="s">
        <v>133</v>
      </c>
      <c r="BF53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39" spans="1:58" x14ac:dyDescent="0.25">
      <c r="A539" t="s">
        <v>764</v>
      </c>
      <c r="B539" t="s">
        <v>19</v>
      </c>
      <c r="C539">
        <v>1</v>
      </c>
      <c r="D539">
        <v>540</v>
      </c>
      <c r="E539" t="s">
        <v>2110</v>
      </c>
      <c r="F539" t="s">
        <v>123</v>
      </c>
      <c r="G539" t="s">
        <v>124</v>
      </c>
      <c r="H539" t="s">
        <v>125</v>
      </c>
      <c r="I539" t="s">
        <v>140</v>
      </c>
      <c r="J539" t="s">
        <v>141</v>
      </c>
      <c r="K539" t="s">
        <v>127</v>
      </c>
      <c r="L539">
        <v>50</v>
      </c>
      <c r="M539">
        <v>1017807</v>
      </c>
      <c r="N539">
        <v>10</v>
      </c>
      <c r="O539">
        <v>2</v>
      </c>
      <c r="P539" t="s">
        <v>128</v>
      </c>
      <c r="Q539" t="s">
        <v>129</v>
      </c>
      <c r="R539">
        <v>50</v>
      </c>
      <c r="T539">
        <v>32</v>
      </c>
      <c r="U539">
        <v>37</v>
      </c>
      <c r="V539">
        <v>5</v>
      </c>
      <c r="W539">
        <v>0</v>
      </c>
      <c r="X539">
        <v>5</v>
      </c>
      <c r="Y539">
        <v>2</v>
      </c>
      <c r="Z539">
        <v>39</v>
      </c>
      <c r="AA539">
        <v>44</v>
      </c>
      <c r="AB539">
        <v>50</v>
      </c>
      <c r="AC539">
        <v>37</v>
      </c>
      <c r="AD539">
        <v>5</v>
      </c>
      <c r="AE539">
        <v>2</v>
      </c>
      <c r="AF539">
        <v>44</v>
      </c>
      <c r="AG539">
        <v>0</v>
      </c>
      <c r="AH539">
        <v>13</v>
      </c>
      <c r="AI539">
        <v>6</v>
      </c>
      <c r="AJ539">
        <v>11</v>
      </c>
      <c r="AK539">
        <v>13</v>
      </c>
      <c r="AL539">
        <v>0</v>
      </c>
      <c r="AM539">
        <v>0.2</v>
      </c>
      <c r="AN539">
        <v>1</v>
      </c>
      <c r="AO539">
        <v>0</v>
      </c>
      <c r="AP539" t="s">
        <v>142</v>
      </c>
      <c r="AQ539" t="s">
        <v>131</v>
      </c>
      <c r="AR539" t="s">
        <v>523</v>
      </c>
      <c r="AS539">
        <v>4387</v>
      </c>
      <c r="AT539">
        <v>5075</v>
      </c>
      <c r="AU539">
        <v>0</v>
      </c>
      <c r="AV539">
        <v>0</v>
      </c>
      <c r="AW539">
        <v>9.4619999999999997</v>
      </c>
      <c r="AX539">
        <v>0.25572972972972974</v>
      </c>
      <c r="AY539">
        <v>11.252108108108109</v>
      </c>
      <c r="AZ539" t="s">
        <v>135</v>
      </c>
      <c r="BA539">
        <v>-1.2521081081081089</v>
      </c>
      <c r="BB539">
        <v>-4.8962164447262762</v>
      </c>
      <c r="BC539" t="s">
        <v>132</v>
      </c>
      <c r="BD539">
        <v>0</v>
      </c>
      <c r="BE539" t="s">
        <v>133</v>
      </c>
      <c r="BF53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9.4619999999999997</v>
      </c>
    </row>
    <row r="540" spans="1:58" x14ac:dyDescent="0.25">
      <c r="A540" t="s">
        <v>765</v>
      </c>
      <c r="B540" t="s">
        <v>19</v>
      </c>
      <c r="C540">
        <v>1</v>
      </c>
      <c r="D540">
        <v>541</v>
      </c>
      <c r="E540" t="s">
        <v>2110</v>
      </c>
      <c r="F540" t="s">
        <v>123</v>
      </c>
      <c r="G540" t="s">
        <v>124</v>
      </c>
      <c r="H540" t="s">
        <v>125</v>
      </c>
      <c r="I540" t="s">
        <v>126</v>
      </c>
      <c r="J540" t="s">
        <v>126</v>
      </c>
      <c r="K540" t="s">
        <v>127</v>
      </c>
      <c r="L540">
        <v>50</v>
      </c>
      <c r="M540">
        <v>1017809</v>
      </c>
      <c r="N540">
        <v>6</v>
      </c>
      <c r="O540">
        <v>2</v>
      </c>
      <c r="P540" t="s">
        <v>128</v>
      </c>
      <c r="Q540" t="s">
        <v>129</v>
      </c>
      <c r="R540">
        <v>50</v>
      </c>
      <c r="T540">
        <v>8</v>
      </c>
      <c r="U540">
        <v>13</v>
      </c>
      <c r="V540">
        <v>4</v>
      </c>
      <c r="W540">
        <v>1</v>
      </c>
      <c r="X540">
        <v>3</v>
      </c>
      <c r="Y540">
        <v>0</v>
      </c>
      <c r="Z540">
        <v>12</v>
      </c>
      <c r="AA540">
        <v>17</v>
      </c>
      <c r="AB540">
        <v>50</v>
      </c>
      <c r="AC540">
        <v>14</v>
      </c>
      <c r="AD540">
        <v>7</v>
      </c>
      <c r="AE540">
        <v>0</v>
      </c>
      <c r="AF540">
        <v>22</v>
      </c>
      <c r="AG540">
        <v>1</v>
      </c>
      <c r="AH540">
        <v>36</v>
      </c>
      <c r="AI540">
        <v>28</v>
      </c>
      <c r="AJ540">
        <v>35</v>
      </c>
      <c r="AK540">
        <v>35</v>
      </c>
      <c r="AL540">
        <v>0</v>
      </c>
      <c r="AM540">
        <v>0.12</v>
      </c>
      <c r="AN540">
        <v>3.1818181818181821</v>
      </c>
      <c r="AO540">
        <v>0.13636363636363635</v>
      </c>
      <c r="AP540" t="s">
        <v>130</v>
      </c>
      <c r="AQ540" t="s">
        <v>131</v>
      </c>
      <c r="AR540" t="s">
        <v>523</v>
      </c>
      <c r="AS540">
        <v>1448</v>
      </c>
      <c r="AT540">
        <v>1402</v>
      </c>
      <c r="AU540">
        <v>0</v>
      </c>
      <c r="AV540">
        <v>0</v>
      </c>
      <c r="AW540">
        <v>2.85</v>
      </c>
      <c r="AX540">
        <v>0.20357142857142857</v>
      </c>
      <c r="AY540">
        <v>4.4785714285714286</v>
      </c>
      <c r="AZ540" t="s">
        <v>135</v>
      </c>
      <c r="BA540">
        <v>1.5214285714285714</v>
      </c>
      <c r="BB540">
        <v>7.473684210526315</v>
      </c>
      <c r="BC540" t="s">
        <v>133</v>
      </c>
      <c r="BD540">
        <v>0</v>
      </c>
      <c r="BE540" t="s">
        <v>133</v>
      </c>
      <c r="BF54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2.85</v>
      </c>
    </row>
    <row r="541" spans="1:58" x14ac:dyDescent="0.25">
      <c r="A541" t="s">
        <v>766</v>
      </c>
      <c r="B541" t="s">
        <v>19</v>
      </c>
      <c r="C541">
        <v>1</v>
      </c>
      <c r="D541">
        <v>542</v>
      </c>
      <c r="E541" t="s">
        <v>2110</v>
      </c>
      <c r="F541" t="s">
        <v>123</v>
      </c>
      <c r="G541" t="s">
        <v>124</v>
      </c>
      <c r="H541" t="s">
        <v>125</v>
      </c>
      <c r="I541" t="s">
        <v>126</v>
      </c>
      <c r="J541" t="s">
        <v>126</v>
      </c>
      <c r="K541" t="s">
        <v>127</v>
      </c>
      <c r="L541">
        <v>50</v>
      </c>
      <c r="M541">
        <v>1017811</v>
      </c>
      <c r="N541">
        <v>6</v>
      </c>
      <c r="O541">
        <v>2</v>
      </c>
      <c r="P541" t="s">
        <v>128</v>
      </c>
      <c r="Q541" t="s">
        <v>129</v>
      </c>
      <c r="R541">
        <v>50</v>
      </c>
      <c r="T541">
        <v>13</v>
      </c>
      <c r="U541">
        <v>18</v>
      </c>
      <c r="V541">
        <v>3</v>
      </c>
      <c r="W541">
        <v>0</v>
      </c>
      <c r="X541">
        <v>3</v>
      </c>
      <c r="Y541">
        <v>3</v>
      </c>
      <c r="Z541">
        <v>19</v>
      </c>
      <c r="AA541">
        <v>24</v>
      </c>
      <c r="AB541">
        <v>50</v>
      </c>
      <c r="AC541">
        <v>19</v>
      </c>
      <c r="AD541">
        <v>10</v>
      </c>
      <c r="AE541">
        <v>6</v>
      </c>
      <c r="AF541">
        <v>35</v>
      </c>
      <c r="AG541">
        <v>0</v>
      </c>
      <c r="AH541">
        <v>31</v>
      </c>
      <c r="AI541">
        <v>15</v>
      </c>
      <c r="AJ541">
        <v>25</v>
      </c>
      <c r="AK541">
        <v>31</v>
      </c>
      <c r="AL541">
        <v>0</v>
      </c>
      <c r="AM541">
        <v>0.12</v>
      </c>
      <c r="AN541">
        <v>2.2727272727272729</v>
      </c>
      <c r="AO541">
        <v>0</v>
      </c>
      <c r="AP541" t="s">
        <v>130</v>
      </c>
      <c r="AQ541" t="s">
        <v>131</v>
      </c>
      <c r="AR541" t="s">
        <v>523</v>
      </c>
      <c r="AS541">
        <v>1893</v>
      </c>
      <c r="AT541">
        <v>1865</v>
      </c>
      <c r="AU541">
        <v>0</v>
      </c>
      <c r="AV541">
        <v>0</v>
      </c>
      <c r="AW541">
        <v>3.758</v>
      </c>
      <c r="AX541">
        <v>0.19778947368421052</v>
      </c>
      <c r="AY541">
        <v>6.9226315789473682</v>
      </c>
      <c r="AZ541" t="s">
        <v>135</v>
      </c>
      <c r="BA541">
        <v>-0.92263157894736825</v>
      </c>
      <c r="BB541">
        <v>-4.6647152740819582</v>
      </c>
      <c r="BC541" t="s">
        <v>133</v>
      </c>
      <c r="BD541">
        <v>0</v>
      </c>
      <c r="BE541" t="s">
        <v>133</v>
      </c>
      <c r="BF54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3.758</v>
      </c>
    </row>
    <row r="542" spans="1:58" x14ac:dyDescent="0.25">
      <c r="A542" t="s">
        <v>767</v>
      </c>
      <c r="B542" t="s">
        <v>19</v>
      </c>
      <c r="C542">
        <v>1</v>
      </c>
      <c r="D542">
        <v>543</v>
      </c>
      <c r="E542" t="s">
        <v>2110</v>
      </c>
      <c r="F542" t="s">
        <v>123</v>
      </c>
      <c r="G542" t="s">
        <v>124</v>
      </c>
      <c r="H542" t="s">
        <v>125</v>
      </c>
      <c r="I542" t="s">
        <v>126</v>
      </c>
      <c r="J542" t="s">
        <v>126</v>
      </c>
      <c r="K542" t="s">
        <v>127</v>
      </c>
      <c r="L542">
        <v>50</v>
      </c>
      <c r="M542">
        <v>1017813</v>
      </c>
      <c r="N542">
        <v>6</v>
      </c>
      <c r="O542">
        <v>2</v>
      </c>
      <c r="P542" t="s">
        <v>128</v>
      </c>
      <c r="Q542" t="s">
        <v>129</v>
      </c>
      <c r="R542">
        <v>50</v>
      </c>
      <c r="T542">
        <v>17</v>
      </c>
      <c r="U542">
        <v>22</v>
      </c>
      <c r="V542">
        <v>4</v>
      </c>
      <c r="W542">
        <v>0</v>
      </c>
      <c r="X542">
        <v>4</v>
      </c>
      <c r="Y542">
        <v>1</v>
      </c>
      <c r="Z542">
        <v>22</v>
      </c>
      <c r="AA542">
        <v>27</v>
      </c>
      <c r="AB542">
        <v>50</v>
      </c>
      <c r="AC542">
        <v>26</v>
      </c>
      <c r="AD542">
        <v>8</v>
      </c>
      <c r="AE542">
        <v>4</v>
      </c>
      <c r="AF542">
        <v>38</v>
      </c>
      <c r="AG542">
        <v>0</v>
      </c>
      <c r="AH542">
        <v>24</v>
      </c>
      <c r="AI542">
        <v>12</v>
      </c>
      <c r="AJ542">
        <v>20</v>
      </c>
      <c r="AK542">
        <v>24</v>
      </c>
      <c r="AL542">
        <v>0</v>
      </c>
      <c r="AM542">
        <v>0.12</v>
      </c>
      <c r="AN542">
        <v>1.8181818181818183</v>
      </c>
      <c r="AO542">
        <v>0</v>
      </c>
      <c r="AP542" t="s">
        <v>130</v>
      </c>
      <c r="AQ542" t="s">
        <v>131</v>
      </c>
      <c r="AR542" t="s">
        <v>523</v>
      </c>
      <c r="AS542">
        <v>2293</v>
      </c>
      <c r="AT542">
        <v>2395</v>
      </c>
      <c r="AU542">
        <v>0</v>
      </c>
      <c r="AV542">
        <v>0</v>
      </c>
      <c r="AW542">
        <v>4.6879999999999997</v>
      </c>
      <c r="AX542">
        <v>0.18030769230769231</v>
      </c>
      <c r="AY542">
        <v>6.851692307692308</v>
      </c>
      <c r="AZ542" t="s">
        <v>135</v>
      </c>
      <c r="BA542">
        <v>-0.85169230769230797</v>
      </c>
      <c r="BB542">
        <v>-4.7235494880546094</v>
      </c>
      <c r="BC542" t="s">
        <v>133</v>
      </c>
      <c r="BD542">
        <v>0</v>
      </c>
      <c r="BE542" t="s">
        <v>133</v>
      </c>
      <c r="BF54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4.6879999999999997</v>
      </c>
    </row>
    <row r="543" spans="1:58" x14ac:dyDescent="0.25">
      <c r="A543" t="s">
        <v>768</v>
      </c>
      <c r="B543" t="s">
        <v>19</v>
      </c>
      <c r="C543">
        <v>1</v>
      </c>
      <c r="D543">
        <v>544</v>
      </c>
      <c r="E543" t="s">
        <v>2110</v>
      </c>
      <c r="F543" t="s">
        <v>123</v>
      </c>
      <c r="G543" t="s">
        <v>124</v>
      </c>
      <c r="H543" t="s">
        <v>125</v>
      </c>
      <c r="I543" t="s">
        <v>126</v>
      </c>
      <c r="J543" t="s">
        <v>126</v>
      </c>
      <c r="K543" t="s">
        <v>127</v>
      </c>
      <c r="L543">
        <v>50</v>
      </c>
      <c r="M543">
        <v>1017815</v>
      </c>
      <c r="N543">
        <v>6</v>
      </c>
      <c r="O543">
        <v>2</v>
      </c>
      <c r="P543" t="s">
        <v>128</v>
      </c>
      <c r="Q543" t="s">
        <v>129</v>
      </c>
      <c r="R543">
        <v>50</v>
      </c>
      <c r="T543">
        <v>9</v>
      </c>
      <c r="U543">
        <v>14</v>
      </c>
      <c r="V543">
        <v>8</v>
      </c>
      <c r="W543">
        <v>0</v>
      </c>
      <c r="X543">
        <v>8</v>
      </c>
      <c r="Y543">
        <v>1</v>
      </c>
      <c r="Z543">
        <v>18</v>
      </c>
      <c r="AA543">
        <v>23</v>
      </c>
      <c r="AB543">
        <v>50</v>
      </c>
      <c r="AC543">
        <v>14</v>
      </c>
      <c r="AD543">
        <v>15</v>
      </c>
      <c r="AE543">
        <v>1</v>
      </c>
      <c r="AF543">
        <v>30</v>
      </c>
      <c r="AG543">
        <v>0</v>
      </c>
      <c r="AH543">
        <v>36</v>
      </c>
      <c r="AI543">
        <v>20</v>
      </c>
      <c r="AJ543">
        <v>35</v>
      </c>
      <c r="AK543">
        <v>36</v>
      </c>
      <c r="AL543">
        <v>0</v>
      </c>
      <c r="AM543">
        <v>0.12</v>
      </c>
      <c r="AN543">
        <v>3.1818181818181821</v>
      </c>
      <c r="AO543">
        <v>0</v>
      </c>
      <c r="AP543" t="s">
        <v>130</v>
      </c>
      <c r="AQ543" t="s">
        <v>131</v>
      </c>
      <c r="AR543" t="s">
        <v>523</v>
      </c>
      <c r="AS543">
        <v>1911</v>
      </c>
      <c r="AT543">
        <v>1929</v>
      </c>
      <c r="AU543">
        <v>0</v>
      </c>
      <c r="AV543">
        <v>0</v>
      </c>
      <c r="AW543">
        <v>3.84</v>
      </c>
      <c r="AX543">
        <v>0.2742857142857143</v>
      </c>
      <c r="AY543">
        <v>8.2285714285714295</v>
      </c>
      <c r="AZ543" t="s">
        <v>135</v>
      </c>
      <c r="BA543">
        <v>-2.2285714285714295</v>
      </c>
      <c r="BB543">
        <v>-8.1250000000000036</v>
      </c>
      <c r="BC543" t="s">
        <v>133</v>
      </c>
      <c r="BD543">
        <v>0</v>
      </c>
      <c r="BE543" t="s">
        <v>133</v>
      </c>
      <c r="BF54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3.84</v>
      </c>
    </row>
    <row r="544" spans="1:58" x14ac:dyDescent="0.25">
      <c r="A544" t="s">
        <v>769</v>
      </c>
      <c r="B544" t="s">
        <v>19</v>
      </c>
      <c r="C544">
        <v>1</v>
      </c>
      <c r="D544">
        <v>545</v>
      </c>
      <c r="E544" t="s">
        <v>2110</v>
      </c>
      <c r="F544" t="s">
        <v>123</v>
      </c>
      <c r="G544" t="s">
        <v>124</v>
      </c>
      <c r="H544" t="s">
        <v>136</v>
      </c>
      <c r="I544" t="s">
        <v>137</v>
      </c>
      <c r="J544" t="s">
        <v>138</v>
      </c>
      <c r="K544" t="s">
        <v>127</v>
      </c>
      <c r="L544">
        <v>50</v>
      </c>
      <c r="M544">
        <v>1017817</v>
      </c>
      <c r="N544">
        <v>5</v>
      </c>
      <c r="O544">
        <v>2</v>
      </c>
      <c r="P544" t="s">
        <v>128</v>
      </c>
      <c r="Q544" t="s">
        <v>129</v>
      </c>
      <c r="R544">
        <v>50</v>
      </c>
      <c r="T544">
        <v>0</v>
      </c>
      <c r="U544">
        <v>4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4</v>
      </c>
      <c r="AB544">
        <v>50</v>
      </c>
      <c r="AC544">
        <v>4</v>
      </c>
      <c r="AD544">
        <v>0</v>
      </c>
      <c r="AE544">
        <v>0</v>
      </c>
      <c r="AF544">
        <v>4</v>
      </c>
      <c r="AG544">
        <v>0</v>
      </c>
      <c r="AH544">
        <v>46</v>
      </c>
      <c r="AI544">
        <v>46</v>
      </c>
      <c r="AJ544">
        <v>46</v>
      </c>
      <c r="AK544">
        <v>46</v>
      </c>
      <c r="AL544">
        <v>0</v>
      </c>
      <c r="AM544">
        <v>0.1</v>
      </c>
      <c r="AN544">
        <v>4.1818181818181817</v>
      </c>
      <c r="AO544">
        <v>0</v>
      </c>
      <c r="AP544" t="s">
        <v>139</v>
      </c>
      <c r="AQ544" t="s">
        <v>131</v>
      </c>
      <c r="AR544" t="s">
        <v>523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 t="s">
        <v>134</v>
      </c>
      <c r="BA544">
        <v>5</v>
      </c>
      <c r="BB544">
        <v>0</v>
      </c>
      <c r="BC544" t="s">
        <v>133</v>
      </c>
      <c r="BD544">
        <v>0</v>
      </c>
      <c r="BE544" t="s">
        <v>133</v>
      </c>
      <c r="BF54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45" spans="1:58" x14ac:dyDescent="0.25">
      <c r="A545" t="s">
        <v>770</v>
      </c>
      <c r="B545" t="s">
        <v>19</v>
      </c>
      <c r="C545">
        <v>1</v>
      </c>
      <c r="D545">
        <v>546</v>
      </c>
      <c r="E545" t="s">
        <v>2110</v>
      </c>
      <c r="F545" t="s">
        <v>123</v>
      </c>
      <c r="G545" t="s">
        <v>124</v>
      </c>
      <c r="H545" t="s">
        <v>125</v>
      </c>
      <c r="I545" t="s">
        <v>126</v>
      </c>
      <c r="J545" t="s">
        <v>126</v>
      </c>
      <c r="K545" t="s">
        <v>127</v>
      </c>
      <c r="L545">
        <v>50</v>
      </c>
      <c r="M545">
        <v>1017819</v>
      </c>
      <c r="N545">
        <v>6</v>
      </c>
      <c r="O545">
        <v>2</v>
      </c>
      <c r="P545" t="s">
        <v>128</v>
      </c>
      <c r="Q545" t="s">
        <v>129</v>
      </c>
      <c r="R545">
        <v>50</v>
      </c>
      <c r="T545">
        <v>11</v>
      </c>
      <c r="U545">
        <v>16</v>
      </c>
      <c r="V545">
        <v>6</v>
      </c>
      <c r="W545">
        <v>0</v>
      </c>
      <c r="X545">
        <v>6</v>
      </c>
      <c r="Y545">
        <v>3</v>
      </c>
      <c r="Z545">
        <v>20</v>
      </c>
      <c r="AA545">
        <v>25</v>
      </c>
      <c r="AB545">
        <v>50</v>
      </c>
      <c r="AC545">
        <v>20</v>
      </c>
      <c r="AD545">
        <v>13</v>
      </c>
      <c r="AE545">
        <v>4</v>
      </c>
      <c r="AF545">
        <v>37</v>
      </c>
      <c r="AG545">
        <v>0</v>
      </c>
      <c r="AH545">
        <v>30</v>
      </c>
      <c r="AI545">
        <v>13</v>
      </c>
      <c r="AJ545">
        <v>26</v>
      </c>
      <c r="AK545">
        <v>30</v>
      </c>
      <c r="AL545">
        <v>0</v>
      </c>
      <c r="AM545">
        <v>0.12</v>
      </c>
      <c r="AN545">
        <v>2.3636363636363638</v>
      </c>
      <c r="AO545">
        <v>0</v>
      </c>
      <c r="AP545" t="s">
        <v>130</v>
      </c>
      <c r="AQ545" t="s">
        <v>131</v>
      </c>
      <c r="AR545" t="s">
        <v>523</v>
      </c>
      <c r="AS545">
        <v>1656</v>
      </c>
      <c r="AT545">
        <v>1330</v>
      </c>
      <c r="AU545">
        <v>0</v>
      </c>
      <c r="AV545">
        <v>0</v>
      </c>
      <c r="AW545">
        <v>2.9860000000000002</v>
      </c>
      <c r="AX545">
        <v>0.14930000000000002</v>
      </c>
      <c r="AY545">
        <v>5.5241000000000007</v>
      </c>
      <c r="AZ545" t="s">
        <v>135</v>
      </c>
      <c r="BA545">
        <v>0.47589999999999932</v>
      </c>
      <c r="BB545">
        <v>3.1875418620227682</v>
      </c>
      <c r="BC545" t="s">
        <v>133</v>
      </c>
      <c r="BD545">
        <v>0</v>
      </c>
      <c r="BE545" t="s">
        <v>133</v>
      </c>
      <c r="BF54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2.9860000000000002</v>
      </c>
    </row>
    <row r="546" spans="1:58" x14ac:dyDescent="0.25">
      <c r="A546" t="s">
        <v>771</v>
      </c>
      <c r="B546" t="s">
        <v>19</v>
      </c>
      <c r="C546">
        <v>1</v>
      </c>
      <c r="D546">
        <v>547</v>
      </c>
      <c r="E546" t="s">
        <v>2110</v>
      </c>
      <c r="F546" t="s">
        <v>123</v>
      </c>
      <c r="G546" t="s">
        <v>124</v>
      </c>
      <c r="H546" t="s">
        <v>125</v>
      </c>
      <c r="I546" t="s">
        <v>126</v>
      </c>
      <c r="J546" t="s">
        <v>126</v>
      </c>
      <c r="K546" t="s">
        <v>127</v>
      </c>
      <c r="L546">
        <v>50</v>
      </c>
      <c r="M546">
        <v>1017821</v>
      </c>
      <c r="N546">
        <v>6</v>
      </c>
      <c r="O546">
        <v>2</v>
      </c>
      <c r="P546" t="s">
        <v>128</v>
      </c>
      <c r="Q546" t="s">
        <v>129</v>
      </c>
      <c r="R546">
        <v>50</v>
      </c>
      <c r="T546">
        <v>16</v>
      </c>
      <c r="U546">
        <v>21</v>
      </c>
      <c r="V546">
        <v>6</v>
      </c>
      <c r="W546">
        <v>0</v>
      </c>
      <c r="X546">
        <v>6</v>
      </c>
      <c r="Y546">
        <v>3</v>
      </c>
      <c r="Z546">
        <v>25</v>
      </c>
      <c r="AA546">
        <v>30</v>
      </c>
      <c r="AB546">
        <v>50</v>
      </c>
      <c r="AC546">
        <v>23</v>
      </c>
      <c r="AD546">
        <v>12</v>
      </c>
      <c r="AE546">
        <v>6</v>
      </c>
      <c r="AF546">
        <v>41</v>
      </c>
      <c r="AG546">
        <v>0</v>
      </c>
      <c r="AH546">
        <v>27</v>
      </c>
      <c r="AI546">
        <v>9</v>
      </c>
      <c r="AJ546">
        <v>21</v>
      </c>
      <c r="AK546">
        <v>27</v>
      </c>
      <c r="AL546">
        <v>0</v>
      </c>
      <c r="AM546">
        <v>0.12</v>
      </c>
      <c r="AN546">
        <v>1.9090909090909092</v>
      </c>
      <c r="AO546">
        <v>0</v>
      </c>
      <c r="AP546" t="s">
        <v>130</v>
      </c>
      <c r="AQ546" t="s">
        <v>131</v>
      </c>
      <c r="AR546" t="s">
        <v>523</v>
      </c>
      <c r="AS546">
        <v>1883</v>
      </c>
      <c r="AT546">
        <v>1983</v>
      </c>
      <c r="AU546">
        <v>0</v>
      </c>
      <c r="AV546">
        <v>0</v>
      </c>
      <c r="AW546">
        <v>3.8660000000000001</v>
      </c>
      <c r="AX546">
        <v>0.16808695652173913</v>
      </c>
      <c r="AY546">
        <v>6.8915652173913049</v>
      </c>
      <c r="AZ546" t="s">
        <v>135</v>
      </c>
      <c r="BA546">
        <v>-0.8915652173913049</v>
      </c>
      <c r="BB546">
        <v>-5.304190377651322</v>
      </c>
      <c r="BC546" t="s">
        <v>133</v>
      </c>
      <c r="BD546">
        <v>0</v>
      </c>
      <c r="BE546" t="s">
        <v>133</v>
      </c>
      <c r="BF54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3.8660000000000001</v>
      </c>
    </row>
    <row r="547" spans="1:58" x14ac:dyDescent="0.25">
      <c r="A547" t="s">
        <v>772</v>
      </c>
      <c r="B547" t="s">
        <v>19</v>
      </c>
      <c r="C547">
        <v>1</v>
      </c>
      <c r="D547">
        <v>548</v>
      </c>
      <c r="E547" t="s">
        <v>2110</v>
      </c>
      <c r="F547" t="s">
        <v>123</v>
      </c>
      <c r="G547" t="s">
        <v>124</v>
      </c>
      <c r="H547" t="s">
        <v>125</v>
      </c>
      <c r="I547" t="s">
        <v>126</v>
      </c>
      <c r="J547" t="s">
        <v>126</v>
      </c>
      <c r="K547" t="s">
        <v>127</v>
      </c>
      <c r="L547">
        <v>50</v>
      </c>
      <c r="M547">
        <v>1017823</v>
      </c>
      <c r="N547">
        <v>6</v>
      </c>
      <c r="O547">
        <v>2</v>
      </c>
      <c r="P547" t="s">
        <v>128</v>
      </c>
      <c r="Q547" t="s">
        <v>129</v>
      </c>
      <c r="R547">
        <v>50</v>
      </c>
      <c r="T547">
        <v>23</v>
      </c>
      <c r="U547">
        <v>28</v>
      </c>
      <c r="V547">
        <v>6</v>
      </c>
      <c r="W547">
        <v>0</v>
      </c>
      <c r="X547">
        <v>6</v>
      </c>
      <c r="Y547">
        <v>3</v>
      </c>
      <c r="Z547">
        <v>32</v>
      </c>
      <c r="AA547">
        <v>37</v>
      </c>
      <c r="AB547">
        <v>50</v>
      </c>
      <c r="AC547">
        <v>28</v>
      </c>
      <c r="AD547">
        <v>11</v>
      </c>
      <c r="AE547">
        <v>3</v>
      </c>
      <c r="AF547">
        <v>42</v>
      </c>
      <c r="AG547">
        <v>0</v>
      </c>
      <c r="AH547">
        <v>22</v>
      </c>
      <c r="AI547">
        <v>8</v>
      </c>
      <c r="AJ547">
        <v>19</v>
      </c>
      <c r="AK547">
        <v>22</v>
      </c>
      <c r="AL547">
        <v>0</v>
      </c>
      <c r="AM547">
        <v>0.12</v>
      </c>
      <c r="AN547">
        <v>1.7272727272727273</v>
      </c>
      <c r="AO547">
        <v>0</v>
      </c>
      <c r="AP547" t="s">
        <v>130</v>
      </c>
      <c r="AQ547" t="s">
        <v>131</v>
      </c>
      <c r="AR547" t="s">
        <v>523</v>
      </c>
      <c r="AS547">
        <v>2368</v>
      </c>
      <c r="AT547">
        <v>2335</v>
      </c>
      <c r="AU547">
        <v>0</v>
      </c>
      <c r="AV547">
        <v>0</v>
      </c>
      <c r="AW547">
        <v>4.7030000000000003</v>
      </c>
      <c r="AX547">
        <v>0.16796428571428573</v>
      </c>
      <c r="AY547">
        <v>7.0545000000000009</v>
      </c>
      <c r="AZ547" t="s">
        <v>135</v>
      </c>
      <c r="BA547">
        <v>-1.0545000000000009</v>
      </c>
      <c r="BB547">
        <v>-6.2781203487135917</v>
      </c>
      <c r="BC547" t="s">
        <v>133</v>
      </c>
      <c r="BD547">
        <v>0</v>
      </c>
      <c r="BE547" t="s">
        <v>133</v>
      </c>
      <c r="BF54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4.7030000000000003</v>
      </c>
    </row>
    <row r="548" spans="1:58" x14ac:dyDescent="0.25">
      <c r="A548" t="s">
        <v>773</v>
      </c>
      <c r="B548" t="s">
        <v>19</v>
      </c>
      <c r="C548">
        <v>1</v>
      </c>
      <c r="D548">
        <v>549</v>
      </c>
      <c r="E548" t="s">
        <v>2110</v>
      </c>
      <c r="F548" t="s">
        <v>123</v>
      </c>
      <c r="G548" t="s">
        <v>124</v>
      </c>
      <c r="H548" t="s">
        <v>125</v>
      </c>
      <c r="I548" t="s">
        <v>126</v>
      </c>
      <c r="J548" t="s">
        <v>126</v>
      </c>
      <c r="K548" t="s">
        <v>127</v>
      </c>
      <c r="L548">
        <v>50</v>
      </c>
      <c r="M548">
        <v>1017825</v>
      </c>
      <c r="N548">
        <v>6</v>
      </c>
      <c r="O548">
        <v>2</v>
      </c>
      <c r="P548" t="s">
        <v>128</v>
      </c>
      <c r="Q548" t="s">
        <v>129</v>
      </c>
      <c r="R548">
        <v>50</v>
      </c>
      <c r="T548">
        <v>16</v>
      </c>
      <c r="U548">
        <v>21</v>
      </c>
      <c r="V548">
        <v>5</v>
      </c>
      <c r="W548">
        <v>0</v>
      </c>
      <c r="X548">
        <v>5</v>
      </c>
      <c r="Y548">
        <v>1</v>
      </c>
      <c r="Z548">
        <v>22</v>
      </c>
      <c r="AA548">
        <v>27</v>
      </c>
      <c r="AB548">
        <v>50</v>
      </c>
      <c r="AC548">
        <v>22</v>
      </c>
      <c r="AD548">
        <v>8</v>
      </c>
      <c r="AE548">
        <v>8</v>
      </c>
      <c r="AF548">
        <v>38</v>
      </c>
      <c r="AG548">
        <v>0</v>
      </c>
      <c r="AH548">
        <v>28</v>
      </c>
      <c r="AI548">
        <v>12</v>
      </c>
      <c r="AJ548">
        <v>20</v>
      </c>
      <c r="AK548">
        <v>28</v>
      </c>
      <c r="AL548">
        <v>0</v>
      </c>
      <c r="AM548">
        <v>0.12</v>
      </c>
      <c r="AN548">
        <v>1.8181818181818183</v>
      </c>
      <c r="AO548">
        <v>0</v>
      </c>
      <c r="AP548" t="s">
        <v>130</v>
      </c>
      <c r="AQ548" t="s">
        <v>131</v>
      </c>
      <c r="AR548" t="s">
        <v>523</v>
      </c>
      <c r="AS548">
        <v>1812</v>
      </c>
      <c r="AT548">
        <v>1765</v>
      </c>
      <c r="AU548">
        <v>0</v>
      </c>
      <c r="AV548">
        <v>0</v>
      </c>
      <c r="AW548">
        <v>3.577</v>
      </c>
      <c r="AX548">
        <v>0.16259090909090909</v>
      </c>
      <c r="AY548">
        <v>6.1784545454545459</v>
      </c>
      <c r="AZ548" t="s">
        <v>135</v>
      </c>
      <c r="BA548">
        <v>-0.17845454545454587</v>
      </c>
      <c r="BB548">
        <v>-1.0975677942409865</v>
      </c>
      <c r="BC548" t="s">
        <v>133</v>
      </c>
      <c r="BD548">
        <v>0</v>
      </c>
      <c r="BE548" t="s">
        <v>133</v>
      </c>
      <c r="BF54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3.577</v>
      </c>
    </row>
    <row r="549" spans="1:58" x14ac:dyDescent="0.25">
      <c r="A549" t="s">
        <v>774</v>
      </c>
      <c r="B549" t="s">
        <v>19</v>
      </c>
      <c r="C549">
        <v>1</v>
      </c>
      <c r="D549">
        <v>550</v>
      </c>
      <c r="E549" t="s">
        <v>2110</v>
      </c>
      <c r="F549" t="s">
        <v>123</v>
      </c>
      <c r="G549" t="s">
        <v>124</v>
      </c>
      <c r="H549" t="s">
        <v>125</v>
      </c>
      <c r="I549" t="s">
        <v>126</v>
      </c>
      <c r="J549" t="s">
        <v>126</v>
      </c>
      <c r="K549" t="s">
        <v>127</v>
      </c>
      <c r="L549">
        <v>50</v>
      </c>
      <c r="M549">
        <v>1017827</v>
      </c>
      <c r="N549">
        <v>6</v>
      </c>
      <c r="O549">
        <v>2</v>
      </c>
      <c r="P549" t="s">
        <v>128</v>
      </c>
      <c r="Q549" t="s">
        <v>129</v>
      </c>
      <c r="R549">
        <v>50</v>
      </c>
      <c r="T549">
        <v>26</v>
      </c>
      <c r="U549">
        <v>31</v>
      </c>
      <c r="V549">
        <v>5</v>
      </c>
      <c r="W549">
        <v>0</v>
      </c>
      <c r="X549">
        <v>5</v>
      </c>
      <c r="Y549">
        <v>1</v>
      </c>
      <c r="Z549">
        <v>32</v>
      </c>
      <c r="AA549">
        <v>37</v>
      </c>
      <c r="AB549">
        <v>50</v>
      </c>
      <c r="AC549">
        <v>32</v>
      </c>
      <c r="AD549">
        <v>11</v>
      </c>
      <c r="AE549">
        <v>1</v>
      </c>
      <c r="AF549">
        <v>44</v>
      </c>
      <c r="AG549">
        <v>0</v>
      </c>
      <c r="AH549">
        <v>18</v>
      </c>
      <c r="AI549">
        <v>6</v>
      </c>
      <c r="AJ549">
        <v>17</v>
      </c>
      <c r="AK549">
        <v>18</v>
      </c>
      <c r="AL549">
        <v>0</v>
      </c>
      <c r="AM549">
        <v>0.12</v>
      </c>
      <c r="AN549">
        <v>1.5454545454545454</v>
      </c>
      <c r="AO549">
        <v>0</v>
      </c>
      <c r="AP549" t="s">
        <v>130</v>
      </c>
      <c r="AQ549" t="s">
        <v>131</v>
      </c>
      <c r="AR549" t="s">
        <v>523</v>
      </c>
      <c r="AS549">
        <v>2520</v>
      </c>
      <c r="AT549">
        <v>2472</v>
      </c>
      <c r="AU549">
        <v>0</v>
      </c>
      <c r="AV549">
        <v>0</v>
      </c>
      <c r="AW549">
        <v>4.992</v>
      </c>
      <c r="AX549">
        <v>0.156</v>
      </c>
      <c r="AY549">
        <v>6.8639999999999999</v>
      </c>
      <c r="AZ549" t="s">
        <v>135</v>
      </c>
      <c r="BA549">
        <v>-0.86399999999999988</v>
      </c>
      <c r="BB549">
        <v>-5.5384615384615374</v>
      </c>
      <c r="BC549" t="s">
        <v>144</v>
      </c>
      <c r="BD549">
        <v>0</v>
      </c>
      <c r="BE549" t="s">
        <v>133</v>
      </c>
      <c r="BF54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4.992</v>
      </c>
    </row>
    <row r="550" spans="1:58" x14ac:dyDescent="0.25">
      <c r="A550" t="s">
        <v>775</v>
      </c>
      <c r="B550" t="s">
        <v>19</v>
      </c>
      <c r="C550">
        <v>1</v>
      </c>
      <c r="D550">
        <v>551</v>
      </c>
      <c r="E550" t="s">
        <v>2110</v>
      </c>
      <c r="F550" t="s">
        <v>123</v>
      </c>
      <c r="G550" t="s">
        <v>124</v>
      </c>
      <c r="H550" t="s">
        <v>125</v>
      </c>
      <c r="I550" t="s">
        <v>148</v>
      </c>
      <c r="J550" t="s">
        <v>149</v>
      </c>
      <c r="K550" t="s">
        <v>166</v>
      </c>
      <c r="L550">
        <v>50</v>
      </c>
      <c r="M550">
        <v>1017539</v>
      </c>
      <c r="N550">
        <v>6</v>
      </c>
      <c r="O550">
        <v>2</v>
      </c>
      <c r="P550" t="s">
        <v>128</v>
      </c>
      <c r="Q550" t="s">
        <v>129</v>
      </c>
      <c r="R550">
        <v>51</v>
      </c>
      <c r="S550" t="s">
        <v>776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50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50</v>
      </c>
      <c r="AI550">
        <v>50</v>
      </c>
      <c r="AJ550">
        <v>50</v>
      </c>
      <c r="AK550">
        <v>50</v>
      </c>
      <c r="AL550">
        <v>0</v>
      </c>
      <c r="AM550">
        <v>0.12</v>
      </c>
      <c r="AN550">
        <v>4.5454545454545459</v>
      </c>
      <c r="AO550">
        <v>0</v>
      </c>
      <c r="AP550" t="s">
        <v>169</v>
      </c>
      <c r="AQ550" t="s">
        <v>155</v>
      </c>
      <c r="AR550" t="s">
        <v>523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 t="s">
        <v>135</v>
      </c>
      <c r="BA550">
        <v>6</v>
      </c>
      <c r="BB550">
        <v>0</v>
      </c>
      <c r="BC550" t="s">
        <v>132</v>
      </c>
      <c r="BD550">
        <v>1</v>
      </c>
      <c r="BE550" t="s">
        <v>133</v>
      </c>
      <c r="BF55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51" spans="1:58" x14ac:dyDescent="0.25">
      <c r="A551" t="s">
        <v>777</v>
      </c>
      <c r="B551" t="s">
        <v>19</v>
      </c>
      <c r="C551">
        <v>1</v>
      </c>
      <c r="D551">
        <v>552</v>
      </c>
      <c r="E551" t="s">
        <v>2110</v>
      </c>
      <c r="F551" t="s">
        <v>123</v>
      </c>
      <c r="G551" t="s">
        <v>124</v>
      </c>
      <c r="H551" t="s">
        <v>125</v>
      </c>
      <c r="I551" t="s">
        <v>148</v>
      </c>
      <c r="J551" t="s">
        <v>149</v>
      </c>
      <c r="K551" t="s">
        <v>166</v>
      </c>
      <c r="L551">
        <v>50</v>
      </c>
      <c r="M551">
        <v>1017541</v>
      </c>
      <c r="N551">
        <v>6</v>
      </c>
      <c r="O551">
        <v>2</v>
      </c>
      <c r="P551" t="s">
        <v>128</v>
      </c>
      <c r="Q551" t="s">
        <v>129</v>
      </c>
      <c r="R551">
        <v>51</v>
      </c>
      <c r="S551" t="s">
        <v>776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50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50</v>
      </c>
      <c r="AI551">
        <v>50</v>
      </c>
      <c r="AJ551">
        <v>50</v>
      </c>
      <c r="AK551">
        <v>50</v>
      </c>
      <c r="AL551">
        <v>0</v>
      </c>
      <c r="AM551">
        <v>0.12</v>
      </c>
      <c r="AN551">
        <v>4.5454545454545459</v>
      </c>
      <c r="AO551">
        <v>0</v>
      </c>
      <c r="AP551" t="s">
        <v>169</v>
      </c>
      <c r="AQ551" t="s">
        <v>155</v>
      </c>
      <c r="AR551" t="s">
        <v>523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 t="s">
        <v>135</v>
      </c>
      <c r="BA551">
        <v>6</v>
      </c>
      <c r="BB551">
        <v>0</v>
      </c>
      <c r="BC551" t="s">
        <v>133</v>
      </c>
      <c r="BD551">
        <v>2</v>
      </c>
      <c r="BE551" t="s">
        <v>133</v>
      </c>
      <c r="BF55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52" spans="1:58" x14ac:dyDescent="0.25">
      <c r="A552" t="s">
        <v>778</v>
      </c>
      <c r="B552" t="s">
        <v>19</v>
      </c>
      <c r="C552">
        <v>1</v>
      </c>
      <c r="D552">
        <v>553</v>
      </c>
      <c r="E552" t="s">
        <v>2110</v>
      </c>
      <c r="F552" t="s">
        <v>123</v>
      </c>
      <c r="G552" t="s">
        <v>124</v>
      </c>
      <c r="H552" t="s">
        <v>125</v>
      </c>
      <c r="I552" t="s">
        <v>148</v>
      </c>
      <c r="J552" t="s">
        <v>149</v>
      </c>
      <c r="K552" t="s">
        <v>166</v>
      </c>
      <c r="L552">
        <v>50</v>
      </c>
      <c r="M552">
        <v>1017543</v>
      </c>
      <c r="N552">
        <v>6</v>
      </c>
      <c r="O552">
        <v>2</v>
      </c>
      <c r="P552" t="s">
        <v>128</v>
      </c>
      <c r="Q552" t="s">
        <v>129</v>
      </c>
      <c r="R552">
        <v>51</v>
      </c>
      <c r="S552" t="s">
        <v>776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50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50</v>
      </c>
      <c r="AI552">
        <v>50</v>
      </c>
      <c r="AJ552">
        <v>50</v>
      </c>
      <c r="AK552">
        <v>50</v>
      </c>
      <c r="AL552">
        <v>0</v>
      </c>
      <c r="AM552">
        <v>0.12</v>
      </c>
      <c r="AN552">
        <v>4.5454545454545459</v>
      </c>
      <c r="AO552">
        <v>0</v>
      </c>
      <c r="AP552" t="s">
        <v>169</v>
      </c>
      <c r="AQ552" t="s">
        <v>155</v>
      </c>
      <c r="AR552" t="s">
        <v>523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 t="s">
        <v>135</v>
      </c>
      <c r="BA552">
        <v>6</v>
      </c>
      <c r="BB552">
        <v>0</v>
      </c>
      <c r="BC552" t="s">
        <v>133</v>
      </c>
      <c r="BD552">
        <v>3</v>
      </c>
      <c r="BE552" t="s">
        <v>133</v>
      </c>
      <c r="BF55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53" spans="1:58" x14ac:dyDescent="0.25">
      <c r="A553" t="s">
        <v>779</v>
      </c>
      <c r="B553" t="s">
        <v>19</v>
      </c>
      <c r="C553">
        <v>1</v>
      </c>
      <c r="D553">
        <v>554</v>
      </c>
      <c r="E553" t="s">
        <v>2110</v>
      </c>
      <c r="F553" t="s">
        <v>123</v>
      </c>
      <c r="G553" t="s">
        <v>124</v>
      </c>
      <c r="H553" t="s">
        <v>125</v>
      </c>
      <c r="I553" t="s">
        <v>148</v>
      </c>
      <c r="J553" t="s">
        <v>149</v>
      </c>
      <c r="K553" t="s">
        <v>166</v>
      </c>
      <c r="L553">
        <v>50</v>
      </c>
      <c r="M553">
        <v>1017545</v>
      </c>
      <c r="N553">
        <v>6</v>
      </c>
      <c r="O553">
        <v>2</v>
      </c>
      <c r="P553" t="s">
        <v>128</v>
      </c>
      <c r="Q553" t="s">
        <v>129</v>
      </c>
      <c r="R553">
        <v>51</v>
      </c>
      <c r="S553" t="s">
        <v>776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50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50</v>
      </c>
      <c r="AI553">
        <v>50</v>
      </c>
      <c r="AJ553">
        <v>50</v>
      </c>
      <c r="AK553">
        <v>50</v>
      </c>
      <c r="AL553">
        <v>0</v>
      </c>
      <c r="AM553">
        <v>0.12</v>
      </c>
      <c r="AN553">
        <v>4.5454545454545459</v>
      </c>
      <c r="AO553">
        <v>0</v>
      </c>
      <c r="AP553" t="s">
        <v>169</v>
      </c>
      <c r="AQ553" t="s">
        <v>155</v>
      </c>
      <c r="AR553" t="s">
        <v>523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 t="s">
        <v>135</v>
      </c>
      <c r="BA553">
        <v>6</v>
      </c>
      <c r="BB553">
        <v>0</v>
      </c>
      <c r="BC553" t="s">
        <v>133</v>
      </c>
      <c r="BD553">
        <v>4</v>
      </c>
      <c r="BE553" t="s">
        <v>133</v>
      </c>
      <c r="BF55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54" spans="1:58" x14ac:dyDescent="0.25">
      <c r="A554" t="s">
        <v>780</v>
      </c>
      <c r="B554" t="s">
        <v>19</v>
      </c>
      <c r="C554">
        <v>1</v>
      </c>
      <c r="D554">
        <v>555</v>
      </c>
      <c r="E554" t="s">
        <v>2110</v>
      </c>
      <c r="F554" t="s">
        <v>123</v>
      </c>
      <c r="G554" t="s">
        <v>124</v>
      </c>
      <c r="H554" t="s">
        <v>125</v>
      </c>
      <c r="I554" t="s">
        <v>148</v>
      </c>
      <c r="J554" t="s">
        <v>149</v>
      </c>
      <c r="K554" t="s">
        <v>166</v>
      </c>
      <c r="L554">
        <v>50</v>
      </c>
      <c r="M554">
        <v>1017547</v>
      </c>
      <c r="N554">
        <v>6</v>
      </c>
      <c r="O554">
        <v>2</v>
      </c>
      <c r="P554" t="s">
        <v>128</v>
      </c>
      <c r="Q554" t="s">
        <v>129</v>
      </c>
      <c r="R554">
        <v>51</v>
      </c>
      <c r="S554" t="s">
        <v>776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50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50</v>
      </c>
      <c r="AI554">
        <v>50</v>
      </c>
      <c r="AJ554">
        <v>50</v>
      </c>
      <c r="AK554">
        <v>50</v>
      </c>
      <c r="AL554">
        <v>0</v>
      </c>
      <c r="AM554">
        <v>0.12</v>
      </c>
      <c r="AN554">
        <v>4.5454545454545459</v>
      </c>
      <c r="AO554">
        <v>0</v>
      </c>
      <c r="AP554" t="s">
        <v>169</v>
      </c>
      <c r="AQ554" t="s">
        <v>155</v>
      </c>
      <c r="AR554" t="s">
        <v>523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 t="s">
        <v>135</v>
      </c>
      <c r="BA554">
        <v>6</v>
      </c>
      <c r="BB554">
        <v>0</v>
      </c>
      <c r="BC554" t="s">
        <v>133</v>
      </c>
      <c r="BD554">
        <v>5</v>
      </c>
      <c r="BE554" t="s">
        <v>133</v>
      </c>
      <c r="BF55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55" spans="1:58" x14ac:dyDescent="0.25">
      <c r="A555" t="s">
        <v>781</v>
      </c>
      <c r="B555" t="s">
        <v>19</v>
      </c>
      <c r="C555">
        <v>1</v>
      </c>
      <c r="D555">
        <v>556</v>
      </c>
      <c r="E555" t="s">
        <v>2110</v>
      </c>
      <c r="F555" t="s">
        <v>123</v>
      </c>
      <c r="G555" t="s">
        <v>124</v>
      </c>
      <c r="H555" t="s">
        <v>125</v>
      </c>
      <c r="I555" t="s">
        <v>148</v>
      </c>
      <c r="J555" t="s">
        <v>149</v>
      </c>
      <c r="K555" t="s">
        <v>166</v>
      </c>
      <c r="L555">
        <v>50</v>
      </c>
      <c r="M555">
        <v>1017549</v>
      </c>
      <c r="N555">
        <v>6</v>
      </c>
      <c r="O555">
        <v>2</v>
      </c>
      <c r="P555" t="s">
        <v>128</v>
      </c>
      <c r="Q555" t="s">
        <v>129</v>
      </c>
      <c r="R555">
        <v>51</v>
      </c>
      <c r="S555" t="s">
        <v>776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50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50</v>
      </c>
      <c r="AI555">
        <v>50</v>
      </c>
      <c r="AJ555">
        <v>50</v>
      </c>
      <c r="AK555">
        <v>50</v>
      </c>
      <c r="AL555">
        <v>0</v>
      </c>
      <c r="AM555">
        <v>0.12</v>
      </c>
      <c r="AN555">
        <v>4.5454545454545459</v>
      </c>
      <c r="AO555">
        <v>0</v>
      </c>
      <c r="AP555" t="s">
        <v>169</v>
      </c>
      <c r="AQ555" t="s">
        <v>155</v>
      </c>
      <c r="AR555" t="s">
        <v>523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 t="s">
        <v>135</v>
      </c>
      <c r="BA555">
        <v>6</v>
      </c>
      <c r="BB555">
        <v>0</v>
      </c>
      <c r="BC555" t="s">
        <v>133</v>
      </c>
      <c r="BD555">
        <v>6</v>
      </c>
      <c r="BE555" t="s">
        <v>133</v>
      </c>
      <c r="BF55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56" spans="1:58" x14ac:dyDescent="0.25">
      <c r="A556" t="s">
        <v>782</v>
      </c>
      <c r="B556" t="s">
        <v>19</v>
      </c>
      <c r="C556">
        <v>1</v>
      </c>
      <c r="D556">
        <v>557</v>
      </c>
      <c r="E556" t="s">
        <v>2110</v>
      </c>
      <c r="F556" t="s">
        <v>123</v>
      </c>
      <c r="G556" t="s">
        <v>124</v>
      </c>
      <c r="H556" t="s">
        <v>125</v>
      </c>
      <c r="I556" t="s">
        <v>148</v>
      </c>
      <c r="J556" t="s">
        <v>149</v>
      </c>
      <c r="K556" t="s">
        <v>166</v>
      </c>
      <c r="L556">
        <v>50</v>
      </c>
      <c r="M556">
        <v>1017551</v>
      </c>
      <c r="N556">
        <v>6</v>
      </c>
      <c r="O556">
        <v>2</v>
      </c>
      <c r="P556" t="s">
        <v>128</v>
      </c>
      <c r="Q556" t="s">
        <v>129</v>
      </c>
      <c r="R556">
        <v>51</v>
      </c>
      <c r="S556" t="s">
        <v>776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50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50</v>
      </c>
      <c r="AI556">
        <v>50</v>
      </c>
      <c r="AJ556">
        <v>50</v>
      </c>
      <c r="AK556">
        <v>50</v>
      </c>
      <c r="AL556">
        <v>0</v>
      </c>
      <c r="AM556">
        <v>0.12</v>
      </c>
      <c r="AN556">
        <v>4.5454545454545459</v>
      </c>
      <c r="AO556">
        <v>0</v>
      </c>
      <c r="AP556" t="s">
        <v>169</v>
      </c>
      <c r="AQ556" t="s">
        <v>155</v>
      </c>
      <c r="AR556" t="s">
        <v>523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 t="s">
        <v>135</v>
      </c>
      <c r="BA556">
        <v>6</v>
      </c>
      <c r="BB556">
        <v>0</v>
      </c>
      <c r="BC556" t="s">
        <v>133</v>
      </c>
      <c r="BD556">
        <v>7</v>
      </c>
      <c r="BE556" t="s">
        <v>133</v>
      </c>
      <c r="BF55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57" spans="1:58" x14ac:dyDescent="0.25">
      <c r="A557" t="s">
        <v>783</v>
      </c>
      <c r="B557" t="s">
        <v>19</v>
      </c>
      <c r="C557">
        <v>1</v>
      </c>
      <c r="D557">
        <v>558</v>
      </c>
      <c r="E557" t="s">
        <v>2110</v>
      </c>
      <c r="F557" t="s">
        <v>123</v>
      </c>
      <c r="G557" t="s">
        <v>124</v>
      </c>
      <c r="H557" t="s">
        <v>125</v>
      </c>
      <c r="I557" t="s">
        <v>148</v>
      </c>
      <c r="J557" t="s">
        <v>149</v>
      </c>
      <c r="K557" t="s">
        <v>166</v>
      </c>
      <c r="L557">
        <v>50</v>
      </c>
      <c r="M557">
        <v>1017553</v>
      </c>
      <c r="N557">
        <v>6</v>
      </c>
      <c r="O557">
        <v>2</v>
      </c>
      <c r="P557" t="s">
        <v>128</v>
      </c>
      <c r="Q557" t="s">
        <v>129</v>
      </c>
      <c r="R557">
        <v>51</v>
      </c>
      <c r="S557" t="s">
        <v>776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50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50</v>
      </c>
      <c r="AI557">
        <v>50</v>
      </c>
      <c r="AJ557">
        <v>50</v>
      </c>
      <c r="AK557">
        <v>50</v>
      </c>
      <c r="AL557">
        <v>0</v>
      </c>
      <c r="AM557">
        <v>0.12</v>
      </c>
      <c r="AN557">
        <v>4.5454545454545459</v>
      </c>
      <c r="AO557">
        <v>0</v>
      </c>
      <c r="AP557" t="s">
        <v>169</v>
      </c>
      <c r="AQ557" t="s">
        <v>155</v>
      </c>
      <c r="AR557" t="s">
        <v>523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 t="s">
        <v>135</v>
      </c>
      <c r="BA557">
        <v>6</v>
      </c>
      <c r="BB557">
        <v>0</v>
      </c>
      <c r="BC557" t="s">
        <v>133</v>
      </c>
      <c r="BD557">
        <v>8</v>
      </c>
      <c r="BE557" t="s">
        <v>133</v>
      </c>
      <c r="BF55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58" spans="1:58" x14ac:dyDescent="0.25">
      <c r="A558" t="s">
        <v>784</v>
      </c>
      <c r="B558" t="s">
        <v>19</v>
      </c>
      <c r="C558">
        <v>1</v>
      </c>
      <c r="D558">
        <v>559</v>
      </c>
      <c r="E558" t="s">
        <v>2110</v>
      </c>
      <c r="F558" t="s">
        <v>123</v>
      </c>
      <c r="G558" t="s">
        <v>124</v>
      </c>
      <c r="H558" t="s">
        <v>125</v>
      </c>
      <c r="I558" t="s">
        <v>148</v>
      </c>
      <c r="J558" t="s">
        <v>149</v>
      </c>
      <c r="K558" t="s">
        <v>166</v>
      </c>
      <c r="L558">
        <v>50</v>
      </c>
      <c r="M558">
        <v>1017555</v>
      </c>
      <c r="N558">
        <v>6</v>
      </c>
      <c r="O558">
        <v>2</v>
      </c>
      <c r="P558" t="s">
        <v>128</v>
      </c>
      <c r="Q558" t="s">
        <v>129</v>
      </c>
      <c r="R558">
        <v>51</v>
      </c>
      <c r="S558" t="s">
        <v>776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50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50</v>
      </c>
      <c r="AI558">
        <v>50</v>
      </c>
      <c r="AJ558">
        <v>50</v>
      </c>
      <c r="AK558">
        <v>50</v>
      </c>
      <c r="AL558">
        <v>0</v>
      </c>
      <c r="AM558">
        <v>0.12</v>
      </c>
      <c r="AN558">
        <v>4.5454545454545459</v>
      </c>
      <c r="AO558">
        <v>0</v>
      </c>
      <c r="AP558" t="s">
        <v>169</v>
      </c>
      <c r="AQ558" t="s">
        <v>155</v>
      </c>
      <c r="AR558" t="s">
        <v>523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0</v>
      </c>
      <c r="AZ558" t="s">
        <v>135</v>
      </c>
      <c r="BA558">
        <v>6</v>
      </c>
      <c r="BB558">
        <v>0</v>
      </c>
      <c r="BC558" t="s">
        <v>133</v>
      </c>
      <c r="BD558">
        <v>9</v>
      </c>
      <c r="BE558" t="s">
        <v>133</v>
      </c>
      <c r="BF55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59" spans="1:58" x14ac:dyDescent="0.25">
      <c r="A559" t="s">
        <v>785</v>
      </c>
      <c r="B559" t="s">
        <v>19</v>
      </c>
      <c r="C559">
        <v>1</v>
      </c>
      <c r="D559">
        <v>560</v>
      </c>
      <c r="E559" t="s">
        <v>2110</v>
      </c>
      <c r="F559" t="s">
        <v>123</v>
      </c>
      <c r="G559" t="s">
        <v>124</v>
      </c>
      <c r="H559" t="s">
        <v>125</v>
      </c>
      <c r="I559" t="s">
        <v>148</v>
      </c>
      <c r="J559" t="s">
        <v>149</v>
      </c>
      <c r="K559" t="s">
        <v>166</v>
      </c>
      <c r="L559">
        <v>50</v>
      </c>
      <c r="M559">
        <v>1017557</v>
      </c>
      <c r="N559">
        <v>6</v>
      </c>
      <c r="O559">
        <v>2</v>
      </c>
      <c r="P559" t="s">
        <v>128</v>
      </c>
      <c r="Q559" t="s">
        <v>129</v>
      </c>
      <c r="R559">
        <v>51</v>
      </c>
      <c r="S559" t="s">
        <v>776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50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50</v>
      </c>
      <c r="AI559">
        <v>50</v>
      </c>
      <c r="AJ559">
        <v>50</v>
      </c>
      <c r="AK559">
        <v>50</v>
      </c>
      <c r="AL559">
        <v>0</v>
      </c>
      <c r="AM559">
        <v>0.12</v>
      </c>
      <c r="AN559">
        <v>4.5454545454545459</v>
      </c>
      <c r="AO559">
        <v>0</v>
      </c>
      <c r="AP559" t="s">
        <v>169</v>
      </c>
      <c r="AQ559" t="s">
        <v>155</v>
      </c>
      <c r="AR559" t="s">
        <v>523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 t="s">
        <v>135</v>
      </c>
      <c r="BA559">
        <v>6</v>
      </c>
      <c r="BB559">
        <v>0</v>
      </c>
      <c r="BC559" t="s">
        <v>133</v>
      </c>
      <c r="BD559">
        <v>10</v>
      </c>
      <c r="BE559" t="s">
        <v>133</v>
      </c>
      <c r="BF55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60" spans="1:58" x14ac:dyDescent="0.25">
      <c r="A560" t="s">
        <v>786</v>
      </c>
      <c r="B560" t="s">
        <v>19</v>
      </c>
      <c r="C560">
        <v>1</v>
      </c>
      <c r="D560">
        <v>561</v>
      </c>
      <c r="E560" t="s">
        <v>2110</v>
      </c>
      <c r="F560" t="s">
        <v>123</v>
      </c>
      <c r="G560" t="s">
        <v>124</v>
      </c>
      <c r="H560" t="s">
        <v>125</v>
      </c>
      <c r="I560" t="s">
        <v>148</v>
      </c>
      <c r="J560" t="s">
        <v>149</v>
      </c>
      <c r="K560" t="s">
        <v>166</v>
      </c>
      <c r="L560">
        <v>50</v>
      </c>
      <c r="M560">
        <v>1017559</v>
      </c>
      <c r="N560">
        <v>6</v>
      </c>
      <c r="O560">
        <v>2</v>
      </c>
      <c r="P560" t="s">
        <v>128</v>
      </c>
      <c r="Q560" t="s">
        <v>129</v>
      </c>
      <c r="R560">
        <v>51</v>
      </c>
      <c r="S560" t="s">
        <v>776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50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50</v>
      </c>
      <c r="AI560">
        <v>50</v>
      </c>
      <c r="AJ560">
        <v>50</v>
      </c>
      <c r="AK560">
        <v>50</v>
      </c>
      <c r="AL560">
        <v>0</v>
      </c>
      <c r="AM560">
        <v>0.12</v>
      </c>
      <c r="AN560">
        <v>4.5454545454545459</v>
      </c>
      <c r="AO560">
        <v>0</v>
      </c>
      <c r="AP560" t="s">
        <v>169</v>
      </c>
      <c r="AQ560" t="s">
        <v>155</v>
      </c>
      <c r="AR560" t="s">
        <v>523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 t="s">
        <v>135</v>
      </c>
      <c r="BA560">
        <v>6</v>
      </c>
      <c r="BB560">
        <v>0</v>
      </c>
      <c r="BC560" t="s">
        <v>144</v>
      </c>
      <c r="BD560">
        <v>11</v>
      </c>
      <c r="BE560" t="s">
        <v>787</v>
      </c>
      <c r="BF56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61" spans="1:58" x14ac:dyDescent="0.25">
      <c r="A561" t="s">
        <v>788</v>
      </c>
      <c r="B561" t="s">
        <v>19</v>
      </c>
      <c r="C561">
        <v>1</v>
      </c>
      <c r="D561">
        <v>562</v>
      </c>
      <c r="E561" t="s">
        <v>2109</v>
      </c>
      <c r="F561" t="s">
        <v>123</v>
      </c>
      <c r="G561" t="s">
        <v>124</v>
      </c>
      <c r="H561" t="s">
        <v>125</v>
      </c>
      <c r="I561" t="s">
        <v>183</v>
      </c>
      <c r="J561" t="s">
        <v>140</v>
      </c>
      <c r="K561" t="s">
        <v>127</v>
      </c>
      <c r="L561">
        <v>50</v>
      </c>
      <c r="M561">
        <v>3462852</v>
      </c>
      <c r="N561">
        <v>20</v>
      </c>
      <c r="O561">
        <v>2</v>
      </c>
      <c r="P561" t="s">
        <v>128</v>
      </c>
      <c r="Q561" t="s">
        <v>129</v>
      </c>
      <c r="R561">
        <v>52</v>
      </c>
      <c r="S561" t="s">
        <v>228</v>
      </c>
      <c r="T561">
        <v>22</v>
      </c>
      <c r="U561">
        <v>25</v>
      </c>
      <c r="V561">
        <v>0</v>
      </c>
      <c r="W561">
        <v>0</v>
      </c>
      <c r="X561">
        <v>0</v>
      </c>
      <c r="Y561">
        <v>0</v>
      </c>
      <c r="Z561">
        <v>22</v>
      </c>
      <c r="AA561">
        <v>25</v>
      </c>
      <c r="AB561">
        <v>50</v>
      </c>
      <c r="AC561">
        <v>49</v>
      </c>
      <c r="AD561">
        <v>0</v>
      </c>
      <c r="AE561">
        <v>0</v>
      </c>
      <c r="AF561">
        <v>49</v>
      </c>
      <c r="AG561">
        <v>0</v>
      </c>
      <c r="AH561">
        <v>1</v>
      </c>
      <c r="AI561">
        <v>1</v>
      </c>
      <c r="AJ561">
        <v>1</v>
      </c>
      <c r="AK561">
        <v>1</v>
      </c>
      <c r="AL561">
        <v>0</v>
      </c>
      <c r="AM561">
        <v>0.4</v>
      </c>
      <c r="AN561">
        <v>9.0909090909090912E-2</v>
      </c>
      <c r="AO561">
        <v>0</v>
      </c>
      <c r="AP561" t="s">
        <v>188</v>
      </c>
      <c r="AQ561" t="s">
        <v>131</v>
      </c>
      <c r="AR561" t="s">
        <v>229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0</v>
      </c>
      <c r="AZ561" t="s">
        <v>147</v>
      </c>
      <c r="BA561">
        <v>20</v>
      </c>
      <c r="BB561">
        <v>0</v>
      </c>
      <c r="BC561" t="s">
        <v>132</v>
      </c>
      <c r="BD561">
        <v>0</v>
      </c>
      <c r="BE561" t="s">
        <v>133</v>
      </c>
      <c r="BF56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62" spans="1:58" x14ac:dyDescent="0.25">
      <c r="A562" t="s">
        <v>789</v>
      </c>
      <c r="B562" t="s">
        <v>19</v>
      </c>
      <c r="C562">
        <v>1</v>
      </c>
      <c r="D562">
        <v>563</v>
      </c>
      <c r="E562" t="s">
        <v>2109</v>
      </c>
      <c r="F562" t="s">
        <v>123</v>
      </c>
      <c r="G562" t="s">
        <v>124</v>
      </c>
      <c r="H562" t="s">
        <v>125</v>
      </c>
      <c r="I562" t="s">
        <v>183</v>
      </c>
      <c r="J562" t="s">
        <v>140</v>
      </c>
      <c r="K562" t="s">
        <v>127</v>
      </c>
      <c r="L562">
        <v>50</v>
      </c>
      <c r="M562">
        <v>3462854</v>
      </c>
      <c r="N562">
        <v>20</v>
      </c>
      <c r="O562">
        <v>2</v>
      </c>
      <c r="P562" t="s">
        <v>128</v>
      </c>
      <c r="Q562" t="s">
        <v>129</v>
      </c>
      <c r="R562">
        <v>52</v>
      </c>
      <c r="S562" t="s">
        <v>228</v>
      </c>
      <c r="T562">
        <v>22</v>
      </c>
      <c r="U562">
        <v>25</v>
      </c>
      <c r="V562">
        <v>0</v>
      </c>
      <c r="W562">
        <v>0</v>
      </c>
      <c r="X562">
        <v>0</v>
      </c>
      <c r="Y562">
        <v>0</v>
      </c>
      <c r="Z562">
        <v>22</v>
      </c>
      <c r="AA562">
        <v>25</v>
      </c>
      <c r="AB562">
        <v>50</v>
      </c>
      <c r="AC562">
        <v>49</v>
      </c>
      <c r="AD562">
        <v>0</v>
      </c>
      <c r="AE562">
        <v>0</v>
      </c>
      <c r="AF562">
        <v>49</v>
      </c>
      <c r="AG562">
        <v>0</v>
      </c>
      <c r="AH562">
        <v>1</v>
      </c>
      <c r="AI562">
        <v>1</v>
      </c>
      <c r="AJ562">
        <v>1</v>
      </c>
      <c r="AK562">
        <v>1</v>
      </c>
      <c r="AL562">
        <v>0</v>
      </c>
      <c r="AM562">
        <v>0.4</v>
      </c>
      <c r="AN562">
        <v>9.0909090909090912E-2</v>
      </c>
      <c r="AO562">
        <v>0</v>
      </c>
      <c r="AP562" t="s">
        <v>188</v>
      </c>
      <c r="AQ562" t="s">
        <v>131</v>
      </c>
      <c r="AR562" t="s">
        <v>229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0</v>
      </c>
      <c r="AZ562" t="s">
        <v>147</v>
      </c>
      <c r="BA562">
        <v>20</v>
      </c>
      <c r="BB562">
        <v>0</v>
      </c>
      <c r="BC562" t="s">
        <v>133</v>
      </c>
      <c r="BD562">
        <v>0</v>
      </c>
      <c r="BE562" t="s">
        <v>133</v>
      </c>
      <c r="BF56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63" spans="1:58" x14ac:dyDescent="0.25">
      <c r="A563" t="s">
        <v>790</v>
      </c>
      <c r="B563" t="s">
        <v>19</v>
      </c>
      <c r="C563">
        <v>1</v>
      </c>
      <c r="D563">
        <v>564</v>
      </c>
      <c r="E563" t="s">
        <v>2109</v>
      </c>
      <c r="F563" t="s">
        <v>123</v>
      </c>
      <c r="G563" t="s">
        <v>124</v>
      </c>
      <c r="H563" t="s">
        <v>125</v>
      </c>
      <c r="I563" t="s">
        <v>183</v>
      </c>
      <c r="J563" t="s">
        <v>140</v>
      </c>
      <c r="K563" t="s">
        <v>127</v>
      </c>
      <c r="L563">
        <v>50</v>
      </c>
      <c r="M563">
        <v>3462856</v>
      </c>
      <c r="N563">
        <v>20</v>
      </c>
      <c r="O563">
        <v>2</v>
      </c>
      <c r="P563" t="s">
        <v>128</v>
      </c>
      <c r="Q563" t="s">
        <v>129</v>
      </c>
      <c r="R563">
        <v>52</v>
      </c>
      <c r="S563" t="s">
        <v>228</v>
      </c>
      <c r="T563">
        <v>22</v>
      </c>
      <c r="U563">
        <v>25</v>
      </c>
      <c r="V563">
        <v>0</v>
      </c>
      <c r="W563">
        <v>0</v>
      </c>
      <c r="X563">
        <v>0</v>
      </c>
      <c r="Y563">
        <v>0</v>
      </c>
      <c r="Z563">
        <v>22</v>
      </c>
      <c r="AA563">
        <v>25</v>
      </c>
      <c r="AB563">
        <v>50</v>
      </c>
      <c r="AC563">
        <v>49</v>
      </c>
      <c r="AD563">
        <v>0</v>
      </c>
      <c r="AE563">
        <v>0</v>
      </c>
      <c r="AF563">
        <v>49</v>
      </c>
      <c r="AG563">
        <v>0</v>
      </c>
      <c r="AH563">
        <v>1</v>
      </c>
      <c r="AI563">
        <v>1</v>
      </c>
      <c r="AJ563">
        <v>1</v>
      </c>
      <c r="AK563">
        <v>1</v>
      </c>
      <c r="AL563">
        <v>0</v>
      </c>
      <c r="AM563">
        <v>0.4</v>
      </c>
      <c r="AN563">
        <v>9.0909090909090912E-2</v>
      </c>
      <c r="AO563">
        <v>0</v>
      </c>
      <c r="AP563" t="s">
        <v>188</v>
      </c>
      <c r="AQ563" t="s">
        <v>131</v>
      </c>
      <c r="AR563" t="s">
        <v>229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</v>
      </c>
      <c r="AZ563" t="s">
        <v>147</v>
      </c>
      <c r="BA563">
        <v>20</v>
      </c>
      <c r="BB563">
        <v>0</v>
      </c>
      <c r="BC563" t="s">
        <v>133</v>
      </c>
      <c r="BD563">
        <v>0</v>
      </c>
      <c r="BE563" t="s">
        <v>133</v>
      </c>
      <c r="BF56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64" spans="1:58" x14ac:dyDescent="0.25">
      <c r="A564" t="s">
        <v>791</v>
      </c>
      <c r="B564" t="s">
        <v>19</v>
      </c>
      <c r="C564">
        <v>1</v>
      </c>
      <c r="D564">
        <v>565</v>
      </c>
      <c r="E564" t="s">
        <v>2109</v>
      </c>
      <c r="F564" t="s">
        <v>123</v>
      </c>
      <c r="G564" t="s">
        <v>124</v>
      </c>
      <c r="H564" t="s">
        <v>125</v>
      </c>
      <c r="I564" t="s">
        <v>183</v>
      </c>
      <c r="J564" t="s">
        <v>140</v>
      </c>
      <c r="K564" t="s">
        <v>166</v>
      </c>
      <c r="L564">
        <v>50</v>
      </c>
      <c r="M564">
        <v>1017567</v>
      </c>
      <c r="N564">
        <v>20</v>
      </c>
      <c r="O564">
        <v>2</v>
      </c>
      <c r="P564" t="s">
        <v>128</v>
      </c>
      <c r="Q564" t="s">
        <v>129</v>
      </c>
      <c r="R564">
        <v>52</v>
      </c>
      <c r="S564" t="s">
        <v>642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50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50</v>
      </c>
      <c r="AI564">
        <v>50</v>
      </c>
      <c r="AJ564">
        <v>50</v>
      </c>
      <c r="AK564">
        <v>50</v>
      </c>
      <c r="AL564">
        <v>0</v>
      </c>
      <c r="AM564">
        <v>0.4</v>
      </c>
      <c r="AN564">
        <v>4.5454545454545459</v>
      </c>
      <c r="AO564">
        <v>0</v>
      </c>
      <c r="AP564" t="s">
        <v>184</v>
      </c>
      <c r="AQ564" t="s">
        <v>155</v>
      </c>
      <c r="AR564" t="s">
        <v>229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 t="s">
        <v>135</v>
      </c>
      <c r="BA564">
        <v>20</v>
      </c>
      <c r="BB564">
        <v>0</v>
      </c>
      <c r="BC564" t="s">
        <v>133</v>
      </c>
      <c r="BD564">
        <v>0</v>
      </c>
      <c r="BE564" t="s">
        <v>133</v>
      </c>
      <c r="BF56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65" spans="1:58" x14ac:dyDescent="0.25">
      <c r="A565" t="s">
        <v>792</v>
      </c>
      <c r="B565" t="s">
        <v>19</v>
      </c>
      <c r="C565">
        <v>1</v>
      </c>
      <c r="D565">
        <v>566</v>
      </c>
      <c r="E565" t="s">
        <v>2109</v>
      </c>
      <c r="F565" t="s">
        <v>123</v>
      </c>
      <c r="G565" t="s">
        <v>124</v>
      </c>
      <c r="H565" t="s">
        <v>125</v>
      </c>
      <c r="I565" t="s">
        <v>154</v>
      </c>
      <c r="J565" t="s">
        <v>154</v>
      </c>
      <c r="K565" t="s">
        <v>151</v>
      </c>
      <c r="L565">
        <v>50</v>
      </c>
      <c r="M565">
        <v>1017569</v>
      </c>
      <c r="N565">
        <v>0</v>
      </c>
      <c r="O565">
        <v>2</v>
      </c>
      <c r="P565" t="s">
        <v>128</v>
      </c>
      <c r="Q565" t="s">
        <v>129</v>
      </c>
      <c r="R565">
        <v>52</v>
      </c>
      <c r="S565" t="s">
        <v>189</v>
      </c>
      <c r="T565">
        <v>0</v>
      </c>
      <c r="U565">
        <v>0</v>
      </c>
      <c r="V565">
        <v>5</v>
      </c>
      <c r="W565">
        <v>0</v>
      </c>
      <c r="X565">
        <v>5</v>
      </c>
      <c r="Y565">
        <v>0</v>
      </c>
      <c r="Z565">
        <v>0</v>
      </c>
      <c r="AA565">
        <v>5</v>
      </c>
      <c r="AB565">
        <v>50</v>
      </c>
      <c r="AC565">
        <v>0</v>
      </c>
      <c r="AD565">
        <v>5</v>
      </c>
      <c r="AE565">
        <v>0</v>
      </c>
      <c r="AF565">
        <v>5</v>
      </c>
      <c r="AG565">
        <v>0</v>
      </c>
      <c r="AH565">
        <v>0</v>
      </c>
      <c r="AI565">
        <v>45</v>
      </c>
      <c r="AJ565">
        <v>50</v>
      </c>
      <c r="AK565">
        <v>50</v>
      </c>
      <c r="AL565">
        <v>50</v>
      </c>
      <c r="AM565">
        <v>0</v>
      </c>
      <c r="AN565">
        <v>4.5454545454545459</v>
      </c>
      <c r="AO565">
        <v>0</v>
      </c>
      <c r="AP565" t="s">
        <v>172</v>
      </c>
      <c r="AQ565" t="s">
        <v>131</v>
      </c>
      <c r="AR565" t="s">
        <v>229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 t="s">
        <v>147</v>
      </c>
      <c r="BA565">
        <v>0</v>
      </c>
      <c r="BB565">
        <v>0</v>
      </c>
      <c r="BC565" t="s">
        <v>133</v>
      </c>
      <c r="BD565">
        <v>1</v>
      </c>
      <c r="BE565" t="s">
        <v>133</v>
      </c>
      <c r="BF56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66" spans="1:58" x14ac:dyDescent="0.25">
      <c r="A566" t="s">
        <v>793</v>
      </c>
      <c r="B566" t="s">
        <v>19</v>
      </c>
      <c r="C566">
        <v>1</v>
      </c>
      <c r="D566">
        <v>567</v>
      </c>
      <c r="E566" t="s">
        <v>2109</v>
      </c>
      <c r="F566" t="s">
        <v>123</v>
      </c>
      <c r="G566" t="s">
        <v>124</v>
      </c>
      <c r="H566" t="s">
        <v>125</v>
      </c>
      <c r="I566" t="s">
        <v>154</v>
      </c>
      <c r="J566" t="s">
        <v>154</v>
      </c>
      <c r="K566" t="s">
        <v>151</v>
      </c>
      <c r="L566">
        <v>50</v>
      </c>
      <c r="M566">
        <v>1017571</v>
      </c>
      <c r="N566">
        <v>0</v>
      </c>
      <c r="O566">
        <v>2</v>
      </c>
      <c r="P566" t="s">
        <v>128</v>
      </c>
      <c r="Q566" t="s">
        <v>129</v>
      </c>
      <c r="R566">
        <v>52</v>
      </c>
      <c r="S566" t="s">
        <v>189</v>
      </c>
      <c r="T566">
        <v>0</v>
      </c>
      <c r="U566">
        <v>0</v>
      </c>
      <c r="V566">
        <v>4</v>
      </c>
      <c r="W566">
        <v>0</v>
      </c>
      <c r="X566">
        <v>4</v>
      </c>
      <c r="Y566">
        <v>0</v>
      </c>
      <c r="Z566">
        <v>0</v>
      </c>
      <c r="AA566">
        <v>4</v>
      </c>
      <c r="AB566">
        <v>50</v>
      </c>
      <c r="AC566">
        <v>0</v>
      </c>
      <c r="AD566">
        <v>4</v>
      </c>
      <c r="AE566">
        <v>0</v>
      </c>
      <c r="AF566">
        <v>4</v>
      </c>
      <c r="AG566">
        <v>0</v>
      </c>
      <c r="AH566">
        <v>0</v>
      </c>
      <c r="AI566">
        <v>46</v>
      </c>
      <c r="AJ566">
        <v>50</v>
      </c>
      <c r="AK566">
        <v>50</v>
      </c>
      <c r="AL566">
        <v>50</v>
      </c>
      <c r="AM566">
        <v>0</v>
      </c>
      <c r="AN566">
        <v>4.5454545454545459</v>
      </c>
      <c r="AO566">
        <v>0</v>
      </c>
      <c r="AP566" t="s">
        <v>172</v>
      </c>
      <c r="AQ566" t="s">
        <v>131</v>
      </c>
      <c r="AR566" t="s">
        <v>229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 t="s">
        <v>147</v>
      </c>
      <c r="BA566">
        <v>0</v>
      </c>
      <c r="BB566">
        <v>0</v>
      </c>
      <c r="BC566" t="s">
        <v>133</v>
      </c>
      <c r="BD566">
        <v>2</v>
      </c>
      <c r="BE566" t="s">
        <v>133</v>
      </c>
      <c r="BF56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67" spans="1:58" x14ac:dyDescent="0.25">
      <c r="A567" t="s">
        <v>794</v>
      </c>
      <c r="B567" t="s">
        <v>19</v>
      </c>
      <c r="C567">
        <v>1</v>
      </c>
      <c r="D567">
        <v>568</v>
      </c>
      <c r="E567" t="s">
        <v>2109</v>
      </c>
      <c r="F567" t="s">
        <v>123</v>
      </c>
      <c r="G567" t="s">
        <v>124</v>
      </c>
      <c r="H567" t="s">
        <v>125</v>
      </c>
      <c r="I567" t="s">
        <v>154</v>
      </c>
      <c r="J567" t="s">
        <v>154</v>
      </c>
      <c r="K567" t="s">
        <v>151</v>
      </c>
      <c r="L567">
        <v>50</v>
      </c>
      <c r="M567">
        <v>1017573</v>
      </c>
      <c r="N567">
        <v>0</v>
      </c>
      <c r="O567">
        <v>2</v>
      </c>
      <c r="P567" t="s">
        <v>128</v>
      </c>
      <c r="Q567" t="s">
        <v>129</v>
      </c>
      <c r="R567">
        <v>52</v>
      </c>
      <c r="S567" t="s">
        <v>189</v>
      </c>
      <c r="T567">
        <v>0</v>
      </c>
      <c r="U567">
        <v>0</v>
      </c>
      <c r="V567">
        <v>5</v>
      </c>
      <c r="W567">
        <v>0</v>
      </c>
      <c r="X567">
        <v>5</v>
      </c>
      <c r="Y567">
        <v>0</v>
      </c>
      <c r="Z567">
        <v>0</v>
      </c>
      <c r="AA567">
        <v>5</v>
      </c>
      <c r="AB567">
        <v>50</v>
      </c>
      <c r="AC567">
        <v>0</v>
      </c>
      <c r="AD567">
        <v>5</v>
      </c>
      <c r="AE567">
        <v>0</v>
      </c>
      <c r="AF567">
        <v>5</v>
      </c>
      <c r="AG567">
        <v>0</v>
      </c>
      <c r="AH567">
        <v>0</v>
      </c>
      <c r="AI567">
        <v>45</v>
      </c>
      <c r="AJ567">
        <v>50</v>
      </c>
      <c r="AK567">
        <v>50</v>
      </c>
      <c r="AL567">
        <v>50</v>
      </c>
      <c r="AM567">
        <v>0</v>
      </c>
      <c r="AN567">
        <v>4.5454545454545459</v>
      </c>
      <c r="AO567">
        <v>0</v>
      </c>
      <c r="AP567" t="s">
        <v>172</v>
      </c>
      <c r="AQ567" t="s">
        <v>131</v>
      </c>
      <c r="AR567" t="s">
        <v>229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 t="s">
        <v>147</v>
      </c>
      <c r="BA567">
        <v>0</v>
      </c>
      <c r="BB567">
        <v>0</v>
      </c>
      <c r="BC567" t="s">
        <v>133</v>
      </c>
      <c r="BD567">
        <v>3</v>
      </c>
      <c r="BE567" t="s">
        <v>133</v>
      </c>
      <c r="BF56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68" spans="1:58" x14ac:dyDescent="0.25">
      <c r="A568" t="s">
        <v>795</v>
      </c>
      <c r="B568" t="s">
        <v>19</v>
      </c>
      <c r="C568">
        <v>1</v>
      </c>
      <c r="D568">
        <v>569</v>
      </c>
      <c r="E568" t="s">
        <v>2109</v>
      </c>
      <c r="F568" t="s">
        <v>123</v>
      </c>
      <c r="G568" t="s">
        <v>124</v>
      </c>
      <c r="H568" t="s">
        <v>125</v>
      </c>
      <c r="I568" t="s">
        <v>154</v>
      </c>
      <c r="J568" t="s">
        <v>154</v>
      </c>
      <c r="K568" t="s">
        <v>151</v>
      </c>
      <c r="L568">
        <v>50</v>
      </c>
      <c r="M568">
        <v>1017575</v>
      </c>
      <c r="N568">
        <v>0</v>
      </c>
      <c r="O568">
        <v>2</v>
      </c>
      <c r="P568" t="s">
        <v>128</v>
      </c>
      <c r="Q568" t="s">
        <v>129</v>
      </c>
      <c r="R568">
        <v>52</v>
      </c>
      <c r="S568" t="s">
        <v>189</v>
      </c>
      <c r="T568">
        <v>0</v>
      </c>
      <c r="U568">
        <v>0</v>
      </c>
      <c r="V568">
        <v>5</v>
      </c>
      <c r="W568">
        <v>0</v>
      </c>
      <c r="X568">
        <v>5</v>
      </c>
      <c r="Y568">
        <v>0</v>
      </c>
      <c r="Z568">
        <v>0</v>
      </c>
      <c r="AA568">
        <v>5</v>
      </c>
      <c r="AB568">
        <v>50</v>
      </c>
      <c r="AC568">
        <v>0</v>
      </c>
      <c r="AD568">
        <v>5</v>
      </c>
      <c r="AE568">
        <v>0</v>
      </c>
      <c r="AF568">
        <v>5</v>
      </c>
      <c r="AG568">
        <v>0</v>
      </c>
      <c r="AH568">
        <v>0</v>
      </c>
      <c r="AI568">
        <v>45</v>
      </c>
      <c r="AJ568">
        <v>50</v>
      </c>
      <c r="AK568">
        <v>50</v>
      </c>
      <c r="AL568">
        <v>50</v>
      </c>
      <c r="AM568">
        <v>0</v>
      </c>
      <c r="AN568">
        <v>4.5454545454545459</v>
      </c>
      <c r="AO568">
        <v>0</v>
      </c>
      <c r="AP568" t="s">
        <v>172</v>
      </c>
      <c r="AQ568" t="s">
        <v>131</v>
      </c>
      <c r="AR568" t="s">
        <v>229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 t="s">
        <v>147</v>
      </c>
      <c r="BA568">
        <v>0</v>
      </c>
      <c r="BB568">
        <v>0</v>
      </c>
      <c r="BC568" t="s">
        <v>133</v>
      </c>
      <c r="BD568">
        <v>4</v>
      </c>
      <c r="BE568" t="s">
        <v>133</v>
      </c>
      <c r="BF56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69" spans="1:58" x14ac:dyDescent="0.25">
      <c r="A569" t="s">
        <v>796</v>
      </c>
      <c r="B569" t="s">
        <v>19</v>
      </c>
      <c r="C569">
        <v>1</v>
      </c>
      <c r="D569">
        <v>570</v>
      </c>
      <c r="E569" t="s">
        <v>2109</v>
      </c>
      <c r="F569" t="s">
        <v>123</v>
      </c>
      <c r="G569" t="s">
        <v>124</v>
      </c>
      <c r="H569" t="s">
        <v>125</v>
      </c>
      <c r="I569" t="s">
        <v>154</v>
      </c>
      <c r="J569" t="s">
        <v>154</v>
      </c>
      <c r="K569" t="s">
        <v>151</v>
      </c>
      <c r="L569">
        <v>50</v>
      </c>
      <c r="M569">
        <v>1017577</v>
      </c>
      <c r="N569">
        <v>0</v>
      </c>
      <c r="O569">
        <v>2</v>
      </c>
      <c r="P569" t="s">
        <v>128</v>
      </c>
      <c r="Q569" t="s">
        <v>129</v>
      </c>
      <c r="R569">
        <v>52</v>
      </c>
      <c r="S569" t="s">
        <v>189</v>
      </c>
      <c r="T569">
        <v>0</v>
      </c>
      <c r="U569">
        <v>0</v>
      </c>
      <c r="V569">
        <v>5</v>
      </c>
      <c r="W569">
        <v>0</v>
      </c>
      <c r="X569">
        <v>5</v>
      </c>
      <c r="Y569">
        <v>0</v>
      </c>
      <c r="Z569">
        <v>0</v>
      </c>
      <c r="AA569">
        <v>5</v>
      </c>
      <c r="AB569">
        <v>50</v>
      </c>
      <c r="AC569">
        <v>0</v>
      </c>
      <c r="AD569">
        <v>5</v>
      </c>
      <c r="AE569">
        <v>0</v>
      </c>
      <c r="AF569">
        <v>5</v>
      </c>
      <c r="AG569">
        <v>0</v>
      </c>
      <c r="AH569">
        <v>0</v>
      </c>
      <c r="AI569">
        <v>45</v>
      </c>
      <c r="AJ569">
        <v>50</v>
      </c>
      <c r="AK569">
        <v>50</v>
      </c>
      <c r="AL569">
        <v>50</v>
      </c>
      <c r="AM569">
        <v>0</v>
      </c>
      <c r="AN569">
        <v>4.5454545454545459</v>
      </c>
      <c r="AO569">
        <v>0</v>
      </c>
      <c r="AP569" t="s">
        <v>172</v>
      </c>
      <c r="AQ569" t="s">
        <v>131</v>
      </c>
      <c r="AR569" t="s">
        <v>229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 t="s">
        <v>147</v>
      </c>
      <c r="BA569">
        <v>0</v>
      </c>
      <c r="BB569">
        <v>0</v>
      </c>
      <c r="BC569" t="s">
        <v>133</v>
      </c>
      <c r="BD569">
        <v>5</v>
      </c>
      <c r="BE569" t="s">
        <v>133</v>
      </c>
      <c r="BF56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70" spans="1:58" x14ac:dyDescent="0.25">
      <c r="A570" t="s">
        <v>797</v>
      </c>
      <c r="B570" t="s">
        <v>19</v>
      </c>
      <c r="C570">
        <v>1</v>
      </c>
      <c r="D570">
        <v>571</v>
      </c>
      <c r="E570" t="s">
        <v>2109</v>
      </c>
      <c r="F570" t="s">
        <v>123</v>
      </c>
      <c r="G570" t="s">
        <v>124</v>
      </c>
      <c r="H570" t="s">
        <v>125</v>
      </c>
      <c r="I570" t="s">
        <v>154</v>
      </c>
      <c r="J570" t="s">
        <v>154</v>
      </c>
      <c r="K570" t="s">
        <v>151</v>
      </c>
      <c r="L570">
        <v>50</v>
      </c>
      <c r="M570">
        <v>1017579</v>
      </c>
      <c r="N570">
        <v>0</v>
      </c>
      <c r="O570">
        <v>2</v>
      </c>
      <c r="P570" t="s">
        <v>128</v>
      </c>
      <c r="Q570" t="s">
        <v>129</v>
      </c>
      <c r="R570">
        <v>52</v>
      </c>
      <c r="S570" t="s">
        <v>189</v>
      </c>
      <c r="T570">
        <v>0</v>
      </c>
      <c r="U570">
        <v>0</v>
      </c>
      <c r="V570">
        <v>5</v>
      </c>
      <c r="W570">
        <v>0</v>
      </c>
      <c r="X570">
        <v>5</v>
      </c>
      <c r="Y570">
        <v>0</v>
      </c>
      <c r="Z570">
        <v>0</v>
      </c>
      <c r="AA570">
        <v>5</v>
      </c>
      <c r="AB570">
        <v>50</v>
      </c>
      <c r="AC570">
        <v>0</v>
      </c>
      <c r="AD570">
        <v>5</v>
      </c>
      <c r="AE570">
        <v>0</v>
      </c>
      <c r="AF570">
        <v>5</v>
      </c>
      <c r="AG570">
        <v>0</v>
      </c>
      <c r="AH570">
        <v>0</v>
      </c>
      <c r="AI570">
        <v>45</v>
      </c>
      <c r="AJ570">
        <v>50</v>
      </c>
      <c r="AK570">
        <v>50</v>
      </c>
      <c r="AL570">
        <v>50</v>
      </c>
      <c r="AM570">
        <v>0</v>
      </c>
      <c r="AN570">
        <v>4.5454545454545459</v>
      </c>
      <c r="AO570">
        <v>0</v>
      </c>
      <c r="AP570" t="s">
        <v>172</v>
      </c>
      <c r="AQ570" t="s">
        <v>131</v>
      </c>
      <c r="AR570" t="s">
        <v>229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 t="s">
        <v>147</v>
      </c>
      <c r="BA570">
        <v>0</v>
      </c>
      <c r="BB570">
        <v>0</v>
      </c>
      <c r="BC570" t="s">
        <v>133</v>
      </c>
      <c r="BD570">
        <v>6</v>
      </c>
      <c r="BE570" t="s">
        <v>133</v>
      </c>
      <c r="BF57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71" spans="1:58" x14ac:dyDescent="0.25">
      <c r="A571" t="s">
        <v>798</v>
      </c>
      <c r="B571" t="s">
        <v>19</v>
      </c>
      <c r="C571">
        <v>1</v>
      </c>
      <c r="D571">
        <v>572</v>
      </c>
      <c r="E571" t="s">
        <v>2109</v>
      </c>
      <c r="F571" t="s">
        <v>123</v>
      </c>
      <c r="G571" t="s">
        <v>124</v>
      </c>
      <c r="H571" t="s">
        <v>125</v>
      </c>
      <c r="I571" t="s">
        <v>154</v>
      </c>
      <c r="J571" t="s">
        <v>154</v>
      </c>
      <c r="K571" t="s">
        <v>151</v>
      </c>
      <c r="L571">
        <v>50</v>
      </c>
      <c r="M571">
        <v>1017581</v>
      </c>
      <c r="N571">
        <v>0</v>
      </c>
      <c r="O571">
        <v>2</v>
      </c>
      <c r="P571" t="s">
        <v>128</v>
      </c>
      <c r="Q571" t="s">
        <v>129</v>
      </c>
      <c r="R571">
        <v>52</v>
      </c>
      <c r="S571" t="s">
        <v>189</v>
      </c>
      <c r="T571">
        <v>0</v>
      </c>
      <c r="U571">
        <v>0</v>
      </c>
      <c r="V571">
        <v>5</v>
      </c>
      <c r="W571">
        <v>0</v>
      </c>
      <c r="X571">
        <v>5</v>
      </c>
      <c r="Y571">
        <v>0</v>
      </c>
      <c r="Z571">
        <v>0</v>
      </c>
      <c r="AA571">
        <v>5</v>
      </c>
      <c r="AB571">
        <v>50</v>
      </c>
      <c r="AC571">
        <v>0</v>
      </c>
      <c r="AD571">
        <v>5</v>
      </c>
      <c r="AE571">
        <v>0</v>
      </c>
      <c r="AF571">
        <v>5</v>
      </c>
      <c r="AG571">
        <v>0</v>
      </c>
      <c r="AH571">
        <v>0</v>
      </c>
      <c r="AI571">
        <v>45</v>
      </c>
      <c r="AJ571">
        <v>50</v>
      </c>
      <c r="AK571">
        <v>50</v>
      </c>
      <c r="AL571">
        <v>50</v>
      </c>
      <c r="AM571">
        <v>0</v>
      </c>
      <c r="AN571">
        <v>4.5454545454545459</v>
      </c>
      <c r="AO571">
        <v>0</v>
      </c>
      <c r="AP571" t="s">
        <v>172</v>
      </c>
      <c r="AQ571" t="s">
        <v>131</v>
      </c>
      <c r="AR571" t="s">
        <v>229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 t="s">
        <v>147</v>
      </c>
      <c r="BA571">
        <v>0</v>
      </c>
      <c r="BB571">
        <v>0</v>
      </c>
      <c r="BC571" t="s">
        <v>144</v>
      </c>
      <c r="BD571">
        <v>7</v>
      </c>
      <c r="BE571" t="s">
        <v>133</v>
      </c>
      <c r="BF57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72" spans="1:58" x14ac:dyDescent="0.25">
      <c r="A572" t="s">
        <v>799</v>
      </c>
      <c r="B572" t="s">
        <v>19</v>
      </c>
      <c r="C572">
        <v>1</v>
      </c>
      <c r="D572">
        <v>573</v>
      </c>
      <c r="E572" t="s">
        <v>2109</v>
      </c>
      <c r="F572" t="s">
        <v>123</v>
      </c>
      <c r="G572" t="s">
        <v>124</v>
      </c>
      <c r="H572" t="s">
        <v>125</v>
      </c>
      <c r="I572" t="s">
        <v>183</v>
      </c>
      <c r="J572" t="s">
        <v>140</v>
      </c>
      <c r="K572" t="s">
        <v>166</v>
      </c>
      <c r="L572">
        <v>50</v>
      </c>
      <c r="M572">
        <v>3480326</v>
      </c>
      <c r="N572">
        <v>20</v>
      </c>
      <c r="O572">
        <v>2</v>
      </c>
      <c r="P572" t="s">
        <v>128</v>
      </c>
      <c r="Q572" t="s">
        <v>129</v>
      </c>
      <c r="R572">
        <v>53</v>
      </c>
      <c r="S572" t="s">
        <v>642</v>
      </c>
      <c r="T572">
        <v>22</v>
      </c>
      <c r="U572">
        <v>25</v>
      </c>
      <c r="V572">
        <v>0</v>
      </c>
      <c r="W572">
        <v>0</v>
      </c>
      <c r="X572">
        <v>0</v>
      </c>
      <c r="Y572">
        <v>0</v>
      </c>
      <c r="Z572">
        <v>22</v>
      </c>
      <c r="AA572">
        <v>25</v>
      </c>
      <c r="AB572">
        <v>50</v>
      </c>
      <c r="AC572">
        <v>49</v>
      </c>
      <c r="AD572">
        <v>0</v>
      </c>
      <c r="AE572">
        <v>0</v>
      </c>
      <c r="AF572">
        <v>49</v>
      </c>
      <c r="AG572">
        <v>0</v>
      </c>
      <c r="AH572">
        <v>1</v>
      </c>
      <c r="AI572">
        <v>1</v>
      </c>
      <c r="AJ572">
        <v>1</v>
      </c>
      <c r="AK572">
        <v>1</v>
      </c>
      <c r="AL572">
        <v>0</v>
      </c>
      <c r="AM572">
        <v>0.4</v>
      </c>
      <c r="AN572">
        <v>9.0909090909090912E-2</v>
      </c>
      <c r="AO572">
        <v>0</v>
      </c>
      <c r="AP572" t="s">
        <v>184</v>
      </c>
      <c r="AQ572" t="s">
        <v>131</v>
      </c>
      <c r="AR572" t="s">
        <v>229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 t="s">
        <v>135</v>
      </c>
      <c r="BA572">
        <v>20</v>
      </c>
      <c r="BB572">
        <v>0</v>
      </c>
      <c r="BC572" t="s">
        <v>132</v>
      </c>
      <c r="BD572">
        <v>0</v>
      </c>
      <c r="BE572" t="s">
        <v>133</v>
      </c>
      <c r="BF57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73" spans="1:58" x14ac:dyDescent="0.25">
      <c r="A573" t="s">
        <v>800</v>
      </c>
      <c r="B573" t="s">
        <v>19</v>
      </c>
      <c r="C573">
        <v>1</v>
      </c>
      <c r="D573">
        <v>574</v>
      </c>
      <c r="E573" t="s">
        <v>2109</v>
      </c>
      <c r="F573" t="s">
        <v>123</v>
      </c>
      <c r="G573" t="s">
        <v>124</v>
      </c>
      <c r="H573" t="s">
        <v>125</v>
      </c>
      <c r="I573" t="s">
        <v>183</v>
      </c>
      <c r="J573" t="s">
        <v>140</v>
      </c>
      <c r="K573" t="s">
        <v>166</v>
      </c>
      <c r="L573">
        <v>50</v>
      </c>
      <c r="M573">
        <v>3506975</v>
      </c>
      <c r="N573">
        <v>20</v>
      </c>
      <c r="O573">
        <v>2</v>
      </c>
      <c r="P573" t="s">
        <v>128</v>
      </c>
      <c r="Q573" t="s">
        <v>129</v>
      </c>
      <c r="R573">
        <v>53</v>
      </c>
      <c r="S573" t="s">
        <v>639</v>
      </c>
      <c r="T573">
        <v>20</v>
      </c>
      <c r="U573">
        <v>23</v>
      </c>
      <c r="V573">
        <v>0</v>
      </c>
      <c r="W573">
        <v>0</v>
      </c>
      <c r="X573">
        <v>0</v>
      </c>
      <c r="Y573">
        <v>0</v>
      </c>
      <c r="Z573">
        <v>20</v>
      </c>
      <c r="AA573">
        <v>23</v>
      </c>
      <c r="AB573">
        <v>50</v>
      </c>
      <c r="AC573">
        <v>45</v>
      </c>
      <c r="AD573">
        <v>0</v>
      </c>
      <c r="AE573">
        <v>0</v>
      </c>
      <c r="AF573">
        <v>45</v>
      </c>
      <c r="AG573">
        <v>0</v>
      </c>
      <c r="AH573">
        <v>5</v>
      </c>
      <c r="AI573">
        <v>5</v>
      </c>
      <c r="AJ573">
        <v>5</v>
      </c>
      <c r="AK573">
        <v>5</v>
      </c>
      <c r="AL573">
        <v>0</v>
      </c>
      <c r="AM573">
        <v>0.4</v>
      </c>
      <c r="AN573">
        <v>0.45454545454545459</v>
      </c>
      <c r="AO573">
        <v>0</v>
      </c>
      <c r="AP573" t="s">
        <v>184</v>
      </c>
      <c r="AQ573" t="s">
        <v>131</v>
      </c>
      <c r="AR573" t="s">
        <v>229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 t="s">
        <v>135</v>
      </c>
      <c r="BA573">
        <v>20</v>
      </c>
      <c r="BB573">
        <v>0</v>
      </c>
      <c r="BC573" t="s">
        <v>133</v>
      </c>
      <c r="BD573">
        <v>0</v>
      </c>
      <c r="BE573" t="s">
        <v>133</v>
      </c>
      <c r="BF57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74" spans="1:58" x14ac:dyDescent="0.25">
      <c r="A574" t="s">
        <v>801</v>
      </c>
      <c r="B574" t="s">
        <v>19</v>
      </c>
      <c r="C574">
        <v>1</v>
      </c>
      <c r="D574">
        <v>575</v>
      </c>
      <c r="E574" t="s">
        <v>2109</v>
      </c>
      <c r="F574" t="s">
        <v>123</v>
      </c>
      <c r="G574" t="s">
        <v>124</v>
      </c>
      <c r="H574" t="s">
        <v>125</v>
      </c>
      <c r="I574" t="s">
        <v>183</v>
      </c>
      <c r="J574" t="s">
        <v>140</v>
      </c>
      <c r="K574" t="s">
        <v>127</v>
      </c>
      <c r="L574">
        <v>50</v>
      </c>
      <c r="M574">
        <v>3442256</v>
      </c>
      <c r="N574">
        <v>20</v>
      </c>
      <c r="O574">
        <v>2</v>
      </c>
      <c r="P574" t="s">
        <v>128</v>
      </c>
      <c r="Q574" t="s">
        <v>129</v>
      </c>
      <c r="R574">
        <v>53</v>
      </c>
      <c r="S574" t="s">
        <v>802</v>
      </c>
      <c r="T574">
        <v>22</v>
      </c>
      <c r="U574">
        <v>25</v>
      </c>
      <c r="V574">
        <v>0</v>
      </c>
      <c r="W574">
        <v>0</v>
      </c>
      <c r="X574">
        <v>0</v>
      </c>
      <c r="Y574">
        <v>0</v>
      </c>
      <c r="Z574">
        <v>22</v>
      </c>
      <c r="AA574">
        <v>25</v>
      </c>
      <c r="AB574">
        <v>50</v>
      </c>
      <c r="AC574">
        <v>49</v>
      </c>
      <c r="AD574">
        <v>0</v>
      </c>
      <c r="AE574">
        <v>0</v>
      </c>
      <c r="AF574">
        <v>49</v>
      </c>
      <c r="AG574">
        <v>0</v>
      </c>
      <c r="AH574">
        <v>1</v>
      </c>
      <c r="AI574">
        <v>1</v>
      </c>
      <c r="AJ574">
        <v>1</v>
      </c>
      <c r="AK574">
        <v>1</v>
      </c>
      <c r="AL574">
        <v>0</v>
      </c>
      <c r="AM574">
        <v>0.4</v>
      </c>
      <c r="AN574">
        <v>9.0909090909090912E-2</v>
      </c>
      <c r="AO574">
        <v>0</v>
      </c>
      <c r="AP574" t="s">
        <v>188</v>
      </c>
      <c r="AQ574" t="s">
        <v>131</v>
      </c>
      <c r="AR574" t="s">
        <v>229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 t="s">
        <v>147</v>
      </c>
      <c r="BA574">
        <v>20</v>
      </c>
      <c r="BB574">
        <v>0</v>
      </c>
      <c r="BC574" t="s">
        <v>133</v>
      </c>
      <c r="BD574">
        <v>0</v>
      </c>
      <c r="BE574" t="s">
        <v>133</v>
      </c>
      <c r="BF57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75" spans="1:58" x14ac:dyDescent="0.25">
      <c r="A575" t="s">
        <v>803</v>
      </c>
      <c r="B575" t="s">
        <v>19</v>
      </c>
      <c r="C575">
        <v>1</v>
      </c>
      <c r="D575">
        <v>576</v>
      </c>
      <c r="E575" t="s">
        <v>2109</v>
      </c>
      <c r="F575" t="s">
        <v>123</v>
      </c>
      <c r="G575" t="s">
        <v>124</v>
      </c>
      <c r="H575" t="s">
        <v>125</v>
      </c>
      <c r="I575" t="s">
        <v>183</v>
      </c>
      <c r="J575" t="s">
        <v>140</v>
      </c>
      <c r="K575" t="s">
        <v>166</v>
      </c>
      <c r="L575">
        <v>50</v>
      </c>
      <c r="M575">
        <v>1017589</v>
      </c>
      <c r="N575">
        <v>20</v>
      </c>
      <c r="O575">
        <v>2</v>
      </c>
      <c r="P575" t="s">
        <v>128</v>
      </c>
      <c r="Q575" t="s">
        <v>129</v>
      </c>
      <c r="R575">
        <v>53</v>
      </c>
      <c r="S575" t="s">
        <v>804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50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50</v>
      </c>
      <c r="AI575">
        <v>50</v>
      </c>
      <c r="AJ575">
        <v>50</v>
      </c>
      <c r="AK575">
        <v>50</v>
      </c>
      <c r="AL575">
        <v>0</v>
      </c>
      <c r="AM575">
        <v>0.4</v>
      </c>
      <c r="AN575">
        <v>4.5454545454545459</v>
      </c>
      <c r="AO575">
        <v>0</v>
      </c>
      <c r="AP575" t="s">
        <v>184</v>
      </c>
      <c r="AQ575" t="s">
        <v>155</v>
      </c>
      <c r="AR575" t="s">
        <v>229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 t="s">
        <v>135</v>
      </c>
      <c r="BA575">
        <v>20</v>
      </c>
      <c r="BB575">
        <v>0</v>
      </c>
      <c r="BC575" t="s">
        <v>133</v>
      </c>
      <c r="BD575">
        <v>0</v>
      </c>
      <c r="BE575" t="s">
        <v>133</v>
      </c>
      <c r="BF57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76" spans="1:58" x14ac:dyDescent="0.25">
      <c r="A576" t="s">
        <v>805</v>
      </c>
      <c r="B576" t="s">
        <v>19</v>
      </c>
      <c r="C576">
        <v>1</v>
      </c>
      <c r="D576">
        <v>577</v>
      </c>
      <c r="E576" t="s">
        <v>2109</v>
      </c>
      <c r="F576" t="s">
        <v>123</v>
      </c>
      <c r="G576" t="s">
        <v>124</v>
      </c>
      <c r="H576" t="s">
        <v>125</v>
      </c>
      <c r="I576" t="s">
        <v>154</v>
      </c>
      <c r="J576" t="s">
        <v>154</v>
      </c>
      <c r="K576" t="s">
        <v>151</v>
      </c>
      <c r="L576">
        <v>50</v>
      </c>
      <c r="M576">
        <v>1017591</v>
      </c>
      <c r="N576">
        <v>0</v>
      </c>
      <c r="O576">
        <v>2</v>
      </c>
      <c r="P576" t="s">
        <v>128</v>
      </c>
      <c r="Q576" t="s">
        <v>129</v>
      </c>
      <c r="R576">
        <v>53</v>
      </c>
      <c r="S576" t="s">
        <v>189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50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50</v>
      </c>
      <c r="AJ576">
        <v>50</v>
      </c>
      <c r="AK576">
        <v>50</v>
      </c>
      <c r="AL576">
        <v>50</v>
      </c>
      <c r="AM576">
        <v>0</v>
      </c>
      <c r="AN576">
        <v>4.5454545454545459</v>
      </c>
      <c r="AO576">
        <v>0</v>
      </c>
      <c r="AP576" t="s">
        <v>172</v>
      </c>
      <c r="AQ576" t="s">
        <v>155</v>
      </c>
      <c r="AR576" t="s">
        <v>229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 t="s">
        <v>147</v>
      </c>
      <c r="BA576">
        <v>0</v>
      </c>
      <c r="BB576">
        <v>0</v>
      </c>
      <c r="BC576" t="s">
        <v>133</v>
      </c>
      <c r="BD576">
        <v>1</v>
      </c>
      <c r="BE576" t="s">
        <v>133</v>
      </c>
      <c r="BF57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77" spans="1:58" x14ac:dyDescent="0.25">
      <c r="A577" t="s">
        <v>806</v>
      </c>
      <c r="B577" t="s">
        <v>19</v>
      </c>
      <c r="C577">
        <v>1</v>
      </c>
      <c r="D577">
        <v>578</v>
      </c>
      <c r="E577" t="s">
        <v>2109</v>
      </c>
      <c r="F577" t="s">
        <v>123</v>
      </c>
      <c r="G577" t="s">
        <v>124</v>
      </c>
      <c r="H577" t="s">
        <v>125</v>
      </c>
      <c r="I577" t="s">
        <v>154</v>
      </c>
      <c r="J577" t="s">
        <v>154</v>
      </c>
      <c r="K577" t="s">
        <v>151</v>
      </c>
      <c r="L577">
        <v>50</v>
      </c>
      <c r="M577">
        <v>1017893</v>
      </c>
      <c r="N577">
        <v>0</v>
      </c>
      <c r="O577">
        <v>2</v>
      </c>
      <c r="P577" t="s">
        <v>128</v>
      </c>
      <c r="Q577" t="s">
        <v>129</v>
      </c>
      <c r="R577">
        <v>53</v>
      </c>
      <c r="S577" t="s">
        <v>189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50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50</v>
      </c>
      <c r="AJ577">
        <v>50</v>
      </c>
      <c r="AK577">
        <v>50</v>
      </c>
      <c r="AL577">
        <v>50</v>
      </c>
      <c r="AM577">
        <v>0</v>
      </c>
      <c r="AN577">
        <v>4.5454545454545459</v>
      </c>
      <c r="AO577">
        <v>0</v>
      </c>
      <c r="AP577" t="s">
        <v>172</v>
      </c>
      <c r="AQ577" t="s">
        <v>155</v>
      </c>
      <c r="AR577" t="s">
        <v>229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 t="s">
        <v>147</v>
      </c>
      <c r="BA577">
        <v>0</v>
      </c>
      <c r="BB577">
        <v>0</v>
      </c>
      <c r="BC577" t="s">
        <v>133</v>
      </c>
      <c r="BD577">
        <v>2</v>
      </c>
      <c r="BE577" t="s">
        <v>133</v>
      </c>
      <c r="BF57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78" spans="1:58" x14ac:dyDescent="0.25">
      <c r="A578" t="s">
        <v>807</v>
      </c>
      <c r="B578" t="s">
        <v>19</v>
      </c>
      <c r="C578">
        <v>1</v>
      </c>
      <c r="D578">
        <v>579</v>
      </c>
      <c r="E578" t="s">
        <v>2109</v>
      </c>
      <c r="F578" t="s">
        <v>123</v>
      </c>
      <c r="G578" t="s">
        <v>124</v>
      </c>
      <c r="H578" t="s">
        <v>125</v>
      </c>
      <c r="I578" t="s">
        <v>154</v>
      </c>
      <c r="J578" t="s">
        <v>154</v>
      </c>
      <c r="K578" t="s">
        <v>151</v>
      </c>
      <c r="L578">
        <v>50</v>
      </c>
      <c r="M578">
        <v>1017895</v>
      </c>
      <c r="N578">
        <v>0</v>
      </c>
      <c r="O578">
        <v>2</v>
      </c>
      <c r="P578" t="s">
        <v>128</v>
      </c>
      <c r="Q578" t="s">
        <v>129</v>
      </c>
      <c r="R578">
        <v>53</v>
      </c>
      <c r="S578" t="s">
        <v>189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50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50</v>
      </c>
      <c r="AJ578">
        <v>50</v>
      </c>
      <c r="AK578">
        <v>50</v>
      </c>
      <c r="AL578">
        <v>50</v>
      </c>
      <c r="AM578">
        <v>0</v>
      </c>
      <c r="AN578">
        <v>4.5454545454545459</v>
      </c>
      <c r="AO578">
        <v>0</v>
      </c>
      <c r="AP578" t="s">
        <v>172</v>
      </c>
      <c r="AQ578" t="s">
        <v>155</v>
      </c>
      <c r="AR578" t="s">
        <v>229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 t="s">
        <v>147</v>
      </c>
      <c r="BA578">
        <v>0</v>
      </c>
      <c r="BB578">
        <v>0</v>
      </c>
      <c r="BC578" t="s">
        <v>133</v>
      </c>
      <c r="BD578">
        <v>3</v>
      </c>
      <c r="BE578" t="s">
        <v>133</v>
      </c>
      <c r="BF57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79" spans="1:58" x14ac:dyDescent="0.25">
      <c r="A579" t="s">
        <v>808</v>
      </c>
      <c r="B579" t="s">
        <v>19</v>
      </c>
      <c r="C579">
        <v>1</v>
      </c>
      <c r="D579">
        <v>580</v>
      </c>
      <c r="E579" t="s">
        <v>2109</v>
      </c>
      <c r="F579" t="s">
        <v>123</v>
      </c>
      <c r="G579" t="s">
        <v>124</v>
      </c>
      <c r="H579" t="s">
        <v>125</v>
      </c>
      <c r="I579" t="s">
        <v>154</v>
      </c>
      <c r="J579" t="s">
        <v>154</v>
      </c>
      <c r="K579" t="s">
        <v>151</v>
      </c>
      <c r="L579">
        <v>50</v>
      </c>
      <c r="M579">
        <v>1017897</v>
      </c>
      <c r="N579">
        <v>0</v>
      </c>
      <c r="O579">
        <v>2</v>
      </c>
      <c r="P579" t="s">
        <v>128</v>
      </c>
      <c r="Q579" t="s">
        <v>129</v>
      </c>
      <c r="R579">
        <v>53</v>
      </c>
      <c r="S579" t="s">
        <v>189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50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50</v>
      </c>
      <c r="AJ579">
        <v>50</v>
      </c>
      <c r="AK579">
        <v>50</v>
      </c>
      <c r="AL579">
        <v>50</v>
      </c>
      <c r="AM579">
        <v>0</v>
      </c>
      <c r="AN579">
        <v>4.5454545454545459</v>
      </c>
      <c r="AO579">
        <v>0</v>
      </c>
      <c r="AP579" t="s">
        <v>172</v>
      </c>
      <c r="AQ579" t="s">
        <v>155</v>
      </c>
      <c r="AR579" t="s">
        <v>229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 t="s">
        <v>147</v>
      </c>
      <c r="BA579">
        <v>0</v>
      </c>
      <c r="BB579">
        <v>0</v>
      </c>
      <c r="BC579" t="s">
        <v>133</v>
      </c>
      <c r="BD579">
        <v>4</v>
      </c>
      <c r="BE579" t="s">
        <v>133</v>
      </c>
      <c r="BF57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80" spans="1:58" x14ac:dyDescent="0.25">
      <c r="A580" t="s">
        <v>809</v>
      </c>
      <c r="B580" t="s">
        <v>19</v>
      </c>
      <c r="C580">
        <v>1</v>
      </c>
      <c r="D580">
        <v>581</v>
      </c>
      <c r="E580" t="s">
        <v>2109</v>
      </c>
      <c r="F580" t="s">
        <v>123</v>
      </c>
      <c r="G580" t="s">
        <v>124</v>
      </c>
      <c r="H580" t="s">
        <v>125</v>
      </c>
      <c r="I580" t="s">
        <v>154</v>
      </c>
      <c r="J580" t="s">
        <v>154</v>
      </c>
      <c r="K580" t="s">
        <v>151</v>
      </c>
      <c r="L580">
        <v>50</v>
      </c>
      <c r="M580">
        <v>1017899</v>
      </c>
      <c r="N580">
        <v>0</v>
      </c>
      <c r="O580">
        <v>2</v>
      </c>
      <c r="P580" t="s">
        <v>128</v>
      </c>
      <c r="Q580" t="s">
        <v>129</v>
      </c>
      <c r="R580">
        <v>53</v>
      </c>
      <c r="S580" t="s">
        <v>189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50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50</v>
      </c>
      <c r="AJ580">
        <v>50</v>
      </c>
      <c r="AK580">
        <v>50</v>
      </c>
      <c r="AL580">
        <v>50</v>
      </c>
      <c r="AM580">
        <v>0</v>
      </c>
      <c r="AN580">
        <v>4.5454545454545459</v>
      </c>
      <c r="AO580">
        <v>0</v>
      </c>
      <c r="AP580" t="s">
        <v>172</v>
      </c>
      <c r="AQ580" t="s">
        <v>155</v>
      </c>
      <c r="AR580" t="s">
        <v>229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 t="s">
        <v>147</v>
      </c>
      <c r="BA580">
        <v>0</v>
      </c>
      <c r="BB580">
        <v>0</v>
      </c>
      <c r="BC580" t="s">
        <v>133</v>
      </c>
      <c r="BD580">
        <v>5</v>
      </c>
      <c r="BE580" t="s">
        <v>133</v>
      </c>
      <c r="BF58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81" spans="1:58" x14ac:dyDescent="0.25">
      <c r="A581" t="s">
        <v>810</v>
      </c>
      <c r="B581" t="s">
        <v>19</v>
      </c>
      <c r="C581">
        <v>1</v>
      </c>
      <c r="D581">
        <v>582</v>
      </c>
      <c r="E581" t="s">
        <v>2109</v>
      </c>
      <c r="F581" t="s">
        <v>123</v>
      </c>
      <c r="G581" t="s">
        <v>124</v>
      </c>
      <c r="H581" t="s">
        <v>125</v>
      </c>
      <c r="I581" t="s">
        <v>154</v>
      </c>
      <c r="J581" t="s">
        <v>154</v>
      </c>
      <c r="K581" t="s">
        <v>151</v>
      </c>
      <c r="L581">
        <v>50</v>
      </c>
      <c r="M581">
        <v>1017901</v>
      </c>
      <c r="N581">
        <v>0</v>
      </c>
      <c r="O581">
        <v>2</v>
      </c>
      <c r="P581" t="s">
        <v>128</v>
      </c>
      <c r="Q581" t="s">
        <v>129</v>
      </c>
      <c r="R581">
        <v>53</v>
      </c>
      <c r="S581" t="s">
        <v>189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50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50</v>
      </c>
      <c r="AJ581">
        <v>50</v>
      </c>
      <c r="AK581">
        <v>50</v>
      </c>
      <c r="AL581">
        <v>50</v>
      </c>
      <c r="AM581">
        <v>0</v>
      </c>
      <c r="AN581">
        <v>4.5454545454545459</v>
      </c>
      <c r="AO581">
        <v>0</v>
      </c>
      <c r="AP581" t="s">
        <v>172</v>
      </c>
      <c r="AQ581" t="s">
        <v>155</v>
      </c>
      <c r="AR581" t="s">
        <v>229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 t="s">
        <v>147</v>
      </c>
      <c r="BA581">
        <v>0</v>
      </c>
      <c r="BB581">
        <v>0</v>
      </c>
      <c r="BC581" t="s">
        <v>133</v>
      </c>
      <c r="BD581">
        <v>6</v>
      </c>
      <c r="BE581" t="s">
        <v>133</v>
      </c>
      <c r="BF58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82" spans="1:58" x14ac:dyDescent="0.25">
      <c r="A582" t="s">
        <v>811</v>
      </c>
      <c r="B582" t="s">
        <v>19</v>
      </c>
      <c r="C582">
        <v>1</v>
      </c>
      <c r="D582">
        <v>583</v>
      </c>
      <c r="E582" t="s">
        <v>2109</v>
      </c>
      <c r="F582" t="s">
        <v>123</v>
      </c>
      <c r="G582" t="s">
        <v>124</v>
      </c>
      <c r="H582" t="s">
        <v>125</v>
      </c>
      <c r="I582" t="s">
        <v>154</v>
      </c>
      <c r="J582" t="s">
        <v>154</v>
      </c>
      <c r="K582" t="s">
        <v>151</v>
      </c>
      <c r="L582">
        <v>50</v>
      </c>
      <c r="M582">
        <v>1017903</v>
      </c>
      <c r="N582">
        <v>0</v>
      </c>
      <c r="O582">
        <v>2</v>
      </c>
      <c r="P582" t="s">
        <v>128</v>
      </c>
      <c r="Q582" t="s">
        <v>129</v>
      </c>
      <c r="R582">
        <v>53</v>
      </c>
      <c r="S582" t="s">
        <v>189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50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50</v>
      </c>
      <c r="AJ582">
        <v>50</v>
      </c>
      <c r="AK582">
        <v>50</v>
      </c>
      <c r="AL582">
        <v>50</v>
      </c>
      <c r="AM582">
        <v>0</v>
      </c>
      <c r="AN582">
        <v>4.5454545454545459</v>
      </c>
      <c r="AO582">
        <v>0</v>
      </c>
      <c r="AP582" t="s">
        <v>172</v>
      </c>
      <c r="AQ582" t="s">
        <v>155</v>
      </c>
      <c r="AR582" t="s">
        <v>229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 t="s">
        <v>147</v>
      </c>
      <c r="BA582">
        <v>0</v>
      </c>
      <c r="BB582">
        <v>0</v>
      </c>
      <c r="BC582" t="s">
        <v>144</v>
      </c>
      <c r="BD582">
        <v>7</v>
      </c>
      <c r="BE582" t="s">
        <v>133</v>
      </c>
      <c r="BF58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83" spans="1:58" x14ac:dyDescent="0.25">
      <c r="A583" t="s">
        <v>812</v>
      </c>
      <c r="B583" t="s">
        <v>19</v>
      </c>
      <c r="C583">
        <v>1</v>
      </c>
      <c r="D583">
        <v>584</v>
      </c>
      <c r="E583" t="s">
        <v>2110</v>
      </c>
      <c r="F583" t="s">
        <v>123</v>
      </c>
      <c r="G583" t="s">
        <v>124</v>
      </c>
      <c r="H583" t="s">
        <v>125</v>
      </c>
      <c r="I583" t="s">
        <v>148</v>
      </c>
      <c r="J583" t="s">
        <v>157</v>
      </c>
      <c r="K583" t="s">
        <v>127</v>
      </c>
      <c r="L583">
        <v>50</v>
      </c>
      <c r="M583">
        <v>1017905</v>
      </c>
      <c r="N583">
        <v>6</v>
      </c>
      <c r="O583">
        <v>2</v>
      </c>
      <c r="P583" t="s">
        <v>128</v>
      </c>
      <c r="Q583" t="s">
        <v>129</v>
      </c>
      <c r="R583">
        <v>54</v>
      </c>
      <c r="S583" t="s">
        <v>813</v>
      </c>
      <c r="T583">
        <v>0</v>
      </c>
      <c r="U583">
        <v>16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16</v>
      </c>
      <c r="AB583">
        <v>50</v>
      </c>
      <c r="AC583">
        <v>54</v>
      </c>
      <c r="AD583">
        <v>0</v>
      </c>
      <c r="AE583">
        <v>0</v>
      </c>
      <c r="AF583">
        <v>54</v>
      </c>
      <c r="AG583">
        <v>0</v>
      </c>
      <c r="AH583">
        <v>-4</v>
      </c>
      <c r="AI583">
        <v>-4</v>
      </c>
      <c r="AJ583">
        <v>-4</v>
      </c>
      <c r="AK583">
        <v>-4</v>
      </c>
      <c r="AL583">
        <v>0</v>
      </c>
      <c r="AM583">
        <v>0.12</v>
      </c>
      <c r="AN583">
        <v>-0.36363636363636365</v>
      </c>
      <c r="AO583">
        <v>0</v>
      </c>
      <c r="AP583" t="s">
        <v>150</v>
      </c>
      <c r="AQ583" t="s">
        <v>131</v>
      </c>
      <c r="AR583" t="s">
        <v>523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 t="s">
        <v>147</v>
      </c>
      <c r="BA583">
        <v>6</v>
      </c>
      <c r="BB583">
        <v>0</v>
      </c>
      <c r="BC583" t="s">
        <v>132</v>
      </c>
      <c r="BD583">
        <v>0</v>
      </c>
      <c r="BE583" t="s">
        <v>133</v>
      </c>
      <c r="BF58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84" spans="1:58" x14ac:dyDescent="0.25">
      <c r="A584" t="s">
        <v>814</v>
      </c>
      <c r="B584" t="s">
        <v>19</v>
      </c>
      <c r="C584">
        <v>1</v>
      </c>
      <c r="D584">
        <v>585</v>
      </c>
      <c r="E584" t="s">
        <v>2110</v>
      </c>
      <c r="F584" t="s">
        <v>123</v>
      </c>
      <c r="G584" t="s">
        <v>124</v>
      </c>
      <c r="H584" t="s">
        <v>125</v>
      </c>
      <c r="I584" t="s">
        <v>148</v>
      </c>
      <c r="J584" t="s">
        <v>157</v>
      </c>
      <c r="K584" t="s">
        <v>127</v>
      </c>
      <c r="L584">
        <v>50</v>
      </c>
      <c r="M584">
        <v>1017907</v>
      </c>
      <c r="N584">
        <v>6</v>
      </c>
      <c r="O584">
        <v>2</v>
      </c>
      <c r="P584" t="s">
        <v>128</v>
      </c>
      <c r="Q584" t="s">
        <v>129</v>
      </c>
      <c r="R584">
        <v>54</v>
      </c>
      <c r="S584" t="s">
        <v>813</v>
      </c>
      <c r="T584">
        <v>0</v>
      </c>
      <c r="U584">
        <v>12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12</v>
      </c>
      <c r="AB584">
        <v>50</v>
      </c>
      <c r="AC584">
        <v>34</v>
      </c>
      <c r="AD584">
        <v>0</v>
      </c>
      <c r="AE584">
        <v>0</v>
      </c>
      <c r="AF584">
        <v>34</v>
      </c>
      <c r="AG584">
        <v>0</v>
      </c>
      <c r="AH584">
        <v>16</v>
      </c>
      <c r="AI584">
        <v>16</v>
      </c>
      <c r="AJ584">
        <v>16</v>
      </c>
      <c r="AK584">
        <v>16</v>
      </c>
      <c r="AL584">
        <v>0</v>
      </c>
      <c r="AM584">
        <v>0.12</v>
      </c>
      <c r="AN584">
        <v>1.4545454545454546</v>
      </c>
      <c r="AO584">
        <v>0</v>
      </c>
      <c r="AP584" t="s">
        <v>150</v>
      </c>
      <c r="AQ584" t="s">
        <v>131</v>
      </c>
      <c r="AR584" t="s">
        <v>523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 t="s">
        <v>147</v>
      </c>
      <c r="BA584">
        <v>6</v>
      </c>
      <c r="BB584">
        <v>0</v>
      </c>
      <c r="BC584" t="s">
        <v>133</v>
      </c>
      <c r="BD584">
        <v>0</v>
      </c>
      <c r="BE584" t="s">
        <v>133</v>
      </c>
      <c r="BF58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85" spans="1:58" x14ac:dyDescent="0.25">
      <c r="A585" t="s">
        <v>815</v>
      </c>
      <c r="B585" t="s">
        <v>19</v>
      </c>
      <c r="C585">
        <v>1</v>
      </c>
      <c r="D585">
        <v>586</v>
      </c>
      <c r="E585" t="s">
        <v>2110</v>
      </c>
      <c r="F585" t="s">
        <v>123</v>
      </c>
      <c r="G585" t="s">
        <v>124</v>
      </c>
      <c r="H585" t="s">
        <v>125</v>
      </c>
      <c r="I585" t="s">
        <v>148</v>
      </c>
      <c r="J585" t="s">
        <v>157</v>
      </c>
      <c r="K585" t="s">
        <v>127</v>
      </c>
      <c r="L585">
        <v>50</v>
      </c>
      <c r="M585">
        <v>1017909</v>
      </c>
      <c r="N585">
        <v>6</v>
      </c>
      <c r="O585">
        <v>2</v>
      </c>
      <c r="P585" t="s">
        <v>128</v>
      </c>
      <c r="Q585" t="s">
        <v>129</v>
      </c>
      <c r="R585">
        <v>54</v>
      </c>
      <c r="S585" t="s">
        <v>813</v>
      </c>
      <c r="T585">
        <v>0</v>
      </c>
      <c r="U585">
        <v>6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6</v>
      </c>
      <c r="AB585">
        <v>50</v>
      </c>
      <c r="AC585">
        <v>24</v>
      </c>
      <c r="AD585">
        <v>0</v>
      </c>
      <c r="AE585">
        <v>0</v>
      </c>
      <c r="AF585">
        <v>24</v>
      </c>
      <c r="AG585">
        <v>0</v>
      </c>
      <c r="AH585">
        <v>26</v>
      </c>
      <c r="AI585">
        <v>26</v>
      </c>
      <c r="AJ585">
        <v>26</v>
      </c>
      <c r="AK585">
        <v>26</v>
      </c>
      <c r="AL585">
        <v>0</v>
      </c>
      <c r="AM585">
        <v>0.12</v>
      </c>
      <c r="AN585">
        <v>2.3636363636363638</v>
      </c>
      <c r="AO585">
        <v>0</v>
      </c>
      <c r="AP585" t="s">
        <v>150</v>
      </c>
      <c r="AQ585" t="s">
        <v>131</v>
      </c>
      <c r="AR585" t="s">
        <v>523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 t="s">
        <v>147</v>
      </c>
      <c r="BA585">
        <v>6</v>
      </c>
      <c r="BB585">
        <v>0</v>
      </c>
      <c r="BC585" t="s">
        <v>133</v>
      </c>
      <c r="BD585">
        <v>0</v>
      </c>
      <c r="BE585" t="s">
        <v>133</v>
      </c>
      <c r="BF58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86" spans="1:58" x14ac:dyDescent="0.25">
      <c r="A586" t="s">
        <v>816</v>
      </c>
      <c r="B586" t="s">
        <v>19</v>
      </c>
      <c r="C586">
        <v>1</v>
      </c>
      <c r="D586">
        <v>587</v>
      </c>
      <c r="E586" t="s">
        <v>2110</v>
      </c>
      <c r="F586" t="s">
        <v>123</v>
      </c>
      <c r="G586" t="s">
        <v>124</v>
      </c>
      <c r="H586" t="s">
        <v>125</v>
      </c>
      <c r="I586" t="s">
        <v>148</v>
      </c>
      <c r="J586" t="s">
        <v>157</v>
      </c>
      <c r="K586" t="s">
        <v>127</v>
      </c>
      <c r="L586">
        <v>50</v>
      </c>
      <c r="M586">
        <v>1017911</v>
      </c>
      <c r="N586">
        <v>6</v>
      </c>
      <c r="O586">
        <v>2</v>
      </c>
      <c r="P586" t="s">
        <v>128</v>
      </c>
      <c r="Q586" t="s">
        <v>129</v>
      </c>
      <c r="R586">
        <v>54</v>
      </c>
      <c r="S586" t="s">
        <v>813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50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50</v>
      </c>
      <c r="AI586">
        <v>50</v>
      </c>
      <c r="AJ586">
        <v>50</v>
      </c>
      <c r="AK586">
        <v>50</v>
      </c>
      <c r="AL586">
        <v>0</v>
      </c>
      <c r="AM586">
        <v>0.12</v>
      </c>
      <c r="AN586">
        <v>4.5454545454545459</v>
      </c>
      <c r="AO586">
        <v>0</v>
      </c>
      <c r="AP586" t="s">
        <v>150</v>
      </c>
      <c r="AQ586" t="s">
        <v>155</v>
      </c>
      <c r="AR586" t="s">
        <v>523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 t="s">
        <v>147</v>
      </c>
      <c r="BA586">
        <v>6</v>
      </c>
      <c r="BB586">
        <v>0</v>
      </c>
      <c r="BC586" t="s">
        <v>133</v>
      </c>
      <c r="BD586">
        <v>1</v>
      </c>
      <c r="BE586" t="s">
        <v>133</v>
      </c>
      <c r="BF58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87" spans="1:58" x14ac:dyDescent="0.25">
      <c r="A587" t="s">
        <v>817</v>
      </c>
      <c r="B587" t="s">
        <v>19</v>
      </c>
      <c r="C587">
        <v>1</v>
      </c>
      <c r="D587">
        <v>588</v>
      </c>
      <c r="E587" t="s">
        <v>2110</v>
      </c>
      <c r="F587" t="s">
        <v>123</v>
      </c>
      <c r="G587" t="s">
        <v>124</v>
      </c>
      <c r="H587" t="s">
        <v>125</v>
      </c>
      <c r="I587" t="s">
        <v>148</v>
      </c>
      <c r="J587" t="s">
        <v>157</v>
      </c>
      <c r="K587" t="s">
        <v>127</v>
      </c>
      <c r="L587">
        <v>50</v>
      </c>
      <c r="M587">
        <v>1017913</v>
      </c>
      <c r="N587">
        <v>6</v>
      </c>
      <c r="O587">
        <v>2</v>
      </c>
      <c r="P587" t="s">
        <v>128</v>
      </c>
      <c r="Q587" t="s">
        <v>129</v>
      </c>
      <c r="R587">
        <v>54</v>
      </c>
      <c r="S587" t="s">
        <v>813</v>
      </c>
      <c r="T587">
        <v>0</v>
      </c>
      <c r="U587">
        <v>1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1</v>
      </c>
      <c r="AB587">
        <v>50</v>
      </c>
      <c r="AC587">
        <v>1</v>
      </c>
      <c r="AD587">
        <v>0</v>
      </c>
      <c r="AE587">
        <v>0</v>
      </c>
      <c r="AF587">
        <v>1</v>
      </c>
      <c r="AG587">
        <v>0</v>
      </c>
      <c r="AH587">
        <v>49</v>
      </c>
      <c r="AI587">
        <v>49</v>
      </c>
      <c r="AJ587">
        <v>49</v>
      </c>
      <c r="AK587">
        <v>49</v>
      </c>
      <c r="AL587">
        <v>0</v>
      </c>
      <c r="AM587">
        <v>0.12</v>
      </c>
      <c r="AN587">
        <v>4.454545454545455</v>
      </c>
      <c r="AO587">
        <v>0</v>
      </c>
      <c r="AP587" t="s">
        <v>150</v>
      </c>
      <c r="AQ587" t="s">
        <v>131</v>
      </c>
      <c r="AR587" t="s">
        <v>523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 t="s">
        <v>147</v>
      </c>
      <c r="BA587">
        <v>6</v>
      </c>
      <c r="BB587">
        <v>0</v>
      </c>
      <c r="BC587" t="s">
        <v>133</v>
      </c>
      <c r="BD587">
        <v>0</v>
      </c>
      <c r="BE587" t="s">
        <v>133</v>
      </c>
      <c r="BF58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88" spans="1:58" x14ac:dyDescent="0.25">
      <c r="A588" t="s">
        <v>818</v>
      </c>
      <c r="B588" t="s">
        <v>19</v>
      </c>
      <c r="C588">
        <v>1</v>
      </c>
      <c r="D588">
        <v>589</v>
      </c>
      <c r="E588" t="s">
        <v>2110</v>
      </c>
      <c r="F588" t="s">
        <v>123</v>
      </c>
      <c r="G588" t="s">
        <v>124</v>
      </c>
      <c r="H588" t="s">
        <v>125</v>
      </c>
      <c r="I588" t="s">
        <v>148</v>
      </c>
      <c r="J588" t="s">
        <v>157</v>
      </c>
      <c r="K588" t="s">
        <v>127</v>
      </c>
      <c r="L588">
        <v>50</v>
      </c>
      <c r="M588">
        <v>1017915</v>
      </c>
      <c r="N588">
        <v>6</v>
      </c>
      <c r="O588">
        <v>2</v>
      </c>
      <c r="P588" t="s">
        <v>128</v>
      </c>
      <c r="Q588" t="s">
        <v>129</v>
      </c>
      <c r="R588">
        <v>54</v>
      </c>
      <c r="S588" t="s">
        <v>813</v>
      </c>
      <c r="T588">
        <v>0</v>
      </c>
      <c r="U588">
        <v>1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1</v>
      </c>
      <c r="AB588">
        <v>50</v>
      </c>
      <c r="AC588">
        <v>1</v>
      </c>
      <c r="AD588">
        <v>0</v>
      </c>
      <c r="AE588">
        <v>0</v>
      </c>
      <c r="AF588">
        <v>1</v>
      </c>
      <c r="AG588">
        <v>0</v>
      </c>
      <c r="AH588">
        <v>49</v>
      </c>
      <c r="AI588">
        <v>49</v>
      </c>
      <c r="AJ588">
        <v>49</v>
      </c>
      <c r="AK588">
        <v>49</v>
      </c>
      <c r="AL588">
        <v>0</v>
      </c>
      <c r="AM588">
        <v>0.12</v>
      </c>
      <c r="AN588">
        <v>4.454545454545455</v>
      </c>
      <c r="AO588">
        <v>0</v>
      </c>
      <c r="AP588" t="s">
        <v>150</v>
      </c>
      <c r="AQ588" t="s">
        <v>131</v>
      </c>
      <c r="AR588" t="s">
        <v>523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 t="s">
        <v>147</v>
      </c>
      <c r="BA588">
        <v>6</v>
      </c>
      <c r="BB588">
        <v>0</v>
      </c>
      <c r="BC588" t="s">
        <v>133</v>
      </c>
      <c r="BD588">
        <v>0</v>
      </c>
      <c r="BE588" t="s">
        <v>133</v>
      </c>
      <c r="BF58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89" spans="1:58" x14ac:dyDescent="0.25">
      <c r="A589" t="s">
        <v>819</v>
      </c>
      <c r="B589" t="s">
        <v>19</v>
      </c>
      <c r="C589">
        <v>1</v>
      </c>
      <c r="D589">
        <v>590</v>
      </c>
      <c r="E589" t="s">
        <v>2110</v>
      </c>
      <c r="F589" t="s">
        <v>123</v>
      </c>
      <c r="G589" t="s">
        <v>124</v>
      </c>
      <c r="H589" t="s">
        <v>125</v>
      </c>
      <c r="I589" t="s">
        <v>148</v>
      </c>
      <c r="J589" t="s">
        <v>157</v>
      </c>
      <c r="K589" t="s">
        <v>127</v>
      </c>
      <c r="L589">
        <v>50</v>
      </c>
      <c r="M589">
        <v>1017917</v>
      </c>
      <c r="N589">
        <v>6</v>
      </c>
      <c r="O589">
        <v>2</v>
      </c>
      <c r="P589" t="s">
        <v>128</v>
      </c>
      <c r="Q589" t="s">
        <v>129</v>
      </c>
      <c r="R589">
        <v>54</v>
      </c>
      <c r="S589" t="s">
        <v>813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50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50</v>
      </c>
      <c r="AI589">
        <v>50</v>
      </c>
      <c r="AJ589">
        <v>50</v>
      </c>
      <c r="AK589">
        <v>50</v>
      </c>
      <c r="AL589">
        <v>0</v>
      </c>
      <c r="AM589">
        <v>0.12</v>
      </c>
      <c r="AN589">
        <v>4.5454545454545459</v>
      </c>
      <c r="AO589">
        <v>0</v>
      </c>
      <c r="AP589" t="s">
        <v>150</v>
      </c>
      <c r="AQ589" t="s">
        <v>155</v>
      </c>
      <c r="AR589" t="s">
        <v>523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 t="s">
        <v>147</v>
      </c>
      <c r="BA589">
        <v>6</v>
      </c>
      <c r="BB589">
        <v>0</v>
      </c>
      <c r="BC589" t="s">
        <v>133</v>
      </c>
      <c r="BD589">
        <v>1</v>
      </c>
      <c r="BE589" t="s">
        <v>133</v>
      </c>
      <c r="BF58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90" spans="1:58" x14ac:dyDescent="0.25">
      <c r="A590" t="s">
        <v>820</v>
      </c>
      <c r="B590" t="s">
        <v>19</v>
      </c>
      <c r="C590">
        <v>1</v>
      </c>
      <c r="D590">
        <v>591</v>
      </c>
      <c r="E590" t="s">
        <v>2110</v>
      </c>
      <c r="F590" t="s">
        <v>123</v>
      </c>
      <c r="G590" t="s">
        <v>124</v>
      </c>
      <c r="H590" t="s">
        <v>125</v>
      </c>
      <c r="I590" t="s">
        <v>148</v>
      </c>
      <c r="J590" t="s">
        <v>157</v>
      </c>
      <c r="K590" t="s">
        <v>127</v>
      </c>
      <c r="L590">
        <v>50</v>
      </c>
      <c r="M590">
        <v>1017919</v>
      </c>
      <c r="N590">
        <v>6</v>
      </c>
      <c r="O590">
        <v>2</v>
      </c>
      <c r="P590" t="s">
        <v>128</v>
      </c>
      <c r="Q590" t="s">
        <v>129</v>
      </c>
      <c r="R590">
        <v>54</v>
      </c>
      <c r="S590" t="s">
        <v>813</v>
      </c>
      <c r="T590">
        <v>0</v>
      </c>
      <c r="U590">
        <v>8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8</v>
      </c>
      <c r="AB590">
        <v>50</v>
      </c>
      <c r="AC590">
        <v>26</v>
      </c>
      <c r="AD590">
        <v>0</v>
      </c>
      <c r="AE590">
        <v>0</v>
      </c>
      <c r="AF590">
        <v>26</v>
      </c>
      <c r="AG590">
        <v>0</v>
      </c>
      <c r="AH590">
        <v>24</v>
      </c>
      <c r="AI590">
        <v>24</v>
      </c>
      <c r="AJ590">
        <v>24</v>
      </c>
      <c r="AK590">
        <v>24</v>
      </c>
      <c r="AL590">
        <v>0</v>
      </c>
      <c r="AM590">
        <v>0.12</v>
      </c>
      <c r="AN590">
        <v>2.1818181818181817</v>
      </c>
      <c r="AO590">
        <v>0</v>
      </c>
      <c r="AP590" t="s">
        <v>150</v>
      </c>
      <c r="AQ590" t="s">
        <v>131</v>
      </c>
      <c r="AR590" t="s">
        <v>523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 t="s">
        <v>147</v>
      </c>
      <c r="BA590">
        <v>6</v>
      </c>
      <c r="BB590">
        <v>0</v>
      </c>
      <c r="BC590" t="s">
        <v>133</v>
      </c>
      <c r="BD590">
        <v>0</v>
      </c>
      <c r="BE590" t="s">
        <v>133</v>
      </c>
      <c r="BF59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91" spans="1:58" x14ac:dyDescent="0.25">
      <c r="A591" t="s">
        <v>821</v>
      </c>
      <c r="B591" t="s">
        <v>19</v>
      </c>
      <c r="C591">
        <v>1</v>
      </c>
      <c r="D591">
        <v>592</v>
      </c>
      <c r="E591" t="s">
        <v>2110</v>
      </c>
      <c r="F591" t="s">
        <v>123</v>
      </c>
      <c r="G591" t="s">
        <v>124</v>
      </c>
      <c r="H591" t="s">
        <v>125</v>
      </c>
      <c r="I591" t="s">
        <v>148</v>
      </c>
      <c r="J591" t="s">
        <v>157</v>
      </c>
      <c r="K591" t="s">
        <v>127</v>
      </c>
      <c r="L591">
        <v>50</v>
      </c>
      <c r="M591">
        <v>1017921</v>
      </c>
      <c r="N591">
        <v>6</v>
      </c>
      <c r="O591">
        <v>2</v>
      </c>
      <c r="P591" t="s">
        <v>128</v>
      </c>
      <c r="Q591" t="s">
        <v>129</v>
      </c>
      <c r="R591">
        <v>54</v>
      </c>
      <c r="S591" t="s">
        <v>813</v>
      </c>
      <c r="T591">
        <v>0</v>
      </c>
      <c r="U591">
        <v>6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6</v>
      </c>
      <c r="AB591">
        <v>50</v>
      </c>
      <c r="AC591">
        <v>10</v>
      </c>
      <c r="AD591">
        <v>0</v>
      </c>
      <c r="AE591">
        <v>0</v>
      </c>
      <c r="AF591">
        <v>10</v>
      </c>
      <c r="AG591">
        <v>0</v>
      </c>
      <c r="AH591">
        <v>40</v>
      </c>
      <c r="AI591">
        <v>40</v>
      </c>
      <c r="AJ591">
        <v>40</v>
      </c>
      <c r="AK591">
        <v>40</v>
      </c>
      <c r="AL591">
        <v>0</v>
      </c>
      <c r="AM591">
        <v>0.12</v>
      </c>
      <c r="AN591">
        <v>3.6363636363636367</v>
      </c>
      <c r="AO591">
        <v>0</v>
      </c>
      <c r="AP591" t="s">
        <v>150</v>
      </c>
      <c r="AQ591" t="s">
        <v>131</v>
      </c>
      <c r="AR591" t="s">
        <v>523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 t="s">
        <v>147</v>
      </c>
      <c r="BA591">
        <v>6</v>
      </c>
      <c r="BB591">
        <v>0</v>
      </c>
      <c r="BC591" t="s">
        <v>133</v>
      </c>
      <c r="BD591">
        <v>0</v>
      </c>
      <c r="BE591" t="s">
        <v>133</v>
      </c>
      <c r="BF59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92" spans="1:58" x14ac:dyDescent="0.25">
      <c r="A592" t="s">
        <v>822</v>
      </c>
      <c r="B592" t="s">
        <v>19</v>
      </c>
      <c r="C592">
        <v>1</v>
      </c>
      <c r="D592">
        <v>593</v>
      </c>
      <c r="E592" t="s">
        <v>2110</v>
      </c>
      <c r="F592" t="s">
        <v>123</v>
      </c>
      <c r="G592" t="s">
        <v>124</v>
      </c>
      <c r="H592" t="s">
        <v>125</v>
      </c>
      <c r="I592" t="s">
        <v>148</v>
      </c>
      <c r="J592" t="s">
        <v>157</v>
      </c>
      <c r="K592" t="s">
        <v>127</v>
      </c>
      <c r="L592">
        <v>50</v>
      </c>
      <c r="M592">
        <v>1017923</v>
      </c>
      <c r="N592">
        <v>6</v>
      </c>
      <c r="O592">
        <v>2</v>
      </c>
      <c r="P592" t="s">
        <v>128</v>
      </c>
      <c r="Q592" t="s">
        <v>129</v>
      </c>
      <c r="R592">
        <v>54</v>
      </c>
      <c r="S592" t="s">
        <v>813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50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50</v>
      </c>
      <c r="AI592">
        <v>50</v>
      </c>
      <c r="AJ592">
        <v>50</v>
      </c>
      <c r="AK592">
        <v>50</v>
      </c>
      <c r="AL592">
        <v>0</v>
      </c>
      <c r="AM592">
        <v>0.12</v>
      </c>
      <c r="AN592">
        <v>4.5454545454545459</v>
      </c>
      <c r="AO592">
        <v>0</v>
      </c>
      <c r="AP592" t="s">
        <v>150</v>
      </c>
      <c r="AQ592" t="s">
        <v>155</v>
      </c>
      <c r="AR592" t="s">
        <v>523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 t="s">
        <v>147</v>
      </c>
      <c r="BA592">
        <v>6</v>
      </c>
      <c r="BB592">
        <v>0</v>
      </c>
      <c r="BC592" t="s">
        <v>133</v>
      </c>
      <c r="BD592">
        <v>1</v>
      </c>
      <c r="BE592" t="s">
        <v>133</v>
      </c>
      <c r="BF59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93" spans="1:58" x14ac:dyDescent="0.25">
      <c r="A593" t="s">
        <v>823</v>
      </c>
      <c r="B593" t="s">
        <v>19</v>
      </c>
      <c r="C593">
        <v>1</v>
      </c>
      <c r="D593">
        <v>594</v>
      </c>
      <c r="E593" t="s">
        <v>2110</v>
      </c>
      <c r="F593" t="s">
        <v>123</v>
      </c>
      <c r="G593" t="s">
        <v>124</v>
      </c>
      <c r="H593" t="s">
        <v>125</v>
      </c>
      <c r="I593" t="s">
        <v>148</v>
      </c>
      <c r="J593" t="s">
        <v>157</v>
      </c>
      <c r="K593" t="s">
        <v>127</v>
      </c>
      <c r="L593">
        <v>50</v>
      </c>
      <c r="M593">
        <v>1017925</v>
      </c>
      <c r="N593">
        <v>6</v>
      </c>
      <c r="O593">
        <v>2</v>
      </c>
      <c r="P593" t="s">
        <v>128</v>
      </c>
      <c r="Q593" t="s">
        <v>129</v>
      </c>
      <c r="R593">
        <v>54</v>
      </c>
      <c r="S593" t="s">
        <v>813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50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50</v>
      </c>
      <c r="AI593">
        <v>50</v>
      </c>
      <c r="AJ593">
        <v>50</v>
      </c>
      <c r="AK593">
        <v>50</v>
      </c>
      <c r="AL593">
        <v>0</v>
      </c>
      <c r="AM593">
        <v>0.12</v>
      </c>
      <c r="AN593">
        <v>4.5454545454545459</v>
      </c>
      <c r="AO593">
        <v>0</v>
      </c>
      <c r="AP593" t="s">
        <v>150</v>
      </c>
      <c r="AQ593" t="s">
        <v>155</v>
      </c>
      <c r="AR593" t="s">
        <v>523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 t="s">
        <v>147</v>
      </c>
      <c r="BA593">
        <v>6</v>
      </c>
      <c r="BB593">
        <v>0</v>
      </c>
      <c r="BC593" t="s">
        <v>144</v>
      </c>
      <c r="BD593">
        <v>2</v>
      </c>
      <c r="BE593" t="s">
        <v>133</v>
      </c>
      <c r="BF59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594" spans="1:58" x14ac:dyDescent="0.25">
      <c r="A594" t="s">
        <v>824</v>
      </c>
      <c r="B594" t="s">
        <v>19</v>
      </c>
      <c r="C594">
        <v>1</v>
      </c>
      <c r="D594">
        <v>595</v>
      </c>
      <c r="E594" t="s">
        <v>2110</v>
      </c>
      <c r="F594" t="s">
        <v>123</v>
      </c>
      <c r="G594" t="s">
        <v>124</v>
      </c>
      <c r="H594" t="s">
        <v>125</v>
      </c>
      <c r="I594" t="s">
        <v>137</v>
      </c>
      <c r="J594" t="s">
        <v>146</v>
      </c>
      <c r="K594" t="s">
        <v>127</v>
      </c>
      <c r="L594">
        <v>50</v>
      </c>
      <c r="M594">
        <v>1017829</v>
      </c>
      <c r="N594">
        <v>6</v>
      </c>
      <c r="O594">
        <v>2</v>
      </c>
      <c r="P594" t="s">
        <v>128</v>
      </c>
      <c r="Q594" t="s">
        <v>129</v>
      </c>
      <c r="R594">
        <v>55</v>
      </c>
      <c r="T594">
        <v>0</v>
      </c>
      <c r="U594">
        <v>8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8</v>
      </c>
      <c r="AB594">
        <v>50</v>
      </c>
      <c r="AC594">
        <v>8</v>
      </c>
      <c r="AD594">
        <v>0</v>
      </c>
      <c r="AE594">
        <v>0</v>
      </c>
      <c r="AF594">
        <v>8</v>
      </c>
      <c r="AG594">
        <v>0</v>
      </c>
      <c r="AH594">
        <v>42</v>
      </c>
      <c r="AI594">
        <v>42</v>
      </c>
      <c r="AJ594">
        <v>42</v>
      </c>
      <c r="AK594">
        <v>42</v>
      </c>
      <c r="AL594">
        <v>0</v>
      </c>
      <c r="AM594">
        <v>0.12</v>
      </c>
      <c r="AN594">
        <v>3.8181818181818183</v>
      </c>
      <c r="AO594">
        <v>0</v>
      </c>
      <c r="AP594" t="s">
        <v>139</v>
      </c>
      <c r="AQ594" t="s">
        <v>131</v>
      </c>
      <c r="AR594" t="s">
        <v>523</v>
      </c>
      <c r="AS594">
        <v>405</v>
      </c>
      <c r="AT594">
        <v>382</v>
      </c>
      <c r="AU594">
        <v>0</v>
      </c>
      <c r="AV594">
        <v>0</v>
      </c>
      <c r="AW594">
        <v>0.78700000000000003</v>
      </c>
      <c r="AX594">
        <v>9.8375000000000004E-2</v>
      </c>
      <c r="AY594">
        <v>0.78700000000000003</v>
      </c>
      <c r="AZ594" t="s">
        <v>135</v>
      </c>
      <c r="BA594">
        <v>5.2130000000000001</v>
      </c>
      <c r="BB594">
        <v>52.991105463786532</v>
      </c>
      <c r="BC594" t="s">
        <v>132</v>
      </c>
      <c r="BD594">
        <v>0</v>
      </c>
      <c r="BE594" t="s">
        <v>133</v>
      </c>
      <c r="BF59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0.78700000000000003</v>
      </c>
    </row>
    <row r="595" spans="1:58" x14ac:dyDescent="0.25">
      <c r="A595" t="s">
        <v>825</v>
      </c>
      <c r="B595" t="s">
        <v>19</v>
      </c>
      <c r="C595">
        <v>1</v>
      </c>
      <c r="D595">
        <v>596</v>
      </c>
      <c r="E595" t="s">
        <v>2110</v>
      </c>
      <c r="F595" t="s">
        <v>123</v>
      </c>
      <c r="G595" t="s">
        <v>124</v>
      </c>
      <c r="H595" t="s">
        <v>125</v>
      </c>
      <c r="I595" t="s">
        <v>126</v>
      </c>
      <c r="J595" t="s">
        <v>126</v>
      </c>
      <c r="K595" t="s">
        <v>127</v>
      </c>
      <c r="L595">
        <v>50</v>
      </c>
      <c r="M595">
        <v>1017831</v>
      </c>
      <c r="N595">
        <v>6</v>
      </c>
      <c r="O595">
        <v>2</v>
      </c>
      <c r="P595" t="s">
        <v>128</v>
      </c>
      <c r="Q595" t="s">
        <v>129</v>
      </c>
      <c r="R595">
        <v>55</v>
      </c>
      <c r="T595">
        <v>0</v>
      </c>
      <c r="U595">
        <v>5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5</v>
      </c>
      <c r="AB595">
        <v>50</v>
      </c>
      <c r="AC595">
        <v>5</v>
      </c>
      <c r="AD595">
        <v>0</v>
      </c>
      <c r="AE595">
        <v>0</v>
      </c>
      <c r="AF595">
        <v>5</v>
      </c>
      <c r="AG595">
        <v>0</v>
      </c>
      <c r="AH595">
        <v>45</v>
      </c>
      <c r="AI595">
        <v>45</v>
      </c>
      <c r="AJ595">
        <v>45</v>
      </c>
      <c r="AK595">
        <v>45</v>
      </c>
      <c r="AL595">
        <v>0</v>
      </c>
      <c r="AM595">
        <v>0.12</v>
      </c>
      <c r="AN595">
        <v>4.0909090909090908</v>
      </c>
      <c r="AO595">
        <v>0</v>
      </c>
      <c r="AP595" t="s">
        <v>130</v>
      </c>
      <c r="AQ595" t="s">
        <v>131</v>
      </c>
      <c r="AR595" t="s">
        <v>523</v>
      </c>
      <c r="AS595">
        <v>202</v>
      </c>
      <c r="AT595">
        <v>170</v>
      </c>
      <c r="AU595">
        <v>0</v>
      </c>
      <c r="AV595">
        <v>0</v>
      </c>
      <c r="AW595">
        <v>0.372</v>
      </c>
      <c r="AX595">
        <v>7.4399999999999994E-2</v>
      </c>
      <c r="AY595">
        <v>0.372</v>
      </c>
      <c r="AZ595" t="s">
        <v>135</v>
      </c>
      <c r="BA595">
        <v>5.6280000000000001</v>
      </c>
      <c r="BB595">
        <v>75.645161290322591</v>
      </c>
      <c r="BC595" t="s">
        <v>133</v>
      </c>
      <c r="BD595">
        <v>1</v>
      </c>
      <c r="BE595" t="s">
        <v>133</v>
      </c>
      <c r="BF59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0.372</v>
      </c>
    </row>
    <row r="596" spans="1:58" x14ac:dyDescent="0.25">
      <c r="A596" t="s">
        <v>826</v>
      </c>
      <c r="B596" t="s">
        <v>19</v>
      </c>
      <c r="C596">
        <v>1</v>
      </c>
      <c r="D596">
        <v>597</v>
      </c>
      <c r="E596" t="s">
        <v>2110</v>
      </c>
      <c r="F596" t="s">
        <v>123</v>
      </c>
      <c r="G596" t="s">
        <v>124</v>
      </c>
      <c r="H596" t="s">
        <v>125</v>
      </c>
      <c r="I596" t="s">
        <v>126</v>
      </c>
      <c r="J596" t="s">
        <v>126</v>
      </c>
      <c r="K596" t="s">
        <v>127</v>
      </c>
      <c r="L596">
        <v>50</v>
      </c>
      <c r="M596">
        <v>1017833</v>
      </c>
      <c r="N596">
        <v>6</v>
      </c>
      <c r="O596">
        <v>2</v>
      </c>
      <c r="P596" t="s">
        <v>128</v>
      </c>
      <c r="Q596" t="s">
        <v>129</v>
      </c>
      <c r="R596">
        <v>55</v>
      </c>
      <c r="T596">
        <v>5</v>
      </c>
      <c r="U596">
        <v>10</v>
      </c>
      <c r="V596">
        <v>3</v>
      </c>
      <c r="W596">
        <v>0</v>
      </c>
      <c r="X596">
        <v>3</v>
      </c>
      <c r="Y596">
        <v>0</v>
      </c>
      <c r="Z596">
        <v>8</v>
      </c>
      <c r="AA596">
        <v>13</v>
      </c>
      <c r="AB596">
        <v>50</v>
      </c>
      <c r="AC596">
        <v>12</v>
      </c>
      <c r="AD596">
        <v>4</v>
      </c>
      <c r="AE596">
        <v>0</v>
      </c>
      <c r="AF596">
        <v>16</v>
      </c>
      <c r="AG596">
        <v>0</v>
      </c>
      <c r="AH596">
        <v>38</v>
      </c>
      <c r="AI596">
        <v>34</v>
      </c>
      <c r="AJ596">
        <v>38</v>
      </c>
      <c r="AK596">
        <v>38</v>
      </c>
      <c r="AL596">
        <v>0</v>
      </c>
      <c r="AM596">
        <v>0.12</v>
      </c>
      <c r="AN596">
        <v>3.4545454545454546</v>
      </c>
      <c r="AO596">
        <v>0</v>
      </c>
      <c r="AP596" t="s">
        <v>130</v>
      </c>
      <c r="AQ596" t="s">
        <v>131</v>
      </c>
      <c r="AR596" t="s">
        <v>523</v>
      </c>
      <c r="AS596">
        <v>943</v>
      </c>
      <c r="AT596">
        <v>976</v>
      </c>
      <c r="AU596">
        <v>0</v>
      </c>
      <c r="AV596">
        <v>0</v>
      </c>
      <c r="AW596">
        <v>1.919</v>
      </c>
      <c r="AX596">
        <v>0.15991666666666668</v>
      </c>
      <c r="AY596">
        <v>2.5586666666666669</v>
      </c>
      <c r="AZ596" t="s">
        <v>135</v>
      </c>
      <c r="BA596">
        <v>3.4413333333333331</v>
      </c>
      <c r="BB596">
        <v>21.51954142782699</v>
      </c>
      <c r="BC596" t="s">
        <v>133</v>
      </c>
      <c r="BD596">
        <v>0</v>
      </c>
      <c r="BE596" t="s">
        <v>133</v>
      </c>
      <c r="BF59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1.919</v>
      </c>
    </row>
    <row r="597" spans="1:58" x14ac:dyDescent="0.25">
      <c r="A597" t="s">
        <v>827</v>
      </c>
      <c r="B597" t="s">
        <v>19</v>
      </c>
      <c r="C597">
        <v>1</v>
      </c>
      <c r="D597">
        <v>598</v>
      </c>
      <c r="E597" t="s">
        <v>2110</v>
      </c>
      <c r="F597" t="s">
        <v>123</v>
      </c>
      <c r="G597" t="s">
        <v>124</v>
      </c>
      <c r="H597" t="s">
        <v>125</v>
      </c>
      <c r="I597" t="s">
        <v>126</v>
      </c>
      <c r="J597" t="s">
        <v>126</v>
      </c>
      <c r="K597" t="s">
        <v>127</v>
      </c>
      <c r="L597">
        <v>50</v>
      </c>
      <c r="M597">
        <v>1017835</v>
      </c>
      <c r="N597">
        <v>6</v>
      </c>
      <c r="O597">
        <v>2</v>
      </c>
      <c r="P597" t="s">
        <v>128</v>
      </c>
      <c r="Q597" t="s">
        <v>129</v>
      </c>
      <c r="R597">
        <v>55</v>
      </c>
      <c r="T597">
        <v>1</v>
      </c>
      <c r="U597">
        <v>6</v>
      </c>
      <c r="V597">
        <v>2</v>
      </c>
      <c r="W597">
        <v>0</v>
      </c>
      <c r="X597">
        <v>2</v>
      </c>
      <c r="Y597">
        <v>1</v>
      </c>
      <c r="Z597">
        <v>4</v>
      </c>
      <c r="AA597">
        <v>9</v>
      </c>
      <c r="AB597">
        <v>50</v>
      </c>
      <c r="AC597">
        <v>7</v>
      </c>
      <c r="AD597">
        <v>3</v>
      </c>
      <c r="AE597">
        <v>2</v>
      </c>
      <c r="AF597">
        <v>12</v>
      </c>
      <c r="AG597">
        <v>0</v>
      </c>
      <c r="AH597">
        <v>43</v>
      </c>
      <c r="AI597">
        <v>38</v>
      </c>
      <c r="AJ597">
        <v>41</v>
      </c>
      <c r="AK597">
        <v>43</v>
      </c>
      <c r="AL597">
        <v>0</v>
      </c>
      <c r="AM597">
        <v>0.12</v>
      </c>
      <c r="AN597">
        <v>3.7272727272727275</v>
      </c>
      <c r="AO597">
        <v>0</v>
      </c>
      <c r="AP597" t="s">
        <v>130</v>
      </c>
      <c r="AQ597" t="s">
        <v>131</v>
      </c>
      <c r="AR597" t="s">
        <v>523</v>
      </c>
      <c r="AS597">
        <v>537</v>
      </c>
      <c r="AT597">
        <v>539</v>
      </c>
      <c r="AU597">
        <v>0</v>
      </c>
      <c r="AV597">
        <v>0</v>
      </c>
      <c r="AW597">
        <v>1.0760000000000001</v>
      </c>
      <c r="AX597">
        <v>0.15371428571428572</v>
      </c>
      <c r="AY597">
        <v>1.8445714285714288</v>
      </c>
      <c r="AZ597" t="s">
        <v>135</v>
      </c>
      <c r="BA597">
        <v>4.1554285714285708</v>
      </c>
      <c r="BB597">
        <v>27.033457249070626</v>
      </c>
      <c r="BC597" t="s">
        <v>133</v>
      </c>
      <c r="BD597">
        <v>0</v>
      </c>
      <c r="BE597" t="s">
        <v>133</v>
      </c>
      <c r="BF59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1.0760000000000001</v>
      </c>
    </row>
    <row r="598" spans="1:58" x14ac:dyDescent="0.25">
      <c r="A598" t="s">
        <v>828</v>
      </c>
      <c r="B598" t="s">
        <v>19</v>
      </c>
      <c r="C598">
        <v>1</v>
      </c>
      <c r="D598">
        <v>599</v>
      </c>
      <c r="E598" t="s">
        <v>2110</v>
      </c>
      <c r="F598" t="s">
        <v>123</v>
      </c>
      <c r="G598" t="s">
        <v>124</v>
      </c>
      <c r="H598" t="s">
        <v>125</v>
      </c>
      <c r="I598" t="s">
        <v>126</v>
      </c>
      <c r="J598" t="s">
        <v>126</v>
      </c>
      <c r="K598" t="s">
        <v>127</v>
      </c>
      <c r="L598">
        <v>50</v>
      </c>
      <c r="M598">
        <v>1017837</v>
      </c>
      <c r="N598">
        <v>6</v>
      </c>
      <c r="O598">
        <v>2</v>
      </c>
      <c r="P598" t="s">
        <v>128</v>
      </c>
      <c r="Q598" t="s">
        <v>129</v>
      </c>
      <c r="R598">
        <v>55</v>
      </c>
      <c r="T598">
        <v>9</v>
      </c>
      <c r="U598">
        <v>14</v>
      </c>
      <c r="V598">
        <v>1</v>
      </c>
      <c r="W598">
        <v>0</v>
      </c>
      <c r="X598">
        <v>1</v>
      </c>
      <c r="Y598">
        <v>1</v>
      </c>
      <c r="Z598">
        <v>11</v>
      </c>
      <c r="AA598">
        <v>16</v>
      </c>
      <c r="AB598">
        <v>50</v>
      </c>
      <c r="AC598">
        <v>15</v>
      </c>
      <c r="AD598">
        <v>2</v>
      </c>
      <c r="AE598">
        <v>2</v>
      </c>
      <c r="AF598">
        <v>19</v>
      </c>
      <c r="AG598">
        <v>0</v>
      </c>
      <c r="AH598">
        <v>35</v>
      </c>
      <c r="AI598">
        <v>31</v>
      </c>
      <c r="AJ598">
        <v>33</v>
      </c>
      <c r="AK598">
        <v>35</v>
      </c>
      <c r="AL598">
        <v>0</v>
      </c>
      <c r="AM598">
        <v>0.12</v>
      </c>
      <c r="AN598">
        <v>3</v>
      </c>
      <c r="AO598">
        <v>0</v>
      </c>
      <c r="AP598" t="s">
        <v>130</v>
      </c>
      <c r="AQ598" t="s">
        <v>131</v>
      </c>
      <c r="AR598" t="s">
        <v>523</v>
      </c>
      <c r="AS598">
        <v>1503</v>
      </c>
      <c r="AT598">
        <v>1590</v>
      </c>
      <c r="AU598">
        <v>0</v>
      </c>
      <c r="AV598">
        <v>0</v>
      </c>
      <c r="AW598">
        <v>3.093</v>
      </c>
      <c r="AX598">
        <v>0.20619999999999999</v>
      </c>
      <c r="AY598">
        <v>3.9177999999999997</v>
      </c>
      <c r="AZ598" t="s">
        <v>135</v>
      </c>
      <c r="BA598">
        <v>2.0822000000000003</v>
      </c>
      <c r="BB598">
        <v>10.097963142580021</v>
      </c>
      <c r="BC598" t="s">
        <v>133</v>
      </c>
      <c r="BD598">
        <v>0</v>
      </c>
      <c r="BE598" t="s">
        <v>133</v>
      </c>
      <c r="BF59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3.093</v>
      </c>
    </row>
    <row r="599" spans="1:58" x14ac:dyDescent="0.25">
      <c r="A599" t="s">
        <v>829</v>
      </c>
      <c r="B599" t="s">
        <v>19</v>
      </c>
      <c r="C599">
        <v>1</v>
      </c>
      <c r="D599">
        <v>600</v>
      </c>
      <c r="E599" t="s">
        <v>2110</v>
      </c>
      <c r="F599" t="s">
        <v>123</v>
      </c>
      <c r="G599" t="s">
        <v>124</v>
      </c>
      <c r="H599" t="s">
        <v>136</v>
      </c>
      <c r="I599" t="s">
        <v>137</v>
      </c>
      <c r="J599" t="s">
        <v>138</v>
      </c>
      <c r="K599" t="s">
        <v>127</v>
      </c>
      <c r="L599">
        <v>50</v>
      </c>
      <c r="M599">
        <v>1017839</v>
      </c>
      <c r="N599">
        <v>5</v>
      </c>
      <c r="O599">
        <v>2</v>
      </c>
      <c r="P599" t="s">
        <v>128</v>
      </c>
      <c r="Q599" t="s">
        <v>129</v>
      </c>
      <c r="R599">
        <v>55</v>
      </c>
      <c r="T599">
        <v>0</v>
      </c>
      <c r="U599">
        <v>4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4</v>
      </c>
      <c r="AB599">
        <v>50</v>
      </c>
      <c r="AC599">
        <v>4</v>
      </c>
      <c r="AD599">
        <v>0</v>
      </c>
      <c r="AE599">
        <v>0</v>
      </c>
      <c r="AF599">
        <v>4</v>
      </c>
      <c r="AG599">
        <v>0</v>
      </c>
      <c r="AH599">
        <v>46</v>
      </c>
      <c r="AI599">
        <v>46</v>
      </c>
      <c r="AJ599">
        <v>46</v>
      </c>
      <c r="AK599">
        <v>46</v>
      </c>
      <c r="AL599">
        <v>0</v>
      </c>
      <c r="AM599">
        <v>0.1</v>
      </c>
      <c r="AN599">
        <v>4.1818181818181817</v>
      </c>
      <c r="AO599">
        <v>0</v>
      </c>
      <c r="AP599" t="s">
        <v>139</v>
      </c>
      <c r="AQ599" t="s">
        <v>131</v>
      </c>
      <c r="AR599" t="s">
        <v>523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 t="s">
        <v>134</v>
      </c>
      <c r="BA599">
        <v>5</v>
      </c>
      <c r="BB599">
        <v>0</v>
      </c>
      <c r="BC599" t="s">
        <v>133</v>
      </c>
      <c r="BD599">
        <v>0</v>
      </c>
      <c r="BE599" t="s">
        <v>133</v>
      </c>
      <c r="BF59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00" spans="1:58" x14ac:dyDescent="0.25">
      <c r="A600" t="s">
        <v>830</v>
      </c>
      <c r="B600" t="s">
        <v>19</v>
      </c>
      <c r="C600">
        <v>1</v>
      </c>
      <c r="D600">
        <v>601</v>
      </c>
      <c r="E600" t="s">
        <v>2110</v>
      </c>
      <c r="F600" t="s">
        <v>123</v>
      </c>
      <c r="G600" t="s">
        <v>124</v>
      </c>
      <c r="H600" t="s">
        <v>125</v>
      </c>
      <c r="I600" t="s">
        <v>126</v>
      </c>
      <c r="J600" t="s">
        <v>126</v>
      </c>
      <c r="K600" t="s">
        <v>127</v>
      </c>
      <c r="L600">
        <v>50</v>
      </c>
      <c r="M600">
        <v>1017841</v>
      </c>
      <c r="N600">
        <v>6</v>
      </c>
      <c r="O600">
        <v>2</v>
      </c>
      <c r="P600" t="s">
        <v>128</v>
      </c>
      <c r="Q600" t="s">
        <v>129</v>
      </c>
      <c r="R600">
        <v>55</v>
      </c>
      <c r="T600">
        <v>5</v>
      </c>
      <c r="U600">
        <v>10</v>
      </c>
      <c r="V600">
        <v>3</v>
      </c>
      <c r="W600">
        <v>0</v>
      </c>
      <c r="X600">
        <v>3</v>
      </c>
      <c r="Y600">
        <v>0</v>
      </c>
      <c r="Z600">
        <v>8</v>
      </c>
      <c r="AA600">
        <v>13</v>
      </c>
      <c r="AB600">
        <v>50</v>
      </c>
      <c r="AC600">
        <v>11</v>
      </c>
      <c r="AD600">
        <v>5</v>
      </c>
      <c r="AE600">
        <v>0</v>
      </c>
      <c r="AF600">
        <v>16</v>
      </c>
      <c r="AG600">
        <v>0</v>
      </c>
      <c r="AH600">
        <v>39</v>
      </c>
      <c r="AI600">
        <v>34</v>
      </c>
      <c r="AJ600">
        <v>39</v>
      </c>
      <c r="AK600">
        <v>39</v>
      </c>
      <c r="AL600">
        <v>0</v>
      </c>
      <c r="AM600">
        <v>0.12</v>
      </c>
      <c r="AN600">
        <v>3.5454545454545454</v>
      </c>
      <c r="AO600">
        <v>0</v>
      </c>
      <c r="AP600" t="s">
        <v>130</v>
      </c>
      <c r="AQ600" t="s">
        <v>131</v>
      </c>
      <c r="AR600" t="s">
        <v>523</v>
      </c>
      <c r="AS600">
        <v>780</v>
      </c>
      <c r="AT600">
        <v>732</v>
      </c>
      <c r="AU600">
        <v>0</v>
      </c>
      <c r="AV600">
        <v>0</v>
      </c>
      <c r="AW600">
        <v>1.512</v>
      </c>
      <c r="AX600">
        <v>0.13745454545454547</v>
      </c>
      <c r="AY600">
        <v>2.1992727272727275</v>
      </c>
      <c r="AZ600" t="s">
        <v>135</v>
      </c>
      <c r="BA600">
        <v>3.8007272727272725</v>
      </c>
      <c r="BB600">
        <v>27.650793650793645</v>
      </c>
      <c r="BC600" t="s">
        <v>133</v>
      </c>
      <c r="BD600">
        <v>0</v>
      </c>
      <c r="BE600" t="s">
        <v>133</v>
      </c>
      <c r="BF60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1.512</v>
      </c>
    </row>
    <row r="601" spans="1:58" x14ac:dyDescent="0.25">
      <c r="A601" t="s">
        <v>831</v>
      </c>
      <c r="B601" t="s">
        <v>19</v>
      </c>
      <c r="C601">
        <v>1</v>
      </c>
      <c r="D601">
        <v>602</v>
      </c>
      <c r="E601" t="s">
        <v>2110</v>
      </c>
      <c r="F601" t="s">
        <v>123</v>
      </c>
      <c r="G601" t="s">
        <v>124</v>
      </c>
      <c r="H601" t="s">
        <v>125</v>
      </c>
      <c r="I601" t="s">
        <v>126</v>
      </c>
      <c r="J601" t="s">
        <v>126</v>
      </c>
      <c r="K601" t="s">
        <v>127</v>
      </c>
      <c r="L601">
        <v>50</v>
      </c>
      <c r="M601">
        <v>1017843</v>
      </c>
      <c r="N601">
        <v>6</v>
      </c>
      <c r="O601">
        <v>2</v>
      </c>
      <c r="P601" t="s">
        <v>128</v>
      </c>
      <c r="Q601" t="s">
        <v>129</v>
      </c>
      <c r="R601">
        <v>55</v>
      </c>
      <c r="T601">
        <v>2</v>
      </c>
      <c r="U601">
        <v>7</v>
      </c>
      <c r="V601">
        <v>4</v>
      </c>
      <c r="W601">
        <v>0</v>
      </c>
      <c r="X601">
        <v>4</v>
      </c>
      <c r="Y601">
        <v>1</v>
      </c>
      <c r="Z601">
        <v>7</v>
      </c>
      <c r="AA601">
        <v>12</v>
      </c>
      <c r="AB601">
        <v>50</v>
      </c>
      <c r="AC601">
        <v>8</v>
      </c>
      <c r="AD601">
        <v>5</v>
      </c>
      <c r="AE601">
        <v>1</v>
      </c>
      <c r="AF601">
        <v>14</v>
      </c>
      <c r="AG601">
        <v>0</v>
      </c>
      <c r="AH601">
        <v>42</v>
      </c>
      <c r="AI601">
        <v>36</v>
      </c>
      <c r="AJ601">
        <v>41</v>
      </c>
      <c r="AK601">
        <v>42</v>
      </c>
      <c r="AL601">
        <v>0</v>
      </c>
      <c r="AM601">
        <v>0.12</v>
      </c>
      <c r="AN601">
        <v>3.7272727272727275</v>
      </c>
      <c r="AO601">
        <v>0</v>
      </c>
      <c r="AP601" t="s">
        <v>130</v>
      </c>
      <c r="AQ601" t="s">
        <v>131</v>
      </c>
      <c r="AR601" t="s">
        <v>523</v>
      </c>
      <c r="AS601">
        <v>908</v>
      </c>
      <c r="AT601">
        <v>887</v>
      </c>
      <c r="AU601">
        <v>0</v>
      </c>
      <c r="AV601">
        <v>0</v>
      </c>
      <c r="AW601">
        <v>1.7949999999999999</v>
      </c>
      <c r="AX601">
        <v>0.22437499999999999</v>
      </c>
      <c r="AY601">
        <v>3.1412499999999999</v>
      </c>
      <c r="AZ601" t="s">
        <v>135</v>
      </c>
      <c r="BA601">
        <v>2.8587500000000001</v>
      </c>
      <c r="BB601">
        <v>12.740947075208915</v>
      </c>
      <c r="BC601" t="s">
        <v>133</v>
      </c>
      <c r="BD601">
        <v>0</v>
      </c>
      <c r="BE601" t="s">
        <v>133</v>
      </c>
      <c r="BF60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1.7949999999999999</v>
      </c>
    </row>
    <row r="602" spans="1:58" x14ac:dyDescent="0.25">
      <c r="A602" t="s">
        <v>832</v>
      </c>
      <c r="B602" t="s">
        <v>19</v>
      </c>
      <c r="C602">
        <v>1</v>
      </c>
      <c r="D602">
        <v>603</v>
      </c>
      <c r="E602" t="s">
        <v>2110</v>
      </c>
      <c r="F602" t="s">
        <v>123</v>
      </c>
      <c r="G602" t="s">
        <v>124</v>
      </c>
      <c r="H602" t="s">
        <v>125</v>
      </c>
      <c r="I602" t="s">
        <v>126</v>
      </c>
      <c r="J602" t="s">
        <v>126</v>
      </c>
      <c r="K602" t="s">
        <v>127</v>
      </c>
      <c r="L602">
        <v>50</v>
      </c>
      <c r="M602">
        <v>1017845</v>
      </c>
      <c r="N602">
        <v>6</v>
      </c>
      <c r="O602">
        <v>2</v>
      </c>
      <c r="P602" t="s">
        <v>128</v>
      </c>
      <c r="Q602" t="s">
        <v>129</v>
      </c>
      <c r="R602">
        <v>55</v>
      </c>
      <c r="T602">
        <v>4</v>
      </c>
      <c r="U602">
        <v>9</v>
      </c>
      <c r="V602">
        <v>1</v>
      </c>
      <c r="W602">
        <v>0</v>
      </c>
      <c r="X602">
        <v>1</v>
      </c>
      <c r="Y602">
        <v>3</v>
      </c>
      <c r="Z602">
        <v>8</v>
      </c>
      <c r="AA602">
        <v>13</v>
      </c>
      <c r="AB602">
        <v>50</v>
      </c>
      <c r="AC602">
        <v>12</v>
      </c>
      <c r="AD602">
        <v>2</v>
      </c>
      <c r="AE602">
        <v>4</v>
      </c>
      <c r="AF602">
        <v>18</v>
      </c>
      <c r="AG602">
        <v>0</v>
      </c>
      <c r="AH602">
        <v>38</v>
      </c>
      <c r="AI602">
        <v>32</v>
      </c>
      <c r="AJ602">
        <v>34</v>
      </c>
      <c r="AK602">
        <v>38</v>
      </c>
      <c r="AL602">
        <v>0</v>
      </c>
      <c r="AM602">
        <v>0.12</v>
      </c>
      <c r="AN602">
        <v>3.0909090909090908</v>
      </c>
      <c r="AO602">
        <v>0</v>
      </c>
      <c r="AP602" t="s">
        <v>130</v>
      </c>
      <c r="AQ602" t="s">
        <v>131</v>
      </c>
      <c r="AR602" t="s">
        <v>523</v>
      </c>
      <c r="AS602">
        <v>812</v>
      </c>
      <c r="AT602">
        <v>785</v>
      </c>
      <c r="AU602">
        <v>0</v>
      </c>
      <c r="AV602">
        <v>0</v>
      </c>
      <c r="AW602">
        <v>1.597</v>
      </c>
      <c r="AX602">
        <v>0.13308333333333333</v>
      </c>
      <c r="AY602">
        <v>2.3955000000000002</v>
      </c>
      <c r="AZ602" t="s">
        <v>135</v>
      </c>
      <c r="BA602">
        <v>3.6044999999999998</v>
      </c>
      <c r="BB602">
        <v>27.084533500313086</v>
      </c>
      <c r="BC602" t="s">
        <v>133</v>
      </c>
      <c r="BD602">
        <v>0</v>
      </c>
      <c r="BE602" t="s">
        <v>133</v>
      </c>
      <c r="BF60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1.597</v>
      </c>
    </row>
    <row r="603" spans="1:58" x14ac:dyDescent="0.25">
      <c r="A603" t="s">
        <v>833</v>
      </c>
      <c r="B603" t="s">
        <v>19</v>
      </c>
      <c r="C603">
        <v>1</v>
      </c>
      <c r="D603">
        <v>604</v>
      </c>
      <c r="E603" t="s">
        <v>2110</v>
      </c>
      <c r="F603" t="s">
        <v>123</v>
      </c>
      <c r="G603" t="s">
        <v>124</v>
      </c>
      <c r="H603" t="s">
        <v>125</v>
      </c>
      <c r="I603" t="s">
        <v>126</v>
      </c>
      <c r="J603" t="s">
        <v>126</v>
      </c>
      <c r="K603" t="s">
        <v>127</v>
      </c>
      <c r="L603">
        <v>50</v>
      </c>
      <c r="M603">
        <v>1017847</v>
      </c>
      <c r="N603">
        <v>6</v>
      </c>
      <c r="O603">
        <v>2</v>
      </c>
      <c r="P603" t="s">
        <v>128</v>
      </c>
      <c r="Q603" t="s">
        <v>129</v>
      </c>
      <c r="R603">
        <v>55</v>
      </c>
      <c r="T603">
        <v>11</v>
      </c>
      <c r="U603">
        <v>16</v>
      </c>
      <c r="V603">
        <v>1</v>
      </c>
      <c r="W603">
        <v>0</v>
      </c>
      <c r="X603">
        <v>1</v>
      </c>
      <c r="Y603">
        <v>1</v>
      </c>
      <c r="Z603">
        <v>13</v>
      </c>
      <c r="AA603">
        <v>18</v>
      </c>
      <c r="AB603">
        <v>50</v>
      </c>
      <c r="AC603">
        <v>20</v>
      </c>
      <c r="AD603">
        <v>1</v>
      </c>
      <c r="AE603">
        <v>2</v>
      </c>
      <c r="AF603">
        <v>23</v>
      </c>
      <c r="AG603">
        <v>0</v>
      </c>
      <c r="AH603">
        <v>30</v>
      </c>
      <c r="AI603">
        <v>27</v>
      </c>
      <c r="AJ603">
        <v>28</v>
      </c>
      <c r="AK603">
        <v>30</v>
      </c>
      <c r="AL603">
        <v>0</v>
      </c>
      <c r="AM603">
        <v>0.12</v>
      </c>
      <c r="AN603">
        <v>2.5454545454545454</v>
      </c>
      <c r="AO603">
        <v>0</v>
      </c>
      <c r="AP603" t="s">
        <v>130</v>
      </c>
      <c r="AQ603" t="s">
        <v>131</v>
      </c>
      <c r="AR603" t="s">
        <v>523</v>
      </c>
      <c r="AS603">
        <v>2232</v>
      </c>
      <c r="AT603">
        <v>1514</v>
      </c>
      <c r="AU603">
        <v>0</v>
      </c>
      <c r="AV603">
        <v>0</v>
      </c>
      <c r="AW603">
        <v>3.746</v>
      </c>
      <c r="AX603">
        <v>0.18729999999999999</v>
      </c>
      <c r="AY603">
        <v>4.3079000000000001</v>
      </c>
      <c r="AZ603" t="s">
        <v>135</v>
      </c>
      <c r="BA603">
        <v>1.6920999999999999</v>
      </c>
      <c r="BB603">
        <v>9.0341697810998394</v>
      </c>
      <c r="BC603" t="s">
        <v>133</v>
      </c>
      <c r="BD603">
        <v>0</v>
      </c>
      <c r="BE603" t="s">
        <v>133</v>
      </c>
      <c r="BF60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3.746</v>
      </c>
    </row>
    <row r="604" spans="1:58" x14ac:dyDescent="0.25">
      <c r="A604" t="s">
        <v>834</v>
      </c>
      <c r="B604" t="s">
        <v>19</v>
      </c>
      <c r="C604">
        <v>1</v>
      </c>
      <c r="D604">
        <v>605</v>
      </c>
      <c r="E604" t="s">
        <v>2110</v>
      </c>
      <c r="F604" t="s">
        <v>123</v>
      </c>
      <c r="G604" t="s">
        <v>124</v>
      </c>
      <c r="H604" t="s">
        <v>125</v>
      </c>
      <c r="I604" t="s">
        <v>126</v>
      </c>
      <c r="J604" t="s">
        <v>126</v>
      </c>
      <c r="K604" t="s">
        <v>127</v>
      </c>
      <c r="L604">
        <v>50</v>
      </c>
      <c r="M604">
        <v>1017849</v>
      </c>
      <c r="N604">
        <v>6</v>
      </c>
      <c r="O604">
        <v>2</v>
      </c>
      <c r="P604" t="s">
        <v>128</v>
      </c>
      <c r="Q604" t="s">
        <v>129</v>
      </c>
      <c r="R604">
        <v>55</v>
      </c>
      <c r="T604">
        <v>3</v>
      </c>
      <c r="U604">
        <v>8</v>
      </c>
      <c r="V604">
        <v>3</v>
      </c>
      <c r="W604">
        <v>0</v>
      </c>
      <c r="X604">
        <v>3</v>
      </c>
      <c r="Y604">
        <v>1</v>
      </c>
      <c r="Z604">
        <v>7</v>
      </c>
      <c r="AA604">
        <v>12</v>
      </c>
      <c r="AB604">
        <v>50</v>
      </c>
      <c r="AC604">
        <v>8</v>
      </c>
      <c r="AD604">
        <v>4</v>
      </c>
      <c r="AE604">
        <v>1</v>
      </c>
      <c r="AF604">
        <v>13</v>
      </c>
      <c r="AG604">
        <v>0</v>
      </c>
      <c r="AH604">
        <v>42</v>
      </c>
      <c r="AI604">
        <v>37</v>
      </c>
      <c r="AJ604">
        <v>41</v>
      </c>
      <c r="AK604">
        <v>42</v>
      </c>
      <c r="AL604">
        <v>0</v>
      </c>
      <c r="AM604">
        <v>0.12</v>
      </c>
      <c r="AN604">
        <v>3.7272727272727275</v>
      </c>
      <c r="AO604">
        <v>0</v>
      </c>
      <c r="AP604" t="s">
        <v>130</v>
      </c>
      <c r="AQ604" t="s">
        <v>131</v>
      </c>
      <c r="AR604" t="s">
        <v>523</v>
      </c>
      <c r="AS604">
        <v>726</v>
      </c>
      <c r="AT604">
        <v>459</v>
      </c>
      <c r="AU604">
        <v>0</v>
      </c>
      <c r="AV604">
        <v>0</v>
      </c>
      <c r="AW604">
        <v>1.1850000000000001</v>
      </c>
      <c r="AX604">
        <v>0.14812500000000001</v>
      </c>
      <c r="AY604">
        <v>1.9256250000000001</v>
      </c>
      <c r="AZ604" t="s">
        <v>135</v>
      </c>
      <c r="BA604">
        <v>4.0743749999999999</v>
      </c>
      <c r="BB604">
        <v>27.50632911392405</v>
      </c>
      <c r="BC604" t="s">
        <v>144</v>
      </c>
      <c r="BD604">
        <v>0</v>
      </c>
      <c r="BE604" t="s">
        <v>133</v>
      </c>
      <c r="BF60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1.1850000000000001</v>
      </c>
    </row>
    <row r="605" spans="1:58" x14ac:dyDescent="0.25">
      <c r="A605" t="s">
        <v>835</v>
      </c>
      <c r="B605" t="s">
        <v>19</v>
      </c>
      <c r="C605">
        <v>1</v>
      </c>
      <c r="D605">
        <v>606</v>
      </c>
      <c r="E605" t="s">
        <v>2110</v>
      </c>
      <c r="F605" t="s">
        <v>123</v>
      </c>
      <c r="G605" t="s">
        <v>124</v>
      </c>
      <c r="H605" t="s">
        <v>125</v>
      </c>
      <c r="I605" t="s">
        <v>140</v>
      </c>
      <c r="J605" t="s">
        <v>141</v>
      </c>
      <c r="K605" t="s">
        <v>127</v>
      </c>
      <c r="L605">
        <v>50</v>
      </c>
      <c r="M605">
        <v>1017851</v>
      </c>
      <c r="N605">
        <v>10</v>
      </c>
      <c r="O605">
        <v>2</v>
      </c>
      <c r="P605" t="s">
        <v>128</v>
      </c>
      <c r="Q605" t="s">
        <v>129</v>
      </c>
      <c r="R605">
        <v>56</v>
      </c>
      <c r="T605">
        <v>32</v>
      </c>
      <c r="U605">
        <v>37</v>
      </c>
      <c r="V605">
        <v>3</v>
      </c>
      <c r="W605">
        <v>0</v>
      </c>
      <c r="X605">
        <v>3</v>
      </c>
      <c r="Y605">
        <v>3</v>
      </c>
      <c r="Z605">
        <v>38</v>
      </c>
      <c r="AA605">
        <v>43</v>
      </c>
      <c r="AB605">
        <v>50</v>
      </c>
      <c r="AC605">
        <v>37</v>
      </c>
      <c r="AD605">
        <v>3</v>
      </c>
      <c r="AE605">
        <v>3</v>
      </c>
      <c r="AF605">
        <v>43</v>
      </c>
      <c r="AG605">
        <v>0</v>
      </c>
      <c r="AH605">
        <v>13</v>
      </c>
      <c r="AI605">
        <v>7</v>
      </c>
      <c r="AJ605">
        <v>10</v>
      </c>
      <c r="AK605">
        <v>13</v>
      </c>
      <c r="AL605">
        <v>0</v>
      </c>
      <c r="AM605">
        <v>0.2</v>
      </c>
      <c r="AN605">
        <v>0.90909090909090917</v>
      </c>
      <c r="AO605">
        <v>0</v>
      </c>
      <c r="AP605" t="s">
        <v>142</v>
      </c>
      <c r="AQ605" t="s">
        <v>131</v>
      </c>
      <c r="AR605" t="s">
        <v>523</v>
      </c>
      <c r="AS605">
        <v>4294</v>
      </c>
      <c r="AT605">
        <v>4360</v>
      </c>
      <c r="AU605">
        <v>0</v>
      </c>
      <c r="AV605">
        <v>0</v>
      </c>
      <c r="AW605">
        <v>8.6539999999999999</v>
      </c>
      <c r="AX605">
        <v>0.23389189189189188</v>
      </c>
      <c r="AY605">
        <v>10.05735135135135</v>
      </c>
      <c r="AZ605" t="s">
        <v>135</v>
      </c>
      <c r="BA605">
        <v>-5.7351351351350388E-2</v>
      </c>
      <c r="BB605">
        <v>-0.24520452969724571</v>
      </c>
      <c r="BC605" t="s">
        <v>132</v>
      </c>
      <c r="BD605">
        <v>0</v>
      </c>
      <c r="BE605" t="s">
        <v>133</v>
      </c>
      <c r="BF60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8.6539999999999999</v>
      </c>
    </row>
    <row r="606" spans="1:58" x14ac:dyDescent="0.25">
      <c r="A606" t="s">
        <v>836</v>
      </c>
      <c r="B606" t="s">
        <v>19</v>
      </c>
      <c r="C606">
        <v>1</v>
      </c>
      <c r="D606">
        <v>607</v>
      </c>
      <c r="E606" t="s">
        <v>2110</v>
      </c>
      <c r="F606" t="s">
        <v>123</v>
      </c>
      <c r="G606" t="s">
        <v>124</v>
      </c>
      <c r="H606" t="s">
        <v>125</v>
      </c>
      <c r="I606" t="s">
        <v>126</v>
      </c>
      <c r="J606" t="s">
        <v>126</v>
      </c>
      <c r="K606" t="s">
        <v>127</v>
      </c>
      <c r="L606">
        <v>50</v>
      </c>
      <c r="M606">
        <v>1017853</v>
      </c>
      <c r="N606">
        <v>6</v>
      </c>
      <c r="O606">
        <v>2</v>
      </c>
      <c r="P606" t="s">
        <v>128</v>
      </c>
      <c r="Q606" t="s">
        <v>129</v>
      </c>
      <c r="R606">
        <v>56</v>
      </c>
      <c r="T606">
        <v>18</v>
      </c>
      <c r="U606">
        <v>23</v>
      </c>
      <c r="V606">
        <v>1</v>
      </c>
      <c r="W606">
        <v>0</v>
      </c>
      <c r="X606">
        <v>1</v>
      </c>
      <c r="Y606">
        <v>1</v>
      </c>
      <c r="Z606">
        <v>20</v>
      </c>
      <c r="AA606">
        <v>25</v>
      </c>
      <c r="AB606">
        <v>50</v>
      </c>
      <c r="AC606">
        <v>29</v>
      </c>
      <c r="AD606">
        <v>1</v>
      </c>
      <c r="AE606">
        <v>2</v>
      </c>
      <c r="AF606">
        <v>32</v>
      </c>
      <c r="AG606">
        <v>0</v>
      </c>
      <c r="AH606">
        <v>21</v>
      </c>
      <c r="AI606">
        <v>18</v>
      </c>
      <c r="AJ606">
        <v>19</v>
      </c>
      <c r="AK606">
        <v>21</v>
      </c>
      <c r="AL606">
        <v>0</v>
      </c>
      <c r="AM606">
        <v>0.12</v>
      </c>
      <c r="AN606">
        <v>1.7272727272727273</v>
      </c>
      <c r="AO606">
        <v>0</v>
      </c>
      <c r="AP606" t="s">
        <v>130</v>
      </c>
      <c r="AQ606" t="s">
        <v>131</v>
      </c>
      <c r="AR606" t="s">
        <v>523</v>
      </c>
      <c r="AS606">
        <v>1940</v>
      </c>
      <c r="AT606">
        <v>1832</v>
      </c>
      <c r="AU606">
        <v>0</v>
      </c>
      <c r="AV606">
        <v>0</v>
      </c>
      <c r="AW606">
        <v>3.7719999999999998</v>
      </c>
      <c r="AX606">
        <v>0.13006896551724137</v>
      </c>
      <c r="AY606">
        <v>4.1622068965517238</v>
      </c>
      <c r="AZ606" t="s">
        <v>135</v>
      </c>
      <c r="BA606">
        <v>1.8377931034482762</v>
      </c>
      <c r="BB606">
        <v>14.129374337221636</v>
      </c>
      <c r="BC606" t="s">
        <v>133</v>
      </c>
      <c r="BD606">
        <v>0</v>
      </c>
      <c r="BE606" t="s">
        <v>133</v>
      </c>
      <c r="BF60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3.7719999999999998</v>
      </c>
    </row>
    <row r="607" spans="1:58" x14ac:dyDescent="0.25">
      <c r="A607" t="s">
        <v>837</v>
      </c>
      <c r="B607" t="s">
        <v>19</v>
      </c>
      <c r="C607">
        <v>1</v>
      </c>
      <c r="D607">
        <v>608</v>
      </c>
      <c r="E607" t="s">
        <v>2110</v>
      </c>
      <c r="F607" t="s">
        <v>123</v>
      </c>
      <c r="G607" t="s">
        <v>124</v>
      </c>
      <c r="H607" t="s">
        <v>125</v>
      </c>
      <c r="I607" t="s">
        <v>126</v>
      </c>
      <c r="J607" t="s">
        <v>126</v>
      </c>
      <c r="K607" t="s">
        <v>127</v>
      </c>
      <c r="L607">
        <v>50</v>
      </c>
      <c r="M607">
        <v>1017855</v>
      </c>
      <c r="N607">
        <v>6</v>
      </c>
      <c r="O607">
        <v>2</v>
      </c>
      <c r="P607" t="s">
        <v>128</v>
      </c>
      <c r="Q607" t="s">
        <v>129</v>
      </c>
      <c r="R607">
        <v>56</v>
      </c>
      <c r="T607">
        <v>16</v>
      </c>
      <c r="U607">
        <v>21</v>
      </c>
      <c r="V607">
        <v>5</v>
      </c>
      <c r="W607">
        <v>0</v>
      </c>
      <c r="X607">
        <v>5</v>
      </c>
      <c r="Y607">
        <v>0</v>
      </c>
      <c r="Z607">
        <v>21</v>
      </c>
      <c r="AA607">
        <v>26</v>
      </c>
      <c r="AB607">
        <v>50</v>
      </c>
      <c r="AC607">
        <v>32</v>
      </c>
      <c r="AD607">
        <v>7</v>
      </c>
      <c r="AE607">
        <v>0</v>
      </c>
      <c r="AF607">
        <v>39</v>
      </c>
      <c r="AG607">
        <v>0</v>
      </c>
      <c r="AH607">
        <v>18</v>
      </c>
      <c r="AI607">
        <v>11</v>
      </c>
      <c r="AJ607">
        <v>18</v>
      </c>
      <c r="AK607">
        <v>18</v>
      </c>
      <c r="AL607">
        <v>0</v>
      </c>
      <c r="AM607">
        <v>0.12</v>
      </c>
      <c r="AN607">
        <v>1.6363636363636365</v>
      </c>
      <c r="AO607">
        <v>0</v>
      </c>
      <c r="AP607" t="s">
        <v>130</v>
      </c>
      <c r="AQ607" t="s">
        <v>131</v>
      </c>
      <c r="AR607" t="s">
        <v>523</v>
      </c>
      <c r="AS607">
        <v>2106</v>
      </c>
      <c r="AT607">
        <v>2310</v>
      </c>
      <c r="AU607">
        <v>0</v>
      </c>
      <c r="AV607">
        <v>0</v>
      </c>
      <c r="AW607">
        <v>4.4160000000000004</v>
      </c>
      <c r="AX607">
        <v>0.13800000000000001</v>
      </c>
      <c r="AY607">
        <v>5.3820000000000006</v>
      </c>
      <c r="AZ607" t="s">
        <v>135</v>
      </c>
      <c r="BA607">
        <v>0.61799999999999944</v>
      </c>
      <c r="BB607">
        <v>4.4782608695652133</v>
      </c>
      <c r="BC607" t="s">
        <v>133</v>
      </c>
      <c r="BD607">
        <v>0</v>
      </c>
      <c r="BE607" t="s">
        <v>133</v>
      </c>
      <c r="BF60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4.4160000000000004</v>
      </c>
    </row>
    <row r="608" spans="1:58" x14ac:dyDescent="0.25">
      <c r="A608" t="s">
        <v>838</v>
      </c>
      <c r="B608" t="s">
        <v>19</v>
      </c>
      <c r="C608">
        <v>1</v>
      </c>
      <c r="D608">
        <v>609</v>
      </c>
      <c r="E608" t="s">
        <v>2110</v>
      </c>
      <c r="F608" t="s">
        <v>123</v>
      </c>
      <c r="G608" t="s">
        <v>124</v>
      </c>
      <c r="H608" t="s">
        <v>125</v>
      </c>
      <c r="I608" t="s">
        <v>126</v>
      </c>
      <c r="J608" t="s">
        <v>126</v>
      </c>
      <c r="K608" t="s">
        <v>127</v>
      </c>
      <c r="L608">
        <v>50</v>
      </c>
      <c r="M608">
        <v>1017857</v>
      </c>
      <c r="N608">
        <v>6</v>
      </c>
      <c r="O608">
        <v>2</v>
      </c>
      <c r="P608" t="s">
        <v>128</v>
      </c>
      <c r="Q608" t="s">
        <v>129</v>
      </c>
      <c r="R608">
        <v>56</v>
      </c>
      <c r="T608">
        <v>10</v>
      </c>
      <c r="U608">
        <v>15</v>
      </c>
      <c r="V608">
        <v>3</v>
      </c>
      <c r="W608">
        <v>0</v>
      </c>
      <c r="X608">
        <v>3</v>
      </c>
      <c r="Y608">
        <v>1</v>
      </c>
      <c r="Z608">
        <v>14</v>
      </c>
      <c r="AA608">
        <v>19</v>
      </c>
      <c r="AB608">
        <v>50</v>
      </c>
      <c r="AC608">
        <v>17</v>
      </c>
      <c r="AD608">
        <v>6</v>
      </c>
      <c r="AE608">
        <v>2</v>
      </c>
      <c r="AF608">
        <v>25</v>
      </c>
      <c r="AG608">
        <v>0</v>
      </c>
      <c r="AH608">
        <v>33</v>
      </c>
      <c r="AI608">
        <v>25</v>
      </c>
      <c r="AJ608">
        <v>31</v>
      </c>
      <c r="AK608">
        <v>33</v>
      </c>
      <c r="AL608">
        <v>0</v>
      </c>
      <c r="AM608">
        <v>0.12</v>
      </c>
      <c r="AN608">
        <v>2.8181818181818183</v>
      </c>
      <c r="AO608">
        <v>0</v>
      </c>
      <c r="AP608" t="s">
        <v>130</v>
      </c>
      <c r="AQ608" t="s">
        <v>131</v>
      </c>
      <c r="AR608" t="s">
        <v>523</v>
      </c>
      <c r="AS608">
        <v>1627</v>
      </c>
      <c r="AT608">
        <v>1602</v>
      </c>
      <c r="AU608">
        <v>0</v>
      </c>
      <c r="AV608">
        <v>0</v>
      </c>
      <c r="AW608">
        <v>3.2290000000000001</v>
      </c>
      <c r="AX608">
        <v>0.18994117647058825</v>
      </c>
      <c r="AY608">
        <v>4.7485294117647063</v>
      </c>
      <c r="AZ608" t="s">
        <v>135</v>
      </c>
      <c r="BA608">
        <v>1.2514705882352937</v>
      </c>
      <c r="BB608">
        <v>6.5887271601114863</v>
      </c>
      <c r="BC608" t="s">
        <v>133</v>
      </c>
      <c r="BD608">
        <v>0</v>
      </c>
      <c r="BE608" t="s">
        <v>133</v>
      </c>
      <c r="BF60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3.2290000000000001</v>
      </c>
    </row>
    <row r="609" spans="1:58" x14ac:dyDescent="0.25">
      <c r="A609" t="s">
        <v>839</v>
      </c>
      <c r="B609" t="s">
        <v>19</v>
      </c>
      <c r="C609">
        <v>1</v>
      </c>
      <c r="D609">
        <v>610</v>
      </c>
      <c r="E609" t="s">
        <v>2110</v>
      </c>
      <c r="F609" t="s">
        <v>123</v>
      </c>
      <c r="G609" t="s">
        <v>124</v>
      </c>
      <c r="H609" t="s">
        <v>125</v>
      </c>
      <c r="I609" t="s">
        <v>126</v>
      </c>
      <c r="J609" t="s">
        <v>126</v>
      </c>
      <c r="K609" t="s">
        <v>127</v>
      </c>
      <c r="L609">
        <v>50</v>
      </c>
      <c r="M609">
        <v>1017859</v>
      </c>
      <c r="N609">
        <v>6</v>
      </c>
      <c r="O609">
        <v>2</v>
      </c>
      <c r="P609" t="s">
        <v>128</v>
      </c>
      <c r="Q609" t="s">
        <v>129</v>
      </c>
      <c r="R609">
        <v>56</v>
      </c>
      <c r="T609">
        <v>9</v>
      </c>
      <c r="U609">
        <v>14</v>
      </c>
      <c r="V609">
        <v>4</v>
      </c>
      <c r="W609">
        <v>0</v>
      </c>
      <c r="X609">
        <v>4</v>
      </c>
      <c r="Y609">
        <v>3</v>
      </c>
      <c r="Z609">
        <v>16</v>
      </c>
      <c r="AA609">
        <v>21</v>
      </c>
      <c r="AB609">
        <v>50</v>
      </c>
      <c r="AC609">
        <v>15</v>
      </c>
      <c r="AD609">
        <v>5</v>
      </c>
      <c r="AE609">
        <v>4</v>
      </c>
      <c r="AF609">
        <v>24</v>
      </c>
      <c r="AG609">
        <v>0</v>
      </c>
      <c r="AH609">
        <v>35</v>
      </c>
      <c r="AI609">
        <v>26</v>
      </c>
      <c r="AJ609">
        <v>31</v>
      </c>
      <c r="AK609">
        <v>35</v>
      </c>
      <c r="AL609">
        <v>0</v>
      </c>
      <c r="AM609">
        <v>0.12</v>
      </c>
      <c r="AN609">
        <v>2.8181818181818183</v>
      </c>
      <c r="AO609">
        <v>0</v>
      </c>
      <c r="AP609" t="s">
        <v>130</v>
      </c>
      <c r="AQ609" t="s">
        <v>131</v>
      </c>
      <c r="AR609" t="s">
        <v>523</v>
      </c>
      <c r="AS609">
        <v>1702</v>
      </c>
      <c r="AT609">
        <v>1618</v>
      </c>
      <c r="AU609">
        <v>0</v>
      </c>
      <c r="AV609">
        <v>0</v>
      </c>
      <c r="AW609">
        <v>3.32</v>
      </c>
      <c r="AX609">
        <v>0.22133333333333333</v>
      </c>
      <c r="AY609">
        <v>5.3119999999999994</v>
      </c>
      <c r="AZ609" t="s">
        <v>135</v>
      </c>
      <c r="BA609">
        <v>0.68800000000000061</v>
      </c>
      <c r="BB609">
        <v>3.1084337349397617</v>
      </c>
      <c r="BC609" t="s">
        <v>133</v>
      </c>
      <c r="BD609">
        <v>0</v>
      </c>
      <c r="BE609" t="s">
        <v>133</v>
      </c>
      <c r="BF60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3.32</v>
      </c>
    </row>
    <row r="610" spans="1:58" x14ac:dyDescent="0.25">
      <c r="A610" t="s">
        <v>840</v>
      </c>
      <c r="B610" t="s">
        <v>19</v>
      </c>
      <c r="C610">
        <v>1</v>
      </c>
      <c r="D610">
        <v>611</v>
      </c>
      <c r="E610" t="s">
        <v>2110</v>
      </c>
      <c r="F610" t="s">
        <v>123</v>
      </c>
      <c r="G610" t="s">
        <v>124</v>
      </c>
      <c r="H610" t="s">
        <v>136</v>
      </c>
      <c r="I610" t="s">
        <v>137</v>
      </c>
      <c r="J610" t="s">
        <v>138</v>
      </c>
      <c r="K610" t="s">
        <v>127</v>
      </c>
      <c r="L610">
        <v>50</v>
      </c>
      <c r="M610">
        <v>1017861</v>
      </c>
      <c r="N610">
        <v>5</v>
      </c>
      <c r="O610">
        <v>2</v>
      </c>
      <c r="P610" t="s">
        <v>128</v>
      </c>
      <c r="Q610" t="s">
        <v>129</v>
      </c>
      <c r="R610">
        <v>56</v>
      </c>
      <c r="T610">
        <v>0</v>
      </c>
      <c r="U610">
        <v>4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4</v>
      </c>
      <c r="AB610">
        <v>50</v>
      </c>
      <c r="AC610">
        <v>4</v>
      </c>
      <c r="AD610">
        <v>0</v>
      </c>
      <c r="AE610">
        <v>0</v>
      </c>
      <c r="AF610">
        <v>4</v>
      </c>
      <c r="AG610">
        <v>0</v>
      </c>
      <c r="AH610">
        <v>46</v>
      </c>
      <c r="AI610">
        <v>46</v>
      </c>
      <c r="AJ610">
        <v>46</v>
      </c>
      <c r="AK610">
        <v>46</v>
      </c>
      <c r="AL610">
        <v>0</v>
      </c>
      <c r="AM610">
        <v>0.1</v>
      </c>
      <c r="AN610">
        <v>4.1818181818181817</v>
      </c>
      <c r="AO610">
        <v>0</v>
      </c>
      <c r="AP610" t="s">
        <v>139</v>
      </c>
      <c r="AQ610" t="s">
        <v>131</v>
      </c>
      <c r="AR610" t="s">
        <v>523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 t="s">
        <v>134</v>
      </c>
      <c r="BA610">
        <v>5</v>
      </c>
      <c r="BB610">
        <v>0</v>
      </c>
      <c r="BC610" t="s">
        <v>133</v>
      </c>
      <c r="BD610">
        <v>0</v>
      </c>
      <c r="BE610" t="s">
        <v>133</v>
      </c>
      <c r="BF61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11" spans="1:58" x14ac:dyDescent="0.25">
      <c r="A611" t="s">
        <v>841</v>
      </c>
      <c r="B611" t="s">
        <v>19</v>
      </c>
      <c r="C611">
        <v>1</v>
      </c>
      <c r="D611">
        <v>612</v>
      </c>
      <c r="E611" t="s">
        <v>2110</v>
      </c>
      <c r="F611" t="s">
        <v>123</v>
      </c>
      <c r="G611" t="s">
        <v>124</v>
      </c>
      <c r="H611" t="s">
        <v>125</v>
      </c>
      <c r="I611" t="s">
        <v>126</v>
      </c>
      <c r="J611" t="s">
        <v>126</v>
      </c>
      <c r="K611" t="s">
        <v>127</v>
      </c>
      <c r="L611">
        <v>50</v>
      </c>
      <c r="M611">
        <v>1017863</v>
      </c>
      <c r="N611">
        <v>6</v>
      </c>
      <c r="O611">
        <v>2</v>
      </c>
      <c r="P611" t="s">
        <v>128</v>
      </c>
      <c r="Q611" t="s">
        <v>129</v>
      </c>
      <c r="R611">
        <v>56</v>
      </c>
      <c r="T611">
        <v>16</v>
      </c>
      <c r="U611">
        <v>21</v>
      </c>
      <c r="V611">
        <v>2</v>
      </c>
      <c r="W611">
        <v>0</v>
      </c>
      <c r="X611">
        <v>2</v>
      </c>
      <c r="Y611">
        <v>3</v>
      </c>
      <c r="Z611">
        <v>21</v>
      </c>
      <c r="AA611">
        <v>26</v>
      </c>
      <c r="AB611">
        <v>50</v>
      </c>
      <c r="AC611">
        <v>22</v>
      </c>
      <c r="AD611">
        <v>5</v>
      </c>
      <c r="AE611">
        <v>4</v>
      </c>
      <c r="AF611">
        <v>31</v>
      </c>
      <c r="AG611">
        <v>0</v>
      </c>
      <c r="AH611">
        <v>28</v>
      </c>
      <c r="AI611">
        <v>19</v>
      </c>
      <c r="AJ611">
        <v>24</v>
      </c>
      <c r="AK611">
        <v>28</v>
      </c>
      <c r="AL611">
        <v>0</v>
      </c>
      <c r="AM611">
        <v>0.12</v>
      </c>
      <c r="AN611">
        <v>2.1818181818181817</v>
      </c>
      <c r="AO611">
        <v>0</v>
      </c>
      <c r="AP611" t="s">
        <v>130</v>
      </c>
      <c r="AQ611" t="s">
        <v>131</v>
      </c>
      <c r="AR611" t="s">
        <v>523</v>
      </c>
      <c r="AS611">
        <v>3092</v>
      </c>
      <c r="AT611">
        <v>2579</v>
      </c>
      <c r="AU611">
        <v>0</v>
      </c>
      <c r="AV611">
        <v>0</v>
      </c>
      <c r="AW611">
        <v>5.6710000000000003</v>
      </c>
      <c r="AX611">
        <v>0.25777272727272726</v>
      </c>
      <c r="AY611">
        <v>7.990954545454545</v>
      </c>
      <c r="AZ611" t="s">
        <v>135</v>
      </c>
      <c r="BA611">
        <v>-1.990954545454545</v>
      </c>
      <c r="BB611">
        <v>-7.723681890319166</v>
      </c>
      <c r="BC611" t="s">
        <v>133</v>
      </c>
      <c r="BD611">
        <v>0</v>
      </c>
      <c r="BE611" t="s">
        <v>133</v>
      </c>
      <c r="BF61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5.6710000000000003</v>
      </c>
    </row>
    <row r="612" spans="1:58" x14ac:dyDescent="0.25">
      <c r="A612" t="s">
        <v>842</v>
      </c>
      <c r="B612" t="s">
        <v>19</v>
      </c>
      <c r="C612">
        <v>1</v>
      </c>
      <c r="D612">
        <v>613</v>
      </c>
      <c r="E612" t="s">
        <v>2110</v>
      </c>
      <c r="F612" t="s">
        <v>123</v>
      </c>
      <c r="G612" t="s">
        <v>124</v>
      </c>
      <c r="H612" t="s">
        <v>125</v>
      </c>
      <c r="I612" t="s">
        <v>126</v>
      </c>
      <c r="J612" t="s">
        <v>126</v>
      </c>
      <c r="K612" t="s">
        <v>127</v>
      </c>
      <c r="L612">
        <v>50</v>
      </c>
      <c r="M612">
        <v>1017865</v>
      </c>
      <c r="N612">
        <v>6</v>
      </c>
      <c r="O612">
        <v>2</v>
      </c>
      <c r="P612" t="s">
        <v>128</v>
      </c>
      <c r="Q612" t="s">
        <v>129</v>
      </c>
      <c r="R612">
        <v>56</v>
      </c>
      <c r="T612">
        <v>12</v>
      </c>
      <c r="U612">
        <v>17</v>
      </c>
      <c r="V612">
        <v>2</v>
      </c>
      <c r="W612">
        <v>0</v>
      </c>
      <c r="X612">
        <v>2</v>
      </c>
      <c r="Y612">
        <v>3</v>
      </c>
      <c r="Z612">
        <v>17</v>
      </c>
      <c r="AA612">
        <v>22</v>
      </c>
      <c r="AB612">
        <v>50</v>
      </c>
      <c r="AC612">
        <v>18</v>
      </c>
      <c r="AD612">
        <v>2</v>
      </c>
      <c r="AE612">
        <v>4</v>
      </c>
      <c r="AF612">
        <v>24</v>
      </c>
      <c r="AG612">
        <v>0</v>
      </c>
      <c r="AH612">
        <v>32</v>
      </c>
      <c r="AI612">
        <v>26</v>
      </c>
      <c r="AJ612">
        <v>28</v>
      </c>
      <c r="AK612">
        <v>32</v>
      </c>
      <c r="AL612">
        <v>0</v>
      </c>
      <c r="AM612">
        <v>0.12</v>
      </c>
      <c r="AN612">
        <v>2.5454545454545454</v>
      </c>
      <c r="AO612">
        <v>0</v>
      </c>
      <c r="AP612" t="s">
        <v>130</v>
      </c>
      <c r="AQ612" t="s">
        <v>131</v>
      </c>
      <c r="AR612" t="s">
        <v>523</v>
      </c>
      <c r="AS612">
        <v>1446</v>
      </c>
      <c r="AT612">
        <v>1522</v>
      </c>
      <c r="AU612">
        <v>0</v>
      </c>
      <c r="AV612">
        <v>0</v>
      </c>
      <c r="AW612">
        <v>2.968</v>
      </c>
      <c r="AX612">
        <v>0.16488888888888889</v>
      </c>
      <c r="AY612">
        <v>3.9573333333333336</v>
      </c>
      <c r="AZ612" t="s">
        <v>135</v>
      </c>
      <c r="BA612">
        <v>2.0426666666666664</v>
      </c>
      <c r="BB612">
        <v>12.388140161725065</v>
      </c>
      <c r="BC612" t="s">
        <v>133</v>
      </c>
      <c r="BD612">
        <v>0</v>
      </c>
      <c r="BE612" t="s">
        <v>133</v>
      </c>
      <c r="BF61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2.968</v>
      </c>
    </row>
    <row r="613" spans="1:58" x14ac:dyDescent="0.25">
      <c r="A613" t="s">
        <v>843</v>
      </c>
      <c r="B613" t="s">
        <v>19</v>
      </c>
      <c r="C613">
        <v>1</v>
      </c>
      <c r="D613">
        <v>614</v>
      </c>
      <c r="E613" t="s">
        <v>2110</v>
      </c>
      <c r="F613" t="s">
        <v>123</v>
      </c>
      <c r="G613" t="s">
        <v>124</v>
      </c>
      <c r="H613" t="s">
        <v>125</v>
      </c>
      <c r="I613" t="s">
        <v>126</v>
      </c>
      <c r="J613" t="s">
        <v>126</v>
      </c>
      <c r="K613" t="s">
        <v>127</v>
      </c>
      <c r="L613">
        <v>50</v>
      </c>
      <c r="M613">
        <v>1017867</v>
      </c>
      <c r="N613">
        <v>6</v>
      </c>
      <c r="O613">
        <v>2</v>
      </c>
      <c r="P613" t="s">
        <v>128</v>
      </c>
      <c r="Q613" t="s">
        <v>129</v>
      </c>
      <c r="R613">
        <v>56</v>
      </c>
      <c r="T613">
        <v>9</v>
      </c>
      <c r="U613">
        <v>14</v>
      </c>
      <c r="V613">
        <v>10</v>
      </c>
      <c r="W613">
        <v>0</v>
      </c>
      <c r="X613">
        <v>10</v>
      </c>
      <c r="Y613">
        <v>1</v>
      </c>
      <c r="Z613">
        <v>20</v>
      </c>
      <c r="AA613">
        <v>25</v>
      </c>
      <c r="AB613">
        <v>50</v>
      </c>
      <c r="AC613">
        <v>15</v>
      </c>
      <c r="AD613">
        <v>14</v>
      </c>
      <c r="AE613">
        <v>1</v>
      </c>
      <c r="AF613">
        <v>30</v>
      </c>
      <c r="AG613">
        <v>0</v>
      </c>
      <c r="AH613">
        <v>35</v>
      </c>
      <c r="AI613">
        <v>20</v>
      </c>
      <c r="AJ613">
        <v>34</v>
      </c>
      <c r="AK613">
        <v>35</v>
      </c>
      <c r="AL613">
        <v>0</v>
      </c>
      <c r="AM613">
        <v>0.12</v>
      </c>
      <c r="AN613">
        <v>3.0909090909090908</v>
      </c>
      <c r="AO613">
        <v>0</v>
      </c>
      <c r="AP613" t="s">
        <v>130</v>
      </c>
      <c r="AQ613" t="s">
        <v>131</v>
      </c>
      <c r="AR613" t="s">
        <v>523</v>
      </c>
      <c r="AS613">
        <v>1790</v>
      </c>
      <c r="AT613">
        <v>2128</v>
      </c>
      <c r="AU613">
        <v>0</v>
      </c>
      <c r="AV613">
        <v>0</v>
      </c>
      <c r="AW613">
        <v>3.9180000000000001</v>
      </c>
      <c r="AX613">
        <v>0.26119999999999999</v>
      </c>
      <c r="AY613">
        <v>7.8359999999999994</v>
      </c>
      <c r="AZ613" t="s">
        <v>135</v>
      </c>
      <c r="BA613">
        <v>-1.8359999999999994</v>
      </c>
      <c r="BB613">
        <v>-7.0290964777947913</v>
      </c>
      <c r="BC613" t="s">
        <v>133</v>
      </c>
      <c r="BD613">
        <v>0</v>
      </c>
      <c r="BE613" t="s">
        <v>133</v>
      </c>
      <c r="BF61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3.9180000000000001</v>
      </c>
    </row>
    <row r="614" spans="1:58" x14ac:dyDescent="0.25">
      <c r="A614" t="s">
        <v>844</v>
      </c>
      <c r="B614" t="s">
        <v>19</v>
      </c>
      <c r="C614">
        <v>1</v>
      </c>
      <c r="D614">
        <v>615</v>
      </c>
      <c r="E614" t="s">
        <v>2110</v>
      </c>
      <c r="F614" t="s">
        <v>123</v>
      </c>
      <c r="G614" t="s">
        <v>124</v>
      </c>
      <c r="H614" t="s">
        <v>125</v>
      </c>
      <c r="I614" t="s">
        <v>126</v>
      </c>
      <c r="J614" t="s">
        <v>126</v>
      </c>
      <c r="K614" t="s">
        <v>127</v>
      </c>
      <c r="L614">
        <v>50</v>
      </c>
      <c r="M614">
        <v>1017869</v>
      </c>
      <c r="N614">
        <v>6</v>
      </c>
      <c r="O614">
        <v>2</v>
      </c>
      <c r="P614" t="s">
        <v>128</v>
      </c>
      <c r="Q614" t="s">
        <v>129</v>
      </c>
      <c r="R614">
        <v>56</v>
      </c>
      <c r="T614">
        <v>9</v>
      </c>
      <c r="U614">
        <v>14</v>
      </c>
      <c r="V614">
        <v>7</v>
      </c>
      <c r="W614">
        <v>0</v>
      </c>
      <c r="X614">
        <v>7</v>
      </c>
      <c r="Y614">
        <v>1</v>
      </c>
      <c r="Z614">
        <v>17</v>
      </c>
      <c r="AA614">
        <v>22</v>
      </c>
      <c r="AB614">
        <v>50</v>
      </c>
      <c r="AC614">
        <v>18</v>
      </c>
      <c r="AD614">
        <v>10</v>
      </c>
      <c r="AE614">
        <v>2</v>
      </c>
      <c r="AF614">
        <v>30</v>
      </c>
      <c r="AG614">
        <v>0</v>
      </c>
      <c r="AH614">
        <v>32</v>
      </c>
      <c r="AI614">
        <v>20</v>
      </c>
      <c r="AJ614">
        <v>30</v>
      </c>
      <c r="AK614">
        <v>32</v>
      </c>
      <c r="AL614">
        <v>0</v>
      </c>
      <c r="AM614">
        <v>0.12</v>
      </c>
      <c r="AN614">
        <v>2.7272727272727275</v>
      </c>
      <c r="AO614">
        <v>0</v>
      </c>
      <c r="AP614" t="s">
        <v>130</v>
      </c>
      <c r="AQ614" t="s">
        <v>131</v>
      </c>
      <c r="AR614" t="s">
        <v>523</v>
      </c>
      <c r="AS614">
        <v>1862</v>
      </c>
      <c r="AT614">
        <v>1799</v>
      </c>
      <c r="AU614">
        <v>0</v>
      </c>
      <c r="AV614">
        <v>0</v>
      </c>
      <c r="AW614">
        <v>3.661</v>
      </c>
      <c r="AX614">
        <v>0.2033888888888889</v>
      </c>
      <c r="AY614">
        <v>6.1016666666666666</v>
      </c>
      <c r="AZ614" t="s">
        <v>135</v>
      </c>
      <c r="BA614">
        <v>-0.10166666666666657</v>
      </c>
      <c r="BB614">
        <v>-0.49986342529363514</v>
      </c>
      <c r="BC614" t="s">
        <v>133</v>
      </c>
      <c r="BD614">
        <v>0</v>
      </c>
      <c r="BE614" t="s">
        <v>133</v>
      </c>
      <c r="BF61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3.661</v>
      </c>
    </row>
    <row r="615" spans="1:58" x14ac:dyDescent="0.25">
      <c r="A615" t="s">
        <v>845</v>
      </c>
      <c r="B615" t="s">
        <v>19</v>
      </c>
      <c r="C615">
        <v>1</v>
      </c>
      <c r="D615">
        <v>616</v>
      </c>
      <c r="E615" t="s">
        <v>2110</v>
      </c>
      <c r="F615" t="s">
        <v>123</v>
      </c>
      <c r="G615" t="s">
        <v>124</v>
      </c>
      <c r="H615" t="s">
        <v>125</v>
      </c>
      <c r="I615" t="s">
        <v>126</v>
      </c>
      <c r="J615" t="s">
        <v>126</v>
      </c>
      <c r="K615" t="s">
        <v>127</v>
      </c>
      <c r="L615">
        <v>50</v>
      </c>
      <c r="M615">
        <v>1017871</v>
      </c>
      <c r="N615">
        <v>6</v>
      </c>
      <c r="O615">
        <v>2</v>
      </c>
      <c r="P615" t="s">
        <v>128</v>
      </c>
      <c r="Q615" t="s">
        <v>129</v>
      </c>
      <c r="R615">
        <v>56</v>
      </c>
      <c r="T615">
        <v>11</v>
      </c>
      <c r="U615">
        <v>16</v>
      </c>
      <c r="V615">
        <v>6</v>
      </c>
      <c r="W615">
        <v>4</v>
      </c>
      <c r="X615">
        <v>2</v>
      </c>
      <c r="Y615">
        <v>2</v>
      </c>
      <c r="Z615">
        <v>19</v>
      </c>
      <c r="AA615">
        <v>24</v>
      </c>
      <c r="AB615">
        <v>50</v>
      </c>
      <c r="AC615">
        <v>16</v>
      </c>
      <c r="AD615">
        <v>2</v>
      </c>
      <c r="AE615">
        <v>2</v>
      </c>
      <c r="AF615">
        <v>25</v>
      </c>
      <c r="AG615">
        <v>5</v>
      </c>
      <c r="AH615">
        <v>34</v>
      </c>
      <c r="AI615">
        <v>25</v>
      </c>
      <c r="AJ615">
        <v>27</v>
      </c>
      <c r="AK615">
        <v>29</v>
      </c>
      <c r="AL615">
        <v>0</v>
      </c>
      <c r="AM615">
        <v>0.12</v>
      </c>
      <c r="AN615">
        <v>2.4545454545454546</v>
      </c>
      <c r="AO615">
        <v>0.68181818181818177</v>
      </c>
      <c r="AP615" t="s">
        <v>130</v>
      </c>
      <c r="AQ615" t="s">
        <v>131</v>
      </c>
      <c r="AR615" t="s">
        <v>523</v>
      </c>
      <c r="AS615">
        <v>1769</v>
      </c>
      <c r="AT615">
        <v>1747</v>
      </c>
      <c r="AU615">
        <v>0</v>
      </c>
      <c r="AV615">
        <v>0</v>
      </c>
      <c r="AW615">
        <v>3.516</v>
      </c>
      <c r="AX615">
        <v>0.21975</v>
      </c>
      <c r="AY615">
        <v>5.4937500000000004</v>
      </c>
      <c r="AZ615" t="s">
        <v>135</v>
      </c>
      <c r="BA615">
        <v>0.50624999999999964</v>
      </c>
      <c r="BB615">
        <v>2.3037542662116026</v>
      </c>
      <c r="BC615" t="s">
        <v>144</v>
      </c>
      <c r="BD615">
        <v>0</v>
      </c>
      <c r="BE615" t="s">
        <v>133</v>
      </c>
      <c r="BF61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3.516</v>
      </c>
    </row>
    <row r="616" spans="1:58" x14ac:dyDescent="0.25">
      <c r="A616" t="s">
        <v>846</v>
      </c>
      <c r="B616" t="s">
        <v>19</v>
      </c>
      <c r="C616">
        <v>1</v>
      </c>
      <c r="D616">
        <v>999</v>
      </c>
      <c r="E616" t="s">
        <v>2108</v>
      </c>
      <c r="F616" t="s">
        <v>123</v>
      </c>
      <c r="G616" t="s">
        <v>124</v>
      </c>
      <c r="H616" t="s">
        <v>136</v>
      </c>
      <c r="I616" t="s">
        <v>137</v>
      </c>
      <c r="J616" t="s">
        <v>152</v>
      </c>
      <c r="K616" t="s">
        <v>127</v>
      </c>
      <c r="L616">
        <v>50</v>
      </c>
      <c r="M616">
        <v>1426593</v>
      </c>
      <c r="N616">
        <v>0</v>
      </c>
      <c r="O616">
        <v>1</v>
      </c>
      <c r="P616" t="s">
        <v>128</v>
      </c>
      <c r="Q616" t="s">
        <v>129</v>
      </c>
      <c r="R616">
        <v>1</v>
      </c>
      <c r="T616">
        <v>0</v>
      </c>
      <c r="U616">
        <v>1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1</v>
      </c>
      <c r="AB616">
        <v>50</v>
      </c>
      <c r="AC616">
        <v>2</v>
      </c>
      <c r="AD616">
        <v>0</v>
      </c>
      <c r="AE616">
        <v>0</v>
      </c>
      <c r="AF616">
        <v>2</v>
      </c>
      <c r="AG616">
        <v>0</v>
      </c>
      <c r="AH616">
        <v>48</v>
      </c>
      <c r="AI616">
        <v>48</v>
      </c>
      <c r="AJ616">
        <v>48</v>
      </c>
      <c r="AK616">
        <v>48</v>
      </c>
      <c r="AL616">
        <v>0</v>
      </c>
      <c r="AM616">
        <v>0</v>
      </c>
      <c r="AN616">
        <v>4.3636363636363633</v>
      </c>
      <c r="AO616">
        <v>0</v>
      </c>
      <c r="AP616" t="s">
        <v>139</v>
      </c>
      <c r="AQ616" t="s">
        <v>131</v>
      </c>
      <c r="AR616" t="s">
        <v>194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 t="s">
        <v>147</v>
      </c>
      <c r="BA616">
        <v>0</v>
      </c>
      <c r="BB616">
        <v>0</v>
      </c>
      <c r="BC616" t="s">
        <v>133</v>
      </c>
      <c r="BD616">
        <v>0</v>
      </c>
      <c r="BE616" t="s">
        <v>133</v>
      </c>
      <c r="BF61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17" spans="1:58" x14ac:dyDescent="0.25">
      <c r="A617" t="s">
        <v>847</v>
      </c>
      <c r="B617" t="s">
        <v>19</v>
      </c>
      <c r="C617">
        <v>2</v>
      </c>
      <c r="D617">
        <v>1</v>
      </c>
      <c r="E617" t="s">
        <v>2108</v>
      </c>
      <c r="F617" t="s">
        <v>123</v>
      </c>
      <c r="G617" t="s">
        <v>124</v>
      </c>
      <c r="H617" t="s">
        <v>125</v>
      </c>
      <c r="I617" t="s">
        <v>126</v>
      </c>
      <c r="J617" t="s">
        <v>126</v>
      </c>
      <c r="K617" t="s">
        <v>127</v>
      </c>
      <c r="L617">
        <v>50</v>
      </c>
      <c r="M617">
        <v>1137093</v>
      </c>
      <c r="N617">
        <v>6</v>
      </c>
      <c r="O617">
        <v>3</v>
      </c>
      <c r="P617" t="s">
        <v>168</v>
      </c>
      <c r="Q617" t="s">
        <v>129</v>
      </c>
      <c r="R617">
        <v>1</v>
      </c>
      <c r="T617">
        <v>14</v>
      </c>
      <c r="U617">
        <v>19</v>
      </c>
      <c r="V617">
        <v>1</v>
      </c>
      <c r="W617">
        <v>0</v>
      </c>
      <c r="X617">
        <v>1</v>
      </c>
      <c r="Y617">
        <v>3</v>
      </c>
      <c r="Z617">
        <v>18</v>
      </c>
      <c r="AA617">
        <v>23</v>
      </c>
      <c r="AB617">
        <v>50</v>
      </c>
      <c r="AC617">
        <v>22</v>
      </c>
      <c r="AD617">
        <v>1</v>
      </c>
      <c r="AE617">
        <v>7</v>
      </c>
      <c r="AF617">
        <v>30</v>
      </c>
      <c r="AG617">
        <v>0</v>
      </c>
      <c r="AH617">
        <v>28</v>
      </c>
      <c r="AI617">
        <v>20</v>
      </c>
      <c r="AJ617">
        <v>21</v>
      </c>
      <c r="AK617">
        <v>28</v>
      </c>
      <c r="AL617">
        <v>0</v>
      </c>
      <c r="AM617">
        <v>0.12</v>
      </c>
      <c r="AN617">
        <v>1.9090909090909092</v>
      </c>
      <c r="AO617">
        <v>0</v>
      </c>
      <c r="AP617" t="s">
        <v>130</v>
      </c>
      <c r="AQ617" t="s">
        <v>131</v>
      </c>
      <c r="AR617" t="s">
        <v>194</v>
      </c>
      <c r="AS617">
        <v>2174</v>
      </c>
      <c r="AT617">
        <v>1570</v>
      </c>
      <c r="AU617">
        <v>0</v>
      </c>
      <c r="AV617">
        <v>0</v>
      </c>
      <c r="AW617">
        <v>3.7440000000000002</v>
      </c>
      <c r="AX617">
        <v>0.17018181818181818</v>
      </c>
      <c r="AY617">
        <v>5.1054545454545455</v>
      </c>
      <c r="AZ617" t="s">
        <v>135</v>
      </c>
      <c r="BA617">
        <v>0.89454545454545453</v>
      </c>
      <c r="BB617">
        <v>5.2564102564102564</v>
      </c>
      <c r="BC617" t="s">
        <v>132</v>
      </c>
      <c r="BD617">
        <v>0</v>
      </c>
      <c r="BE617" t="s">
        <v>133</v>
      </c>
      <c r="BF61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3.7440000000000002</v>
      </c>
    </row>
    <row r="618" spans="1:58" x14ac:dyDescent="0.25">
      <c r="A618" t="s">
        <v>848</v>
      </c>
      <c r="B618" t="s">
        <v>19</v>
      </c>
      <c r="C618">
        <v>2</v>
      </c>
      <c r="D618">
        <v>2</v>
      </c>
      <c r="E618" t="s">
        <v>2108</v>
      </c>
      <c r="F618" t="s">
        <v>123</v>
      </c>
      <c r="G618" t="s">
        <v>124</v>
      </c>
      <c r="H618" t="s">
        <v>125</v>
      </c>
      <c r="I618" t="s">
        <v>126</v>
      </c>
      <c r="J618" t="s">
        <v>126</v>
      </c>
      <c r="K618" t="s">
        <v>127</v>
      </c>
      <c r="L618">
        <v>50</v>
      </c>
      <c r="M618">
        <v>1137095</v>
      </c>
      <c r="N618">
        <v>6</v>
      </c>
      <c r="O618">
        <v>3</v>
      </c>
      <c r="P618" t="s">
        <v>168</v>
      </c>
      <c r="Q618" t="s">
        <v>129</v>
      </c>
      <c r="R618">
        <v>1</v>
      </c>
      <c r="T618">
        <v>11</v>
      </c>
      <c r="U618">
        <v>16</v>
      </c>
      <c r="V618">
        <v>2</v>
      </c>
      <c r="W618">
        <v>0</v>
      </c>
      <c r="X618">
        <v>2</v>
      </c>
      <c r="Y618">
        <v>3</v>
      </c>
      <c r="Z618">
        <v>16</v>
      </c>
      <c r="AA618">
        <v>21</v>
      </c>
      <c r="AB618">
        <v>50</v>
      </c>
      <c r="AC618">
        <v>22</v>
      </c>
      <c r="AD618">
        <v>2</v>
      </c>
      <c r="AE618">
        <v>4</v>
      </c>
      <c r="AF618">
        <v>28</v>
      </c>
      <c r="AG618">
        <v>0</v>
      </c>
      <c r="AH618">
        <v>28</v>
      </c>
      <c r="AI618">
        <v>22</v>
      </c>
      <c r="AJ618">
        <v>24</v>
      </c>
      <c r="AK618">
        <v>28</v>
      </c>
      <c r="AL618">
        <v>0</v>
      </c>
      <c r="AM618">
        <v>0.12</v>
      </c>
      <c r="AN618">
        <v>2.1818181818181817</v>
      </c>
      <c r="AO618">
        <v>0</v>
      </c>
      <c r="AP618" t="s">
        <v>130</v>
      </c>
      <c r="AQ618" t="s">
        <v>131</v>
      </c>
      <c r="AR618" t="s">
        <v>194</v>
      </c>
      <c r="AS618">
        <v>2111</v>
      </c>
      <c r="AT618">
        <v>2010</v>
      </c>
      <c r="AU618">
        <v>0</v>
      </c>
      <c r="AV618">
        <v>0</v>
      </c>
      <c r="AW618">
        <v>4.1210000000000004</v>
      </c>
      <c r="AX618">
        <v>0.18731818181818183</v>
      </c>
      <c r="AY618">
        <v>5.2449090909090916</v>
      </c>
      <c r="AZ618" t="s">
        <v>135</v>
      </c>
      <c r="BA618">
        <v>0.75509090909090837</v>
      </c>
      <c r="BB618">
        <v>4.0310604222276103</v>
      </c>
      <c r="BC618" t="s">
        <v>133</v>
      </c>
      <c r="BD618">
        <v>0</v>
      </c>
      <c r="BE618" t="s">
        <v>133</v>
      </c>
      <c r="BF61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4.1210000000000004</v>
      </c>
    </row>
    <row r="619" spans="1:58" x14ac:dyDescent="0.25">
      <c r="A619" t="s">
        <v>849</v>
      </c>
      <c r="B619" t="s">
        <v>19</v>
      </c>
      <c r="C619">
        <v>2</v>
      </c>
      <c r="D619">
        <v>3</v>
      </c>
      <c r="E619" t="s">
        <v>2108</v>
      </c>
      <c r="F619" t="s">
        <v>123</v>
      </c>
      <c r="G619" t="s">
        <v>124</v>
      </c>
      <c r="H619" t="s">
        <v>125</v>
      </c>
      <c r="I619" t="s">
        <v>126</v>
      </c>
      <c r="J619" t="s">
        <v>126</v>
      </c>
      <c r="K619" t="s">
        <v>127</v>
      </c>
      <c r="L619">
        <v>50</v>
      </c>
      <c r="M619">
        <v>1137097</v>
      </c>
      <c r="N619">
        <v>6</v>
      </c>
      <c r="O619">
        <v>3</v>
      </c>
      <c r="P619" t="s">
        <v>168</v>
      </c>
      <c r="Q619" t="s">
        <v>129</v>
      </c>
      <c r="R619">
        <v>1</v>
      </c>
      <c r="T619">
        <v>12</v>
      </c>
      <c r="U619">
        <v>17</v>
      </c>
      <c r="V619">
        <v>2</v>
      </c>
      <c r="W619">
        <v>0</v>
      </c>
      <c r="X619">
        <v>2</v>
      </c>
      <c r="Y619">
        <v>4</v>
      </c>
      <c r="Z619">
        <v>18</v>
      </c>
      <c r="AA619">
        <v>23</v>
      </c>
      <c r="AB619">
        <v>50</v>
      </c>
      <c r="AC619">
        <v>23</v>
      </c>
      <c r="AD619">
        <v>4</v>
      </c>
      <c r="AE619">
        <v>7</v>
      </c>
      <c r="AF619">
        <v>34</v>
      </c>
      <c r="AG619">
        <v>0</v>
      </c>
      <c r="AH619">
        <v>27</v>
      </c>
      <c r="AI619">
        <v>16</v>
      </c>
      <c r="AJ619">
        <v>20</v>
      </c>
      <c r="AK619">
        <v>27</v>
      </c>
      <c r="AL619">
        <v>0</v>
      </c>
      <c r="AM619">
        <v>0.12</v>
      </c>
      <c r="AN619">
        <v>1.8181818181818183</v>
      </c>
      <c r="AO619">
        <v>0</v>
      </c>
      <c r="AP619" t="s">
        <v>130</v>
      </c>
      <c r="AQ619" t="s">
        <v>131</v>
      </c>
      <c r="AR619" t="s">
        <v>194</v>
      </c>
      <c r="AS619">
        <v>2024</v>
      </c>
      <c r="AT619">
        <v>1580</v>
      </c>
      <c r="AU619">
        <v>0</v>
      </c>
      <c r="AV619">
        <v>0</v>
      </c>
      <c r="AW619">
        <v>3.6040000000000001</v>
      </c>
      <c r="AX619">
        <v>0.15669565217391304</v>
      </c>
      <c r="AY619">
        <v>5.3276521739130436</v>
      </c>
      <c r="AZ619" t="s">
        <v>135</v>
      </c>
      <c r="BA619">
        <v>0.67234782608695642</v>
      </c>
      <c r="BB619">
        <v>4.2907880133185348</v>
      </c>
      <c r="BC619" t="s">
        <v>133</v>
      </c>
      <c r="BD619">
        <v>0</v>
      </c>
      <c r="BE619" t="s">
        <v>133</v>
      </c>
      <c r="BF61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3.6040000000000001</v>
      </c>
    </row>
    <row r="620" spans="1:58" x14ac:dyDescent="0.25">
      <c r="A620" t="s">
        <v>850</v>
      </c>
      <c r="B620" t="s">
        <v>19</v>
      </c>
      <c r="C620">
        <v>2</v>
      </c>
      <c r="D620">
        <v>4</v>
      </c>
      <c r="E620" t="s">
        <v>2108</v>
      </c>
      <c r="F620" t="s">
        <v>123</v>
      </c>
      <c r="G620" t="s">
        <v>124</v>
      </c>
      <c r="H620" t="s">
        <v>125</v>
      </c>
      <c r="I620" t="s">
        <v>126</v>
      </c>
      <c r="J620" t="s">
        <v>126</v>
      </c>
      <c r="K620" t="s">
        <v>127</v>
      </c>
      <c r="L620">
        <v>50</v>
      </c>
      <c r="M620">
        <v>1137099</v>
      </c>
      <c r="N620">
        <v>6</v>
      </c>
      <c r="O620">
        <v>3</v>
      </c>
      <c r="P620" t="s">
        <v>168</v>
      </c>
      <c r="Q620" t="s">
        <v>129</v>
      </c>
      <c r="R620">
        <v>1</v>
      </c>
      <c r="T620">
        <v>12</v>
      </c>
      <c r="U620">
        <v>17</v>
      </c>
      <c r="V620">
        <v>1</v>
      </c>
      <c r="W620">
        <v>0</v>
      </c>
      <c r="X620">
        <v>1</v>
      </c>
      <c r="Y620">
        <v>6</v>
      </c>
      <c r="Z620">
        <v>19</v>
      </c>
      <c r="AA620">
        <v>24</v>
      </c>
      <c r="AB620">
        <v>50</v>
      </c>
      <c r="AC620">
        <v>21</v>
      </c>
      <c r="AD620">
        <v>4</v>
      </c>
      <c r="AE620">
        <v>10</v>
      </c>
      <c r="AF620">
        <v>35</v>
      </c>
      <c r="AG620">
        <v>0</v>
      </c>
      <c r="AH620">
        <v>29</v>
      </c>
      <c r="AI620">
        <v>15</v>
      </c>
      <c r="AJ620">
        <v>19</v>
      </c>
      <c r="AK620">
        <v>29</v>
      </c>
      <c r="AL620">
        <v>0</v>
      </c>
      <c r="AM620">
        <v>0.12</v>
      </c>
      <c r="AN620">
        <v>1.7272727272727273</v>
      </c>
      <c r="AO620">
        <v>0</v>
      </c>
      <c r="AP620" t="s">
        <v>130</v>
      </c>
      <c r="AQ620" t="s">
        <v>131</v>
      </c>
      <c r="AR620" t="s">
        <v>194</v>
      </c>
      <c r="AS620">
        <v>2233</v>
      </c>
      <c r="AT620">
        <v>1732</v>
      </c>
      <c r="AU620">
        <v>0</v>
      </c>
      <c r="AV620">
        <v>0</v>
      </c>
      <c r="AW620">
        <v>3.9649999999999999</v>
      </c>
      <c r="AX620">
        <v>0.18880952380952382</v>
      </c>
      <c r="AY620">
        <v>6.6083333333333334</v>
      </c>
      <c r="AZ620" t="s">
        <v>135</v>
      </c>
      <c r="BA620">
        <v>-0.60833333333333339</v>
      </c>
      <c r="BB620">
        <v>-3.2219419924337958</v>
      </c>
      <c r="BC620" t="s">
        <v>133</v>
      </c>
      <c r="BD620">
        <v>0</v>
      </c>
      <c r="BE620" t="s">
        <v>133</v>
      </c>
      <c r="BF62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3.9649999999999999</v>
      </c>
    </row>
    <row r="621" spans="1:58" x14ac:dyDescent="0.25">
      <c r="A621" t="s">
        <v>851</v>
      </c>
      <c r="B621" t="s">
        <v>19</v>
      </c>
      <c r="C621">
        <v>2</v>
      </c>
      <c r="D621">
        <v>5</v>
      </c>
      <c r="E621" t="s">
        <v>2108</v>
      </c>
      <c r="F621" t="s">
        <v>123</v>
      </c>
      <c r="G621" t="s">
        <v>124</v>
      </c>
      <c r="H621" t="s">
        <v>125</v>
      </c>
      <c r="I621" t="s">
        <v>126</v>
      </c>
      <c r="J621" t="s">
        <v>126</v>
      </c>
      <c r="K621" t="s">
        <v>127</v>
      </c>
      <c r="L621">
        <v>50</v>
      </c>
      <c r="M621">
        <v>1137101</v>
      </c>
      <c r="N621">
        <v>6</v>
      </c>
      <c r="O621">
        <v>3</v>
      </c>
      <c r="P621" t="s">
        <v>168</v>
      </c>
      <c r="Q621" t="s">
        <v>129</v>
      </c>
      <c r="R621">
        <v>1</v>
      </c>
      <c r="T621">
        <v>16</v>
      </c>
      <c r="U621">
        <v>21</v>
      </c>
      <c r="V621">
        <v>3</v>
      </c>
      <c r="W621">
        <v>0</v>
      </c>
      <c r="X621">
        <v>3</v>
      </c>
      <c r="Y621">
        <v>3</v>
      </c>
      <c r="Z621">
        <v>22</v>
      </c>
      <c r="AA621">
        <v>27</v>
      </c>
      <c r="AB621">
        <v>50</v>
      </c>
      <c r="AC621">
        <v>28</v>
      </c>
      <c r="AD621">
        <v>3</v>
      </c>
      <c r="AE621">
        <v>4</v>
      </c>
      <c r="AF621">
        <v>35</v>
      </c>
      <c r="AG621">
        <v>0</v>
      </c>
      <c r="AH621">
        <v>22</v>
      </c>
      <c r="AI621">
        <v>15</v>
      </c>
      <c r="AJ621">
        <v>18</v>
      </c>
      <c r="AK621">
        <v>22</v>
      </c>
      <c r="AL621">
        <v>0</v>
      </c>
      <c r="AM621">
        <v>0.12</v>
      </c>
      <c r="AN621">
        <v>1.6363636363636365</v>
      </c>
      <c r="AO621">
        <v>0</v>
      </c>
      <c r="AP621" t="s">
        <v>130</v>
      </c>
      <c r="AQ621" t="s">
        <v>131</v>
      </c>
      <c r="AR621" t="s">
        <v>194</v>
      </c>
      <c r="AS621">
        <v>2302</v>
      </c>
      <c r="AT621">
        <v>2430</v>
      </c>
      <c r="AU621">
        <v>0</v>
      </c>
      <c r="AV621">
        <v>0</v>
      </c>
      <c r="AW621">
        <v>4.7320000000000002</v>
      </c>
      <c r="AX621">
        <v>0.16900000000000001</v>
      </c>
      <c r="AY621">
        <v>5.915</v>
      </c>
      <c r="AZ621" t="s">
        <v>135</v>
      </c>
      <c r="BA621">
        <v>8.4999999999999964E-2</v>
      </c>
      <c r="BB621">
        <v>0.5029585798816566</v>
      </c>
      <c r="BC621" t="s">
        <v>133</v>
      </c>
      <c r="BD621">
        <v>0</v>
      </c>
      <c r="BE621" t="s">
        <v>133</v>
      </c>
      <c r="BF62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4.7320000000000002</v>
      </c>
    </row>
    <row r="622" spans="1:58" x14ac:dyDescent="0.25">
      <c r="A622" t="s">
        <v>852</v>
      </c>
      <c r="B622" t="s">
        <v>19</v>
      </c>
      <c r="C622">
        <v>2</v>
      </c>
      <c r="D622">
        <v>6</v>
      </c>
      <c r="E622" t="s">
        <v>2108</v>
      </c>
      <c r="F622" t="s">
        <v>123</v>
      </c>
      <c r="G622" t="s">
        <v>124</v>
      </c>
      <c r="H622" t="s">
        <v>136</v>
      </c>
      <c r="I622" t="s">
        <v>137</v>
      </c>
      <c r="J622" t="s">
        <v>138</v>
      </c>
      <c r="K622" t="s">
        <v>127</v>
      </c>
      <c r="L622">
        <v>50</v>
      </c>
      <c r="M622">
        <v>1137103</v>
      </c>
      <c r="N622">
        <v>5</v>
      </c>
      <c r="O622">
        <v>3</v>
      </c>
      <c r="P622" t="s">
        <v>168</v>
      </c>
      <c r="Q622" t="s">
        <v>129</v>
      </c>
      <c r="R622">
        <v>1</v>
      </c>
      <c r="T622">
        <v>0</v>
      </c>
      <c r="U622">
        <v>4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4</v>
      </c>
      <c r="AB622">
        <v>50</v>
      </c>
      <c r="AC622">
        <v>4</v>
      </c>
      <c r="AD622">
        <v>0</v>
      </c>
      <c r="AE622">
        <v>0</v>
      </c>
      <c r="AF622">
        <v>4</v>
      </c>
      <c r="AG622">
        <v>0</v>
      </c>
      <c r="AH622">
        <v>46</v>
      </c>
      <c r="AI622">
        <v>46</v>
      </c>
      <c r="AJ622">
        <v>46</v>
      </c>
      <c r="AK622">
        <v>46</v>
      </c>
      <c r="AL622">
        <v>0</v>
      </c>
      <c r="AM622">
        <v>0.1</v>
      </c>
      <c r="AN622">
        <v>4.1818181818181817</v>
      </c>
      <c r="AO622">
        <v>0</v>
      </c>
      <c r="AP622" t="s">
        <v>139</v>
      </c>
      <c r="AQ622" t="s">
        <v>131</v>
      </c>
      <c r="AR622" t="s">
        <v>194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 t="s">
        <v>134</v>
      </c>
      <c r="BA622">
        <v>5</v>
      </c>
      <c r="BB622">
        <v>0</v>
      </c>
      <c r="BC622" t="s">
        <v>133</v>
      </c>
      <c r="BD622">
        <v>0</v>
      </c>
      <c r="BE622" t="s">
        <v>133</v>
      </c>
      <c r="BF62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23" spans="1:58" x14ac:dyDescent="0.25">
      <c r="A623" t="s">
        <v>853</v>
      </c>
      <c r="B623" t="s">
        <v>19</v>
      </c>
      <c r="C623">
        <v>2</v>
      </c>
      <c r="D623">
        <v>7</v>
      </c>
      <c r="E623" t="s">
        <v>2108</v>
      </c>
      <c r="F623" t="s">
        <v>123</v>
      </c>
      <c r="G623" t="s">
        <v>124</v>
      </c>
      <c r="H623" t="s">
        <v>125</v>
      </c>
      <c r="I623" t="s">
        <v>126</v>
      </c>
      <c r="J623" t="s">
        <v>126</v>
      </c>
      <c r="K623" t="s">
        <v>127</v>
      </c>
      <c r="L623">
        <v>50</v>
      </c>
      <c r="M623">
        <v>1137105</v>
      </c>
      <c r="N623">
        <v>6</v>
      </c>
      <c r="O623">
        <v>3</v>
      </c>
      <c r="P623" t="s">
        <v>168</v>
      </c>
      <c r="Q623" t="s">
        <v>129</v>
      </c>
      <c r="R623">
        <v>1</v>
      </c>
      <c r="T623">
        <v>11</v>
      </c>
      <c r="U623">
        <v>16</v>
      </c>
      <c r="V623">
        <v>2</v>
      </c>
      <c r="W623">
        <v>0</v>
      </c>
      <c r="X623">
        <v>2</v>
      </c>
      <c r="Y623">
        <v>4</v>
      </c>
      <c r="Z623">
        <v>17</v>
      </c>
      <c r="AA623">
        <v>22</v>
      </c>
      <c r="AB623">
        <v>50</v>
      </c>
      <c r="AC623">
        <v>18</v>
      </c>
      <c r="AD623">
        <v>4</v>
      </c>
      <c r="AE623">
        <v>10</v>
      </c>
      <c r="AF623">
        <v>32</v>
      </c>
      <c r="AG623">
        <v>0</v>
      </c>
      <c r="AH623">
        <v>32</v>
      </c>
      <c r="AI623">
        <v>18</v>
      </c>
      <c r="AJ623">
        <v>22</v>
      </c>
      <c r="AK623">
        <v>32</v>
      </c>
      <c r="AL623">
        <v>0</v>
      </c>
      <c r="AM623">
        <v>0.12</v>
      </c>
      <c r="AN623">
        <v>2</v>
      </c>
      <c r="AO623">
        <v>0</v>
      </c>
      <c r="AP623" t="s">
        <v>130</v>
      </c>
      <c r="AQ623" t="s">
        <v>131</v>
      </c>
      <c r="AR623" t="s">
        <v>194</v>
      </c>
      <c r="AS623">
        <v>1820</v>
      </c>
      <c r="AT623">
        <v>1427</v>
      </c>
      <c r="AU623">
        <v>0</v>
      </c>
      <c r="AV623">
        <v>0</v>
      </c>
      <c r="AW623">
        <v>3.2469999999999999</v>
      </c>
      <c r="AX623">
        <v>0.18038888888888888</v>
      </c>
      <c r="AY623">
        <v>5.772444444444444</v>
      </c>
      <c r="AZ623" t="s">
        <v>135</v>
      </c>
      <c r="BA623">
        <v>0.22755555555555596</v>
      </c>
      <c r="BB623">
        <v>1.2614721281182653</v>
      </c>
      <c r="BC623" t="s">
        <v>133</v>
      </c>
      <c r="BD623">
        <v>0</v>
      </c>
      <c r="BE623" t="s">
        <v>133</v>
      </c>
      <c r="BF62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3.2469999999999999</v>
      </c>
    </row>
    <row r="624" spans="1:58" x14ac:dyDescent="0.25">
      <c r="A624" t="s">
        <v>854</v>
      </c>
      <c r="B624" t="s">
        <v>19</v>
      </c>
      <c r="C624">
        <v>2</v>
      </c>
      <c r="D624">
        <v>8</v>
      </c>
      <c r="E624" t="s">
        <v>2108</v>
      </c>
      <c r="F624" t="s">
        <v>123</v>
      </c>
      <c r="G624" t="s">
        <v>124</v>
      </c>
      <c r="H624" t="s">
        <v>125</v>
      </c>
      <c r="I624" t="s">
        <v>126</v>
      </c>
      <c r="J624" t="s">
        <v>126</v>
      </c>
      <c r="K624" t="s">
        <v>127</v>
      </c>
      <c r="L624">
        <v>50</v>
      </c>
      <c r="M624">
        <v>1137107</v>
      </c>
      <c r="N624">
        <v>6</v>
      </c>
      <c r="O624">
        <v>3</v>
      </c>
      <c r="P624" t="s">
        <v>168</v>
      </c>
      <c r="Q624" t="s">
        <v>129</v>
      </c>
      <c r="R624">
        <v>1</v>
      </c>
      <c r="T624">
        <v>11</v>
      </c>
      <c r="U624">
        <v>16</v>
      </c>
      <c r="V624">
        <v>4</v>
      </c>
      <c r="W624">
        <v>0</v>
      </c>
      <c r="X624">
        <v>4</v>
      </c>
      <c r="Y624">
        <v>4</v>
      </c>
      <c r="Z624">
        <v>19</v>
      </c>
      <c r="AA624">
        <v>24</v>
      </c>
      <c r="AB624">
        <v>50</v>
      </c>
      <c r="AC624">
        <v>21</v>
      </c>
      <c r="AD624">
        <v>8</v>
      </c>
      <c r="AE624">
        <v>7</v>
      </c>
      <c r="AF624">
        <v>36</v>
      </c>
      <c r="AG624">
        <v>0</v>
      </c>
      <c r="AH624">
        <v>29</v>
      </c>
      <c r="AI624">
        <v>14</v>
      </c>
      <c r="AJ624">
        <v>22</v>
      </c>
      <c r="AK624">
        <v>29</v>
      </c>
      <c r="AL624">
        <v>0</v>
      </c>
      <c r="AM624">
        <v>0.12</v>
      </c>
      <c r="AN624">
        <v>2</v>
      </c>
      <c r="AO624">
        <v>0</v>
      </c>
      <c r="AP624" t="s">
        <v>130</v>
      </c>
      <c r="AQ624" t="s">
        <v>131</v>
      </c>
      <c r="AR624" t="s">
        <v>194</v>
      </c>
      <c r="AS624">
        <v>2117</v>
      </c>
      <c r="AT624">
        <v>1977</v>
      </c>
      <c r="AU624">
        <v>0</v>
      </c>
      <c r="AV624">
        <v>0</v>
      </c>
      <c r="AW624">
        <v>4.0940000000000003</v>
      </c>
      <c r="AX624">
        <v>0.19495238095238096</v>
      </c>
      <c r="AY624">
        <v>7.0182857142857147</v>
      </c>
      <c r="AZ624" t="s">
        <v>135</v>
      </c>
      <c r="BA624">
        <v>-1.0182857142857147</v>
      </c>
      <c r="BB624">
        <v>-5.2232535417684431</v>
      </c>
      <c r="BC624" t="s">
        <v>133</v>
      </c>
      <c r="BD624">
        <v>0</v>
      </c>
      <c r="BE624" t="s">
        <v>133</v>
      </c>
      <c r="BF62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4.0940000000000003</v>
      </c>
    </row>
    <row r="625" spans="1:58" x14ac:dyDescent="0.25">
      <c r="A625" t="s">
        <v>855</v>
      </c>
      <c r="B625" t="s">
        <v>19</v>
      </c>
      <c r="C625">
        <v>2</v>
      </c>
      <c r="D625">
        <v>9</v>
      </c>
      <c r="E625" t="s">
        <v>2108</v>
      </c>
      <c r="F625" t="s">
        <v>123</v>
      </c>
      <c r="G625" t="s">
        <v>124</v>
      </c>
      <c r="H625" t="s">
        <v>125</v>
      </c>
      <c r="I625" t="s">
        <v>126</v>
      </c>
      <c r="J625" t="s">
        <v>126</v>
      </c>
      <c r="K625" t="s">
        <v>127</v>
      </c>
      <c r="L625">
        <v>50</v>
      </c>
      <c r="M625">
        <v>1137109</v>
      </c>
      <c r="N625">
        <v>6</v>
      </c>
      <c r="O625">
        <v>3</v>
      </c>
      <c r="P625" t="s">
        <v>168</v>
      </c>
      <c r="Q625" t="s">
        <v>129</v>
      </c>
      <c r="R625">
        <v>1</v>
      </c>
      <c r="T625">
        <v>17</v>
      </c>
      <c r="U625">
        <v>22</v>
      </c>
      <c r="V625">
        <v>0</v>
      </c>
      <c r="W625">
        <v>0</v>
      </c>
      <c r="X625">
        <v>0</v>
      </c>
      <c r="Y625">
        <v>0</v>
      </c>
      <c r="Z625">
        <v>17</v>
      </c>
      <c r="AA625">
        <v>22</v>
      </c>
      <c r="AB625">
        <v>50</v>
      </c>
      <c r="AC625">
        <v>22</v>
      </c>
      <c r="AD625">
        <v>0</v>
      </c>
      <c r="AE625">
        <v>0</v>
      </c>
      <c r="AF625">
        <v>22</v>
      </c>
      <c r="AG625">
        <v>0</v>
      </c>
      <c r="AH625">
        <v>28</v>
      </c>
      <c r="AI625">
        <v>28</v>
      </c>
      <c r="AJ625">
        <v>28</v>
      </c>
      <c r="AK625">
        <v>28</v>
      </c>
      <c r="AL625">
        <v>0</v>
      </c>
      <c r="AM625">
        <v>0.12</v>
      </c>
      <c r="AN625">
        <v>2.5454545454545454</v>
      </c>
      <c r="AO625">
        <v>0</v>
      </c>
      <c r="AP625" t="s">
        <v>130</v>
      </c>
      <c r="AQ625" t="s">
        <v>131</v>
      </c>
      <c r="AR625" t="s">
        <v>194</v>
      </c>
      <c r="AS625">
        <v>1844</v>
      </c>
      <c r="AT625">
        <v>1828</v>
      </c>
      <c r="AU625">
        <v>0</v>
      </c>
      <c r="AV625">
        <v>0</v>
      </c>
      <c r="AW625">
        <v>3.6720000000000002</v>
      </c>
      <c r="AX625">
        <v>0.16690909090909092</v>
      </c>
      <c r="AY625">
        <v>3.6720000000000002</v>
      </c>
      <c r="AZ625" t="s">
        <v>135</v>
      </c>
      <c r="BA625">
        <v>2.3279999999999998</v>
      </c>
      <c r="BB625">
        <v>13.947712418300652</v>
      </c>
      <c r="BC625" t="s">
        <v>133</v>
      </c>
      <c r="BD625">
        <v>0</v>
      </c>
      <c r="BE625" t="s">
        <v>133</v>
      </c>
      <c r="BF62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3.6720000000000002</v>
      </c>
    </row>
    <row r="626" spans="1:58" x14ac:dyDescent="0.25">
      <c r="A626" t="s">
        <v>856</v>
      </c>
      <c r="B626" t="s">
        <v>19</v>
      </c>
      <c r="C626">
        <v>2</v>
      </c>
      <c r="D626">
        <v>10</v>
      </c>
      <c r="E626" t="s">
        <v>2108</v>
      </c>
      <c r="F626" t="s">
        <v>123</v>
      </c>
      <c r="G626" t="s">
        <v>124</v>
      </c>
      <c r="H626" t="s">
        <v>125</v>
      </c>
      <c r="I626" t="s">
        <v>126</v>
      </c>
      <c r="J626" t="s">
        <v>126</v>
      </c>
      <c r="K626" t="s">
        <v>127</v>
      </c>
      <c r="L626">
        <v>50</v>
      </c>
      <c r="M626">
        <v>1137111</v>
      </c>
      <c r="N626">
        <v>6</v>
      </c>
      <c r="O626">
        <v>3</v>
      </c>
      <c r="P626" t="s">
        <v>168</v>
      </c>
      <c r="Q626" t="s">
        <v>129</v>
      </c>
      <c r="R626">
        <v>1</v>
      </c>
      <c r="T626">
        <v>29</v>
      </c>
      <c r="U626">
        <v>34</v>
      </c>
      <c r="V626">
        <v>0</v>
      </c>
      <c r="W626">
        <v>0</v>
      </c>
      <c r="X626">
        <v>0</v>
      </c>
      <c r="Y626">
        <v>0</v>
      </c>
      <c r="Z626">
        <v>29</v>
      </c>
      <c r="AA626">
        <v>34</v>
      </c>
      <c r="AB626">
        <v>50</v>
      </c>
      <c r="AC626">
        <v>34</v>
      </c>
      <c r="AD626">
        <v>0</v>
      </c>
      <c r="AE626">
        <v>0</v>
      </c>
      <c r="AF626">
        <v>34</v>
      </c>
      <c r="AG626">
        <v>0</v>
      </c>
      <c r="AH626">
        <v>16</v>
      </c>
      <c r="AI626">
        <v>16</v>
      </c>
      <c r="AJ626">
        <v>16</v>
      </c>
      <c r="AK626">
        <v>16</v>
      </c>
      <c r="AL626">
        <v>0</v>
      </c>
      <c r="AM626">
        <v>0.12</v>
      </c>
      <c r="AN626">
        <v>1.4545454545454546</v>
      </c>
      <c r="AO626">
        <v>0</v>
      </c>
      <c r="AP626" t="s">
        <v>130</v>
      </c>
      <c r="AQ626" t="s">
        <v>131</v>
      </c>
      <c r="AR626" t="s">
        <v>194</v>
      </c>
      <c r="AS626">
        <v>2895</v>
      </c>
      <c r="AT626">
        <v>3103</v>
      </c>
      <c r="AU626">
        <v>0</v>
      </c>
      <c r="AV626">
        <v>0</v>
      </c>
      <c r="AW626">
        <v>5.9980000000000002</v>
      </c>
      <c r="AX626">
        <v>0.17641176470588235</v>
      </c>
      <c r="AY626">
        <v>5.9980000000000002</v>
      </c>
      <c r="AZ626" t="s">
        <v>135</v>
      </c>
      <c r="BA626">
        <v>1.9999999999997797E-3</v>
      </c>
      <c r="BB626">
        <v>1.1337112370789016E-2</v>
      </c>
      <c r="BC626" t="s">
        <v>133</v>
      </c>
      <c r="BD626">
        <v>0</v>
      </c>
      <c r="BE626" t="s">
        <v>133</v>
      </c>
      <c r="BF62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5.9980000000000002</v>
      </c>
    </row>
    <row r="627" spans="1:58" x14ac:dyDescent="0.25">
      <c r="A627" t="s">
        <v>857</v>
      </c>
      <c r="B627" t="s">
        <v>19</v>
      </c>
      <c r="C627">
        <v>2</v>
      </c>
      <c r="D627">
        <v>11</v>
      </c>
      <c r="E627" t="s">
        <v>2108</v>
      </c>
      <c r="F627" t="s">
        <v>123</v>
      </c>
      <c r="G627" t="s">
        <v>124</v>
      </c>
      <c r="H627" t="s">
        <v>125</v>
      </c>
      <c r="I627" t="s">
        <v>126</v>
      </c>
      <c r="J627" t="s">
        <v>126</v>
      </c>
      <c r="K627" t="s">
        <v>127</v>
      </c>
      <c r="L627">
        <v>50</v>
      </c>
      <c r="M627">
        <v>1137113</v>
      </c>
      <c r="N627">
        <v>6</v>
      </c>
      <c r="O627">
        <v>3</v>
      </c>
      <c r="P627" t="s">
        <v>168</v>
      </c>
      <c r="Q627" t="s">
        <v>129</v>
      </c>
      <c r="R627">
        <v>1</v>
      </c>
      <c r="T627">
        <v>0</v>
      </c>
      <c r="U627">
        <v>5</v>
      </c>
      <c r="V627">
        <v>4</v>
      </c>
      <c r="W627">
        <v>0</v>
      </c>
      <c r="X627">
        <v>4</v>
      </c>
      <c r="Y627">
        <v>0</v>
      </c>
      <c r="Z627">
        <v>4</v>
      </c>
      <c r="AA627">
        <v>9</v>
      </c>
      <c r="AB627">
        <v>50</v>
      </c>
      <c r="AC627">
        <v>5</v>
      </c>
      <c r="AD627">
        <v>8</v>
      </c>
      <c r="AE627">
        <v>0</v>
      </c>
      <c r="AF627">
        <v>13</v>
      </c>
      <c r="AG627">
        <v>0</v>
      </c>
      <c r="AH627">
        <v>45</v>
      </c>
      <c r="AI627">
        <v>37</v>
      </c>
      <c r="AJ627">
        <v>45</v>
      </c>
      <c r="AK627">
        <v>45</v>
      </c>
      <c r="AL627">
        <v>0</v>
      </c>
      <c r="AM627">
        <v>0.12</v>
      </c>
      <c r="AN627">
        <v>4.0909090909090908</v>
      </c>
      <c r="AO627">
        <v>0</v>
      </c>
      <c r="AP627" t="s">
        <v>130</v>
      </c>
      <c r="AQ627" t="s">
        <v>131</v>
      </c>
      <c r="AR627" t="s">
        <v>194</v>
      </c>
      <c r="AS627">
        <v>275</v>
      </c>
      <c r="AT627">
        <v>287</v>
      </c>
      <c r="AU627">
        <v>0</v>
      </c>
      <c r="AV627">
        <v>0</v>
      </c>
      <c r="AW627">
        <v>0.56200000000000006</v>
      </c>
      <c r="AX627">
        <v>0.11240000000000001</v>
      </c>
      <c r="AY627">
        <v>1.4612000000000003</v>
      </c>
      <c r="AZ627" t="s">
        <v>135</v>
      </c>
      <c r="BA627">
        <v>4.5388000000000002</v>
      </c>
      <c r="BB627">
        <v>40.380782918149464</v>
      </c>
      <c r="BC627" t="s">
        <v>144</v>
      </c>
      <c r="BD627">
        <v>1</v>
      </c>
      <c r="BE627" t="s">
        <v>133</v>
      </c>
      <c r="BF62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0.56200000000000006</v>
      </c>
    </row>
    <row r="628" spans="1:58" x14ac:dyDescent="0.25">
      <c r="A628" t="s">
        <v>858</v>
      </c>
      <c r="B628" t="s">
        <v>19</v>
      </c>
      <c r="C628">
        <v>2</v>
      </c>
      <c r="D628">
        <v>12</v>
      </c>
      <c r="E628" t="s">
        <v>2110</v>
      </c>
      <c r="F628" t="s">
        <v>123</v>
      </c>
      <c r="G628" t="s">
        <v>124</v>
      </c>
      <c r="H628" t="s">
        <v>125</v>
      </c>
      <c r="I628" t="s">
        <v>126</v>
      </c>
      <c r="J628" t="s">
        <v>126</v>
      </c>
      <c r="K628" t="s">
        <v>127</v>
      </c>
      <c r="L628">
        <v>50</v>
      </c>
      <c r="M628">
        <v>1137115</v>
      </c>
      <c r="N628">
        <v>6</v>
      </c>
      <c r="O628">
        <v>3</v>
      </c>
      <c r="P628" t="s">
        <v>168</v>
      </c>
      <c r="Q628" t="s">
        <v>129</v>
      </c>
      <c r="R628">
        <v>2</v>
      </c>
      <c r="T628">
        <v>3</v>
      </c>
      <c r="U628">
        <v>8</v>
      </c>
      <c r="V628">
        <v>3</v>
      </c>
      <c r="W628">
        <v>2</v>
      </c>
      <c r="X628">
        <v>1</v>
      </c>
      <c r="Y628">
        <v>2</v>
      </c>
      <c r="Z628">
        <v>8</v>
      </c>
      <c r="AA628">
        <v>13</v>
      </c>
      <c r="AB628">
        <v>50</v>
      </c>
      <c r="AC628">
        <v>9</v>
      </c>
      <c r="AD628">
        <v>1</v>
      </c>
      <c r="AE628">
        <v>3</v>
      </c>
      <c r="AF628">
        <v>15</v>
      </c>
      <c r="AG628">
        <v>2</v>
      </c>
      <c r="AH628">
        <v>41</v>
      </c>
      <c r="AI628">
        <v>35</v>
      </c>
      <c r="AJ628">
        <v>36</v>
      </c>
      <c r="AK628">
        <v>39</v>
      </c>
      <c r="AL628">
        <v>0</v>
      </c>
      <c r="AM628">
        <v>0.12</v>
      </c>
      <c r="AN628">
        <v>3.2727272727272729</v>
      </c>
      <c r="AO628">
        <v>0.27272727272727271</v>
      </c>
      <c r="AP628" t="s">
        <v>130</v>
      </c>
      <c r="AQ628" t="s">
        <v>131</v>
      </c>
      <c r="AR628" t="s">
        <v>523</v>
      </c>
      <c r="AS628">
        <v>766</v>
      </c>
      <c r="AT628">
        <v>728</v>
      </c>
      <c r="AU628">
        <v>0</v>
      </c>
      <c r="AV628">
        <v>0</v>
      </c>
      <c r="AW628">
        <v>1.494</v>
      </c>
      <c r="AX628">
        <v>0.16600000000000001</v>
      </c>
      <c r="AY628">
        <v>2.4900000000000002</v>
      </c>
      <c r="AZ628" t="s">
        <v>135</v>
      </c>
      <c r="BA628">
        <v>3.51</v>
      </c>
      <c r="BB628">
        <v>21.14457831325301</v>
      </c>
      <c r="BC628" t="s">
        <v>132</v>
      </c>
      <c r="BD628">
        <v>0</v>
      </c>
      <c r="BE628" t="s">
        <v>133</v>
      </c>
      <c r="BF62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1.494</v>
      </c>
    </row>
    <row r="629" spans="1:58" x14ac:dyDescent="0.25">
      <c r="A629" t="s">
        <v>859</v>
      </c>
      <c r="B629" t="s">
        <v>19</v>
      </c>
      <c r="C629">
        <v>2</v>
      </c>
      <c r="D629">
        <v>13</v>
      </c>
      <c r="E629" t="s">
        <v>2110</v>
      </c>
      <c r="F629" t="s">
        <v>123</v>
      </c>
      <c r="G629" t="s">
        <v>124</v>
      </c>
      <c r="H629" t="s">
        <v>125</v>
      </c>
      <c r="I629" t="s">
        <v>126</v>
      </c>
      <c r="J629" t="s">
        <v>126</v>
      </c>
      <c r="K629" t="s">
        <v>127</v>
      </c>
      <c r="L629">
        <v>50</v>
      </c>
      <c r="M629">
        <v>1137117</v>
      </c>
      <c r="N629">
        <v>6</v>
      </c>
      <c r="O629">
        <v>3</v>
      </c>
      <c r="P629" t="s">
        <v>168</v>
      </c>
      <c r="Q629" t="s">
        <v>129</v>
      </c>
      <c r="R629">
        <v>2</v>
      </c>
      <c r="T629">
        <v>4</v>
      </c>
      <c r="U629">
        <v>9</v>
      </c>
      <c r="V629">
        <v>2</v>
      </c>
      <c r="W629">
        <v>0</v>
      </c>
      <c r="X629">
        <v>2</v>
      </c>
      <c r="Y629">
        <v>5</v>
      </c>
      <c r="Z629">
        <v>11</v>
      </c>
      <c r="AA629">
        <v>16</v>
      </c>
      <c r="AB629">
        <v>50</v>
      </c>
      <c r="AC629">
        <v>13</v>
      </c>
      <c r="AD629">
        <v>3</v>
      </c>
      <c r="AE629">
        <v>6</v>
      </c>
      <c r="AF629">
        <v>22</v>
      </c>
      <c r="AG629">
        <v>0</v>
      </c>
      <c r="AH629">
        <v>37</v>
      </c>
      <c r="AI629">
        <v>28</v>
      </c>
      <c r="AJ629">
        <v>31</v>
      </c>
      <c r="AK629">
        <v>37</v>
      </c>
      <c r="AL629">
        <v>0</v>
      </c>
      <c r="AM629">
        <v>0.12</v>
      </c>
      <c r="AN629">
        <v>2.8181818181818183</v>
      </c>
      <c r="AO629">
        <v>0</v>
      </c>
      <c r="AP629" t="s">
        <v>130</v>
      </c>
      <c r="AQ629" t="s">
        <v>131</v>
      </c>
      <c r="AR629" t="s">
        <v>523</v>
      </c>
      <c r="AS629">
        <v>995</v>
      </c>
      <c r="AT629">
        <v>961</v>
      </c>
      <c r="AU629">
        <v>0</v>
      </c>
      <c r="AV629">
        <v>0</v>
      </c>
      <c r="AW629">
        <v>1.956</v>
      </c>
      <c r="AX629">
        <v>0.15046153846153845</v>
      </c>
      <c r="AY629">
        <v>3.3101538461538458</v>
      </c>
      <c r="AZ629" t="s">
        <v>135</v>
      </c>
      <c r="BA629">
        <v>2.6898461538461542</v>
      </c>
      <c r="BB629">
        <v>17.877300613496935</v>
      </c>
      <c r="BC629" t="s">
        <v>133</v>
      </c>
      <c r="BD629">
        <v>0</v>
      </c>
      <c r="BE629" t="s">
        <v>133</v>
      </c>
      <c r="BF62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1.956</v>
      </c>
    </row>
    <row r="630" spans="1:58" x14ac:dyDescent="0.25">
      <c r="A630" t="s">
        <v>860</v>
      </c>
      <c r="B630" t="s">
        <v>19</v>
      </c>
      <c r="C630">
        <v>2</v>
      </c>
      <c r="D630">
        <v>14</v>
      </c>
      <c r="E630" t="s">
        <v>2110</v>
      </c>
      <c r="F630" t="s">
        <v>123</v>
      </c>
      <c r="G630" t="s">
        <v>124</v>
      </c>
      <c r="H630" t="s">
        <v>125</v>
      </c>
      <c r="I630" t="s">
        <v>126</v>
      </c>
      <c r="J630" t="s">
        <v>126</v>
      </c>
      <c r="K630" t="s">
        <v>127</v>
      </c>
      <c r="L630">
        <v>50</v>
      </c>
      <c r="M630">
        <v>1137119</v>
      </c>
      <c r="N630">
        <v>6</v>
      </c>
      <c r="O630">
        <v>3</v>
      </c>
      <c r="P630" t="s">
        <v>168</v>
      </c>
      <c r="Q630" t="s">
        <v>129</v>
      </c>
      <c r="R630">
        <v>2</v>
      </c>
      <c r="T630">
        <v>5</v>
      </c>
      <c r="U630">
        <v>10</v>
      </c>
      <c r="V630">
        <v>4</v>
      </c>
      <c r="W630">
        <v>1</v>
      </c>
      <c r="X630">
        <v>3</v>
      </c>
      <c r="Y630">
        <v>2</v>
      </c>
      <c r="Z630">
        <v>11</v>
      </c>
      <c r="AA630">
        <v>16</v>
      </c>
      <c r="AB630">
        <v>50</v>
      </c>
      <c r="AC630">
        <v>13</v>
      </c>
      <c r="AD630">
        <v>3</v>
      </c>
      <c r="AE630">
        <v>2</v>
      </c>
      <c r="AF630">
        <v>19</v>
      </c>
      <c r="AG630">
        <v>1</v>
      </c>
      <c r="AH630">
        <v>37</v>
      </c>
      <c r="AI630">
        <v>31</v>
      </c>
      <c r="AJ630">
        <v>34</v>
      </c>
      <c r="AK630">
        <v>36</v>
      </c>
      <c r="AL630">
        <v>0</v>
      </c>
      <c r="AM630">
        <v>0.12</v>
      </c>
      <c r="AN630">
        <v>3.0909090909090908</v>
      </c>
      <c r="AO630">
        <v>0.13636363636363635</v>
      </c>
      <c r="AP630" t="s">
        <v>130</v>
      </c>
      <c r="AQ630" t="s">
        <v>131</v>
      </c>
      <c r="AR630" t="s">
        <v>523</v>
      </c>
      <c r="AS630">
        <v>919</v>
      </c>
      <c r="AT630">
        <v>916</v>
      </c>
      <c r="AU630">
        <v>0</v>
      </c>
      <c r="AV630">
        <v>0</v>
      </c>
      <c r="AW630">
        <v>1.835</v>
      </c>
      <c r="AX630">
        <v>0.14115384615384616</v>
      </c>
      <c r="AY630">
        <v>2.6819230769230771</v>
      </c>
      <c r="AZ630" t="s">
        <v>135</v>
      </c>
      <c r="BA630">
        <v>3.3180769230769229</v>
      </c>
      <c r="BB630">
        <v>23.506811989100814</v>
      </c>
      <c r="BC630" t="s">
        <v>133</v>
      </c>
      <c r="BD630">
        <v>0</v>
      </c>
      <c r="BE630" t="s">
        <v>133</v>
      </c>
      <c r="BF63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1.835</v>
      </c>
    </row>
    <row r="631" spans="1:58" x14ac:dyDescent="0.25">
      <c r="A631" t="s">
        <v>861</v>
      </c>
      <c r="B631" t="s">
        <v>19</v>
      </c>
      <c r="C631">
        <v>2</v>
      </c>
      <c r="D631">
        <v>15</v>
      </c>
      <c r="E631" t="s">
        <v>2110</v>
      </c>
      <c r="F631" t="s">
        <v>123</v>
      </c>
      <c r="G631" t="s">
        <v>124</v>
      </c>
      <c r="H631" t="s">
        <v>125</v>
      </c>
      <c r="I631" t="s">
        <v>126</v>
      </c>
      <c r="J631" t="s">
        <v>126</v>
      </c>
      <c r="K631" t="s">
        <v>127</v>
      </c>
      <c r="L631">
        <v>50</v>
      </c>
      <c r="M631">
        <v>1137121</v>
      </c>
      <c r="N631">
        <v>6</v>
      </c>
      <c r="O631">
        <v>3</v>
      </c>
      <c r="P631" t="s">
        <v>168</v>
      </c>
      <c r="Q631" t="s">
        <v>129</v>
      </c>
      <c r="R631">
        <v>2</v>
      </c>
      <c r="T631">
        <v>4</v>
      </c>
      <c r="U631">
        <v>9</v>
      </c>
      <c r="V631">
        <v>3</v>
      </c>
      <c r="W631">
        <v>0</v>
      </c>
      <c r="X631">
        <v>3</v>
      </c>
      <c r="Y631">
        <v>3</v>
      </c>
      <c r="Z631">
        <v>10</v>
      </c>
      <c r="AA631">
        <v>15</v>
      </c>
      <c r="AB631">
        <v>50</v>
      </c>
      <c r="AC631">
        <v>10</v>
      </c>
      <c r="AD631">
        <v>4</v>
      </c>
      <c r="AE631">
        <v>6</v>
      </c>
      <c r="AF631">
        <v>20</v>
      </c>
      <c r="AG631">
        <v>0</v>
      </c>
      <c r="AH631">
        <v>40</v>
      </c>
      <c r="AI631">
        <v>30</v>
      </c>
      <c r="AJ631">
        <v>34</v>
      </c>
      <c r="AK631">
        <v>40</v>
      </c>
      <c r="AL631">
        <v>0</v>
      </c>
      <c r="AM631">
        <v>0.12</v>
      </c>
      <c r="AN631">
        <v>3.0909090909090908</v>
      </c>
      <c r="AO631">
        <v>0</v>
      </c>
      <c r="AP631" t="s">
        <v>130</v>
      </c>
      <c r="AQ631" t="s">
        <v>131</v>
      </c>
      <c r="AR631" t="s">
        <v>523</v>
      </c>
      <c r="AS631">
        <v>1071</v>
      </c>
      <c r="AT631">
        <v>1038</v>
      </c>
      <c r="AU631">
        <v>0</v>
      </c>
      <c r="AV631">
        <v>0</v>
      </c>
      <c r="AW631">
        <v>2.109</v>
      </c>
      <c r="AX631">
        <v>0.2109</v>
      </c>
      <c r="AY631">
        <v>4.218</v>
      </c>
      <c r="AZ631" t="s">
        <v>135</v>
      </c>
      <c r="BA631">
        <v>1.782</v>
      </c>
      <c r="BB631">
        <v>8.4495021337126595</v>
      </c>
      <c r="BC631" t="s">
        <v>133</v>
      </c>
      <c r="BD631">
        <v>0</v>
      </c>
      <c r="BE631" t="s">
        <v>133</v>
      </c>
      <c r="BF63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2.109</v>
      </c>
    </row>
    <row r="632" spans="1:58" x14ac:dyDescent="0.25">
      <c r="A632" t="s">
        <v>862</v>
      </c>
      <c r="B632" t="s">
        <v>19</v>
      </c>
      <c r="C632">
        <v>2</v>
      </c>
      <c r="D632">
        <v>16</v>
      </c>
      <c r="E632" t="s">
        <v>2110</v>
      </c>
      <c r="F632" t="s">
        <v>123</v>
      </c>
      <c r="G632" t="s">
        <v>124</v>
      </c>
      <c r="H632" t="s">
        <v>125</v>
      </c>
      <c r="I632" t="s">
        <v>126</v>
      </c>
      <c r="J632" t="s">
        <v>126</v>
      </c>
      <c r="K632" t="s">
        <v>127</v>
      </c>
      <c r="L632">
        <v>50</v>
      </c>
      <c r="M632">
        <v>1137123</v>
      </c>
      <c r="N632">
        <v>6</v>
      </c>
      <c r="O632">
        <v>3</v>
      </c>
      <c r="P632" t="s">
        <v>168</v>
      </c>
      <c r="Q632" t="s">
        <v>129</v>
      </c>
      <c r="R632">
        <v>2</v>
      </c>
      <c r="T632">
        <v>5</v>
      </c>
      <c r="U632">
        <v>10</v>
      </c>
      <c r="V632">
        <v>4</v>
      </c>
      <c r="W632">
        <v>3</v>
      </c>
      <c r="X632">
        <v>1</v>
      </c>
      <c r="Y632">
        <v>4</v>
      </c>
      <c r="Z632">
        <v>13</v>
      </c>
      <c r="AA632">
        <v>18</v>
      </c>
      <c r="AB632">
        <v>50</v>
      </c>
      <c r="AC632">
        <v>10</v>
      </c>
      <c r="AD632">
        <v>1</v>
      </c>
      <c r="AE632">
        <v>9</v>
      </c>
      <c r="AF632">
        <v>23</v>
      </c>
      <c r="AG632">
        <v>3</v>
      </c>
      <c r="AH632">
        <v>40</v>
      </c>
      <c r="AI632">
        <v>27</v>
      </c>
      <c r="AJ632">
        <v>28</v>
      </c>
      <c r="AK632">
        <v>37</v>
      </c>
      <c r="AL632">
        <v>0</v>
      </c>
      <c r="AM632">
        <v>0.12</v>
      </c>
      <c r="AN632">
        <v>2.5454545454545454</v>
      </c>
      <c r="AO632">
        <v>0.40909090909090906</v>
      </c>
      <c r="AP632" t="s">
        <v>130</v>
      </c>
      <c r="AQ632" t="s">
        <v>131</v>
      </c>
      <c r="AR632" t="s">
        <v>523</v>
      </c>
      <c r="AS632">
        <v>941</v>
      </c>
      <c r="AT632">
        <v>896</v>
      </c>
      <c r="AU632">
        <v>0</v>
      </c>
      <c r="AV632">
        <v>0</v>
      </c>
      <c r="AW632">
        <v>1.837</v>
      </c>
      <c r="AX632">
        <v>0.1837</v>
      </c>
      <c r="AY632">
        <v>4.2251000000000003</v>
      </c>
      <c r="AZ632" t="s">
        <v>135</v>
      </c>
      <c r="BA632">
        <v>1.7748999999999997</v>
      </c>
      <c r="BB632">
        <v>9.6619488296134985</v>
      </c>
      <c r="BC632" t="s">
        <v>133</v>
      </c>
      <c r="BD632">
        <v>0</v>
      </c>
      <c r="BE632" t="s">
        <v>133</v>
      </c>
      <c r="BF63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1.837</v>
      </c>
    </row>
    <row r="633" spans="1:58" x14ac:dyDescent="0.25">
      <c r="A633" t="s">
        <v>863</v>
      </c>
      <c r="B633" t="s">
        <v>19</v>
      </c>
      <c r="C633">
        <v>2</v>
      </c>
      <c r="D633">
        <v>17</v>
      </c>
      <c r="E633" t="s">
        <v>2110</v>
      </c>
      <c r="F633" t="s">
        <v>123</v>
      </c>
      <c r="G633" t="s">
        <v>124</v>
      </c>
      <c r="H633" t="s">
        <v>136</v>
      </c>
      <c r="I633" t="s">
        <v>137</v>
      </c>
      <c r="J633" t="s">
        <v>138</v>
      </c>
      <c r="K633" t="s">
        <v>127</v>
      </c>
      <c r="L633">
        <v>50</v>
      </c>
      <c r="M633">
        <v>1137125</v>
      </c>
      <c r="N633">
        <v>5</v>
      </c>
      <c r="O633">
        <v>3</v>
      </c>
      <c r="P633" t="s">
        <v>168</v>
      </c>
      <c r="Q633" t="s">
        <v>129</v>
      </c>
      <c r="R633">
        <v>2</v>
      </c>
      <c r="T633">
        <v>0</v>
      </c>
      <c r="U633">
        <v>4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4</v>
      </c>
      <c r="AB633">
        <v>50</v>
      </c>
      <c r="AC633">
        <v>4</v>
      </c>
      <c r="AD633">
        <v>0</v>
      </c>
      <c r="AE633">
        <v>0</v>
      </c>
      <c r="AF633">
        <v>4</v>
      </c>
      <c r="AG633">
        <v>0</v>
      </c>
      <c r="AH633">
        <v>46</v>
      </c>
      <c r="AI633">
        <v>46</v>
      </c>
      <c r="AJ633">
        <v>46</v>
      </c>
      <c r="AK633">
        <v>46</v>
      </c>
      <c r="AL633">
        <v>0</v>
      </c>
      <c r="AM633">
        <v>0.1</v>
      </c>
      <c r="AN633">
        <v>4.1818181818181817</v>
      </c>
      <c r="AO633">
        <v>0</v>
      </c>
      <c r="AP633" t="s">
        <v>139</v>
      </c>
      <c r="AQ633" t="s">
        <v>131</v>
      </c>
      <c r="AR633" t="s">
        <v>523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 t="s">
        <v>134</v>
      </c>
      <c r="BA633">
        <v>5</v>
      </c>
      <c r="BB633">
        <v>0</v>
      </c>
      <c r="BC633" t="s">
        <v>133</v>
      </c>
      <c r="BD633">
        <v>0</v>
      </c>
      <c r="BE633" t="s">
        <v>133</v>
      </c>
      <c r="BF63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34" spans="1:58" x14ac:dyDescent="0.25">
      <c r="A634" t="s">
        <v>864</v>
      </c>
      <c r="B634" t="s">
        <v>19</v>
      </c>
      <c r="C634">
        <v>2</v>
      </c>
      <c r="D634">
        <v>18</v>
      </c>
      <c r="E634" t="s">
        <v>2110</v>
      </c>
      <c r="F634" t="s">
        <v>123</v>
      </c>
      <c r="G634" t="s">
        <v>124</v>
      </c>
      <c r="H634" t="s">
        <v>125</v>
      </c>
      <c r="I634" t="s">
        <v>126</v>
      </c>
      <c r="J634" t="s">
        <v>126</v>
      </c>
      <c r="K634" t="s">
        <v>127</v>
      </c>
      <c r="L634">
        <v>50</v>
      </c>
      <c r="M634">
        <v>1137127</v>
      </c>
      <c r="N634">
        <v>6</v>
      </c>
      <c r="O634">
        <v>3</v>
      </c>
      <c r="P634" t="s">
        <v>168</v>
      </c>
      <c r="Q634" t="s">
        <v>129</v>
      </c>
      <c r="R634">
        <v>2</v>
      </c>
      <c r="T634">
        <v>5</v>
      </c>
      <c r="U634">
        <v>10</v>
      </c>
      <c r="V634">
        <v>3</v>
      </c>
      <c r="W634">
        <v>1</v>
      </c>
      <c r="X634">
        <v>2</v>
      </c>
      <c r="Y634">
        <v>7</v>
      </c>
      <c r="Z634">
        <v>15</v>
      </c>
      <c r="AA634">
        <v>20</v>
      </c>
      <c r="AB634">
        <v>50</v>
      </c>
      <c r="AC634">
        <v>11</v>
      </c>
      <c r="AD634">
        <v>3</v>
      </c>
      <c r="AE634">
        <v>11</v>
      </c>
      <c r="AF634">
        <v>26</v>
      </c>
      <c r="AG634">
        <v>1</v>
      </c>
      <c r="AH634">
        <v>39</v>
      </c>
      <c r="AI634">
        <v>24</v>
      </c>
      <c r="AJ634">
        <v>27</v>
      </c>
      <c r="AK634">
        <v>38</v>
      </c>
      <c r="AL634">
        <v>0</v>
      </c>
      <c r="AM634">
        <v>0.12</v>
      </c>
      <c r="AN634">
        <v>2.4545454545454546</v>
      </c>
      <c r="AO634">
        <v>0.13636363636363635</v>
      </c>
      <c r="AP634" t="s">
        <v>130</v>
      </c>
      <c r="AQ634" t="s">
        <v>131</v>
      </c>
      <c r="AR634" t="s">
        <v>523</v>
      </c>
      <c r="AS634">
        <v>914</v>
      </c>
      <c r="AT634">
        <v>835</v>
      </c>
      <c r="AU634">
        <v>0</v>
      </c>
      <c r="AV634">
        <v>0</v>
      </c>
      <c r="AW634">
        <v>1.7490000000000001</v>
      </c>
      <c r="AX634">
        <v>0.159</v>
      </c>
      <c r="AY634">
        <v>4.1340000000000003</v>
      </c>
      <c r="AZ634" t="s">
        <v>135</v>
      </c>
      <c r="BA634">
        <v>1.8659999999999997</v>
      </c>
      <c r="BB634">
        <v>11.735849056603771</v>
      </c>
      <c r="BC634" t="s">
        <v>133</v>
      </c>
      <c r="BD634">
        <v>0</v>
      </c>
      <c r="BE634" t="s">
        <v>133</v>
      </c>
      <c r="BF63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1.7490000000000001</v>
      </c>
    </row>
    <row r="635" spans="1:58" x14ac:dyDescent="0.25">
      <c r="A635" t="s">
        <v>865</v>
      </c>
      <c r="B635" t="s">
        <v>19</v>
      </c>
      <c r="C635">
        <v>2</v>
      </c>
      <c r="D635">
        <v>19</v>
      </c>
      <c r="E635" t="s">
        <v>2110</v>
      </c>
      <c r="F635" t="s">
        <v>123</v>
      </c>
      <c r="G635" t="s">
        <v>124</v>
      </c>
      <c r="H635" t="s">
        <v>125</v>
      </c>
      <c r="I635" t="s">
        <v>126</v>
      </c>
      <c r="J635" t="s">
        <v>126</v>
      </c>
      <c r="K635" t="s">
        <v>127</v>
      </c>
      <c r="L635">
        <v>50</v>
      </c>
      <c r="M635">
        <v>1137129</v>
      </c>
      <c r="N635">
        <v>6</v>
      </c>
      <c r="O635">
        <v>3</v>
      </c>
      <c r="P635" t="s">
        <v>168</v>
      </c>
      <c r="Q635" t="s">
        <v>129</v>
      </c>
      <c r="R635">
        <v>2</v>
      </c>
      <c r="T635">
        <v>3</v>
      </c>
      <c r="U635">
        <v>8</v>
      </c>
      <c r="V635">
        <v>3</v>
      </c>
      <c r="W635">
        <v>1</v>
      </c>
      <c r="X635">
        <v>2</v>
      </c>
      <c r="Y635">
        <v>5</v>
      </c>
      <c r="Z635">
        <v>11</v>
      </c>
      <c r="AA635">
        <v>16</v>
      </c>
      <c r="AB635">
        <v>50</v>
      </c>
      <c r="AC635">
        <v>12</v>
      </c>
      <c r="AD635">
        <v>2</v>
      </c>
      <c r="AE635">
        <v>6</v>
      </c>
      <c r="AF635">
        <v>21</v>
      </c>
      <c r="AG635">
        <v>1</v>
      </c>
      <c r="AH635">
        <v>38</v>
      </c>
      <c r="AI635">
        <v>29</v>
      </c>
      <c r="AJ635">
        <v>31</v>
      </c>
      <c r="AK635">
        <v>37</v>
      </c>
      <c r="AL635">
        <v>0</v>
      </c>
      <c r="AM635">
        <v>0.12</v>
      </c>
      <c r="AN635">
        <v>2.8181818181818183</v>
      </c>
      <c r="AO635">
        <v>0.13636363636363635</v>
      </c>
      <c r="AP635" t="s">
        <v>130</v>
      </c>
      <c r="AQ635" t="s">
        <v>131</v>
      </c>
      <c r="AR635" t="s">
        <v>523</v>
      </c>
      <c r="AS635">
        <v>790</v>
      </c>
      <c r="AT635">
        <v>1025</v>
      </c>
      <c r="AU635">
        <v>0</v>
      </c>
      <c r="AV635">
        <v>0</v>
      </c>
      <c r="AW635">
        <v>1.8149999999999999</v>
      </c>
      <c r="AX635">
        <v>0.15125</v>
      </c>
      <c r="AY635">
        <v>3.17625</v>
      </c>
      <c r="AZ635" t="s">
        <v>135</v>
      </c>
      <c r="BA635">
        <v>2.82375</v>
      </c>
      <c r="BB635">
        <v>18.669421487603305</v>
      </c>
      <c r="BC635" t="s">
        <v>133</v>
      </c>
      <c r="BD635">
        <v>0</v>
      </c>
      <c r="BE635" t="s">
        <v>133</v>
      </c>
      <c r="BF63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1.8149999999999999</v>
      </c>
    </row>
    <row r="636" spans="1:58" x14ac:dyDescent="0.25">
      <c r="A636" t="s">
        <v>866</v>
      </c>
      <c r="B636" t="s">
        <v>19</v>
      </c>
      <c r="C636">
        <v>2</v>
      </c>
      <c r="D636">
        <v>20</v>
      </c>
      <c r="E636" t="s">
        <v>2110</v>
      </c>
      <c r="F636" t="s">
        <v>123</v>
      </c>
      <c r="G636" t="s">
        <v>124</v>
      </c>
      <c r="H636" t="s">
        <v>125</v>
      </c>
      <c r="I636" t="s">
        <v>126</v>
      </c>
      <c r="J636" t="s">
        <v>126</v>
      </c>
      <c r="K636" t="s">
        <v>127</v>
      </c>
      <c r="L636">
        <v>50</v>
      </c>
      <c r="M636">
        <v>1137131</v>
      </c>
      <c r="N636">
        <v>6</v>
      </c>
      <c r="O636">
        <v>3</v>
      </c>
      <c r="P636" t="s">
        <v>168</v>
      </c>
      <c r="Q636" t="s">
        <v>129</v>
      </c>
      <c r="R636">
        <v>2</v>
      </c>
      <c r="T636">
        <v>13</v>
      </c>
      <c r="U636">
        <v>18</v>
      </c>
      <c r="V636">
        <v>1</v>
      </c>
      <c r="W636">
        <v>1</v>
      </c>
      <c r="X636">
        <v>0</v>
      </c>
      <c r="Y636">
        <v>8</v>
      </c>
      <c r="Z636">
        <v>22</v>
      </c>
      <c r="AA636">
        <v>27</v>
      </c>
      <c r="AB636">
        <v>50</v>
      </c>
      <c r="AC636">
        <v>18</v>
      </c>
      <c r="AD636">
        <v>0</v>
      </c>
      <c r="AE636">
        <v>16</v>
      </c>
      <c r="AF636">
        <v>35</v>
      </c>
      <c r="AG636">
        <v>1</v>
      </c>
      <c r="AH636">
        <v>32</v>
      </c>
      <c r="AI636">
        <v>15</v>
      </c>
      <c r="AJ636">
        <v>15</v>
      </c>
      <c r="AK636">
        <v>31</v>
      </c>
      <c r="AL636">
        <v>0</v>
      </c>
      <c r="AM636">
        <v>0.12</v>
      </c>
      <c r="AN636">
        <v>1.3636363636363638</v>
      </c>
      <c r="AO636">
        <v>0.13636363636363635</v>
      </c>
      <c r="AP636" t="s">
        <v>130</v>
      </c>
      <c r="AQ636" t="s">
        <v>131</v>
      </c>
      <c r="AR636" t="s">
        <v>523</v>
      </c>
      <c r="AS636">
        <v>2598</v>
      </c>
      <c r="AT636">
        <v>2506</v>
      </c>
      <c r="AU636">
        <v>0</v>
      </c>
      <c r="AV636">
        <v>0</v>
      </c>
      <c r="AW636">
        <v>5.1040000000000001</v>
      </c>
      <c r="AX636">
        <v>0.28355555555555556</v>
      </c>
      <c r="AY636">
        <v>9.9244444444444451</v>
      </c>
      <c r="AZ636" t="s">
        <v>135</v>
      </c>
      <c r="BA636">
        <v>-3.9244444444444451</v>
      </c>
      <c r="BB636">
        <v>-13.840125391849531</v>
      </c>
      <c r="BC636" t="s">
        <v>133</v>
      </c>
      <c r="BD636">
        <v>0</v>
      </c>
      <c r="BE636" t="s">
        <v>133</v>
      </c>
      <c r="BF63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5.1040000000000001</v>
      </c>
    </row>
    <row r="637" spans="1:58" x14ac:dyDescent="0.25">
      <c r="A637" t="s">
        <v>867</v>
      </c>
      <c r="B637" t="s">
        <v>19</v>
      </c>
      <c r="C637">
        <v>2</v>
      </c>
      <c r="D637">
        <v>21</v>
      </c>
      <c r="E637" t="s">
        <v>2110</v>
      </c>
      <c r="F637" t="s">
        <v>123</v>
      </c>
      <c r="G637" t="s">
        <v>124</v>
      </c>
      <c r="H637" t="s">
        <v>125</v>
      </c>
      <c r="I637" t="s">
        <v>126</v>
      </c>
      <c r="J637" t="s">
        <v>126</v>
      </c>
      <c r="K637" t="s">
        <v>127</v>
      </c>
      <c r="L637">
        <v>50</v>
      </c>
      <c r="M637">
        <v>1137133</v>
      </c>
      <c r="N637">
        <v>6</v>
      </c>
      <c r="O637">
        <v>3</v>
      </c>
      <c r="P637" t="s">
        <v>168</v>
      </c>
      <c r="Q637" t="s">
        <v>129</v>
      </c>
      <c r="R637">
        <v>2</v>
      </c>
      <c r="T637">
        <v>5</v>
      </c>
      <c r="U637">
        <v>10</v>
      </c>
      <c r="V637">
        <v>0</v>
      </c>
      <c r="W637">
        <v>0</v>
      </c>
      <c r="X637">
        <v>0</v>
      </c>
      <c r="Y637">
        <v>3</v>
      </c>
      <c r="Z637">
        <v>8</v>
      </c>
      <c r="AA637">
        <v>13</v>
      </c>
      <c r="AB637">
        <v>50</v>
      </c>
      <c r="AC637">
        <v>11</v>
      </c>
      <c r="AD637">
        <v>0</v>
      </c>
      <c r="AE637">
        <v>3</v>
      </c>
      <c r="AF637">
        <v>14</v>
      </c>
      <c r="AG637">
        <v>0</v>
      </c>
      <c r="AH637">
        <v>39</v>
      </c>
      <c r="AI637">
        <v>36</v>
      </c>
      <c r="AJ637">
        <v>36</v>
      </c>
      <c r="AK637">
        <v>39</v>
      </c>
      <c r="AL637">
        <v>0</v>
      </c>
      <c r="AM637">
        <v>0.12</v>
      </c>
      <c r="AN637">
        <v>3.2727272727272729</v>
      </c>
      <c r="AO637">
        <v>0</v>
      </c>
      <c r="AP637" t="s">
        <v>130</v>
      </c>
      <c r="AQ637" t="s">
        <v>131</v>
      </c>
      <c r="AR637" t="s">
        <v>523</v>
      </c>
      <c r="AS637">
        <v>739</v>
      </c>
      <c r="AT637">
        <v>668</v>
      </c>
      <c r="AU637">
        <v>0</v>
      </c>
      <c r="AV637">
        <v>0</v>
      </c>
      <c r="AW637">
        <v>1.407</v>
      </c>
      <c r="AX637">
        <v>0.12790909090909092</v>
      </c>
      <c r="AY637">
        <v>1.7907272727272727</v>
      </c>
      <c r="AZ637" t="s">
        <v>135</v>
      </c>
      <c r="BA637">
        <v>4.2092727272727277</v>
      </c>
      <c r="BB637">
        <v>32.908315565031984</v>
      </c>
      <c r="BC637" t="s">
        <v>133</v>
      </c>
      <c r="BD637">
        <v>0</v>
      </c>
      <c r="BE637" t="s">
        <v>133</v>
      </c>
      <c r="BF63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1.407</v>
      </c>
    </row>
    <row r="638" spans="1:58" x14ac:dyDescent="0.25">
      <c r="A638" t="s">
        <v>868</v>
      </c>
      <c r="B638" t="s">
        <v>19</v>
      </c>
      <c r="C638">
        <v>2</v>
      </c>
      <c r="D638">
        <v>22</v>
      </c>
      <c r="E638" t="s">
        <v>2110</v>
      </c>
      <c r="F638" t="s">
        <v>123</v>
      </c>
      <c r="G638" t="s">
        <v>124</v>
      </c>
      <c r="H638" t="s">
        <v>125</v>
      </c>
      <c r="I638" t="s">
        <v>126</v>
      </c>
      <c r="J638" t="s">
        <v>126</v>
      </c>
      <c r="K638" t="s">
        <v>127</v>
      </c>
      <c r="L638">
        <v>50</v>
      </c>
      <c r="M638">
        <v>1137135</v>
      </c>
      <c r="N638">
        <v>6</v>
      </c>
      <c r="O638">
        <v>3</v>
      </c>
      <c r="P638" t="s">
        <v>168</v>
      </c>
      <c r="Q638" t="s">
        <v>129</v>
      </c>
      <c r="R638">
        <v>2</v>
      </c>
      <c r="T638">
        <v>7</v>
      </c>
      <c r="U638">
        <v>12</v>
      </c>
      <c r="V638">
        <v>1</v>
      </c>
      <c r="W638">
        <v>0</v>
      </c>
      <c r="X638">
        <v>1</v>
      </c>
      <c r="Y638">
        <v>1</v>
      </c>
      <c r="Z638">
        <v>9</v>
      </c>
      <c r="AA638">
        <v>14</v>
      </c>
      <c r="AB638">
        <v>50</v>
      </c>
      <c r="AC638">
        <v>12</v>
      </c>
      <c r="AD638">
        <v>1</v>
      </c>
      <c r="AE638">
        <v>1</v>
      </c>
      <c r="AF638">
        <v>14</v>
      </c>
      <c r="AG638">
        <v>0</v>
      </c>
      <c r="AH638">
        <v>38</v>
      </c>
      <c r="AI638">
        <v>36</v>
      </c>
      <c r="AJ638">
        <v>37</v>
      </c>
      <c r="AK638">
        <v>38</v>
      </c>
      <c r="AL638">
        <v>0</v>
      </c>
      <c r="AM638">
        <v>0.12</v>
      </c>
      <c r="AN638">
        <v>3.3636363636363638</v>
      </c>
      <c r="AO638">
        <v>0</v>
      </c>
      <c r="AP638" t="s">
        <v>130</v>
      </c>
      <c r="AQ638" t="s">
        <v>131</v>
      </c>
      <c r="AR638" t="s">
        <v>523</v>
      </c>
      <c r="AS638">
        <v>1051</v>
      </c>
      <c r="AT638">
        <v>1026</v>
      </c>
      <c r="AU638">
        <v>0</v>
      </c>
      <c r="AV638">
        <v>0</v>
      </c>
      <c r="AW638">
        <v>2.077</v>
      </c>
      <c r="AX638">
        <v>0.17308333333333334</v>
      </c>
      <c r="AY638">
        <v>2.4231666666666669</v>
      </c>
      <c r="AZ638" t="s">
        <v>135</v>
      </c>
      <c r="BA638">
        <v>3.5768333333333331</v>
      </c>
      <c r="BB638">
        <v>20.665382763601347</v>
      </c>
      <c r="BC638" t="s">
        <v>144</v>
      </c>
      <c r="BD638">
        <v>0</v>
      </c>
      <c r="BE638" t="s">
        <v>133</v>
      </c>
      <c r="BF63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2.077</v>
      </c>
    </row>
    <row r="639" spans="1:58" x14ac:dyDescent="0.25">
      <c r="A639" t="s">
        <v>869</v>
      </c>
      <c r="B639" t="s">
        <v>19</v>
      </c>
      <c r="C639">
        <v>2</v>
      </c>
      <c r="D639">
        <v>23</v>
      </c>
      <c r="E639" t="s">
        <v>2108</v>
      </c>
      <c r="F639" t="s">
        <v>123</v>
      </c>
      <c r="G639" t="s">
        <v>124</v>
      </c>
      <c r="H639" t="s">
        <v>125</v>
      </c>
      <c r="I639" t="s">
        <v>126</v>
      </c>
      <c r="J639" t="s">
        <v>126</v>
      </c>
      <c r="K639" t="s">
        <v>127</v>
      </c>
      <c r="L639">
        <v>50</v>
      </c>
      <c r="M639">
        <v>1137137</v>
      </c>
      <c r="N639">
        <v>6</v>
      </c>
      <c r="O639">
        <v>3</v>
      </c>
      <c r="P639" t="s">
        <v>168</v>
      </c>
      <c r="Q639" t="s">
        <v>129</v>
      </c>
      <c r="R639">
        <v>3</v>
      </c>
      <c r="T639">
        <v>17</v>
      </c>
      <c r="U639">
        <v>22</v>
      </c>
      <c r="V639">
        <v>4</v>
      </c>
      <c r="W639">
        <v>0</v>
      </c>
      <c r="X639">
        <v>4</v>
      </c>
      <c r="Y639">
        <v>4</v>
      </c>
      <c r="Z639">
        <v>25</v>
      </c>
      <c r="AA639">
        <v>30</v>
      </c>
      <c r="AB639">
        <v>50</v>
      </c>
      <c r="AC639">
        <v>26</v>
      </c>
      <c r="AD639">
        <v>5</v>
      </c>
      <c r="AE639">
        <v>5</v>
      </c>
      <c r="AF639">
        <v>36</v>
      </c>
      <c r="AG639">
        <v>0</v>
      </c>
      <c r="AH639">
        <v>24</v>
      </c>
      <c r="AI639">
        <v>14</v>
      </c>
      <c r="AJ639">
        <v>19</v>
      </c>
      <c r="AK639">
        <v>24</v>
      </c>
      <c r="AL639">
        <v>0</v>
      </c>
      <c r="AM639">
        <v>0.12</v>
      </c>
      <c r="AN639">
        <v>1.7272727272727273</v>
      </c>
      <c r="AO639">
        <v>0</v>
      </c>
      <c r="AP639" t="s">
        <v>130</v>
      </c>
      <c r="AQ639" t="s">
        <v>131</v>
      </c>
      <c r="AR639" t="s">
        <v>194</v>
      </c>
      <c r="AS639">
        <v>2950</v>
      </c>
      <c r="AT639">
        <v>2927</v>
      </c>
      <c r="AU639">
        <v>0</v>
      </c>
      <c r="AV639">
        <v>0</v>
      </c>
      <c r="AW639">
        <v>5.8769999999999998</v>
      </c>
      <c r="AX639">
        <v>0.22603846153846152</v>
      </c>
      <c r="AY639">
        <v>8.1373846153846152</v>
      </c>
      <c r="AZ639" t="s">
        <v>135</v>
      </c>
      <c r="BA639">
        <v>-2.1373846153846152</v>
      </c>
      <c r="BB639">
        <v>-9.4558448187850939</v>
      </c>
      <c r="BC639" t="s">
        <v>132</v>
      </c>
      <c r="BD639">
        <v>0</v>
      </c>
      <c r="BE639" t="s">
        <v>133</v>
      </c>
      <c r="BF63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5.8769999999999998</v>
      </c>
    </row>
    <row r="640" spans="1:58" x14ac:dyDescent="0.25">
      <c r="A640" t="s">
        <v>870</v>
      </c>
      <c r="B640" t="s">
        <v>19</v>
      </c>
      <c r="C640">
        <v>2</v>
      </c>
      <c r="D640">
        <v>24</v>
      </c>
      <c r="E640" t="s">
        <v>2108</v>
      </c>
      <c r="F640" t="s">
        <v>123</v>
      </c>
      <c r="G640" t="s">
        <v>124</v>
      </c>
      <c r="H640" t="s">
        <v>125</v>
      </c>
      <c r="I640" t="s">
        <v>126</v>
      </c>
      <c r="J640" t="s">
        <v>126</v>
      </c>
      <c r="K640" t="s">
        <v>127</v>
      </c>
      <c r="L640">
        <v>50</v>
      </c>
      <c r="M640">
        <v>1137139</v>
      </c>
      <c r="N640">
        <v>6</v>
      </c>
      <c r="O640">
        <v>3</v>
      </c>
      <c r="P640" t="s">
        <v>168</v>
      </c>
      <c r="Q640" t="s">
        <v>129</v>
      </c>
      <c r="R640">
        <v>3</v>
      </c>
      <c r="T640">
        <v>15</v>
      </c>
      <c r="U640">
        <v>20</v>
      </c>
      <c r="V640">
        <v>10</v>
      </c>
      <c r="W640">
        <v>0</v>
      </c>
      <c r="X640">
        <v>10</v>
      </c>
      <c r="Y640">
        <v>2</v>
      </c>
      <c r="Z640">
        <v>27</v>
      </c>
      <c r="AA640">
        <v>32</v>
      </c>
      <c r="AB640">
        <v>50</v>
      </c>
      <c r="AC640">
        <v>22</v>
      </c>
      <c r="AD640">
        <v>12</v>
      </c>
      <c r="AE640">
        <v>4</v>
      </c>
      <c r="AF640">
        <v>38</v>
      </c>
      <c r="AG640">
        <v>0</v>
      </c>
      <c r="AH640">
        <v>28</v>
      </c>
      <c r="AI640">
        <v>12</v>
      </c>
      <c r="AJ640">
        <v>24</v>
      </c>
      <c r="AK640">
        <v>28</v>
      </c>
      <c r="AL640">
        <v>0</v>
      </c>
      <c r="AM640">
        <v>0.12</v>
      </c>
      <c r="AN640">
        <v>2.1818181818181817</v>
      </c>
      <c r="AO640">
        <v>0</v>
      </c>
      <c r="AP640" t="s">
        <v>130</v>
      </c>
      <c r="AQ640" t="s">
        <v>131</v>
      </c>
      <c r="AR640" t="s">
        <v>194</v>
      </c>
      <c r="AS640">
        <v>2277</v>
      </c>
      <c r="AT640">
        <v>2238</v>
      </c>
      <c r="AU640">
        <v>0</v>
      </c>
      <c r="AV640">
        <v>0</v>
      </c>
      <c r="AW640">
        <v>4.5149999999999997</v>
      </c>
      <c r="AX640">
        <v>0.2052272727272727</v>
      </c>
      <c r="AY640">
        <v>7.7986363636363629</v>
      </c>
      <c r="AZ640" t="s">
        <v>135</v>
      </c>
      <c r="BA640">
        <v>-1.7986363636363629</v>
      </c>
      <c r="BB640">
        <v>-8.7641196013289004</v>
      </c>
      <c r="BC640" t="s">
        <v>133</v>
      </c>
      <c r="BD640">
        <v>0</v>
      </c>
      <c r="BE640" t="s">
        <v>133</v>
      </c>
      <c r="BF64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4.5149999999999997</v>
      </c>
    </row>
    <row r="641" spans="1:58" x14ac:dyDescent="0.25">
      <c r="A641" t="s">
        <v>871</v>
      </c>
      <c r="B641" t="s">
        <v>19</v>
      </c>
      <c r="C641">
        <v>2</v>
      </c>
      <c r="D641">
        <v>25</v>
      </c>
      <c r="E641" t="s">
        <v>2108</v>
      </c>
      <c r="F641" t="s">
        <v>123</v>
      </c>
      <c r="G641" t="s">
        <v>124</v>
      </c>
      <c r="H641" t="s">
        <v>125</v>
      </c>
      <c r="I641" t="s">
        <v>126</v>
      </c>
      <c r="J641" t="s">
        <v>126</v>
      </c>
      <c r="K641" t="s">
        <v>127</v>
      </c>
      <c r="L641">
        <v>50</v>
      </c>
      <c r="M641">
        <v>1137141</v>
      </c>
      <c r="N641">
        <v>6</v>
      </c>
      <c r="O641">
        <v>3</v>
      </c>
      <c r="P641" t="s">
        <v>168</v>
      </c>
      <c r="Q641" t="s">
        <v>129</v>
      </c>
      <c r="R641">
        <v>3</v>
      </c>
      <c r="T641">
        <v>19</v>
      </c>
      <c r="U641">
        <v>24</v>
      </c>
      <c r="V641">
        <v>2</v>
      </c>
      <c r="W641">
        <v>0</v>
      </c>
      <c r="X641">
        <v>2</v>
      </c>
      <c r="Y641">
        <v>1</v>
      </c>
      <c r="Z641">
        <v>22</v>
      </c>
      <c r="AA641">
        <v>27</v>
      </c>
      <c r="AB641">
        <v>50</v>
      </c>
      <c r="AC641">
        <v>27</v>
      </c>
      <c r="AD641">
        <v>2</v>
      </c>
      <c r="AE641">
        <v>1</v>
      </c>
      <c r="AF641">
        <v>30</v>
      </c>
      <c r="AG641">
        <v>0</v>
      </c>
      <c r="AH641">
        <v>23</v>
      </c>
      <c r="AI641">
        <v>20</v>
      </c>
      <c r="AJ641">
        <v>22</v>
      </c>
      <c r="AK641">
        <v>23</v>
      </c>
      <c r="AL641">
        <v>0</v>
      </c>
      <c r="AM641">
        <v>0.12</v>
      </c>
      <c r="AN641">
        <v>2</v>
      </c>
      <c r="AO641">
        <v>0</v>
      </c>
      <c r="AP641" t="s">
        <v>130</v>
      </c>
      <c r="AQ641" t="s">
        <v>131</v>
      </c>
      <c r="AR641" t="s">
        <v>194</v>
      </c>
      <c r="AS641">
        <v>3184</v>
      </c>
      <c r="AT641">
        <v>3158</v>
      </c>
      <c r="AU641">
        <v>0</v>
      </c>
      <c r="AV641">
        <v>0</v>
      </c>
      <c r="AW641">
        <v>6.3419999999999996</v>
      </c>
      <c r="AX641">
        <v>0.23488888888888887</v>
      </c>
      <c r="AY641">
        <v>7.046666666666666</v>
      </c>
      <c r="AZ641" t="s">
        <v>135</v>
      </c>
      <c r="BA641">
        <v>-1.046666666666666</v>
      </c>
      <c r="BB641">
        <v>-4.4560075685903477</v>
      </c>
      <c r="BC641" t="s">
        <v>133</v>
      </c>
      <c r="BD641">
        <v>0</v>
      </c>
      <c r="BE641" t="s">
        <v>133</v>
      </c>
      <c r="BF64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6.3419999999999996</v>
      </c>
    </row>
    <row r="642" spans="1:58" x14ac:dyDescent="0.25">
      <c r="A642" t="s">
        <v>872</v>
      </c>
      <c r="B642" t="s">
        <v>19</v>
      </c>
      <c r="C642">
        <v>2</v>
      </c>
      <c r="D642">
        <v>26</v>
      </c>
      <c r="E642" t="s">
        <v>2108</v>
      </c>
      <c r="F642" t="s">
        <v>123</v>
      </c>
      <c r="G642" t="s">
        <v>124</v>
      </c>
      <c r="H642" t="s">
        <v>125</v>
      </c>
      <c r="I642" t="s">
        <v>126</v>
      </c>
      <c r="J642" t="s">
        <v>126</v>
      </c>
      <c r="K642" t="s">
        <v>127</v>
      </c>
      <c r="L642">
        <v>50</v>
      </c>
      <c r="M642">
        <v>1137143</v>
      </c>
      <c r="N642">
        <v>6</v>
      </c>
      <c r="O642">
        <v>3</v>
      </c>
      <c r="P642" t="s">
        <v>168</v>
      </c>
      <c r="Q642" t="s">
        <v>129</v>
      </c>
      <c r="R642">
        <v>3</v>
      </c>
      <c r="T642">
        <v>13</v>
      </c>
      <c r="U642">
        <v>18</v>
      </c>
      <c r="V642">
        <v>7</v>
      </c>
      <c r="W642">
        <v>0</v>
      </c>
      <c r="X642">
        <v>7</v>
      </c>
      <c r="Y642">
        <v>4</v>
      </c>
      <c r="Z642">
        <v>24</v>
      </c>
      <c r="AA642">
        <v>29</v>
      </c>
      <c r="AB642">
        <v>50</v>
      </c>
      <c r="AC642">
        <v>18</v>
      </c>
      <c r="AD642">
        <v>8</v>
      </c>
      <c r="AE642">
        <v>4</v>
      </c>
      <c r="AF642">
        <v>30</v>
      </c>
      <c r="AG642">
        <v>0</v>
      </c>
      <c r="AH642">
        <v>32</v>
      </c>
      <c r="AI642">
        <v>20</v>
      </c>
      <c r="AJ642">
        <v>28</v>
      </c>
      <c r="AK642">
        <v>32</v>
      </c>
      <c r="AL642">
        <v>0</v>
      </c>
      <c r="AM642">
        <v>0.12</v>
      </c>
      <c r="AN642">
        <v>2.5454545454545454</v>
      </c>
      <c r="AO642">
        <v>0</v>
      </c>
      <c r="AP642" t="s">
        <v>130</v>
      </c>
      <c r="AQ642" t="s">
        <v>131</v>
      </c>
      <c r="AR642" t="s">
        <v>194</v>
      </c>
      <c r="AS642">
        <v>1807</v>
      </c>
      <c r="AT642">
        <v>1817</v>
      </c>
      <c r="AU642">
        <v>0</v>
      </c>
      <c r="AV642">
        <v>0</v>
      </c>
      <c r="AW642">
        <v>3.6240000000000001</v>
      </c>
      <c r="AX642">
        <v>0.20133333333333334</v>
      </c>
      <c r="AY642">
        <v>6.04</v>
      </c>
      <c r="AZ642" t="s">
        <v>135</v>
      </c>
      <c r="BA642">
        <v>-4.0000000000000036E-2</v>
      </c>
      <c r="BB642">
        <v>-0.1986754966887419</v>
      </c>
      <c r="BC642" t="s">
        <v>133</v>
      </c>
      <c r="BD642">
        <v>0</v>
      </c>
      <c r="BE642" t="s">
        <v>133</v>
      </c>
      <c r="BF64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3.6240000000000001</v>
      </c>
    </row>
    <row r="643" spans="1:58" x14ac:dyDescent="0.25">
      <c r="A643" t="s">
        <v>873</v>
      </c>
      <c r="B643" t="s">
        <v>19</v>
      </c>
      <c r="C643">
        <v>2</v>
      </c>
      <c r="D643">
        <v>27</v>
      </c>
      <c r="E643" t="s">
        <v>2108</v>
      </c>
      <c r="F643" t="s">
        <v>123</v>
      </c>
      <c r="G643" t="s">
        <v>124</v>
      </c>
      <c r="H643" t="s">
        <v>125</v>
      </c>
      <c r="I643" t="s">
        <v>126</v>
      </c>
      <c r="J643" t="s">
        <v>126</v>
      </c>
      <c r="K643" t="s">
        <v>127</v>
      </c>
      <c r="L643">
        <v>50</v>
      </c>
      <c r="M643">
        <v>1137145</v>
      </c>
      <c r="N643">
        <v>6</v>
      </c>
      <c r="O643">
        <v>3</v>
      </c>
      <c r="P643" t="s">
        <v>168</v>
      </c>
      <c r="Q643" t="s">
        <v>129</v>
      </c>
      <c r="R643">
        <v>3</v>
      </c>
      <c r="T643">
        <v>17</v>
      </c>
      <c r="U643">
        <v>22</v>
      </c>
      <c r="V643">
        <v>3</v>
      </c>
      <c r="W643">
        <v>0</v>
      </c>
      <c r="X643">
        <v>3</v>
      </c>
      <c r="Y643">
        <v>0</v>
      </c>
      <c r="Z643">
        <v>20</v>
      </c>
      <c r="AA643">
        <v>25</v>
      </c>
      <c r="AB643">
        <v>50</v>
      </c>
      <c r="AC643">
        <v>25</v>
      </c>
      <c r="AD643">
        <v>4</v>
      </c>
      <c r="AE643">
        <v>0</v>
      </c>
      <c r="AF643">
        <v>29</v>
      </c>
      <c r="AG643">
        <v>0</v>
      </c>
      <c r="AH643">
        <v>25</v>
      </c>
      <c r="AI643">
        <v>21</v>
      </c>
      <c r="AJ643">
        <v>25</v>
      </c>
      <c r="AK643">
        <v>25</v>
      </c>
      <c r="AL643">
        <v>0</v>
      </c>
      <c r="AM643">
        <v>0.12</v>
      </c>
      <c r="AN643">
        <v>2.2727272727272729</v>
      </c>
      <c r="AO643">
        <v>0</v>
      </c>
      <c r="AP643" t="s">
        <v>130</v>
      </c>
      <c r="AQ643" t="s">
        <v>131</v>
      </c>
      <c r="AR643" t="s">
        <v>194</v>
      </c>
      <c r="AS643">
        <v>2402</v>
      </c>
      <c r="AT643">
        <v>2372</v>
      </c>
      <c r="AU643">
        <v>0</v>
      </c>
      <c r="AV643">
        <v>0</v>
      </c>
      <c r="AW643">
        <v>4.774</v>
      </c>
      <c r="AX643">
        <v>0.19095999999999999</v>
      </c>
      <c r="AY643">
        <v>5.5378400000000001</v>
      </c>
      <c r="AZ643" t="s">
        <v>135</v>
      </c>
      <c r="BA643">
        <v>0.4621599999999999</v>
      </c>
      <c r="BB643">
        <v>2.4201927105152907</v>
      </c>
      <c r="BC643" t="s">
        <v>133</v>
      </c>
      <c r="BD643">
        <v>0</v>
      </c>
      <c r="BE643" t="s">
        <v>133</v>
      </c>
      <c r="BF64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4.774</v>
      </c>
    </row>
    <row r="644" spans="1:58" x14ac:dyDescent="0.25">
      <c r="A644" t="s">
        <v>874</v>
      </c>
      <c r="B644" t="s">
        <v>19</v>
      </c>
      <c r="C644">
        <v>2</v>
      </c>
      <c r="D644">
        <v>28</v>
      </c>
      <c r="E644" t="s">
        <v>2108</v>
      </c>
      <c r="F644" t="s">
        <v>123</v>
      </c>
      <c r="G644" t="s">
        <v>124</v>
      </c>
      <c r="H644" t="s">
        <v>136</v>
      </c>
      <c r="I644" t="s">
        <v>137</v>
      </c>
      <c r="J644" t="s">
        <v>138</v>
      </c>
      <c r="K644" t="s">
        <v>127</v>
      </c>
      <c r="L644">
        <v>50</v>
      </c>
      <c r="M644">
        <v>1137147</v>
      </c>
      <c r="N644">
        <v>5</v>
      </c>
      <c r="O644">
        <v>3</v>
      </c>
      <c r="P644" t="s">
        <v>168</v>
      </c>
      <c r="Q644" t="s">
        <v>129</v>
      </c>
      <c r="R644">
        <v>3</v>
      </c>
      <c r="T644">
        <v>0</v>
      </c>
      <c r="U644">
        <v>4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4</v>
      </c>
      <c r="AB644">
        <v>50</v>
      </c>
      <c r="AC644">
        <v>4</v>
      </c>
      <c r="AD644">
        <v>0</v>
      </c>
      <c r="AE644">
        <v>0</v>
      </c>
      <c r="AF644">
        <v>4</v>
      </c>
      <c r="AG644">
        <v>0</v>
      </c>
      <c r="AH644">
        <v>46</v>
      </c>
      <c r="AI644">
        <v>46</v>
      </c>
      <c r="AJ644">
        <v>46</v>
      </c>
      <c r="AK644">
        <v>46</v>
      </c>
      <c r="AL644">
        <v>0</v>
      </c>
      <c r="AM644">
        <v>0.1</v>
      </c>
      <c r="AN644">
        <v>4.1818181818181817</v>
      </c>
      <c r="AO644">
        <v>0</v>
      </c>
      <c r="AP644" t="s">
        <v>139</v>
      </c>
      <c r="AQ644" t="s">
        <v>131</v>
      </c>
      <c r="AR644" t="s">
        <v>194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 t="s">
        <v>134</v>
      </c>
      <c r="BA644">
        <v>5</v>
      </c>
      <c r="BB644">
        <v>0</v>
      </c>
      <c r="BC644" t="s">
        <v>133</v>
      </c>
      <c r="BD644">
        <v>0</v>
      </c>
      <c r="BE644" t="s">
        <v>133</v>
      </c>
      <c r="BF64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45" spans="1:58" x14ac:dyDescent="0.25">
      <c r="A645" t="s">
        <v>875</v>
      </c>
      <c r="B645" t="s">
        <v>19</v>
      </c>
      <c r="C645">
        <v>2</v>
      </c>
      <c r="D645">
        <v>29</v>
      </c>
      <c r="E645" t="s">
        <v>2108</v>
      </c>
      <c r="F645" t="s">
        <v>123</v>
      </c>
      <c r="G645" t="s">
        <v>124</v>
      </c>
      <c r="H645" t="s">
        <v>125</v>
      </c>
      <c r="I645" t="s">
        <v>126</v>
      </c>
      <c r="J645" t="s">
        <v>126</v>
      </c>
      <c r="K645" t="s">
        <v>127</v>
      </c>
      <c r="L645">
        <v>50</v>
      </c>
      <c r="M645">
        <v>1137149</v>
      </c>
      <c r="N645">
        <v>6</v>
      </c>
      <c r="O645">
        <v>3</v>
      </c>
      <c r="P645" t="s">
        <v>168</v>
      </c>
      <c r="Q645" t="s">
        <v>129</v>
      </c>
      <c r="R645">
        <v>3</v>
      </c>
      <c r="T645">
        <v>14</v>
      </c>
      <c r="U645">
        <v>19</v>
      </c>
      <c r="V645">
        <v>5</v>
      </c>
      <c r="W645">
        <v>0</v>
      </c>
      <c r="X645">
        <v>5</v>
      </c>
      <c r="Y645">
        <v>1</v>
      </c>
      <c r="Z645">
        <v>20</v>
      </c>
      <c r="AA645">
        <v>25</v>
      </c>
      <c r="AB645">
        <v>50</v>
      </c>
      <c r="AC645">
        <v>19</v>
      </c>
      <c r="AD645">
        <v>5</v>
      </c>
      <c r="AE645">
        <v>2</v>
      </c>
      <c r="AF645">
        <v>26</v>
      </c>
      <c r="AG645">
        <v>0</v>
      </c>
      <c r="AH645">
        <v>31</v>
      </c>
      <c r="AI645">
        <v>24</v>
      </c>
      <c r="AJ645">
        <v>29</v>
      </c>
      <c r="AK645">
        <v>31</v>
      </c>
      <c r="AL645">
        <v>0</v>
      </c>
      <c r="AM645">
        <v>0.12</v>
      </c>
      <c r="AN645">
        <v>2.6363636363636362</v>
      </c>
      <c r="AO645">
        <v>0</v>
      </c>
      <c r="AP645" t="s">
        <v>130</v>
      </c>
      <c r="AQ645" t="s">
        <v>131</v>
      </c>
      <c r="AR645" t="s">
        <v>194</v>
      </c>
      <c r="AS645">
        <v>1791</v>
      </c>
      <c r="AT645">
        <v>1765</v>
      </c>
      <c r="AU645">
        <v>0</v>
      </c>
      <c r="AV645">
        <v>0</v>
      </c>
      <c r="AW645">
        <v>3.556</v>
      </c>
      <c r="AX645">
        <v>0.18715789473684211</v>
      </c>
      <c r="AY645">
        <v>4.8661052631578947</v>
      </c>
      <c r="AZ645" t="s">
        <v>135</v>
      </c>
      <c r="BA645">
        <v>1.1338947368421053</v>
      </c>
      <c r="BB645">
        <v>6.0584926884139483</v>
      </c>
      <c r="BC645" t="s">
        <v>133</v>
      </c>
      <c r="BD645">
        <v>0</v>
      </c>
      <c r="BE645" t="s">
        <v>133</v>
      </c>
      <c r="BF64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3.556</v>
      </c>
    </row>
    <row r="646" spans="1:58" x14ac:dyDescent="0.25">
      <c r="A646" t="s">
        <v>876</v>
      </c>
      <c r="B646" t="s">
        <v>19</v>
      </c>
      <c r="C646">
        <v>2</v>
      </c>
      <c r="D646">
        <v>30</v>
      </c>
      <c r="E646" t="s">
        <v>2108</v>
      </c>
      <c r="F646" t="s">
        <v>123</v>
      </c>
      <c r="G646" t="s">
        <v>124</v>
      </c>
      <c r="H646" t="s">
        <v>125</v>
      </c>
      <c r="I646" t="s">
        <v>126</v>
      </c>
      <c r="J646" t="s">
        <v>126</v>
      </c>
      <c r="K646" t="s">
        <v>127</v>
      </c>
      <c r="L646">
        <v>50</v>
      </c>
      <c r="M646">
        <v>1137151</v>
      </c>
      <c r="N646">
        <v>6</v>
      </c>
      <c r="O646">
        <v>3</v>
      </c>
      <c r="P646" t="s">
        <v>168</v>
      </c>
      <c r="Q646" t="s">
        <v>129</v>
      </c>
      <c r="R646">
        <v>3</v>
      </c>
      <c r="T646">
        <v>15</v>
      </c>
      <c r="U646">
        <v>20</v>
      </c>
      <c r="V646">
        <v>3</v>
      </c>
      <c r="W646">
        <v>0</v>
      </c>
      <c r="X646">
        <v>3</v>
      </c>
      <c r="Y646">
        <v>0</v>
      </c>
      <c r="Z646">
        <v>18</v>
      </c>
      <c r="AA646">
        <v>23</v>
      </c>
      <c r="AB646">
        <v>50</v>
      </c>
      <c r="AC646">
        <v>35</v>
      </c>
      <c r="AD646">
        <v>6</v>
      </c>
      <c r="AE646">
        <v>0</v>
      </c>
      <c r="AF646">
        <v>41</v>
      </c>
      <c r="AG646">
        <v>0</v>
      </c>
      <c r="AH646">
        <v>15</v>
      </c>
      <c r="AI646">
        <v>9</v>
      </c>
      <c r="AJ646">
        <v>15</v>
      </c>
      <c r="AK646">
        <v>15</v>
      </c>
      <c r="AL646">
        <v>0</v>
      </c>
      <c r="AM646">
        <v>0.12</v>
      </c>
      <c r="AN646">
        <v>1.3636363636363638</v>
      </c>
      <c r="AO646">
        <v>0</v>
      </c>
      <c r="AP646" t="s">
        <v>130</v>
      </c>
      <c r="AQ646" t="s">
        <v>131</v>
      </c>
      <c r="AR646" t="s">
        <v>194</v>
      </c>
      <c r="AS646">
        <v>1891</v>
      </c>
      <c r="AT646">
        <v>1822</v>
      </c>
      <c r="AU646">
        <v>0</v>
      </c>
      <c r="AV646">
        <v>0</v>
      </c>
      <c r="AW646">
        <v>3.7130000000000001</v>
      </c>
      <c r="AX646">
        <v>0.10608571428571428</v>
      </c>
      <c r="AY646">
        <v>4.3495142857142852</v>
      </c>
      <c r="AZ646" t="s">
        <v>135</v>
      </c>
      <c r="BA646">
        <v>1.6504857142857148</v>
      </c>
      <c r="BB646">
        <v>15.558039321303534</v>
      </c>
      <c r="BC646" t="s">
        <v>133</v>
      </c>
      <c r="BD646">
        <v>0</v>
      </c>
      <c r="BE646" t="s">
        <v>133</v>
      </c>
      <c r="BF64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3.7130000000000001</v>
      </c>
    </row>
    <row r="647" spans="1:58" x14ac:dyDescent="0.25">
      <c r="A647" t="s">
        <v>877</v>
      </c>
      <c r="B647" t="s">
        <v>19</v>
      </c>
      <c r="C647">
        <v>2</v>
      </c>
      <c r="D647">
        <v>31</v>
      </c>
      <c r="E647" t="s">
        <v>2108</v>
      </c>
      <c r="F647" t="s">
        <v>123</v>
      </c>
      <c r="G647" t="s">
        <v>124</v>
      </c>
      <c r="H647" t="s">
        <v>125</v>
      </c>
      <c r="I647" t="s">
        <v>126</v>
      </c>
      <c r="J647" t="s">
        <v>126</v>
      </c>
      <c r="K647" t="s">
        <v>127</v>
      </c>
      <c r="L647">
        <v>50</v>
      </c>
      <c r="M647">
        <v>1137153</v>
      </c>
      <c r="N647">
        <v>6</v>
      </c>
      <c r="O647">
        <v>3</v>
      </c>
      <c r="P647" t="s">
        <v>168</v>
      </c>
      <c r="Q647" t="s">
        <v>129</v>
      </c>
      <c r="R647">
        <v>3</v>
      </c>
      <c r="T647">
        <v>0</v>
      </c>
      <c r="U647">
        <v>5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5</v>
      </c>
      <c r="AB647">
        <v>50</v>
      </c>
      <c r="AC647">
        <v>5</v>
      </c>
      <c r="AD647">
        <v>0</v>
      </c>
      <c r="AE647">
        <v>0</v>
      </c>
      <c r="AF647">
        <v>5</v>
      </c>
      <c r="AG647">
        <v>0</v>
      </c>
      <c r="AH647">
        <v>45</v>
      </c>
      <c r="AI647">
        <v>45</v>
      </c>
      <c r="AJ647">
        <v>45</v>
      </c>
      <c r="AK647">
        <v>45</v>
      </c>
      <c r="AL647">
        <v>0</v>
      </c>
      <c r="AM647">
        <v>0.12</v>
      </c>
      <c r="AN647">
        <v>4.0909090909090908</v>
      </c>
      <c r="AO647">
        <v>0</v>
      </c>
      <c r="AP647" t="s">
        <v>130</v>
      </c>
      <c r="AQ647" t="s">
        <v>131</v>
      </c>
      <c r="AR647" t="s">
        <v>194</v>
      </c>
      <c r="AS647">
        <v>189</v>
      </c>
      <c r="AT647">
        <v>157</v>
      </c>
      <c r="AU647">
        <v>0</v>
      </c>
      <c r="AV647">
        <v>0</v>
      </c>
      <c r="AW647">
        <v>0.34599999999999997</v>
      </c>
      <c r="AX647">
        <v>6.9199999999999998E-2</v>
      </c>
      <c r="AY647">
        <v>0.34599999999999997</v>
      </c>
      <c r="AZ647" t="s">
        <v>135</v>
      </c>
      <c r="BA647">
        <v>5.6539999999999999</v>
      </c>
      <c r="BB647">
        <v>81.705202312138724</v>
      </c>
      <c r="BC647" t="s">
        <v>133</v>
      </c>
      <c r="BD647">
        <v>1</v>
      </c>
      <c r="BE647" t="s">
        <v>133</v>
      </c>
      <c r="BF64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0.34599999999999997</v>
      </c>
    </row>
    <row r="648" spans="1:58" x14ac:dyDescent="0.25">
      <c r="A648" t="s">
        <v>878</v>
      </c>
      <c r="B648" t="s">
        <v>19</v>
      </c>
      <c r="C648">
        <v>2</v>
      </c>
      <c r="D648">
        <v>32</v>
      </c>
      <c r="E648" t="s">
        <v>2108</v>
      </c>
      <c r="F648" t="s">
        <v>123</v>
      </c>
      <c r="G648" t="s">
        <v>124</v>
      </c>
      <c r="H648" t="s">
        <v>125</v>
      </c>
      <c r="I648" t="s">
        <v>126</v>
      </c>
      <c r="J648" t="s">
        <v>180</v>
      </c>
      <c r="K648" t="s">
        <v>127</v>
      </c>
      <c r="L648">
        <v>50</v>
      </c>
      <c r="M648">
        <v>1137155</v>
      </c>
      <c r="N648">
        <v>6</v>
      </c>
      <c r="O648">
        <v>3</v>
      </c>
      <c r="P648" t="s">
        <v>168</v>
      </c>
      <c r="Q648" t="s">
        <v>129</v>
      </c>
      <c r="R648">
        <v>3</v>
      </c>
      <c r="S648" t="s">
        <v>879</v>
      </c>
      <c r="T648">
        <v>3</v>
      </c>
      <c r="U648">
        <v>8</v>
      </c>
      <c r="V648">
        <v>0</v>
      </c>
      <c r="W648">
        <v>0</v>
      </c>
      <c r="X648">
        <v>0</v>
      </c>
      <c r="Y648">
        <v>0</v>
      </c>
      <c r="Z648">
        <v>3</v>
      </c>
      <c r="AA648">
        <v>8</v>
      </c>
      <c r="AB648">
        <v>50</v>
      </c>
      <c r="AC648">
        <v>11</v>
      </c>
      <c r="AD648">
        <v>0</v>
      </c>
      <c r="AE648">
        <v>0</v>
      </c>
      <c r="AF648">
        <v>11</v>
      </c>
      <c r="AG648">
        <v>0</v>
      </c>
      <c r="AH648">
        <v>39</v>
      </c>
      <c r="AI648">
        <v>39</v>
      </c>
      <c r="AJ648">
        <v>39</v>
      </c>
      <c r="AK648">
        <v>39</v>
      </c>
      <c r="AL648">
        <v>0</v>
      </c>
      <c r="AM648">
        <v>0.12</v>
      </c>
      <c r="AN648">
        <v>3.5454545454545454</v>
      </c>
      <c r="AO648">
        <v>0</v>
      </c>
      <c r="AP648" t="s">
        <v>130</v>
      </c>
      <c r="AQ648" t="s">
        <v>131</v>
      </c>
      <c r="AR648" t="s">
        <v>194</v>
      </c>
      <c r="AS648">
        <v>1108</v>
      </c>
      <c r="AT648">
        <v>1077</v>
      </c>
      <c r="AU648">
        <v>0</v>
      </c>
      <c r="AV648">
        <v>0</v>
      </c>
      <c r="AW648">
        <v>2.1850000000000001</v>
      </c>
      <c r="AX648">
        <v>0.19863636363636364</v>
      </c>
      <c r="AY648">
        <v>2.1850000000000001</v>
      </c>
      <c r="AZ648" t="s">
        <v>135</v>
      </c>
      <c r="BA648">
        <v>3.8149999999999999</v>
      </c>
      <c r="BB648">
        <v>19.205949656750573</v>
      </c>
      <c r="BC648" t="s">
        <v>133</v>
      </c>
      <c r="BD648">
        <v>0</v>
      </c>
      <c r="BE648" t="s">
        <v>133</v>
      </c>
      <c r="BF64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2.1850000000000001</v>
      </c>
    </row>
    <row r="649" spans="1:58" x14ac:dyDescent="0.25">
      <c r="A649" t="s">
        <v>880</v>
      </c>
      <c r="B649" t="s">
        <v>19</v>
      </c>
      <c r="C649">
        <v>2</v>
      </c>
      <c r="D649">
        <v>33</v>
      </c>
      <c r="E649" t="s">
        <v>2108</v>
      </c>
      <c r="F649" t="s">
        <v>123</v>
      </c>
      <c r="G649" t="s">
        <v>124</v>
      </c>
      <c r="H649" t="s">
        <v>125</v>
      </c>
      <c r="I649" t="s">
        <v>126</v>
      </c>
      <c r="J649" t="s">
        <v>126</v>
      </c>
      <c r="K649" t="s">
        <v>127</v>
      </c>
      <c r="L649">
        <v>50</v>
      </c>
      <c r="M649">
        <v>1137157</v>
      </c>
      <c r="N649">
        <v>6</v>
      </c>
      <c r="O649">
        <v>3</v>
      </c>
      <c r="P649" t="s">
        <v>168</v>
      </c>
      <c r="Q649" t="s">
        <v>129</v>
      </c>
      <c r="R649">
        <v>3</v>
      </c>
      <c r="T649">
        <v>0</v>
      </c>
      <c r="U649">
        <v>5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5</v>
      </c>
      <c r="AB649">
        <v>50</v>
      </c>
      <c r="AC649">
        <v>5</v>
      </c>
      <c r="AD649">
        <v>0</v>
      </c>
      <c r="AE649">
        <v>0</v>
      </c>
      <c r="AF649">
        <v>5</v>
      </c>
      <c r="AG649">
        <v>0</v>
      </c>
      <c r="AH649">
        <v>45</v>
      </c>
      <c r="AI649">
        <v>45</v>
      </c>
      <c r="AJ649">
        <v>45</v>
      </c>
      <c r="AK649">
        <v>45</v>
      </c>
      <c r="AL649">
        <v>0</v>
      </c>
      <c r="AM649">
        <v>0.12</v>
      </c>
      <c r="AN649">
        <v>4.0909090909090908</v>
      </c>
      <c r="AO649">
        <v>0</v>
      </c>
      <c r="AP649" t="s">
        <v>130</v>
      </c>
      <c r="AQ649" t="s">
        <v>131</v>
      </c>
      <c r="AR649" t="s">
        <v>194</v>
      </c>
      <c r="AS649">
        <v>179</v>
      </c>
      <c r="AT649">
        <v>176</v>
      </c>
      <c r="AU649">
        <v>0</v>
      </c>
      <c r="AV649">
        <v>0</v>
      </c>
      <c r="AW649">
        <v>0.35499999999999998</v>
      </c>
      <c r="AX649">
        <v>7.0999999999999994E-2</v>
      </c>
      <c r="AY649">
        <v>0.35499999999999998</v>
      </c>
      <c r="AZ649" t="s">
        <v>135</v>
      </c>
      <c r="BA649">
        <v>5.6449999999999996</v>
      </c>
      <c r="BB649">
        <v>79.507042253521121</v>
      </c>
      <c r="BC649" t="s">
        <v>144</v>
      </c>
      <c r="BD649">
        <v>1</v>
      </c>
      <c r="BE649" t="s">
        <v>133</v>
      </c>
      <c r="BF64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0.35499999999999998</v>
      </c>
    </row>
    <row r="650" spans="1:58" x14ac:dyDescent="0.25">
      <c r="A650" t="s">
        <v>881</v>
      </c>
      <c r="B650" t="s">
        <v>19</v>
      </c>
      <c r="C650">
        <v>2</v>
      </c>
      <c r="D650">
        <v>34</v>
      </c>
      <c r="E650" t="s">
        <v>2109</v>
      </c>
      <c r="F650" t="s">
        <v>123</v>
      </c>
      <c r="G650" t="s">
        <v>124</v>
      </c>
      <c r="H650" t="s">
        <v>125</v>
      </c>
      <c r="I650" t="s">
        <v>183</v>
      </c>
      <c r="J650" t="s">
        <v>191</v>
      </c>
      <c r="K650" t="s">
        <v>127</v>
      </c>
      <c r="L650">
        <v>50</v>
      </c>
      <c r="M650">
        <v>3381140</v>
      </c>
      <c r="N650">
        <v>15</v>
      </c>
      <c r="O650">
        <v>3</v>
      </c>
      <c r="P650" t="s">
        <v>168</v>
      </c>
      <c r="Q650" t="s">
        <v>129</v>
      </c>
      <c r="R650">
        <v>4</v>
      </c>
      <c r="S650" t="s">
        <v>882</v>
      </c>
      <c r="T650">
        <v>20</v>
      </c>
      <c r="U650">
        <v>23</v>
      </c>
      <c r="V650">
        <v>0</v>
      </c>
      <c r="W650">
        <v>0</v>
      </c>
      <c r="X650">
        <v>0</v>
      </c>
      <c r="Y650">
        <v>0</v>
      </c>
      <c r="Z650">
        <v>20</v>
      </c>
      <c r="AA650">
        <v>23</v>
      </c>
      <c r="AB650">
        <v>50</v>
      </c>
      <c r="AC650">
        <v>41</v>
      </c>
      <c r="AD650">
        <v>0</v>
      </c>
      <c r="AE650">
        <v>0</v>
      </c>
      <c r="AF650">
        <v>41</v>
      </c>
      <c r="AG650">
        <v>0</v>
      </c>
      <c r="AH650">
        <v>9</v>
      </c>
      <c r="AI650">
        <v>9</v>
      </c>
      <c r="AJ650">
        <v>9</v>
      </c>
      <c r="AK650">
        <v>9</v>
      </c>
      <c r="AL650">
        <v>0</v>
      </c>
      <c r="AM650">
        <v>0.3</v>
      </c>
      <c r="AN650">
        <v>0.81818181818181823</v>
      </c>
      <c r="AO650">
        <v>0</v>
      </c>
      <c r="AP650" t="s">
        <v>188</v>
      </c>
      <c r="AQ650" t="s">
        <v>131</v>
      </c>
      <c r="AR650" t="s">
        <v>229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 t="s">
        <v>147</v>
      </c>
      <c r="BA650">
        <v>15</v>
      </c>
      <c r="BB650">
        <v>0</v>
      </c>
      <c r="BC650" t="s">
        <v>132</v>
      </c>
      <c r="BD650">
        <v>0</v>
      </c>
      <c r="BE650" t="s">
        <v>133</v>
      </c>
      <c r="BF65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51" spans="1:58" x14ac:dyDescent="0.25">
      <c r="A651" t="s">
        <v>883</v>
      </c>
      <c r="B651" t="s">
        <v>19</v>
      </c>
      <c r="C651">
        <v>2</v>
      </c>
      <c r="D651">
        <v>35</v>
      </c>
      <c r="E651" t="s">
        <v>2109</v>
      </c>
      <c r="F651" t="s">
        <v>123</v>
      </c>
      <c r="G651" t="s">
        <v>124</v>
      </c>
      <c r="H651" t="s">
        <v>125</v>
      </c>
      <c r="I651" t="s">
        <v>183</v>
      </c>
      <c r="J651" t="s">
        <v>191</v>
      </c>
      <c r="K651" t="s">
        <v>166</v>
      </c>
      <c r="L651">
        <v>50</v>
      </c>
      <c r="M651">
        <v>1137161</v>
      </c>
      <c r="N651">
        <v>15</v>
      </c>
      <c r="O651">
        <v>3</v>
      </c>
      <c r="P651" t="s">
        <v>168</v>
      </c>
      <c r="Q651" t="s">
        <v>129</v>
      </c>
      <c r="R651">
        <v>4</v>
      </c>
      <c r="S651" t="s">
        <v>884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50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50</v>
      </c>
      <c r="AI651">
        <v>50</v>
      </c>
      <c r="AJ651">
        <v>50</v>
      </c>
      <c r="AK651">
        <v>50</v>
      </c>
      <c r="AL651">
        <v>0</v>
      </c>
      <c r="AM651">
        <v>0.3</v>
      </c>
      <c r="AN651">
        <v>4.5454545454545459</v>
      </c>
      <c r="AO651">
        <v>0</v>
      </c>
      <c r="AP651" t="s">
        <v>184</v>
      </c>
      <c r="AQ651" t="s">
        <v>155</v>
      </c>
      <c r="AR651" t="s">
        <v>229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 t="s">
        <v>135</v>
      </c>
      <c r="BA651">
        <v>15</v>
      </c>
      <c r="BB651">
        <v>0</v>
      </c>
      <c r="BC651" t="s">
        <v>133</v>
      </c>
      <c r="BD651">
        <v>0</v>
      </c>
      <c r="BE651" t="s">
        <v>133</v>
      </c>
      <c r="BF65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52" spans="1:58" x14ac:dyDescent="0.25">
      <c r="A652" t="s">
        <v>885</v>
      </c>
      <c r="B652" t="s">
        <v>19</v>
      </c>
      <c r="C652">
        <v>2</v>
      </c>
      <c r="D652">
        <v>36</v>
      </c>
      <c r="E652" t="s">
        <v>2109</v>
      </c>
      <c r="F652" t="s">
        <v>123</v>
      </c>
      <c r="G652" t="s">
        <v>124</v>
      </c>
      <c r="H652" t="s">
        <v>125</v>
      </c>
      <c r="I652" t="s">
        <v>183</v>
      </c>
      <c r="J652" t="s">
        <v>191</v>
      </c>
      <c r="K652" t="s">
        <v>127</v>
      </c>
      <c r="L652">
        <v>50</v>
      </c>
      <c r="M652">
        <v>3417621</v>
      </c>
      <c r="N652">
        <v>15</v>
      </c>
      <c r="O652">
        <v>3</v>
      </c>
      <c r="P652" t="s">
        <v>168</v>
      </c>
      <c r="Q652" t="s">
        <v>129</v>
      </c>
      <c r="R652">
        <v>4</v>
      </c>
      <c r="S652" t="s">
        <v>886</v>
      </c>
      <c r="T652">
        <v>20</v>
      </c>
      <c r="U652">
        <v>23</v>
      </c>
      <c r="V652">
        <v>0</v>
      </c>
      <c r="W652">
        <v>0</v>
      </c>
      <c r="X652">
        <v>0</v>
      </c>
      <c r="Y652">
        <v>0</v>
      </c>
      <c r="Z652">
        <v>20</v>
      </c>
      <c r="AA652">
        <v>23</v>
      </c>
      <c r="AB652">
        <v>50</v>
      </c>
      <c r="AC652">
        <v>41</v>
      </c>
      <c r="AD652">
        <v>0</v>
      </c>
      <c r="AE652">
        <v>0</v>
      </c>
      <c r="AF652">
        <v>41</v>
      </c>
      <c r="AG652">
        <v>0</v>
      </c>
      <c r="AH652">
        <v>9</v>
      </c>
      <c r="AI652">
        <v>9</v>
      </c>
      <c r="AJ652">
        <v>9</v>
      </c>
      <c r="AK652">
        <v>9</v>
      </c>
      <c r="AL652">
        <v>0</v>
      </c>
      <c r="AM652">
        <v>0.3</v>
      </c>
      <c r="AN652">
        <v>0.81818181818181823</v>
      </c>
      <c r="AO652">
        <v>0</v>
      </c>
      <c r="AP652" t="s">
        <v>188</v>
      </c>
      <c r="AQ652" t="s">
        <v>131</v>
      </c>
      <c r="AR652" t="s">
        <v>229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 t="s">
        <v>147</v>
      </c>
      <c r="BA652">
        <v>15</v>
      </c>
      <c r="BB652">
        <v>0</v>
      </c>
      <c r="BC652" t="s">
        <v>133</v>
      </c>
      <c r="BD652">
        <v>0</v>
      </c>
      <c r="BE652" t="s">
        <v>133</v>
      </c>
      <c r="BF65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53" spans="1:58" x14ac:dyDescent="0.25">
      <c r="A653" t="s">
        <v>887</v>
      </c>
      <c r="B653" t="s">
        <v>19</v>
      </c>
      <c r="C653">
        <v>2</v>
      </c>
      <c r="D653">
        <v>37</v>
      </c>
      <c r="E653" t="s">
        <v>2109</v>
      </c>
      <c r="F653" t="s">
        <v>123</v>
      </c>
      <c r="G653" t="s">
        <v>124</v>
      </c>
      <c r="H653" t="s">
        <v>125</v>
      </c>
      <c r="I653" t="s">
        <v>183</v>
      </c>
      <c r="J653" t="s">
        <v>191</v>
      </c>
      <c r="K653" t="s">
        <v>166</v>
      </c>
      <c r="L653">
        <v>50</v>
      </c>
      <c r="M653">
        <v>1137165</v>
      </c>
      <c r="N653">
        <v>15</v>
      </c>
      <c r="O653">
        <v>3</v>
      </c>
      <c r="P653" t="s">
        <v>168</v>
      </c>
      <c r="Q653" t="s">
        <v>129</v>
      </c>
      <c r="R653">
        <v>4</v>
      </c>
      <c r="S653" t="s">
        <v>884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50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50</v>
      </c>
      <c r="AI653">
        <v>50</v>
      </c>
      <c r="AJ653">
        <v>50</v>
      </c>
      <c r="AK653">
        <v>50</v>
      </c>
      <c r="AL653">
        <v>0</v>
      </c>
      <c r="AM653">
        <v>0.3</v>
      </c>
      <c r="AN653">
        <v>4.5454545454545459</v>
      </c>
      <c r="AO653">
        <v>0</v>
      </c>
      <c r="AP653" t="s">
        <v>184</v>
      </c>
      <c r="AQ653" t="s">
        <v>155</v>
      </c>
      <c r="AR653" t="s">
        <v>229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 t="s">
        <v>135</v>
      </c>
      <c r="BA653">
        <v>15</v>
      </c>
      <c r="BB653">
        <v>0</v>
      </c>
      <c r="BC653" t="s">
        <v>133</v>
      </c>
      <c r="BD653">
        <v>0</v>
      </c>
      <c r="BE653" t="s">
        <v>133</v>
      </c>
      <c r="BF65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54" spans="1:58" x14ac:dyDescent="0.25">
      <c r="A654" t="s">
        <v>888</v>
      </c>
      <c r="B654" t="s">
        <v>19</v>
      </c>
      <c r="C654">
        <v>2</v>
      </c>
      <c r="D654">
        <v>38</v>
      </c>
      <c r="E654" t="s">
        <v>2109</v>
      </c>
      <c r="F654" t="s">
        <v>123</v>
      </c>
      <c r="G654" t="s">
        <v>124</v>
      </c>
      <c r="H654" t="s">
        <v>125</v>
      </c>
      <c r="I654" t="s">
        <v>183</v>
      </c>
      <c r="J654" t="s">
        <v>191</v>
      </c>
      <c r="K654" t="s">
        <v>166</v>
      </c>
      <c r="L654">
        <v>50</v>
      </c>
      <c r="M654">
        <v>1137167</v>
      </c>
      <c r="N654">
        <v>15</v>
      </c>
      <c r="O654">
        <v>3</v>
      </c>
      <c r="P654" t="s">
        <v>168</v>
      </c>
      <c r="Q654" t="s">
        <v>129</v>
      </c>
      <c r="R654">
        <v>4</v>
      </c>
      <c r="S654" t="s">
        <v>884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50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50</v>
      </c>
      <c r="AI654">
        <v>50</v>
      </c>
      <c r="AJ654">
        <v>50</v>
      </c>
      <c r="AK654">
        <v>50</v>
      </c>
      <c r="AL654">
        <v>0</v>
      </c>
      <c r="AM654">
        <v>0.3</v>
      </c>
      <c r="AN654">
        <v>4.5454545454545459</v>
      </c>
      <c r="AO654">
        <v>0</v>
      </c>
      <c r="AP654" t="s">
        <v>184</v>
      </c>
      <c r="AQ654" t="s">
        <v>155</v>
      </c>
      <c r="AR654" t="s">
        <v>229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 t="s">
        <v>135</v>
      </c>
      <c r="BA654">
        <v>15</v>
      </c>
      <c r="BB654">
        <v>0</v>
      </c>
      <c r="BC654" t="s">
        <v>133</v>
      </c>
      <c r="BD654">
        <v>0</v>
      </c>
      <c r="BE654" t="s">
        <v>133</v>
      </c>
      <c r="BF65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55" spans="1:58" x14ac:dyDescent="0.25">
      <c r="A655" t="s">
        <v>889</v>
      </c>
      <c r="B655" t="s">
        <v>19</v>
      </c>
      <c r="C655">
        <v>2</v>
      </c>
      <c r="D655">
        <v>39</v>
      </c>
      <c r="E655" t="s">
        <v>2109</v>
      </c>
      <c r="F655" t="s">
        <v>123</v>
      </c>
      <c r="G655" t="s">
        <v>124</v>
      </c>
      <c r="H655" t="s">
        <v>125</v>
      </c>
      <c r="I655" t="s">
        <v>183</v>
      </c>
      <c r="J655" t="s">
        <v>191</v>
      </c>
      <c r="K655" t="s">
        <v>166</v>
      </c>
      <c r="L655">
        <v>50</v>
      </c>
      <c r="M655">
        <v>1137169</v>
      </c>
      <c r="N655">
        <v>15</v>
      </c>
      <c r="O655">
        <v>3</v>
      </c>
      <c r="P655" t="s">
        <v>168</v>
      </c>
      <c r="Q655" t="s">
        <v>129</v>
      </c>
      <c r="R655">
        <v>4</v>
      </c>
      <c r="S655" t="s">
        <v>884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50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50</v>
      </c>
      <c r="AI655">
        <v>50</v>
      </c>
      <c r="AJ655">
        <v>50</v>
      </c>
      <c r="AK655">
        <v>50</v>
      </c>
      <c r="AL655">
        <v>0</v>
      </c>
      <c r="AM655">
        <v>0.3</v>
      </c>
      <c r="AN655">
        <v>4.5454545454545459</v>
      </c>
      <c r="AO655">
        <v>0</v>
      </c>
      <c r="AP655" t="s">
        <v>184</v>
      </c>
      <c r="AQ655" t="s">
        <v>155</v>
      </c>
      <c r="AR655" t="s">
        <v>229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 t="s">
        <v>135</v>
      </c>
      <c r="BA655">
        <v>15</v>
      </c>
      <c r="BB655">
        <v>0</v>
      </c>
      <c r="BC655" t="s">
        <v>133</v>
      </c>
      <c r="BD655">
        <v>0</v>
      </c>
      <c r="BE655" t="s">
        <v>133</v>
      </c>
      <c r="BF65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56" spans="1:58" x14ac:dyDescent="0.25">
      <c r="A656" t="s">
        <v>890</v>
      </c>
      <c r="B656" t="s">
        <v>19</v>
      </c>
      <c r="C656">
        <v>2</v>
      </c>
      <c r="D656">
        <v>40</v>
      </c>
      <c r="E656" t="s">
        <v>2109</v>
      </c>
      <c r="F656" t="s">
        <v>123</v>
      </c>
      <c r="G656" t="s">
        <v>124</v>
      </c>
      <c r="H656" t="s">
        <v>125</v>
      </c>
      <c r="I656" t="s">
        <v>183</v>
      </c>
      <c r="J656" t="s">
        <v>191</v>
      </c>
      <c r="K656" t="s">
        <v>127</v>
      </c>
      <c r="L656">
        <v>50</v>
      </c>
      <c r="M656">
        <v>3381244</v>
      </c>
      <c r="N656">
        <v>15</v>
      </c>
      <c r="O656">
        <v>3</v>
      </c>
      <c r="P656" t="s">
        <v>168</v>
      </c>
      <c r="Q656" t="s">
        <v>129</v>
      </c>
      <c r="R656">
        <v>4</v>
      </c>
      <c r="S656" t="s">
        <v>882</v>
      </c>
      <c r="T656">
        <v>22</v>
      </c>
      <c r="U656">
        <v>25</v>
      </c>
      <c r="V656">
        <v>0</v>
      </c>
      <c r="W656">
        <v>0</v>
      </c>
      <c r="X656">
        <v>0</v>
      </c>
      <c r="Y656">
        <v>0</v>
      </c>
      <c r="Z656">
        <v>22</v>
      </c>
      <c r="AA656">
        <v>25</v>
      </c>
      <c r="AB656">
        <v>50</v>
      </c>
      <c r="AC656">
        <v>49</v>
      </c>
      <c r="AD656">
        <v>0</v>
      </c>
      <c r="AE656">
        <v>0</v>
      </c>
      <c r="AF656">
        <v>49</v>
      </c>
      <c r="AG656">
        <v>0</v>
      </c>
      <c r="AH656">
        <v>1</v>
      </c>
      <c r="AI656">
        <v>1</v>
      </c>
      <c r="AJ656">
        <v>1</v>
      </c>
      <c r="AK656">
        <v>1</v>
      </c>
      <c r="AL656">
        <v>0</v>
      </c>
      <c r="AM656">
        <v>0.3</v>
      </c>
      <c r="AN656">
        <v>9.0909090909090912E-2</v>
      </c>
      <c r="AO656">
        <v>0</v>
      </c>
      <c r="AP656" t="s">
        <v>188</v>
      </c>
      <c r="AQ656" t="s">
        <v>131</v>
      </c>
      <c r="AR656" t="s">
        <v>229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 t="s">
        <v>147</v>
      </c>
      <c r="BA656">
        <v>15</v>
      </c>
      <c r="BB656">
        <v>0</v>
      </c>
      <c r="BC656" t="s">
        <v>133</v>
      </c>
      <c r="BD656">
        <v>0</v>
      </c>
      <c r="BE656" t="s">
        <v>133</v>
      </c>
      <c r="BF65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57" spans="1:58" x14ac:dyDescent="0.25">
      <c r="A657" t="s">
        <v>891</v>
      </c>
      <c r="B657" t="s">
        <v>19</v>
      </c>
      <c r="C657">
        <v>2</v>
      </c>
      <c r="D657">
        <v>41</v>
      </c>
      <c r="E657" t="s">
        <v>2109</v>
      </c>
      <c r="F657" t="s">
        <v>123</v>
      </c>
      <c r="G657" t="s">
        <v>124</v>
      </c>
      <c r="H657" t="s">
        <v>125</v>
      </c>
      <c r="I657" t="s">
        <v>183</v>
      </c>
      <c r="J657" t="s">
        <v>191</v>
      </c>
      <c r="K657" t="s">
        <v>166</v>
      </c>
      <c r="L657">
        <v>50</v>
      </c>
      <c r="M657">
        <v>1137173</v>
      </c>
      <c r="N657">
        <v>15</v>
      </c>
      <c r="O657">
        <v>3</v>
      </c>
      <c r="P657" t="s">
        <v>168</v>
      </c>
      <c r="Q657" t="s">
        <v>129</v>
      </c>
      <c r="R657">
        <v>4</v>
      </c>
      <c r="S657" t="s">
        <v>884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50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50</v>
      </c>
      <c r="AI657">
        <v>50</v>
      </c>
      <c r="AJ657">
        <v>50</v>
      </c>
      <c r="AK657">
        <v>50</v>
      </c>
      <c r="AL657">
        <v>0</v>
      </c>
      <c r="AM657">
        <v>0.3</v>
      </c>
      <c r="AN657">
        <v>4.5454545454545459</v>
      </c>
      <c r="AO657">
        <v>0</v>
      </c>
      <c r="AP657" t="s">
        <v>184</v>
      </c>
      <c r="AQ657" t="s">
        <v>155</v>
      </c>
      <c r="AR657" t="s">
        <v>229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 t="s">
        <v>135</v>
      </c>
      <c r="BA657">
        <v>15</v>
      </c>
      <c r="BB657">
        <v>0</v>
      </c>
      <c r="BC657" t="s">
        <v>133</v>
      </c>
      <c r="BD657">
        <v>0</v>
      </c>
      <c r="BE657" t="s">
        <v>133</v>
      </c>
      <c r="BF65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58" spans="1:58" x14ac:dyDescent="0.25">
      <c r="A658" t="s">
        <v>892</v>
      </c>
      <c r="B658" t="s">
        <v>19</v>
      </c>
      <c r="C658">
        <v>2</v>
      </c>
      <c r="D658">
        <v>42</v>
      </c>
      <c r="E658" t="s">
        <v>2109</v>
      </c>
      <c r="F658" t="s">
        <v>123</v>
      </c>
      <c r="G658" t="s">
        <v>124</v>
      </c>
      <c r="H658" t="s">
        <v>125</v>
      </c>
      <c r="I658" t="s">
        <v>183</v>
      </c>
      <c r="J658" t="s">
        <v>191</v>
      </c>
      <c r="K658" t="s">
        <v>166</v>
      </c>
      <c r="L658">
        <v>50</v>
      </c>
      <c r="M658">
        <v>1137175</v>
      </c>
      <c r="N658">
        <v>15</v>
      </c>
      <c r="O658">
        <v>3</v>
      </c>
      <c r="P658" t="s">
        <v>168</v>
      </c>
      <c r="Q658" t="s">
        <v>129</v>
      </c>
      <c r="R658">
        <v>4</v>
      </c>
      <c r="S658" t="s">
        <v>884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50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50</v>
      </c>
      <c r="AI658">
        <v>50</v>
      </c>
      <c r="AJ658">
        <v>50</v>
      </c>
      <c r="AK658">
        <v>50</v>
      </c>
      <c r="AL658">
        <v>0</v>
      </c>
      <c r="AM658">
        <v>0.3</v>
      </c>
      <c r="AN658">
        <v>4.5454545454545459</v>
      </c>
      <c r="AO658">
        <v>0</v>
      </c>
      <c r="AP658" t="s">
        <v>184</v>
      </c>
      <c r="AQ658" t="s">
        <v>155</v>
      </c>
      <c r="AR658" t="s">
        <v>229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 t="s">
        <v>135</v>
      </c>
      <c r="BA658">
        <v>15</v>
      </c>
      <c r="BB658">
        <v>0</v>
      </c>
      <c r="BC658" t="s">
        <v>133</v>
      </c>
      <c r="BD658">
        <v>0</v>
      </c>
      <c r="BE658" t="s">
        <v>133</v>
      </c>
      <c r="BF65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59" spans="1:58" x14ac:dyDescent="0.25">
      <c r="A659" t="s">
        <v>893</v>
      </c>
      <c r="B659" t="s">
        <v>19</v>
      </c>
      <c r="C659">
        <v>2</v>
      </c>
      <c r="D659">
        <v>43</v>
      </c>
      <c r="E659" t="s">
        <v>2109</v>
      </c>
      <c r="F659" t="s">
        <v>123</v>
      </c>
      <c r="G659" t="s">
        <v>124</v>
      </c>
      <c r="H659" t="s">
        <v>125</v>
      </c>
      <c r="I659" t="s">
        <v>183</v>
      </c>
      <c r="J659" t="s">
        <v>191</v>
      </c>
      <c r="K659" t="s">
        <v>166</v>
      </c>
      <c r="L659">
        <v>50</v>
      </c>
      <c r="M659">
        <v>1137177</v>
      </c>
      <c r="N659">
        <v>15</v>
      </c>
      <c r="O659">
        <v>3</v>
      </c>
      <c r="P659" t="s">
        <v>168</v>
      </c>
      <c r="Q659" t="s">
        <v>129</v>
      </c>
      <c r="R659">
        <v>4</v>
      </c>
      <c r="S659" t="s">
        <v>884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50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50</v>
      </c>
      <c r="AI659">
        <v>50</v>
      </c>
      <c r="AJ659">
        <v>50</v>
      </c>
      <c r="AK659">
        <v>50</v>
      </c>
      <c r="AL659">
        <v>0</v>
      </c>
      <c r="AM659">
        <v>0.3</v>
      </c>
      <c r="AN659">
        <v>4.5454545454545459</v>
      </c>
      <c r="AO659">
        <v>0</v>
      </c>
      <c r="AP659" t="s">
        <v>184</v>
      </c>
      <c r="AQ659" t="s">
        <v>155</v>
      </c>
      <c r="AR659" t="s">
        <v>229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 t="s">
        <v>135</v>
      </c>
      <c r="BA659">
        <v>15</v>
      </c>
      <c r="BB659">
        <v>0</v>
      </c>
      <c r="BC659" t="s">
        <v>133</v>
      </c>
      <c r="BD659">
        <v>0</v>
      </c>
      <c r="BE659" t="s">
        <v>133</v>
      </c>
      <c r="BF65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60" spans="1:58" x14ac:dyDescent="0.25">
      <c r="A660" t="s">
        <v>894</v>
      </c>
      <c r="B660" t="s">
        <v>19</v>
      </c>
      <c r="C660">
        <v>2</v>
      </c>
      <c r="D660">
        <v>44</v>
      </c>
      <c r="E660" t="s">
        <v>2109</v>
      </c>
      <c r="F660" t="s">
        <v>123</v>
      </c>
      <c r="G660" t="s">
        <v>124</v>
      </c>
      <c r="H660" t="s">
        <v>125</v>
      </c>
      <c r="I660" t="s">
        <v>183</v>
      </c>
      <c r="J660" t="s">
        <v>191</v>
      </c>
      <c r="K660" t="s">
        <v>127</v>
      </c>
      <c r="L660">
        <v>50</v>
      </c>
      <c r="M660">
        <v>3384998</v>
      </c>
      <c r="N660">
        <v>15</v>
      </c>
      <c r="O660">
        <v>3</v>
      </c>
      <c r="P660" t="s">
        <v>168</v>
      </c>
      <c r="Q660" t="s">
        <v>129</v>
      </c>
      <c r="R660">
        <v>4</v>
      </c>
      <c r="S660" t="s">
        <v>895</v>
      </c>
      <c r="T660">
        <v>19</v>
      </c>
      <c r="U660">
        <v>22</v>
      </c>
      <c r="V660">
        <v>1</v>
      </c>
      <c r="W660">
        <v>0</v>
      </c>
      <c r="X660">
        <v>1</v>
      </c>
      <c r="Y660">
        <v>4</v>
      </c>
      <c r="Z660">
        <v>24</v>
      </c>
      <c r="AA660">
        <v>27</v>
      </c>
      <c r="AB660">
        <v>50</v>
      </c>
      <c r="AC660">
        <v>39</v>
      </c>
      <c r="AD660">
        <v>2</v>
      </c>
      <c r="AE660">
        <v>8</v>
      </c>
      <c r="AF660">
        <v>49</v>
      </c>
      <c r="AG660">
        <v>0</v>
      </c>
      <c r="AH660">
        <v>11</v>
      </c>
      <c r="AI660">
        <v>1</v>
      </c>
      <c r="AJ660">
        <v>3</v>
      </c>
      <c r="AK660">
        <v>11</v>
      </c>
      <c r="AL660">
        <v>0</v>
      </c>
      <c r="AM660">
        <v>0.3</v>
      </c>
      <c r="AN660">
        <v>0.27272727272727271</v>
      </c>
      <c r="AO660">
        <v>0</v>
      </c>
      <c r="AP660" t="s">
        <v>188</v>
      </c>
      <c r="AQ660" t="s">
        <v>131</v>
      </c>
      <c r="AR660" t="s">
        <v>229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 t="s">
        <v>147</v>
      </c>
      <c r="BA660">
        <v>15</v>
      </c>
      <c r="BB660">
        <v>0</v>
      </c>
      <c r="BC660" t="s">
        <v>144</v>
      </c>
      <c r="BD660">
        <v>0</v>
      </c>
      <c r="BE660" t="s">
        <v>133</v>
      </c>
      <c r="BF66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61" spans="1:58" x14ac:dyDescent="0.25">
      <c r="A661" t="s">
        <v>896</v>
      </c>
      <c r="B661" t="s">
        <v>19</v>
      </c>
      <c r="C661">
        <v>2</v>
      </c>
      <c r="D661">
        <v>45</v>
      </c>
      <c r="E661" t="s">
        <v>2108</v>
      </c>
      <c r="F661" t="s">
        <v>123</v>
      </c>
      <c r="G661" t="s">
        <v>124</v>
      </c>
      <c r="H661" t="s">
        <v>125</v>
      </c>
      <c r="I661" t="s">
        <v>126</v>
      </c>
      <c r="J661" t="s">
        <v>126</v>
      </c>
      <c r="K661" t="s">
        <v>127</v>
      </c>
      <c r="L661">
        <v>50</v>
      </c>
      <c r="M661">
        <v>1137181</v>
      </c>
      <c r="N661">
        <v>6</v>
      </c>
      <c r="O661">
        <v>3</v>
      </c>
      <c r="P661" t="s">
        <v>168</v>
      </c>
      <c r="Q661" t="s">
        <v>129</v>
      </c>
      <c r="R661">
        <v>5</v>
      </c>
      <c r="T661">
        <v>11</v>
      </c>
      <c r="U661">
        <v>16</v>
      </c>
      <c r="V661">
        <v>2</v>
      </c>
      <c r="W661">
        <v>0</v>
      </c>
      <c r="X661">
        <v>2</v>
      </c>
      <c r="Y661">
        <v>2</v>
      </c>
      <c r="Z661">
        <v>15</v>
      </c>
      <c r="AA661">
        <v>20</v>
      </c>
      <c r="AB661">
        <v>50</v>
      </c>
      <c r="AC661">
        <v>20</v>
      </c>
      <c r="AD661">
        <v>2</v>
      </c>
      <c r="AE661">
        <v>3</v>
      </c>
      <c r="AF661">
        <v>25</v>
      </c>
      <c r="AG661">
        <v>0</v>
      </c>
      <c r="AH661">
        <v>30</v>
      </c>
      <c r="AI661">
        <v>25</v>
      </c>
      <c r="AJ661">
        <v>27</v>
      </c>
      <c r="AK661">
        <v>30</v>
      </c>
      <c r="AL661">
        <v>0</v>
      </c>
      <c r="AM661">
        <v>0.12</v>
      </c>
      <c r="AN661">
        <v>2.4545454545454546</v>
      </c>
      <c r="AO661">
        <v>0</v>
      </c>
      <c r="AP661" t="s">
        <v>130</v>
      </c>
      <c r="AQ661" t="s">
        <v>131</v>
      </c>
      <c r="AR661" t="s">
        <v>194</v>
      </c>
      <c r="AS661">
        <v>1887</v>
      </c>
      <c r="AT661">
        <v>1809</v>
      </c>
      <c r="AU661">
        <v>0</v>
      </c>
      <c r="AV661">
        <v>0</v>
      </c>
      <c r="AW661">
        <v>3.6960000000000002</v>
      </c>
      <c r="AX661">
        <v>0.18480000000000002</v>
      </c>
      <c r="AY661">
        <v>4.62</v>
      </c>
      <c r="AZ661" t="s">
        <v>135</v>
      </c>
      <c r="BA661">
        <v>1.38</v>
      </c>
      <c r="BB661">
        <v>7.4675324675324664</v>
      </c>
      <c r="BC661" t="s">
        <v>132</v>
      </c>
      <c r="BD661">
        <v>0</v>
      </c>
      <c r="BE661" t="s">
        <v>133</v>
      </c>
      <c r="BF66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3.6960000000000002</v>
      </c>
    </row>
    <row r="662" spans="1:58" x14ac:dyDescent="0.25">
      <c r="A662" t="s">
        <v>897</v>
      </c>
      <c r="B662" t="s">
        <v>19</v>
      </c>
      <c r="C662">
        <v>2</v>
      </c>
      <c r="D662">
        <v>46</v>
      </c>
      <c r="E662" t="s">
        <v>2108</v>
      </c>
      <c r="F662" t="s">
        <v>123</v>
      </c>
      <c r="G662" t="s">
        <v>124</v>
      </c>
      <c r="H662" t="s">
        <v>125</v>
      </c>
      <c r="I662" t="s">
        <v>126</v>
      </c>
      <c r="J662" t="s">
        <v>126</v>
      </c>
      <c r="K662" t="s">
        <v>127</v>
      </c>
      <c r="L662">
        <v>50</v>
      </c>
      <c r="M662">
        <v>1137183</v>
      </c>
      <c r="N662">
        <v>6</v>
      </c>
      <c r="O662">
        <v>3</v>
      </c>
      <c r="P662" t="s">
        <v>168</v>
      </c>
      <c r="Q662" t="s">
        <v>129</v>
      </c>
      <c r="R662">
        <v>5</v>
      </c>
      <c r="T662">
        <v>9</v>
      </c>
      <c r="U662">
        <v>14</v>
      </c>
      <c r="V662">
        <v>2</v>
      </c>
      <c r="W662">
        <v>0</v>
      </c>
      <c r="X662">
        <v>2</v>
      </c>
      <c r="Y662">
        <v>3</v>
      </c>
      <c r="Z662">
        <v>14</v>
      </c>
      <c r="AA662">
        <v>19</v>
      </c>
      <c r="AB662">
        <v>50</v>
      </c>
      <c r="AC662">
        <v>19</v>
      </c>
      <c r="AD662">
        <v>2</v>
      </c>
      <c r="AE662">
        <v>5</v>
      </c>
      <c r="AF662">
        <v>26</v>
      </c>
      <c r="AG662">
        <v>0</v>
      </c>
      <c r="AH662">
        <v>31</v>
      </c>
      <c r="AI662">
        <v>24</v>
      </c>
      <c r="AJ662">
        <v>26</v>
      </c>
      <c r="AK662">
        <v>31</v>
      </c>
      <c r="AL662">
        <v>0</v>
      </c>
      <c r="AM662">
        <v>0.12</v>
      </c>
      <c r="AN662">
        <v>2.3636363636363638</v>
      </c>
      <c r="AO662">
        <v>0</v>
      </c>
      <c r="AP662" t="s">
        <v>130</v>
      </c>
      <c r="AQ662" t="s">
        <v>131</v>
      </c>
      <c r="AR662" t="s">
        <v>194</v>
      </c>
      <c r="AS662">
        <v>1409</v>
      </c>
      <c r="AT662">
        <v>1342</v>
      </c>
      <c r="AU662">
        <v>0</v>
      </c>
      <c r="AV662">
        <v>0</v>
      </c>
      <c r="AW662">
        <v>2.7509999999999999</v>
      </c>
      <c r="AX662">
        <v>0.14478947368421052</v>
      </c>
      <c r="AY662">
        <v>3.7645263157894737</v>
      </c>
      <c r="AZ662" t="s">
        <v>135</v>
      </c>
      <c r="BA662">
        <v>2.2354736842105263</v>
      </c>
      <c r="BB662">
        <v>15.43947655398037</v>
      </c>
      <c r="BC662" t="s">
        <v>133</v>
      </c>
      <c r="BD662">
        <v>0</v>
      </c>
      <c r="BE662" t="s">
        <v>133</v>
      </c>
      <c r="BF66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2.7509999999999999</v>
      </c>
    </row>
    <row r="663" spans="1:58" x14ac:dyDescent="0.25">
      <c r="A663" t="s">
        <v>898</v>
      </c>
      <c r="B663" t="s">
        <v>19</v>
      </c>
      <c r="C663">
        <v>2</v>
      </c>
      <c r="D663">
        <v>47</v>
      </c>
      <c r="E663" t="s">
        <v>2108</v>
      </c>
      <c r="F663" t="s">
        <v>123</v>
      </c>
      <c r="G663" t="s">
        <v>124</v>
      </c>
      <c r="H663" t="s">
        <v>125</v>
      </c>
      <c r="I663" t="s">
        <v>126</v>
      </c>
      <c r="J663" t="s">
        <v>126</v>
      </c>
      <c r="K663" t="s">
        <v>127</v>
      </c>
      <c r="L663">
        <v>50</v>
      </c>
      <c r="M663">
        <v>1137185</v>
      </c>
      <c r="N663">
        <v>6</v>
      </c>
      <c r="O663">
        <v>3</v>
      </c>
      <c r="P663" t="s">
        <v>168</v>
      </c>
      <c r="Q663" t="s">
        <v>129</v>
      </c>
      <c r="R663">
        <v>5</v>
      </c>
      <c r="T663">
        <v>15</v>
      </c>
      <c r="U663">
        <v>20</v>
      </c>
      <c r="V663">
        <v>2</v>
      </c>
      <c r="W663">
        <v>0</v>
      </c>
      <c r="X663">
        <v>2</v>
      </c>
      <c r="Y663">
        <v>0</v>
      </c>
      <c r="Z663">
        <v>17</v>
      </c>
      <c r="AA663">
        <v>22</v>
      </c>
      <c r="AB663">
        <v>50</v>
      </c>
      <c r="AC663">
        <v>30</v>
      </c>
      <c r="AD663">
        <v>4</v>
      </c>
      <c r="AE663">
        <v>0</v>
      </c>
      <c r="AF663">
        <v>34</v>
      </c>
      <c r="AG663">
        <v>0</v>
      </c>
      <c r="AH663">
        <v>20</v>
      </c>
      <c r="AI663">
        <v>16</v>
      </c>
      <c r="AJ663">
        <v>20</v>
      </c>
      <c r="AK663">
        <v>20</v>
      </c>
      <c r="AL663">
        <v>0</v>
      </c>
      <c r="AM663">
        <v>0.12</v>
      </c>
      <c r="AN663">
        <v>1.8181818181818183</v>
      </c>
      <c r="AO663">
        <v>0</v>
      </c>
      <c r="AP663" t="s">
        <v>130</v>
      </c>
      <c r="AQ663" t="s">
        <v>131</v>
      </c>
      <c r="AR663" t="s">
        <v>194</v>
      </c>
      <c r="AS663">
        <v>2605</v>
      </c>
      <c r="AT663">
        <v>2619</v>
      </c>
      <c r="AU663">
        <v>0</v>
      </c>
      <c r="AV663">
        <v>0</v>
      </c>
      <c r="AW663">
        <v>5.2240000000000002</v>
      </c>
      <c r="AX663">
        <v>0.17413333333333333</v>
      </c>
      <c r="AY663">
        <v>5.9205333333333332</v>
      </c>
      <c r="AZ663" t="s">
        <v>135</v>
      </c>
      <c r="BA663">
        <v>7.9466666666666796E-2</v>
      </c>
      <c r="BB663">
        <v>0.45635528330781083</v>
      </c>
      <c r="BC663" t="s">
        <v>133</v>
      </c>
      <c r="BD663">
        <v>0</v>
      </c>
      <c r="BE663" t="s">
        <v>133</v>
      </c>
      <c r="BF66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5.2240000000000002</v>
      </c>
    </row>
    <row r="664" spans="1:58" x14ac:dyDescent="0.25">
      <c r="A664" t="s">
        <v>899</v>
      </c>
      <c r="B664" t="s">
        <v>19</v>
      </c>
      <c r="C664">
        <v>2</v>
      </c>
      <c r="D664">
        <v>48</v>
      </c>
      <c r="E664" t="s">
        <v>2108</v>
      </c>
      <c r="F664" t="s">
        <v>123</v>
      </c>
      <c r="G664" t="s">
        <v>124</v>
      </c>
      <c r="H664" t="s">
        <v>125</v>
      </c>
      <c r="I664" t="s">
        <v>126</v>
      </c>
      <c r="J664" t="s">
        <v>126</v>
      </c>
      <c r="K664" t="s">
        <v>127</v>
      </c>
      <c r="L664">
        <v>50</v>
      </c>
      <c r="M664">
        <v>1137187</v>
      </c>
      <c r="N664">
        <v>6</v>
      </c>
      <c r="O664">
        <v>3</v>
      </c>
      <c r="P664" t="s">
        <v>168</v>
      </c>
      <c r="Q664" t="s">
        <v>129</v>
      </c>
      <c r="R664">
        <v>5</v>
      </c>
      <c r="T664">
        <v>12</v>
      </c>
      <c r="U664">
        <v>17</v>
      </c>
      <c r="V664">
        <v>0</v>
      </c>
      <c r="W664">
        <v>0</v>
      </c>
      <c r="X664">
        <v>0</v>
      </c>
      <c r="Y664">
        <v>5</v>
      </c>
      <c r="Z664">
        <v>17</v>
      </c>
      <c r="AA664">
        <v>22</v>
      </c>
      <c r="AB664">
        <v>50</v>
      </c>
      <c r="AC664">
        <v>22</v>
      </c>
      <c r="AD664">
        <v>0</v>
      </c>
      <c r="AE664">
        <v>7</v>
      </c>
      <c r="AF664">
        <v>29</v>
      </c>
      <c r="AG664">
        <v>0</v>
      </c>
      <c r="AH664">
        <v>28</v>
      </c>
      <c r="AI664">
        <v>21</v>
      </c>
      <c r="AJ664">
        <v>21</v>
      </c>
      <c r="AK664">
        <v>28</v>
      </c>
      <c r="AL664">
        <v>0</v>
      </c>
      <c r="AM664">
        <v>0.12</v>
      </c>
      <c r="AN664">
        <v>1.9090909090909092</v>
      </c>
      <c r="AO664">
        <v>0</v>
      </c>
      <c r="AP664" t="s">
        <v>130</v>
      </c>
      <c r="AQ664" t="s">
        <v>131</v>
      </c>
      <c r="AR664" t="s">
        <v>194</v>
      </c>
      <c r="AS664">
        <v>1867</v>
      </c>
      <c r="AT664">
        <v>2227</v>
      </c>
      <c r="AU664">
        <v>0</v>
      </c>
      <c r="AV664">
        <v>0</v>
      </c>
      <c r="AW664">
        <v>4.0940000000000003</v>
      </c>
      <c r="AX664">
        <v>0.18609090909090911</v>
      </c>
      <c r="AY664">
        <v>5.3966363636363646</v>
      </c>
      <c r="AZ664" t="s">
        <v>135</v>
      </c>
      <c r="BA664">
        <v>0.60336363636363544</v>
      </c>
      <c r="BB664">
        <v>3.2423058133854368</v>
      </c>
      <c r="BC664" t="s">
        <v>133</v>
      </c>
      <c r="BD664">
        <v>0</v>
      </c>
      <c r="BE664" t="s">
        <v>133</v>
      </c>
      <c r="BF66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4.0940000000000003</v>
      </c>
    </row>
    <row r="665" spans="1:58" x14ac:dyDescent="0.25">
      <c r="A665" t="s">
        <v>900</v>
      </c>
      <c r="B665" t="s">
        <v>19</v>
      </c>
      <c r="C665">
        <v>2</v>
      </c>
      <c r="D665">
        <v>49</v>
      </c>
      <c r="E665" t="s">
        <v>2108</v>
      </c>
      <c r="F665" t="s">
        <v>123</v>
      </c>
      <c r="G665" t="s">
        <v>124</v>
      </c>
      <c r="H665" t="s">
        <v>125</v>
      </c>
      <c r="I665" t="s">
        <v>126</v>
      </c>
      <c r="J665" t="s">
        <v>126</v>
      </c>
      <c r="K665" t="s">
        <v>127</v>
      </c>
      <c r="L665">
        <v>50</v>
      </c>
      <c r="M665">
        <v>1137189</v>
      </c>
      <c r="N665">
        <v>6</v>
      </c>
      <c r="O665">
        <v>3</v>
      </c>
      <c r="P665" t="s">
        <v>168</v>
      </c>
      <c r="Q665" t="s">
        <v>129</v>
      </c>
      <c r="R665">
        <v>5</v>
      </c>
      <c r="T665">
        <v>12</v>
      </c>
      <c r="U665">
        <v>17</v>
      </c>
      <c r="V665">
        <v>4</v>
      </c>
      <c r="W665">
        <v>0</v>
      </c>
      <c r="X665">
        <v>4</v>
      </c>
      <c r="Y665">
        <v>2</v>
      </c>
      <c r="Z665">
        <v>18</v>
      </c>
      <c r="AA665">
        <v>23</v>
      </c>
      <c r="AB665">
        <v>50</v>
      </c>
      <c r="AC665">
        <v>20</v>
      </c>
      <c r="AD665">
        <v>5</v>
      </c>
      <c r="AE665">
        <v>5</v>
      </c>
      <c r="AF665">
        <v>30</v>
      </c>
      <c r="AG665">
        <v>0</v>
      </c>
      <c r="AH665">
        <v>30</v>
      </c>
      <c r="AI665">
        <v>20</v>
      </c>
      <c r="AJ665">
        <v>25</v>
      </c>
      <c r="AK665">
        <v>30</v>
      </c>
      <c r="AL665">
        <v>0</v>
      </c>
      <c r="AM665">
        <v>0.12</v>
      </c>
      <c r="AN665">
        <v>2.2727272727272729</v>
      </c>
      <c r="AO665">
        <v>0</v>
      </c>
      <c r="AP665" t="s">
        <v>130</v>
      </c>
      <c r="AQ665" t="s">
        <v>131</v>
      </c>
      <c r="AR665" t="s">
        <v>194</v>
      </c>
      <c r="AS665">
        <v>1932</v>
      </c>
      <c r="AT665">
        <v>1863</v>
      </c>
      <c r="AU665">
        <v>0</v>
      </c>
      <c r="AV665">
        <v>0</v>
      </c>
      <c r="AW665">
        <v>3.7949999999999999</v>
      </c>
      <c r="AX665">
        <v>0.18975</v>
      </c>
      <c r="AY665">
        <v>5.6924999999999999</v>
      </c>
      <c r="AZ665" t="s">
        <v>135</v>
      </c>
      <c r="BA665">
        <v>0.30750000000000011</v>
      </c>
      <c r="BB665">
        <v>1.6205533596837951</v>
      </c>
      <c r="BC665" t="s">
        <v>133</v>
      </c>
      <c r="BD665">
        <v>0</v>
      </c>
      <c r="BE665" t="s">
        <v>133</v>
      </c>
      <c r="BF66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3.7949999999999999</v>
      </c>
    </row>
    <row r="666" spans="1:58" x14ac:dyDescent="0.25">
      <c r="A666" t="s">
        <v>901</v>
      </c>
      <c r="B666" t="s">
        <v>19</v>
      </c>
      <c r="C666">
        <v>2</v>
      </c>
      <c r="D666">
        <v>50</v>
      </c>
      <c r="E666" t="s">
        <v>2108</v>
      </c>
      <c r="F666" t="s">
        <v>123</v>
      </c>
      <c r="G666" t="s">
        <v>124</v>
      </c>
      <c r="H666" t="s">
        <v>136</v>
      </c>
      <c r="I666" t="s">
        <v>137</v>
      </c>
      <c r="J666" t="s">
        <v>138</v>
      </c>
      <c r="K666" t="s">
        <v>127</v>
      </c>
      <c r="L666">
        <v>50</v>
      </c>
      <c r="M666">
        <v>1137191</v>
      </c>
      <c r="N666">
        <v>5</v>
      </c>
      <c r="O666">
        <v>3</v>
      </c>
      <c r="P666" t="s">
        <v>168</v>
      </c>
      <c r="Q666" t="s">
        <v>129</v>
      </c>
      <c r="R666">
        <v>5</v>
      </c>
      <c r="T666">
        <v>0</v>
      </c>
      <c r="U666">
        <v>4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4</v>
      </c>
      <c r="AB666">
        <v>50</v>
      </c>
      <c r="AC666">
        <v>4</v>
      </c>
      <c r="AD666">
        <v>0</v>
      </c>
      <c r="AE666">
        <v>0</v>
      </c>
      <c r="AF666">
        <v>4</v>
      </c>
      <c r="AG666">
        <v>0</v>
      </c>
      <c r="AH666">
        <v>46</v>
      </c>
      <c r="AI666">
        <v>46</v>
      </c>
      <c r="AJ666">
        <v>46</v>
      </c>
      <c r="AK666">
        <v>46</v>
      </c>
      <c r="AL666">
        <v>0</v>
      </c>
      <c r="AM666">
        <v>0.1</v>
      </c>
      <c r="AN666">
        <v>4.1818181818181817</v>
      </c>
      <c r="AO666">
        <v>0</v>
      </c>
      <c r="AP666" t="s">
        <v>139</v>
      </c>
      <c r="AQ666" t="s">
        <v>131</v>
      </c>
      <c r="AR666" t="s">
        <v>194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 t="s">
        <v>134</v>
      </c>
      <c r="BA666">
        <v>5</v>
      </c>
      <c r="BB666">
        <v>0</v>
      </c>
      <c r="BC666" t="s">
        <v>133</v>
      </c>
      <c r="BD666">
        <v>0</v>
      </c>
      <c r="BE666" t="s">
        <v>133</v>
      </c>
      <c r="BF66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67" spans="1:58" x14ac:dyDescent="0.25">
      <c r="A667" t="s">
        <v>902</v>
      </c>
      <c r="B667" t="s">
        <v>19</v>
      </c>
      <c r="C667">
        <v>2</v>
      </c>
      <c r="D667">
        <v>51</v>
      </c>
      <c r="E667" t="s">
        <v>2108</v>
      </c>
      <c r="F667" t="s">
        <v>123</v>
      </c>
      <c r="G667" t="s">
        <v>124</v>
      </c>
      <c r="H667" t="s">
        <v>125</v>
      </c>
      <c r="I667" t="s">
        <v>126</v>
      </c>
      <c r="J667" t="s">
        <v>126</v>
      </c>
      <c r="K667" t="s">
        <v>127</v>
      </c>
      <c r="L667">
        <v>50</v>
      </c>
      <c r="M667">
        <v>1137193</v>
      </c>
      <c r="N667">
        <v>6</v>
      </c>
      <c r="O667">
        <v>3</v>
      </c>
      <c r="P667" t="s">
        <v>168</v>
      </c>
      <c r="Q667" t="s">
        <v>129</v>
      </c>
      <c r="R667">
        <v>5</v>
      </c>
      <c r="T667">
        <v>9</v>
      </c>
      <c r="U667">
        <v>14</v>
      </c>
      <c r="V667">
        <v>7</v>
      </c>
      <c r="W667">
        <v>0</v>
      </c>
      <c r="X667">
        <v>7</v>
      </c>
      <c r="Y667">
        <v>1</v>
      </c>
      <c r="Z667">
        <v>17</v>
      </c>
      <c r="AA667">
        <v>22</v>
      </c>
      <c r="AB667">
        <v>50</v>
      </c>
      <c r="AC667">
        <v>20</v>
      </c>
      <c r="AD667">
        <v>12</v>
      </c>
      <c r="AE667">
        <v>1</v>
      </c>
      <c r="AF667">
        <v>33</v>
      </c>
      <c r="AG667">
        <v>0</v>
      </c>
      <c r="AH667">
        <v>30</v>
      </c>
      <c r="AI667">
        <v>17</v>
      </c>
      <c r="AJ667">
        <v>29</v>
      </c>
      <c r="AK667">
        <v>30</v>
      </c>
      <c r="AL667">
        <v>0</v>
      </c>
      <c r="AM667">
        <v>0.12</v>
      </c>
      <c r="AN667">
        <v>2.6363636363636362</v>
      </c>
      <c r="AO667">
        <v>0</v>
      </c>
      <c r="AP667" t="s">
        <v>130</v>
      </c>
      <c r="AQ667" t="s">
        <v>131</v>
      </c>
      <c r="AR667" t="s">
        <v>194</v>
      </c>
      <c r="AS667">
        <v>1465</v>
      </c>
      <c r="AT667">
        <v>1533</v>
      </c>
      <c r="AU667">
        <v>0</v>
      </c>
      <c r="AV667">
        <v>0</v>
      </c>
      <c r="AW667">
        <v>2.9980000000000002</v>
      </c>
      <c r="AX667">
        <v>0.14990000000000001</v>
      </c>
      <c r="AY667">
        <v>4.9466999999999999</v>
      </c>
      <c r="AZ667" t="s">
        <v>135</v>
      </c>
      <c r="BA667">
        <v>1.0533000000000001</v>
      </c>
      <c r="BB667">
        <v>7.0266844563042037</v>
      </c>
      <c r="BC667" t="s">
        <v>133</v>
      </c>
      <c r="BD667">
        <v>0</v>
      </c>
      <c r="BE667" t="s">
        <v>133</v>
      </c>
      <c r="BF66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2.9980000000000002</v>
      </c>
    </row>
    <row r="668" spans="1:58" x14ac:dyDescent="0.25">
      <c r="A668" t="s">
        <v>903</v>
      </c>
      <c r="B668" t="s">
        <v>19</v>
      </c>
      <c r="C668">
        <v>2</v>
      </c>
      <c r="D668">
        <v>52</v>
      </c>
      <c r="E668" t="s">
        <v>2108</v>
      </c>
      <c r="F668" t="s">
        <v>123</v>
      </c>
      <c r="G668" t="s">
        <v>124</v>
      </c>
      <c r="H668" t="s">
        <v>125</v>
      </c>
      <c r="I668" t="s">
        <v>126</v>
      </c>
      <c r="J668" t="s">
        <v>126</v>
      </c>
      <c r="K668" t="s">
        <v>127</v>
      </c>
      <c r="L668">
        <v>50</v>
      </c>
      <c r="M668">
        <v>1137195</v>
      </c>
      <c r="N668">
        <v>6</v>
      </c>
      <c r="O668">
        <v>3</v>
      </c>
      <c r="P668" t="s">
        <v>168</v>
      </c>
      <c r="Q668" t="s">
        <v>129</v>
      </c>
      <c r="R668">
        <v>5</v>
      </c>
      <c r="T668">
        <v>15</v>
      </c>
      <c r="U668">
        <v>20</v>
      </c>
      <c r="V668">
        <v>6</v>
      </c>
      <c r="W668">
        <v>0</v>
      </c>
      <c r="X668">
        <v>6</v>
      </c>
      <c r="Y668">
        <v>1</v>
      </c>
      <c r="Z668">
        <v>22</v>
      </c>
      <c r="AA668">
        <v>27</v>
      </c>
      <c r="AB668">
        <v>50</v>
      </c>
      <c r="AC668">
        <v>22</v>
      </c>
      <c r="AD668">
        <v>11</v>
      </c>
      <c r="AE668">
        <v>2</v>
      </c>
      <c r="AF668">
        <v>35</v>
      </c>
      <c r="AG668">
        <v>0</v>
      </c>
      <c r="AH668">
        <v>28</v>
      </c>
      <c r="AI668">
        <v>15</v>
      </c>
      <c r="AJ668">
        <v>26</v>
      </c>
      <c r="AK668">
        <v>28</v>
      </c>
      <c r="AL668">
        <v>0</v>
      </c>
      <c r="AM668">
        <v>0.12</v>
      </c>
      <c r="AN668">
        <v>2.3636363636363638</v>
      </c>
      <c r="AO668">
        <v>0</v>
      </c>
      <c r="AP668" t="s">
        <v>130</v>
      </c>
      <c r="AQ668" t="s">
        <v>131</v>
      </c>
      <c r="AR668" t="s">
        <v>194</v>
      </c>
      <c r="AS668">
        <v>2415</v>
      </c>
      <c r="AT668">
        <v>2263</v>
      </c>
      <c r="AU668">
        <v>0</v>
      </c>
      <c r="AV668">
        <v>0</v>
      </c>
      <c r="AW668">
        <v>4.6779999999999999</v>
      </c>
      <c r="AX668">
        <v>0.21263636363636362</v>
      </c>
      <c r="AY668">
        <v>7.4422727272727265</v>
      </c>
      <c r="AZ668" t="s">
        <v>135</v>
      </c>
      <c r="BA668">
        <v>-1.4422727272727265</v>
      </c>
      <c r="BB668">
        <v>-6.7828131680205184</v>
      </c>
      <c r="BC668" t="s">
        <v>133</v>
      </c>
      <c r="BD668">
        <v>0</v>
      </c>
      <c r="BE668" t="s">
        <v>133</v>
      </c>
      <c r="BF66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4.6779999999999999</v>
      </c>
    </row>
    <row r="669" spans="1:58" x14ac:dyDescent="0.25">
      <c r="A669" t="s">
        <v>904</v>
      </c>
      <c r="B669" t="s">
        <v>19</v>
      </c>
      <c r="C669">
        <v>2</v>
      </c>
      <c r="D669">
        <v>53</v>
      </c>
      <c r="E669" t="s">
        <v>2108</v>
      </c>
      <c r="F669" t="s">
        <v>123</v>
      </c>
      <c r="G669" t="s">
        <v>124</v>
      </c>
      <c r="H669" t="s">
        <v>125</v>
      </c>
      <c r="I669" t="s">
        <v>126</v>
      </c>
      <c r="J669" t="s">
        <v>126</v>
      </c>
      <c r="K669" t="s">
        <v>127</v>
      </c>
      <c r="L669">
        <v>50</v>
      </c>
      <c r="M669">
        <v>1137197</v>
      </c>
      <c r="N669">
        <v>6</v>
      </c>
      <c r="O669">
        <v>3</v>
      </c>
      <c r="P669" t="s">
        <v>168</v>
      </c>
      <c r="Q669" t="s">
        <v>129</v>
      </c>
      <c r="R669">
        <v>5</v>
      </c>
      <c r="T669">
        <v>10</v>
      </c>
      <c r="U669">
        <v>15</v>
      </c>
      <c r="V669">
        <v>4</v>
      </c>
      <c r="W669">
        <v>0</v>
      </c>
      <c r="X669">
        <v>4</v>
      </c>
      <c r="Y669">
        <v>1</v>
      </c>
      <c r="Z669">
        <v>15</v>
      </c>
      <c r="AA669">
        <v>20</v>
      </c>
      <c r="AB669">
        <v>50</v>
      </c>
      <c r="AC669">
        <v>20</v>
      </c>
      <c r="AD669">
        <v>7</v>
      </c>
      <c r="AE669">
        <v>1</v>
      </c>
      <c r="AF669">
        <v>28</v>
      </c>
      <c r="AG669">
        <v>0</v>
      </c>
      <c r="AH669">
        <v>30</v>
      </c>
      <c r="AI669">
        <v>22</v>
      </c>
      <c r="AJ669">
        <v>29</v>
      </c>
      <c r="AK669">
        <v>30</v>
      </c>
      <c r="AL669">
        <v>0</v>
      </c>
      <c r="AM669">
        <v>0.12</v>
      </c>
      <c r="AN669">
        <v>2.6363636363636362</v>
      </c>
      <c r="AO669">
        <v>0</v>
      </c>
      <c r="AP669" t="s">
        <v>130</v>
      </c>
      <c r="AQ669" t="s">
        <v>131</v>
      </c>
      <c r="AR669" t="s">
        <v>194</v>
      </c>
      <c r="AS669">
        <v>1744</v>
      </c>
      <c r="AT669">
        <v>1679</v>
      </c>
      <c r="AU669">
        <v>0</v>
      </c>
      <c r="AV669">
        <v>0</v>
      </c>
      <c r="AW669">
        <v>3.423</v>
      </c>
      <c r="AX669">
        <v>0.17115</v>
      </c>
      <c r="AY669">
        <v>4.7922000000000002</v>
      </c>
      <c r="AZ669" t="s">
        <v>135</v>
      </c>
      <c r="BA669">
        <v>1.2077999999999998</v>
      </c>
      <c r="BB669">
        <v>7.0569675723049947</v>
      </c>
      <c r="BC669" t="s">
        <v>133</v>
      </c>
      <c r="BD669">
        <v>0</v>
      </c>
      <c r="BE669" t="s">
        <v>133</v>
      </c>
      <c r="BF66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3.423</v>
      </c>
    </row>
    <row r="670" spans="1:58" x14ac:dyDescent="0.25">
      <c r="A670" t="s">
        <v>905</v>
      </c>
      <c r="B670" t="s">
        <v>19</v>
      </c>
      <c r="C670">
        <v>2</v>
      </c>
      <c r="D670">
        <v>54</v>
      </c>
      <c r="E670" t="s">
        <v>2108</v>
      </c>
      <c r="F670" t="s">
        <v>123</v>
      </c>
      <c r="G670" t="s">
        <v>124</v>
      </c>
      <c r="H670" t="s">
        <v>125</v>
      </c>
      <c r="I670" t="s">
        <v>126</v>
      </c>
      <c r="J670" t="s">
        <v>126</v>
      </c>
      <c r="K670" t="s">
        <v>127</v>
      </c>
      <c r="L670">
        <v>50</v>
      </c>
      <c r="M670">
        <v>1137199</v>
      </c>
      <c r="N670">
        <v>6</v>
      </c>
      <c r="O670">
        <v>3</v>
      </c>
      <c r="P670" t="s">
        <v>168</v>
      </c>
      <c r="Q670" t="s">
        <v>129</v>
      </c>
      <c r="R670">
        <v>5</v>
      </c>
      <c r="T670">
        <v>13</v>
      </c>
      <c r="U670">
        <v>18</v>
      </c>
      <c r="V670">
        <v>4</v>
      </c>
      <c r="W670">
        <v>0</v>
      </c>
      <c r="X670">
        <v>4</v>
      </c>
      <c r="Y670">
        <v>4</v>
      </c>
      <c r="Z670">
        <v>21</v>
      </c>
      <c r="AA670">
        <v>26</v>
      </c>
      <c r="AB670">
        <v>50</v>
      </c>
      <c r="AC670">
        <v>19</v>
      </c>
      <c r="AD670">
        <v>7</v>
      </c>
      <c r="AE670">
        <v>6</v>
      </c>
      <c r="AF670">
        <v>32</v>
      </c>
      <c r="AG670">
        <v>0</v>
      </c>
      <c r="AH670">
        <v>31</v>
      </c>
      <c r="AI670">
        <v>18</v>
      </c>
      <c r="AJ670">
        <v>25</v>
      </c>
      <c r="AK670">
        <v>31</v>
      </c>
      <c r="AL670">
        <v>0</v>
      </c>
      <c r="AM670">
        <v>0.12</v>
      </c>
      <c r="AN670">
        <v>2.2727272727272729</v>
      </c>
      <c r="AO670">
        <v>0</v>
      </c>
      <c r="AP670" t="s">
        <v>130</v>
      </c>
      <c r="AQ670" t="s">
        <v>131</v>
      </c>
      <c r="AR670" t="s">
        <v>194</v>
      </c>
      <c r="AS670">
        <v>2401</v>
      </c>
      <c r="AT670">
        <v>2289</v>
      </c>
      <c r="AU670">
        <v>0</v>
      </c>
      <c r="AV670">
        <v>0</v>
      </c>
      <c r="AW670">
        <v>4.6900000000000004</v>
      </c>
      <c r="AX670">
        <v>0.24684210526315792</v>
      </c>
      <c r="AY670">
        <v>7.8989473684210534</v>
      </c>
      <c r="AZ670" t="s">
        <v>135</v>
      </c>
      <c r="BA670">
        <v>-1.8989473684210534</v>
      </c>
      <c r="BB670">
        <v>-7.6929637526652472</v>
      </c>
      <c r="BC670" t="s">
        <v>133</v>
      </c>
      <c r="BD670">
        <v>0</v>
      </c>
      <c r="BE670" t="s">
        <v>133</v>
      </c>
      <c r="BF67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4.6900000000000004</v>
      </c>
    </row>
    <row r="671" spans="1:58" x14ac:dyDescent="0.25">
      <c r="A671" t="s">
        <v>906</v>
      </c>
      <c r="B671" t="s">
        <v>19</v>
      </c>
      <c r="C671">
        <v>2</v>
      </c>
      <c r="D671">
        <v>55</v>
      </c>
      <c r="E671" t="s">
        <v>2108</v>
      </c>
      <c r="F671" t="s">
        <v>123</v>
      </c>
      <c r="G671" t="s">
        <v>124</v>
      </c>
      <c r="H671" t="s">
        <v>125</v>
      </c>
      <c r="I671" t="s">
        <v>126</v>
      </c>
      <c r="J671" t="s">
        <v>126</v>
      </c>
      <c r="K671" t="s">
        <v>127</v>
      </c>
      <c r="L671">
        <v>50</v>
      </c>
      <c r="M671">
        <v>1137201</v>
      </c>
      <c r="N671">
        <v>6</v>
      </c>
      <c r="O671">
        <v>3</v>
      </c>
      <c r="P671" t="s">
        <v>168</v>
      </c>
      <c r="Q671" t="s">
        <v>129</v>
      </c>
      <c r="R671">
        <v>5</v>
      </c>
      <c r="T671">
        <v>15</v>
      </c>
      <c r="U671">
        <v>20</v>
      </c>
      <c r="V671">
        <v>3</v>
      </c>
      <c r="W671">
        <v>0</v>
      </c>
      <c r="X671">
        <v>3</v>
      </c>
      <c r="Y671">
        <v>0</v>
      </c>
      <c r="Z671">
        <v>18</v>
      </c>
      <c r="AA671">
        <v>23</v>
      </c>
      <c r="AB671">
        <v>50</v>
      </c>
      <c r="AC671">
        <v>26</v>
      </c>
      <c r="AD671">
        <v>4</v>
      </c>
      <c r="AE671">
        <v>0</v>
      </c>
      <c r="AF671">
        <v>30</v>
      </c>
      <c r="AG671">
        <v>0</v>
      </c>
      <c r="AH671">
        <v>24</v>
      </c>
      <c r="AI671">
        <v>20</v>
      </c>
      <c r="AJ671">
        <v>24</v>
      </c>
      <c r="AK671">
        <v>24</v>
      </c>
      <c r="AL671">
        <v>0</v>
      </c>
      <c r="AM671">
        <v>0.12</v>
      </c>
      <c r="AN671">
        <v>2.1818181818181817</v>
      </c>
      <c r="AO671">
        <v>0</v>
      </c>
      <c r="AP671" t="s">
        <v>130</v>
      </c>
      <c r="AQ671" t="s">
        <v>131</v>
      </c>
      <c r="AR671" t="s">
        <v>194</v>
      </c>
      <c r="AS671">
        <v>2673</v>
      </c>
      <c r="AT671">
        <v>2590</v>
      </c>
      <c r="AU671">
        <v>0</v>
      </c>
      <c r="AV671">
        <v>0</v>
      </c>
      <c r="AW671">
        <v>5.2629999999999999</v>
      </c>
      <c r="AX671">
        <v>0.20242307692307693</v>
      </c>
      <c r="AY671">
        <v>6.0726923076923081</v>
      </c>
      <c r="AZ671" t="s">
        <v>135</v>
      </c>
      <c r="BA671">
        <v>-7.2692307692308056E-2</v>
      </c>
      <c r="BB671">
        <v>-0.35911077332320146</v>
      </c>
      <c r="BC671" t="s">
        <v>144</v>
      </c>
      <c r="BD671">
        <v>0</v>
      </c>
      <c r="BE671" t="s">
        <v>133</v>
      </c>
      <c r="BF67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5.2629999999999999</v>
      </c>
    </row>
    <row r="672" spans="1:58" x14ac:dyDescent="0.25">
      <c r="A672" t="s">
        <v>907</v>
      </c>
      <c r="B672" t="s">
        <v>19</v>
      </c>
      <c r="C672">
        <v>2</v>
      </c>
      <c r="D672">
        <v>56</v>
      </c>
      <c r="E672" t="s">
        <v>2110</v>
      </c>
      <c r="F672" t="s">
        <v>123</v>
      </c>
      <c r="G672" t="s">
        <v>124</v>
      </c>
      <c r="H672" t="s">
        <v>125</v>
      </c>
      <c r="I672" t="s">
        <v>126</v>
      </c>
      <c r="J672" t="s">
        <v>126</v>
      </c>
      <c r="K672" t="s">
        <v>127</v>
      </c>
      <c r="L672">
        <v>50</v>
      </c>
      <c r="M672">
        <v>1137203</v>
      </c>
      <c r="N672">
        <v>6</v>
      </c>
      <c r="O672">
        <v>3</v>
      </c>
      <c r="P672" t="s">
        <v>168</v>
      </c>
      <c r="Q672" t="s">
        <v>129</v>
      </c>
      <c r="R672">
        <v>6</v>
      </c>
      <c r="T672">
        <v>9</v>
      </c>
      <c r="U672">
        <v>14</v>
      </c>
      <c r="V672">
        <v>1</v>
      </c>
      <c r="W672">
        <v>0</v>
      </c>
      <c r="X672">
        <v>1</v>
      </c>
      <c r="Y672">
        <v>2</v>
      </c>
      <c r="Z672">
        <v>12</v>
      </c>
      <c r="AA672">
        <v>17</v>
      </c>
      <c r="AB672">
        <v>50</v>
      </c>
      <c r="AC672">
        <v>14</v>
      </c>
      <c r="AD672">
        <v>1</v>
      </c>
      <c r="AE672">
        <v>2</v>
      </c>
      <c r="AF672">
        <v>17</v>
      </c>
      <c r="AG672">
        <v>0</v>
      </c>
      <c r="AH672">
        <v>36</v>
      </c>
      <c r="AI672">
        <v>33</v>
      </c>
      <c r="AJ672">
        <v>34</v>
      </c>
      <c r="AK672">
        <v>36</v>
      </c>
      <c r="AL672">
        <v>0</v>
      </c>
      <c r="AM672">
        <v>0.12</v>
      </c>
      <c r="AN672">
        <v>3.0909090909090908</v>
      </c>
      <c r="AO672">
        <v>0</v>
      </c>
      <c r="AP672" t="s">
        <v>130</v>
      </c>
      <c r="AQ672" t="s">
        <v>131</v>
      </c>
      <c r="AR672" t="s">
        <v>523</v>
      </c>
      <c r="AS672">
        <v>1174</v>
      </c>
      <c r="AT672">
        <v>1208</v>
      </c>
      <c r="AU672">
        <v>0</v>
      </c>
      <c r="AV672">
        <v>0</v>
      </c>
      <c r="AW672">
        <v>2.3820000000000001</v>
      </c>
      <c r="AX672">
        <v>0.17014285714285715</v>
      </c>
      <c r="AY672">
        <v>2.8924285714285718</v>
      </c>
      <c r="AZ672" t="s">
        <v>135</v>
      </c>
      <c r="BA672">
        <v>3.1075714285714282</v>
      </c>
      <c r="BB672">
        <v>18.264483627204026</v>
      </c>
      <c r="BC672" t="s">
        <v>132</v>
      </c>
      <c r="BD672">
        <v>0</v>
      </c>
      <c r="BE672" t="s">
        <v>133</v>
      </c>
      <c r="BF67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2.3820000000000001</v>
      </c>
    </row>
    <row r="673" spans="1:58" x14ac:dyDescent="0.25">
      <c r="A673" t="s">
        <v>908</v>
      </c>
      <c r="B673" t="s">
        <v>19</v>
      </c>
      <c r="C673">
        <v>2</v>
      </c>
      <c r="D673">
        <v>57</v>
      </c>
      <c r="E673" t="s">
        <v>2110</v>
      </c>
      <c r="F673" t="s">
        <v>123</v>
      </c>
      <c r="G673" t="s">
        <v>124</v>
      </c>
      <c r="H673" t="s">
        <v>125</v>
      </c>
      <c r="I673" t="s">
        <v>126</v>
      </c>
      <c r="J673" t="s">
        <v>126</v>
      </c>
      <c r="K673" t="s">
        <v>127</v>
      </c>
      <c r="L673">
        <v>50</v>
      </c>
      <c r="M673">
        <v>1137205</v>
      </c>
      <c r="N673">
        <v>6</v>
      </c>
      <c r="O673">
        <v>3</v>
      </c>
      <c r="P673" t="s">
        <v>168</v>
      </c>
      <c r="Q673" t="s">
        <v>129</v>
      </c>
      <c r="R673">
        <v>6</v>
      </c>
      <c r="T673">
        <v>2</v>
      </c>
      <c r="U673">
        <v>7</v>
      </c>
      <c r="V673">
        <v>3</v>
      </c>
      <c r="W673">
        <v>0</v>
      </c>
      <c r="X673">
        <v>3</v>
      </c>
      <c r="Y673">
        <v>1</v>
      </c>
      <c r="Z673">
        <v>6</v>
      </c>
      <c r="AA673">
        <v>11</v>
      </c>
      <c r="AB673">
        <v>50</v>
      </c>
      <c r="AC673">
        <v>7</v>
      </c>
      <c r="AD673">
        <v>5</v>
      </c>
      <c r="AE673">
        <v>1</v>
      </c>
      <c r="AF673">
        <v>13</v>
      </c>
      <c r="AG673">
        <v>0</v>
      </c>
      <c r="AH673">
        <v>43</v>
      </c>
      <c r="AI673">
        <v>37</v>
      </c>
      <c r="AJ673">
        <v>42</v>
      </c>
      <c r="AK673">
        <v>43</v>
      </c>
      <c r="AL673">
        <v>0</v>
      </c>
      <c r="AM673">
        <v>0.12</v>
      </c>
      <c r="AN673">
        <v>3.8181818181818183</v>
      </c>
      <c r="AO673">
        <v>0</v>
      </c>
      <c r="AP673" t="s">
        <v>130</v>
      </c>
      <c r="AQ673" t="s">
        <v>131</v>
      </c>
      <c r="AR673" t="s">
        <v>523</v>
      </c>
      <c r="AS673">
        <v>635</v>
      </c>
      <c r="AT673">
        <v>619</v>
      </c>
      <c r="AU673">
        <v>0</v>
      </c>
      <c r="AV673">
        <v>0</v>
      </c>
      <c r="AW673">
        <v>1.254</v>
      </c>
      <c r="AX673">
        <v>0.17914285714285713</v>
      </c>
      <c r="AY673">
        <v>2.3288571428571427</v>
      </c>
      <c r="AZ673" t="s">
        <v>135</v>
      </c>
      <c r="BA673">
        <v>3.6711428571428573</v>
      </c>
      <c r="BB673">
        <v>20.49282296650718</v>
      </c>
      <c r="BC673" t="s">
        <v>133</v>
      </c>
      <c r="BD673">
        <v>0</v>
      </c>
      <c r="BE673" t="s">
        <v>133</v>
      </c>
      <c r="BF67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1.254</v>
      </c>
    </row>
    <row r="674" spans="1:58" x14ac:dyDescent="0.25">
      <c r="A674" t="s">
        <v>909</v>
      </c>
      <c r="B674" t="s">
        <v>19</v>
      </c>
      <c r="C674">
        <v>2</v>
      </c>
      <c r="D674">
        <v>58</v>
      </c>
      <c r="E674" t="s">
        <v>2110</v>
      </c>
      <c r="F674" t="s">
        <v>123</v>
      </c>
      <c r="G674" t="s">
        <v>124</v>
      </c>
      <c r="H674" t="s">
        <v>125</v>
      </c>
      <c r="I674" t="s">
        <v>126</v>
      </c>
      <c r="J674" t="s">
        <v>126</v>
      </c>
      <c r="K674" t="s">
        <v>127</v>
      </c>
      <c r="L674">
        <v>50</v>
      </c>
      <c r="M674">
        <v>1137207</v>
      </c>
      <c r="N674">
        <v>6</v>
      </c>
      <c r="O674">
        <v>3</v>
      </c>
      <c r="P674" t="s">
        <v>168</v>
      </c>
      <c r="Q674" t="s">
        <v>129</v>
      </c>
      <c r="R674">
        <v>6</v>
      </c>
      <c r="T674">
        <v>9</v>
      </c>
      <c r="U674">
        <v>14</v>
      </c>
      <c r="V674">
        <v>2</v>
      </c>
      <c r="W674">
        <v>0</v>
      </c>
      <c r="X674">
        <v>2</v>
      </c>
      <c r="Y674">
        <v>1</v>
      </c>
      <c r="Z674">
        <v>12</v>
      </c>
      <c r="AA674">
        <v>17</v>
      </c>
      <c r="AB674">
        <v>50</v>
      </c>
      <c r="AC674">
        <v>20</v>
      </c>
      <c r="AD674">
        <v>6</v>
      </c>
      <c r="AE674">
        <v>1</v>
      </c>
      <c r="AF674">
        <v>27</v>
      </c>
      <c r="AG674">
        <v>0</v>
      </c>
      <c r="AH674">
        <v>30</v>
      </c>
      <c r="AI674">
        <v>23</v>
      </c>
      <c r="AJ674">
        <v>29</v>
      </c>
      <c r="AK674">
        <v>30</v>
      </c>
      <c r="AL674">
        <v>0</v>
      </c>
      <c r="AM674">
        <v>0.12</v>
      </c>
      <c r="AN674">
        <v>2.6363636363636362</v>
      </c>
      <c r="AO674">
        <v>0</v>
      </c>
      <c r="AP674" t="s">
        <v>130</v>
      </c>
      <c r="AQ674" t="s">
        <v>131</v>
      </c>
      <c r="AR674" t="s">
        <v>523</v>
      </c>
      <c r="AS674">
        <v>1390</v>
      </c>
      <c r="AT674">
        <v>1561</v>
      </c>
      <c r="AU674">
        <v>0</v>
      </c>
      <c r="AV674">
        <v>0</v>
      </c>
      <c r="AW674">
        <v>2.9510000000000001</v>
      </c>
      <c r="AX674">
        <v>0.14755000000000001</v>
      </c>
      <c r="AY674">
        <v>3.9838500000000003</v>
      </c>
      <c r="AZ674" t="s">
        <v>135</v>
      </c>
      <c r="BA674">
        <v>2.0161499999999997</v>
      </c>
      <c r="BB674">
        <v>13.664181633344626</v>
      </c>
      <c r="BC674" t="s">
        <v>133</v>
      </c>
      <c r="BD674">
        <v>0</v>
      </c>
      <c r="BE674" t="s">
        <v>133</v>
      </c>
      <c r="BF67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2.9510000000000001</v>
      </c>
    </row>
    <row r="675" spans="1:58" x14ac:dyDescent="0.25">
      <c r="A675" t="s">
        <v>910</v>
      </c>
      <c r="B675" t="s">
        <v>19</v>
      </c>
      <c r="C675">
        <v>2</v>
      </c>
      <c r="D675">
        <v>59</v>
      </c>
      <c r="E675" t="s">
        <v>2110</v>
      </c>
      <c r="F675" t="s">
        <v>123</v>
      </c>
      <c r="G675" t="s">
        <v>124</v>
      </c>
      <c r="H675" t="s">
        <v>125</v>
      </c>
      <c r="I675" t="s">
        <v>126</v>
      </c>
      <c r="J675" t="s">
        <v>126</v>
      </c>
      <c r="K675" t="s">
        <v>127</v>
      </c>
      <c r="L675">
        <v>50</v>
      </c>
      <c r="M675">
        <v>1137209</v>
      </c>
      <c r="N675">
        <v>6</v>
      </c>
      <c r="O675">
        <v>3</v>
      </c>
      <c r="P675" t="s">
        <v>168</v>
      </c>
      <c r="Q675" t="s">
        <v>129</v>
      </c>
      <c r="R675">
        <v>6</v>
      </c>
      <c r="T675">
        <v>6</v>
      </c>
      <c r="U675">
        <v>11</v>
      </c>
      <c r="V675">
        <v>3</v>
      </c>
      <c r="W675">
        <v>0</v>
      </c>
      <c r="X675">
        <v>3</v>
      </c>
      <c r="Y675">
        <v>4</v>
      </c>
      <c r="Z675">
        <v>13</v>
      </c>
      <c r="AA675">
        <v>18</v>
      </c>
      <c r="AB675">
        <v>50</v>
      </c>
      <c r="AC675">
        <v>15</v>
      </c>
      <c r="AD675">
        <v>6</v>
      </c>
      <c r="AE675">
        <v>5</v>
      </c>
      <c r="AF675">
        <v>26</v>
      </c>
      <c r="AG675">
        <v>0</v>
      </c>
      <c r="AH675">
        <v>35</v>
      </c>
      <c r="AI675">
        <v>24</v>
      </c>
      <c r="AJ675">
        <v>30</v>
      </c>
      <c r="AK675">
        <v>35</v>
      </c>
      <c r="AL675">
        <v>0</v>
      </c>
      <c r="AM675">
        <v>0.12</v>
      </c>
      <c r="AN675">
        <v>2.7272727272727275</v>
      </c>
      <c r="AO675">
        <v>0</v>
      </c>
      <c r="AP675" t="s">
        <v>130</v>
      </c>
      <c r="AQ675" t="s">
        <v>131</v>
      </c>
      <c r="AR675" t="s">
        <v>523</v>
      </c>
      <c r="AS675">
        <v>1219</v>
      </c>
      <c r="AT675">
        <v>1167</v>
      </c>
      <c r="AU675">
        <v>0</v>
      </c>
      <c r="AV675">
        <v>0</v>
      </c>
      <c r="AW675">
        <v>2.3860000000000001</v>
      </c>
      <c r="AX675">
        <v>0.15906666666666666</v>
      </c>
      <c r="AY675">
        <v>4.1357333333333335</v>
      </c>
      <c r="AZ675" t="s">
        <v>135</v>
      </c>
      <c r="BA675">
        <v>1.8642666666666665</v>
      </c>
      <c r="BB675">
        <v>11.720033528918691</v>
      </c>
      <c r="BC675" t="s">
        <v>133</v>
      </c>
      <c r="BD675">
        <v>0</v>
      </c>
      <c r="BE675" t="s">
        <v>133</v>
      </c>
      <c r="BF67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2.3860000000000001</v>
      </c>
    </row>
    <row r="676" spans="1:58" x14ac:dyDescent="0.25">
      <c r="A676" t="s">
        <v>911</v>
      </c>
      <c r="B676" t="s">
        <v>19</v>
      </c>
      <c r="C676">
        <v>2</v>
      </c>
      <c r="D676">
        <v>60</v>
      </c>
      <c r="E676" t="s">
        <v>2110</v>
      </c>
      <c r="F676" t="s">
        <v>123</v>
      </c>
      <c r="G676" t="s">
        <v>124</v>
      </c>
      <c r="H676" t="s">
        <v>125</v>
      </c>
      <c r="I676" t="s">
        <v>126</v>
      </c>
      <c r="J676" t="s">
        <v>126</v>
      </c>
      <c r="K676" t="s">
        <v>127</v>
      </c>
      <c r="L676">
        <v>50</v>
      </c>
      <c r="M676">
        <v>1137211</v>
      </c>
      <c r="N676">
        <v>6</v>
      </c>
      <c r="O676">
        <v>3</v>
      </c>
      <c r="P676" t="s">
        <v>168</v>
      </c>
      <c r="Q676" t="s">
        <v>129</v>
      </c>
      <c r="R676">
        <v>6</v>
      </c>
      <c r="T676">
        <v>11</v>
      </c>
      <c r="U676">
        <v>16</v>
      </c>
      <c r="V676">
        <v>4</v>
      </c>
      <c r="W676">
        <v>0</v>
      </c>
      <c r="X676">
        <v>4</v>
      </c>
      <c r="Y676">
        <v>0</v>
      </c>
      <c r="Z676">
        <v>15</v>
      </c>
      <c r="AA676">
        <v>20</v>
      </c>
      <c r="AB676">
        <v>50</v>
      </c>
      <c r="AC676">
        <v>16</v>
      </c>
      <c r="AD676">
        <v>8</v>
      </c>
      <c r="AE676">
        <v>0</v>
      </c>
      <c r="AF676">
        <v>24</v>
      </c>
      <c r="AG676">
        <v>0</v>
      </c>
      <c r="AH676">
        <v>34</v>
      </c>
      <c r="AI676">
        <v>26</v>
      </c>
      <c r="AJ676">
        <v>34</v>
      </c>
      <c r="AK676">
        <v>34</v>
      </c>
      <c r="AL676">
        <v>0</v>
      </c>
      <c r="AM676">
        <v>0.12</v>
      </c>
      <c r="AN676">
        <v>3.0909090909090908</v>
      </c>
      <c r="AO676">
        <v>0</v>
      </c>
      <c r="AP676" t="s">
        <v>130</v>
      </c>
      <c r="AQ676" t="s">
        <v>131</v>
      </c>
      <c r="AR676" t="s">
        <v>523</v>
      </c>
      <c r="AS676">
        <v>1814</v>
      </c>
      <c r="AT676">
        <v>1747</v>
      </c>
      <c r="AU676">
        <v>0</v>
      </c>
      <c r="AV676">
        <v>0</v>
      </c>
      <c r="AW676">
        <v>3.5609999999999999</v>
      </c>
      <c r="AX676">
        <v>0.2225625</v>
      </c>
      <c r="AY676">
        <v>5.3414999999999999</v>
      </c>
      <c r="AZ676" t="s">
        <v>135</v>
      </c>
      <c r="BA676">
        <v>0.65850000000000009</v>
      </c>
      <c r="BB676">
        <v>2.9587194608256113</v>
      </c>
      <c r="BC676" t="s">
        <v>133</v>
      </c>
      <c r="BD676">
        <v>0</v>
      </c>
      <c r="BE676" t="s">
        <v>133</v>
      </c>
      <c r="BF67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3.5609999999999999</v>
      </c>
    </row>
    <row r="677" spans="1:58" x14ac:dyDescent="0.25">
      <c r="A677" t="s">
        <v>912</v>
      </c>
      <c r="B677" t="s">
        <v>19</v>
      </c>
      <c r="C677">
        <v>2</v>
      </c>
      <c r="D677">
        <v>61</v>
      </c>
      <c r="E677" t="s">
        <v>2110</v>
      </c>
      <c r="F677" t="s">
        <v>123</v>
      </c>
      <c r="G677" t="s">
        <v>124</v>
      </c>
      <c r="H677" t="s">
        <v>136</v>
      </c>
      <c r="I677" t="s">
        <v>137</v>
      </c>
      <c r="J677" t="s">
        <v>138</v>
      </c>
      <c r="K677" t="s">
        <v>127</v>
      </c>
      <c r="L677">
        <v>50</v>
      </c>
      <c r="M677">
        <v>1137213</v>
      </c>
      <c r="N677">
        <v>5</v>
      </c>
      <c r="O677">
        <v>3</v>
      </c>
      <c r="P677" t="s">
        <v>168</v>
      </c>
      <c r="Q677" t="s">
        <v>129</v>
      </c>
      <c r="R677">
        <v>6</v>
      </c>
      <c r="T677">
        <v>0</v>
      </c>
      <c r="U677">
        <v>4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4</v>
      </c>
      <c r="AB677">
        <v>50</v>
      </c>
      <c r="AC677">
        <v>4</v>
      </c>
      <c r="AD677">
        <v>0</v>
      </c>
      <c r="AE677">
        <v>0</v>
      </c>
      <c r="AF677">
        <v>4</v>
      </c>
      <c r="AG677">
        <v>0</v>
      </c>
      <c r="AH677">
        <v>46</v>
      </c>
      <c r="AI677">
        <v>46</v>
      </c>
      <c r="AJ677">
        <v>46</v>
      </c>
      <c r="AK677">
        <v>46</v>
      </c>
      <c r="AL677">
        <v>0</v>
      </c>
      <c r="AM677">
        <v>0.1</v>
      </c>
      <c r="AN677">
        <v>4.1818181818181817</v>
      </c>
      <c r="AO677">
        <v>0</v>
      </c>
      <c r="AP677" t="s">
        <v>139</v>
      </c>
      <c r="AQ677" t="s">
        <v>131</v>
      </c>
      <c r="AR677" t="s">
        <v>523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 t="s">
        <v>134</v>
      </c>
      <c r="BA677">
        <v>5</v>
      </c>
      <c r="BB677">
        <v>0</v>
      </c>
      <c r="BC677" t="s">
        <v>133</v>
      </c>
      <c r="BD677">
        <v>0</v>
      </c>
      <c r="BE677" t="s">
        <v>133</v>
      </c>
      <c r="BF67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78" spans="1:58" x14ac:dyDescent="0.25">
      <c r="A678" t="s">
        <v>913</v>
      </c>
      <c r="B678" t="s">
        <v>19</v>
      </c>
      <c r="C678">
        <v>2</v>
      </c>
      <c r="D678">
        <v>62</v>
      </c>
      <c r="E678" t="s">
        <v>2110</v>
      </c>
      <c r="F678" t="s">
        <v>123</v>
      </c>
      <c r="G678" t="s">
        <v>124</v>
      </c>
      <c r="H678" t="s">
        <v>125</v>
      </c>
      <c r="I678" t="s">
        <v>126</v>
      </c>
      <c r="J678" t="s">
        <v>126</v>
      </c>
      <c r="K678" t="s">
        <v>127</v>
      </c>
      <c r="L678">
        <v>50</v>
      </c>
      <c r="M678">
        <v>1137215</v>
      </c>
      <c r="N678">
        <v>6</v>
      </c>
      <c r="O678">
        <v>3</v>
      </c>
      <c r="P678" t="s">
        <v>168</v>
      </c>
      <c r="Q678" t="s">
        <v>129</v>
      </c>
      <c r="R678">
        <v>6</v>
      </c>
      <c r="T678">
        <v>1</v>
      </c>
      <c r="U678">
        <v>6</v>
      </c>
      <c r="V678">
        <v>5</v>
      </c>
      <c r="W678">
        <v>0</v>
      </c>
      <c r="X678">
        <v>5</v>
      </c>
      <c r="Y678">
        <v>1</v>
      </c>
      <c r="Z678">
        <v>7</v>
      </c>
      <c r="AA678">
        <v>12</v>
      </c>
      <c r="AB678">
        <v>50</v>
      </c>
      <c r="AC678">
        <v>7</v>
      </c>
      <c r="AD678">
        <v>8</v>
      </c>
      <c r="AE678">
        <v>2</v>
      </c>
      <c r="AF678">
        <v>17</v>
      </c>
      <c r="AG678">
        <v>0</v>
      </c>
      <c r="AH678">
        <v>43</v>
      </c>
      <c r="AI678">
        <v>33</v>
      </c>
      <c r="AJ678">
        <v>41</v>
      </c>
      <c r="AK678">
        <v>43</v>
      </c>
      <c r="AL678">
        <v>0</v>
      </c>
      <c r="AM678">
        <v>0.12</v>
      </c>
      <c r="AN678">
        <v>3.7272727272727275</v>
      </c>
      <c r="AO678">
        <v>0</v>
      </c>
      <c r="AP678" t="s">
        <v>130</v>
      </c>
      <c r="AQ678" t="s">
        <v>131</v>
      </c>
      <c r="AR678" t="s">
        <v>523</v>
      </c>
      <c r="AS678">
        <v>528</v>
      </c>
      <c r="AT678">
        <v>532</v>
      </c>
      <c r="AU678">
        <v>0</v>
      </c>
      <c r="AV678">
        <v>0</v>
      </c>
      <c r="AW678">
        <v>1.06</v>
      </c>
      <c r="AX678">
        <v>0.15142857142857144</v>
      </c>
      <c r="AY678">
        <v>2.5742857142857143</v>
      </c>
      <c r="AZ678" t="s">
        <v>135</v>
      </c>
      <c r="BA678">
        <v>3.4257142857142857</v>
      </c>
      <c r="BB678">
        <v>22.622641509433961</v>
      </c>
      <c r="BC678" t="s">
        <v>133</v>
      </c>
      <c r="BD678">
        <v>0</v>
      </c>
      <c r="BE678" t="s">
        <v>133</v>
      </c>
      <c r="BF67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1.06</v>
      </c>
    </row>
    <row r="679" spans="1:58" x14ac:dyDescent="0.25">
      <c r="A679" t="s">
        <v>914</v>
      </c>
      <c r="B679" t="s">
        <v>19</v>
      </c>
      <c r="C679">
        <v>2</v>
      </c>
      <c r="D679">
        <v>63</v>
      </c>
      <c r="E679" t="s">
        <v>2110</v>
      </c>
      <c r="F679" t="s">
        <v>123</v>
      </c>
      <c r="G679" t="s">
        <v>124</v>
      </c>
      <c r="H679" t="s">
        <v>125</v>
      </c>
      <c r="I679" t="s">
        <v>126</v>
      </c>
      <c r="J679" t="s">
        <v>126</v>
      </c>
      <c r="K679" t="s">
        <v>127</v>
      </c>
      <c r="L679">
        <v>50</v>
      </c>
      <c r="M679">
        <v>1137217</v>
      </c>
      <c r="N679">
        <v>6</v>
      </c>
      <c r="O679">
        <v>3</v>
      </c>
      <c r="P679" t="s">
        <v>168</v>
      </c>
      <c r="Q679" t="s">
        <v>129</v>
      </c>
      <c r="R679">
        <v>6</v>
      </c>
      <c r="T679">
        <v>9</v>
      </c>
      <c r="U679">
        <v>14</v>
      </c>
      <c r="V679">
        <v>0</v>
      </c>
      <c r="W679">
        <v>0</v>
      </c>
      <c r="X679">
        <v>0</v>
      </c>
      <c r="Y679">
        <v>0</v>
      </c>
      <c r="Z679">
        <v>9</v>
      </c>
      <c r="AA679">
        <v>14</v>
      </c>
      <c r="AB679">
        <v>50</v>
      </c>
      <c r="AC679">
        <v>19</v>
      </c>
      <c r="AD679">
        <v>0</v>
      </c>
      <c r="AE679">
        <v>0</v>
      </c>
      <c r="AF679">
        <v>19</v>
      </c>
      <c r="AG679">
        <v>0</v>
      </c>
      <c r="AH679">
        <v>31</v>
      </c>
      <c r="AI679">
        <v>31</v>
      </c>
      <c r="AJ679">
        <v>31</v>
      </c>
      <c r="AK679">
        <v>31</v>
      </c>
      <c r="AL679">
        <v>0</v>
      </c>
      <c r="AM679">
        <v>0.12</v>
      </c>
      <c r="AN679">
        <v>2.8181818181818183</v>
      </c>
      <c r="AO679">
        <v>0</v>
      </c>
      <c r="AP679" t="s">
        <v>130</v>
      </c>
      <c r="AQ679" t="s">
        <v>131</v>
      </c>
      <c r="AR679" t="s">
        <v>523</v>
      </c>
      <c r="AS679">
        <v>881</v>
      </c>
      <c r="AT679">
        <v>1018</v>
      </c>
      <c r="AU679">
        <v>0</v>
      </c>
      <c r="AV679">
        <v>0</v>
      </c>
      <c r="AW679">
        <v>1.899</v>
      </c>
      <c r="AX679">
        <v>9.9947368421052632E-2</v>
      </c>
      <c r="AY679">
        <v>1.899</v>
      </c>
      <c r="AZ679" t="s">
        <v>135</v>
      </c>
      <c r="BA679">
        <v>4.101</v>
      </c>
      <c r="BB679">
        <v>41.031595576619274</v>
      </c>
      <c r="BC679" t="s">
        <v>133</v>
      </c>
      <c r="BD679">
        <v>0</v>
      </c>
      <c r="BE679" t="s">
        <v>133</v>
      </c>
      <c r="BF67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1.899</v>
      </c>
    </row>
    <row r="680" spans="1:58" x14ac:dyDescent="0.25">
      <c r="A680" t="s">
        <v>915</v>
      </c>
      <c r="B680" t="s">
        <v>19</v>
      </c>
      <c r="C680">
        <v>2</v>
      </c>
      <c r="D680">
        <v>64</v>
      </c>
      <c r="E680" t="s">
        <v>2110</v>
      </c>
      <c r="F680" t="s">
        <v>123</v>
      </c>
      <c r="G680" t="s">
        <v>124</v>
      </c>
      <c r="H680" t="s">
        <v>125</v>
      </c>
      <c r="I680" t="s">
        <v>126</v>
      </c>
      <c r="J680" t="s">
        <v>126</v>
      </c>
      <c r="K680" t="s">
        <v>127</v>
      </c>
      <c r="L680">
        <v>50</v>
      </c>
      <c r="M680">
        <v>1137219</v>
      </c>
      <c r="N680">
        <v>6</v>
      </c>
      <c r="O680">
        <v>3</v>
      </c>
      <c r="P680" t="s">
        <v>168</v>
      </c>
      <c r="Q680" t="s">
        <v>129</v>
      </c>
      <c r="R680">
        <v>6</v>
      </c>
      <c r="T680">
        <v>15</v>
      </c>
      <c r="U680">
        <v>20</v>
      </c>
      <c r="V680">
        <v>1</v>
      </c>
      <c r="W680">
        <v>0</v>
      </c>
      <c r="X680">
        <v>1</v>
      </c>
      <c r="Y680">
        <v>8</v>
      </c>
      <c r="Z680">
        <v>24</v>
      </c>
      <c r="AA680">
        <v>29</v>
      </c>
      <c r="AB680">
        <v>50</v>
      </c>
      <c r="AC680">
        <v>21</v>
      </c>
      <c r="AD680">
        <v>1</v>
      </c>
      <c r="AE680">
        <v>8</v>
      </c>
      <c r="AF680">
        <v>30</v>
      </c>
      <c r="AG680">
        <v>0</v>
      </c>
      <c r="AH680">
        <v>29</v>
      </c>
      <c r="AI680">
        <v>20</v>
      </c>
      <c r="AJ680">
        <v>21</v>
      </c>
      <c r="AK680">
        <v>29</v>
      </c>
      <c r="AL680">
        <v>0</v>
      </c>
      <c r="AM680">
        <v>0.12</v>
      </c>
      <c r="AN680">
        <v>1.9090909090909092</v>
      </c>
      <c r="AO680">
        <v>0</v>
      </c>
      <c r="AP680" t="s">
        <v>130</v>
      </c>
      <c r="AQ680" t="s">
        <v>131</v>
      </c>
      <c r="AR680" t="s">
        <v>523</v>
      </c>
      <c r="AS680">
        <v>2913</v>
      </c>
      <c r="AT680">
        <v>2790</v>
      </c>
      <c r="AU680">
        <v>0</v>
      </c>
      <c r="AV680">
        <v>0</v>
      </c>
      <c r="AW680">
        <v>5.7030000000000003</v>
      </c>
      <c r="AX680">
        <v>0.27157142857142857</v>
      </c>
      <c r="AY680">
        <v>8.1471428571428568</v>
      </c>
      <c r="AZ680" t="s">
        <v>135</v>
      </c>
      <c r="BA680">
        <v>-2.1471428571428568</v>
      </c>
      <c r="BB680">
        <v>-7.9063650710152533</v>
      </c>
      <c r="BC680" t="s">
        <v>133</v>
      </c>
      <c r="BD680">
        <v>0</v>
      </c>
      <c r="BE680" t="s">
        <v>133</v>
      </c>
      <c r="BF68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5.7030000000000003</v>
      </c>
    </row>
    <row r="681" spans="1:58" x14ac:dyDescent="0.25">
      <c r="A681" t="s">
        <v>916</v>
      </c>
      <c r="B681" t="s">
        <v>19</v>
      </c>
      <c r="C681">
        <v>2</v>
      </c>
      <c r="D681">
        <v>65</v>
      </c>
      <c r="E681" t="s">
        <v>2110</v>
      </c>
      <c r="F681" t="s">
        <v>123</v>
      </c>
      <c r="G681" t="s">
        <v>124</v>
      </c>
      <c r="H681" t="s">
        <v>125</v>
      </c>
      <c r="I681" t="s">
        <v>126</v>
      </c>
      <c r="J681" t="s">
        <v>126</v>
      </c>
      <c r="K681" t="s">
        <v>127</v>
      </c>
      <c r="L681">
        <v>50</v>
      </c>
      <c r="M681">
        <v>1137221</v>
      </c>
      <c r="N681">
        <v>6</v>
      </c>
      <c r="O681">
        <v>3</v>
      </c>
      <c r="P681" t="s">
        <v>168</v>
      </c>
      <c r="Q681" t="s">
        <v>129</v>
      </c>
      <c r="R681">
        <v>6</v>
      </c>
      <c r="T681">
        <v>22</v>
      </c>
      <c r="U681">
        <v>27</v>
      </c>
      <c r="V681">
        <v>2</v>
      </c>
      <c r="W681">
        <v>0</v>
      </c>
      <c r="X681">
        <v>2</v>
      </c>
      <c r="Y681">
        <v>0</v>
      </c>
      <c r="Z681">
        <v>24</v>
      </c>
      <c r="AA681">
        <v>29</v>
      </c>
      <c r="AB681">
        <v>50</v>
      </c>
      <c r="AC681">
        <v>39</v>
      </c>
      <c r="AD681">
        <v>2</v>
      </c>
      <c r="AE681">
        <v>0</v>
      </c>
      <c r="AF681">
        <v>41</v>
      </c>
      <c r="AG681">
        <v>0</v>
      </c>
      <c r="AH681">
        <v>11</v>
      </c>
      <c r="AI681">
        <v>9</v>
      </c>
      <c r="AJ681">
        <v>11</v>
      </c>
      <c r="AK681">
        <v>11</v>
      </c>
      <c r="AL681">
        <v>0</v>
      </c>
      <c r="AM681">
        <v>0.12</v>
      </c>
      <c r="AN681">
        <v>1</v>
      </c>
      <c r="AO681">
        <v>0</v>
      </c>
      <c r="AP681" t="s">
        <v>130</v>
      </c>
      <c r="AQ681" t="s">
        <v>131</v>
      </c>
      <c r="AR681" t="s">
        <v>523</v>
      </c>
      <c r="AS681">
        <v>3185</v>
      </c>
      <c r="AT681">
        <v>3053</v>
      </c>
      <c r="AU681">
        <v>0</v>
      </c>
      <c r="AV681">
        <v>0</v>
      </c>
      <c r="AW681">
        <v>6.2380000000000004</v>
      </c>
      <c r="AX681">
        <v>0.15994871794871796</v>
      </c>
      <c r="AY681">
        <v>6.557897435897436</v>
      </c>
      <c r="AZ681" t="s">
        <v>135</v>
      </c>
      <c r="BA681">
        <v>-0.55789743589743601</v>
      </c>
      <c r="BB681">
        <v>-3.4879769156781024</v>
      </c>
      <c r="BC681" t="s">
        <v>133</v>
      </c>
      <c r="BD681">
        <v>0</v>
      </c>
      <c r="BE681" t="s">
        <v>133</v>
      </c>
      <c r="BF68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6.2380000000000004</v>
      </c>
    </row>
    <row r="682" spans="1:58" x14ac:dyDescent="0.25">
      <c r="A682" t="s">
        <v>917</v>
      </c>
      <c r="B682" t="s">
        <v>19</v>
      </c>
      <c r="C682">
        <v>2</v>
      </c>
      <c r="D682">
        <v>66</v>
      </c>
      <c r="E682" t="s">
        <v>2110</v>
      </c>
      <c r="F682" t="s">
        <v>123</v>
      </c>
      <c r="G682" t="s">
        <v>124</v>
      </c>
      <c r="H682" t="s">
        <v>125</v>
      </c>
      <c r="I682" t="s">
        <v>126</v>
      </c>
      <c r="J682" t="s">
        <v>126</v>
      </c>
      <c r="K682" t="s">
        <v>127</v>
      </c>
      <c r="L682">
        <v>50</v>
      </c>
      <c r="M682">
        <v>1137223</v>
      </c>
      <c r="N682">
        <v>6</v>
      </c>
      <c r="O682">
        <v>3</v>
      </c>
      <c r="P682" t="s">
        <v>168</v>
      </c>
      <c r="Q682" t="s">
        <v>129</v>
      </c>
      <c r="R682">
        <v>6</v>
      </c>
      <c r="T682">
        <v>20</v>
      </c>
      <c r="U682">
        <v>25</v>
      </c>
      <c r="V682">
        <v>3</v>
      </c>
      <c r="W682">
        <v>0</v>
      </c>
      <c r="X682">
        <v>3</v>
      </c>
      <c r="Y682">
        <v>3</v>
      </c>
      <c r="Z682">
        <v>26</v>
      </c>
      <c r="AA682">
        <v>31</v>
      </c>
      <c r="AB682">
        <v>50</v>
      </c>
      <c r="AC682">
        <v>25</v>
      </c>
      <c r="AD682">
        <v>4</v>
      </c>
      <c r="AE682">
        <v>3</v>
      </c>
      <c r="AF682">
        <v>32</v>
      </c>
      <c r="AG682">
        <v>0</v>
      </c>
      <c r="AH682">
        <v>25</v>
      </c>
      <c r="AI682">
        <v>18</v>
      </c>
      <c r="AJ682">
        <v>22</v>
      </c>
      <c r="AK682">
        <v>25</v>
      </c>
      <c r="AL682">
        <v>0</v>
      </c>
      <c r="AM682">
        <v>0.12</v>
      </c>
      <c r="AN682">
        <v>2</v>
      </c>
      <c r="AO682">
        <v>0</v>
      </c>
      <c r="AP682" t="s">
        <v>130</v>
      </c>
      <c r="AQ682" t="s">
        <v>131</v>
      </c>
      <c r="AR682" t="s">
        <v>523</v>
      </c>
      <c r="AS682">
        <v>1750</v>
      </c>
      <c r="AT682">
        <v>1933</v>
      </c>
      <c r="AU682">
        <v>0</v>
      </c>
      <c r="AV682">
        <v>0</v>
      </c>
      <c r="AW682">
        <v>3.6829999999999998</v>
      </c>
      <c r="AX682">
        <v>0.14732000000000001</v>
      </c>
      <c r="AY682">
        <v>4.7142400000000002</v>
      </c>
      <c r="AZ682" t="s">
        <v>135</v>
      </c>
      <c r="BA682">
        <v>1.2857599999999998</v>
      </c>
      <c r="BB682">
        <v>8.727667662231875</v>
      </c>
      <c r="BC682" t="s">
        <v>144</v>
      </c>
      <c r="BD682">
        <v>0</v>
      </c>
      <c r="BE682" t="s">
        <v>133</v>
      </c>
      <c r="BF68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3.6829999999999998</v>
      </c>
    </row>
    <row r="683" spans="1:58" x14ac:dyDescent="0.25">
      <c r="A683" t="s">
        <v>918</v>
      </c>
      <c r="B683" t="s">
        <v>19</v>
      </c>
      <c r="C683">
        <v>2</v>
      </c>
      <c r="D683">
        <v>67</v>
      </c>
      <c r="E683" t="s">
        <v>2108</v>
      </c>
      <c r="F683" t="s">
        <v>123</v>
      </c>
      <c r="G683" t="s">
        <v>124</v>
      </c>
      <c r="H683" t="s">
        <v>125</v>
      </c>
      <c r="I683" t="s">
        <v>173</v>
      </c>
      <c r="J683" t="s">
        <v>173</v>
      </c>
      <c r="K683" t="s">
        <v>192</v>
      </c>
      <c r="L683">
        <v>50</v>
      </c>
      <c r="M683">
        <v>1137225</v>
      </c>
      <c r="N683">
        <v>11.8</v>
      </c>
      <c r="O683">
        <v>3</v>
      </c>
      <c r="P683" t="s">
        <v>168</v>
      </c>
      <c r="Q683" t="s">
        <v>129</v>
      </c>
      <c r="R683">
        <v>7</v>
      </c>
      <c r="S683" t="s">
        <v>919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10</v>
      </c>
      <c r="Z683">
        <v>6</v>
      </c>
      <c r="AA683">
        <v>10</v>
      </c>
      <c r="AB683">
        <v>50</v>
      </c>
      <c r="AC683">
        <v>0</v>
      </c>
      <c r="AD683">
        <v>0</v>
      </c>
      <c r="AE683">
        <v>28</v>
      </c>
      <c r="AF683">
        <v>28</v>
      </c>
      <c r="AG683">
        <v>0</v>
      </c>
      <c r="AH683">
        <v>50</v>
      </c>
      <c r="AI683">
        <v>22</v>
      </c>
      <c r="AJ683">
        <v>22</v>
      </c>
      <c r="AK683">
        <v>50</v>
      </c>
      <c r="AL683">
        <v>0</v>
      </c>
      <c r="AM683">
        <v>0.23600000000000002</v>
      </c>
      <c r="AN683">
        <v>2</v>
      </c>
      <c r="AO683">
        <v>0</v>
      </c>
      <c r="AP683" t="s">
        <v>920</v>
      </c>
      <c r="AQ683" t="s">
        <v>131</v>
      </c>
      <c r="AR683" t="s">
        <v>194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 t="s">
        <v>135</v>
      </c>
      <c r="BA683">
        <v>11.8</v>
      </c>
      <c r="BB683">
        <v>0</v>
      </c>
      <c r="BC683" t="s">
        <v>132</v>
      </c>
      <c r="BD683">
        <v>0</v>
      </c>
      <c r="BE683" t="s">
        <v>133</v>
      </c>
      <c r="BF68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84" spans="1:58" x14ac:dyDescent="0.25">
      <c r="A684" t="s">
        <v>921</v>
      </c>
      <c r="B684" t="s">
        <v>19</v>
      </c>
      <c r="C684">
        <v>2</v>
      </c>
      <c r="D684">
        <v>68</v>
      </c>
      <c r="E684" t="s">
        <v>2108</v>
      </c>
      <c r="F684" t="s">
        <v>123</v>
      </c>
      <c r="G684" t="s">
        <v>124</v>
      </c>
      <c r="H684" t="s">
        <v>125</v>
      </c>
      <c r="I684" t="s">
        <v>173</v>
      </c>
      <c r="J684" t="s">
        <v>173</v>
      </c>
      <c r="K684" t="s">
        <v>192</v>
      </c>
      <c r="L684">
        <v>50</v>
      </c>
      <c r="M684">
        <v>1137227</v>
      </c>
      <c r="N684">
        <v>11.8</v>
      </c>
      <c r="O684">
        <v>3</v>
      </c>
      <c r="P684" t="s">
        <v>168</v>
      </c>
      <c r="Q684" t="s">
        <v>129</v>
      </c>
      <c r="R684">
        <v>7</v>
      </c>
      <c r="S684" t="s">
        <v>919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10</v>
      </c>
      <c r="Z684">
        <v>6</v>
      </c>
      <c r="AA684">
        <v>10</v>
      </c>
      <c r="AB684">
        <v>50</v>
      </c>
      <c r="AC684">
        <v>0</v>
      </c>
      <c r="AD684">
        <v>0</v>
      </c>
      <c r="AE684">
        <v>28</v>
      </c>
      <c r="AF684">
        <v>28</v>
      </c>
      <c r="AG684">
        <v>0</v>
      </c>
      <c r="AH684">
        <v>50</v>
      </c>
      <c r="AI684">
        <v>22</v>
      </c>
      <c r="AJ684">
        <v>22</v>
      </c>
      <c r="AK684">
        <v>50</v>
      </c>
      <c r="AL684">
        <v>0</v>
      </c>
      <c r="AM684">
        <v>0.23600000000000002</v>
      </c>
      <c r="AN684">
        <v>2</v>
      </c>
      <c r="AO684">
        <v>0</v>
      </c>
      <c r="AP684" t="s">
        <v>920</v>
      </c>
      <c r="AQ684" t="s">
        <v>131</v>
      </c>
      <c r="AR684" t="s">
        <v>194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 t="s">
        <v>135</v>
      </c>
      <c r="BA684">
        <v>11.8</v>
      </c>
      <c r="BB684">
        <v>0</v>
      </c>
      <c r="BC684" t="s">
        <v>133</v>
      </c>
      <c r="BD684">
        <v>0</v>
      </c>
      <c r="BE684" t="s">
        <v>133</v>
      </c>
      <c r="BF68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85" spans="1:58" x14ac:dyDescent="0.25">
      <c r="A685" t="s">
        <v>922</v>
      </c>
      <c r="B685" t="s">
        <v>19</v>
      </c>
      <c r="C685">
        <v>2</v>
      </c>
      <c r="D685">
        <v>69</v>
      </c>
      <c r="E685" t="s">
        <v>2108</v>
      </c>
      <c r="F685" t="s">
        <v>123</v>
      </c>
      <c r="G685" t="s">
        <v>124</v>
      </c>
      <c r="H685" t="s">
        <v>125</v>
      </c>
      <c r="I685" t="s">
        <v>173</v>
      </c>
      <c r="J685" t="s">
        <v>173</v>
      </c>
      <c r="K685" t="s">
        <v>192</v>
      </c>
      <c r="L685">
        <v>50</v>
      </c>
      <c r="M685">
        <v>1137229</v>
      </c>
      <c r="N685">
        <v>11.8</v>
      </c>
      <c r="O685">
        <v>3</v>
      </c>
      <c r="P685" t="s">
        <v>168</v>
      </c>
      <c r="Q685" t="s">
        <v>129</v>
      </c>
      <c r="R685">
        <v>7</v>
      </c>
      <c r="S685" t="s">
        <v>919</v>
      </c>
      <c r="T685">
        <v>0</v>
      </c>
      <c r="U685">
        <v>0</v>
      </c>
      <c r="V685">
        <v>1</v>
      </c>
      <c r="W685">
        <v>0</v>
      </c>
      <c r="X685">
        <v>1</v>
      </c>
      <c r="Y685">
        <v>16</v>
      </c>
      <c r="Z685">
        <v>13</v>
      </c>
      <c r="AA685">
        <v>17</v>
      </c>
      <c r="AB685">
        <v>50</v>
      </c>
      <c r="AC685">
        <v>0</v>
      </c>
      <c r="AD685">
        <v>1</v>
      </c>
      <c r="AE685">
        <v>29</v>
      </c>
      <c r="AF685">
        <v>30</v>
      </c>
      <c r="AG685">
        <v>0</v>
      </c>
      <c r="AH685">
        <v>50</v>
      </c>
      <c r="AI685">
        <v>20</v>
      </c>
      <c r="AJ685">
        <v>21</v>
      </c>
      <c r="AK685">
        <v>50</v>
      </c>
      <c r="AL685">
        <v>0</v>
      </c>
      <c r="AM685">
        <v>0.23600000000000002</v>
      </c>
      <c r="AN685">
        <v>1.9090909090909092</v>
      </c>
      <c r="AO685">
        <v>0</v>
      </c>
      <c r="AP685" t="s">
        <v>920</v>
      </c>
      <c r="AQ685" t="s">
        <v>131</v>
      </c>
      <c r="AR685" t="s">
        <v>194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 t="s">
        <v>135</v>
      </c>
      <c r="BA685">
        <v>11.8</v>
      </c>
      <c r="BB685">
        <v>0</v>
      </c>
      <c r="BC685" t="s">
        <v>133</v>
      </c>
      <c r="BD685">
        <v>0</v>
      </c>
      <c r="BE685" t="s">
        <v>133</v>
      </c>
      <c r="BF68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86" spans="1:58" x14ac:dyDescent="0.25">
      <c r="A686" t="s">
        <v>923</v>
      </c>
      <c r="B686" t="s">
        <v>19</v>
      </c>
      <c r="C686">
        <v>2</v>
      </c>
      <c r="D686">
        <v>70</v>
      </c>
      <c r="E686" t="s">
        <v>2108</v>
      </c>
      <c r="F686" t="s">
        <v>123</v>
      </c>
      <c r="G686" t="s">
        <v>124</v>
      </c>
      <c r="H686" t="s">
        <v>125</v>
      </c>
      <c r="I686" t="s">
        <v>173</v>
      </c>
      <c r="J686" t="s">
        <v>173</v>
      </c>
      <c r="K686" t="s">
        <v>192</v>
      </c>
      <c r="L686">
        <v>50</v>
      </c>
      <c r="M686">
        <v>1137231</v>
      </c>
      <c r="N686">
        <v>11.8</v>
      </c>
      <c r="O686">
        <v>3</v>
      </c>
      <c r="P686" t="s">
        <v>168</v>
      </c>
      <c r="Q686" t="s">
        <v>129</v>
      </c>
      <c r="R686">
        <v>7</v>
      </c>
      <c r="S686" t="s">
        <v>919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16</v>
      </c>
      <c r="Z686">
        <v>12</v>
      </c>
      <c r="AA686">
        <v>16</v>
      </c>
      <c r="AB686">
        <v>50</v>
      </c>
      <c r="AC686">
        <v>0</v>
      </c>
      <c r="AD686">
        <v>0</v>
      </c>
      <c r="AE686">
        <v>28</v>
      </c>
      <c r="AF686">
        <v>28</v>
      </c>
      <c r="AG686">
        <v>0</v>
      </c>
      <c r="AH686">
        <v>50</v>
      </c>
      <c r="AI686">
        <v>22</v>
      </c>
      <c r="AJ686">
        <v>22</v>
      </c>
      <c r="AK686">
        <v>50</v>
      </c>
      <c r="AL686">
        <v>0</v>
      </c>
      <c r="AM686">
        <v>0.23600000000000002</v>
      </c>
      <c r="AN686">
        <v>2</v>
      </c>
      <c r="AO686">
        <v>0</v>
      </c>
      <c r="AP686" t="s">
        <v>920</v>
      </c>
      <c r="AQ686" t="s">
        <v>131</v>
      </c>
      <c r="AR686" t="s">
        <v>194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 t="s">
        <v>135</v>
      </c>
      <c r="BA686">
        <v>11.8</v>
      </c>
      <c r="BB686">
        <v>0</v>
      </c>
      <c r="BC686" t="s">
        <v>133</v>
      </c>
      <c r="BD686">
        <v>0</v>
      </c>
      <c r="BE686" t="s">
        <v>133</v>
      </c>
      <c r="BF68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87" spans="1:58" x14ac:dyDescent="0.25">
      <c r="A687" t="s">
        <v>924</v>
      </c>
      <c r="B687" t="s">
        <v>19</v>
      </c>
      <c r="C687">
        <v>2</v>
      </c>
      <c r="D687">
        <v>71</v>
      </c>
      <c r="E687" t="s">
        <v>2108</v>
      </c>
      <c r="F687" t="s">
        <v>123</v>
      </c>
      <c r="G687" t="s">
        <v>124</v>
      </c>
      <c r="H687" t="s">
        <v>125</v>
      </c>
      <c r="I687" t="s">
        <v>173</v>
      </c>
      <c r="J687" t="s">
        <v>173</v>
      </c>
      <c r="K687" t="s">
        <v>192</v>
      </c>
      <c r="L687">
        <v>50</v>
      </c>
      <c r="M687">
        <v>1137233</v>
      </c>
      <c r="N687">
        <v>11.8</v>
      </c>
      <c r="O687">
        <v>3</v>
      </c>
      <c r="P687" t="s">
        <v>168</v>
      </c>
      <c r="Q687" t="s">
        <v>129</v>
      </c>
      <c r="R687">
        <v>7</v>
      </c>
      <c r="S687" t="s">
        <v>919</v>
      </c>
      <c r="T687">
        <v>0</v>
      </c>
      <c r="U687">
        <v>0</v>
      </c>
      <c r="V687">
        <v>1</v>
      </c>
      <c r="W687">
        <v>0</v>
      </c>
      <c r="X687">
        <v>1</v>
      </c>
      <c r="Y687">
        <v>7</v>
      </c>
      <c r="Z687">
        <v>2</v>
      </c>
      <c r="AA687">
        <v>8</v>
      </c>
      <c r="AB687">
        <v>50</v>
      </c>
      <c r="AC687">
        <v>0</v>
      </c>
      <c r="AD687">
        <v>1</v>
      </c>
      <c r="AE687">
        <v>9</v>
      </c>
      <c r="AF687">
        <v>10</v>
      </c>
      <c r="AG687">
        <v>0</v>
      </c>
      <c r="AH687">
        <v>50</v>
      </c>
      <c r="AI687">
        <v>40</v>
      </c>
      <c r="AJ687">
        <v>41</v>
      </c>
      <c r="AK687">
        <v>50</v>
      </c>
      <c r="AL687">
        <v>0</v>
      </c>
      <c r="AM687">
        <v>0.23600000000000002</v>
      </c>
      <c r="AN687">
        <v>3.7272727272727275</v>
      </c>
      <c r="AO687">
        <v>0</v>
      </c>
      <c r="AP687" t="s">
        <v>920</v>
      </c>
      <c r="AQ687" t="s">
        <v>131</v>
      </c>
      <c r="AR687" t="s">
        <v>194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 t="s">
        <v>135</v>
      </c>
      <c r="BA687">
        <v>11.8</v>
      </c>
      <c r="BB687">
        <v>0</v>
      </c>
      <c r="BC687" t="s">
        <v>133</v>
      </c>
      <c r="BD687">
        <v>0</v>
      </c>
      <c r="BE687" t="s">
        <v>133</v>
      </c>
      <c r="BF68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88" spans="1:58" x14ac:dyDescent="0.25">
      <c r="A688" t="s">
        <v>925</v>
      </c>
      <c r="B688" t="s">
        <v>19</v>
      </c>
      <c r="C688">
        <v>2</v>
      </c>
      <c r="D688">
        <v>72</v>
      </c>
      <c r="E688" t="s">
        <v>2108</v>
      </c>
      <c r="F688" t="s">
        <v>123</v>
      </c>
      <c r="G688" t="s">
        <v>124</v>
      </c>
      <c r="H688" t="s">
        <v>125</v>
      </c>
      <c r="I688" t="s">
        <v>173</v>
      </c>
      <c r="J688" t="s">
        <v>173</v>
      </c>
      <c r="K688" t="s">
        <v>192</v>
      </c>
      <c r="L688">
        <v>50</v>
      </c>
      <c r="M688">
        <v>1137235</v>
      </c>
      <c r="N688">
        <v>11.8</v>
      </c>
      <c r="O688">
        <v>3</v>
      </c>
      <c r="P688" t="s">
        <v>168</v>
      </c>
      <c r="Q688" t="s">
        <v>129</v>
      </c>
      <c r="R688">
        <v>7</v>
      </c>
      <c r="S688" t="s">
        <v>919</v>
      </c>
      <c r="T688">
        <v>0</v>
      </c>
      <c r="U688">
        <v>0</v>
      </c>
      <c r="V688">
        <v>1</v>
      </c>
      <c r="W688">
        <v>0</v>
      </c>
      <c r="X688">
        <v>1</v>
      </c>
      <c r="Y688">
        <v>6</v>
      </c>
      <c r="Z688">
        <v>1</v>
      </c>
      <c r="AA688">
        <v>7</v>
      </c>
      <c r="AB688">
        <v>50</v>
      </c>
      <c r="AC688">
        <v>0</v>
      </c>
      <c r="AD688">
        <v>1</v>
      </c>
      <c r="AE688">
        <v>8</v>
      </c>
      <c r="AF688">
        <v>9</v>
      </c>
      <c r="AG688">
        <v>0</v>
      </c>
      <c r="AH688">
        <v>50</v>
      </c>
      <c r="AI688">
        <v>41</v>
      </c>
      <c r="AJ688">
        <v>42</v>
      </c>
      <c r="AK688">
        <v>50</v>
      </c>
      <c r="AL688">
        <v>0</v>
      </c>
      <c r="AM688">
        <v>0.23600000000000002</v>
      </c>
      <c r="AN688">
        <v>3.8181818181818183</v>
      </c>
      <c r="AO688">
        <v>0</v>
      </c>
      <c r="AP688" t="s">
        <v>920</v>
      </c>
      <c r="AQ688" t="s">
        <v>131</v>
      </c>
      <c r="AR688" t="s">
        <v>194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 t="s">
        <v>135</v>
      </c>
      <c r="BA688">
        <v>11.8</v>
      </c>
      <c r="BB688">
        <v>0</v>
      </c>
      <c r="BC688" t="s">
        <v>133</v>
      </c>
      <c r="BD688">
        <v>0</v>
      </c>
      <c r="BE688" t="s">
        <v>133</v>
      </c>
      <c r="BF68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89" spans="1:58" x14ac:dyDescent="0.25">
      <c r="A689" t="s">
        <v>926</v>
      </c>
      <c r="B689" t="s">
        <v>19</v>
      </c>
      <c r="C689">
        <v>2</v>
      </c>
      <c r="D689">
        <v>73</v>
      </c>
      <c r="E689" t="s">
        <v>2108</v>
      </c>
      <c r="F689" t="s">
        <v>123</v>
      </c>
      <c r="G689" t="s">
        <v>124</v>
      </c>
      <c r="H689" t="s">
        <v>125</v>
      </c>
      <c r="I689" t="s">
        <v>173</v>
      </c>
      <c r="J689" t="s">
        <v>173</v>
      </c>
      <c r="K689" t="s">
        <v>192</v>
      </c>
      <c r="L689">
        <v>50</v>
      </c>
      <c r="M689">
        <v>1137237</v>
      </c>
      <c r="N689">
        <v>11.8</v>
      </c>
      <c r="O689">
        <v>3</v>
      </c>
      <c r="P689" t="s">
        <v>168</v>
      </c>
      <c r="Q689" t="s">
        <v>129</v>
      </c>
      <c r="R689">
        <v>7</v>
      </c>
      <c r="S689" t="s">
        <v>919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50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50</v>
      </c>
      <c r="AI689">
        <v>50</v>
      </c>
      <c r="AJ689">
        <v>50</v>
      </c>
      <c r="AK689">
        <v>50</v>
      </c>
      <c r="AL689">
        <v>0</v>
      </c>
      <c r="AM689">
        <v>0.23600000000000002</v>
      </c>
      <c r="AN689">
        <v>4.5454545454545459</v>
      </c>
      <c r="AO689">
        <v>0</v>
      </c>
      <c r="AP689" t="s">
        <v>920</v>
      </c>
      <c r="AQ689" t="s">
        <v>155</v>
      </c>
      <c r="AR689" t="s">
        <v>194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 t="s">
        <v>135</v>
      </c>
      <c r="BA689">
        <v>11.8</v>
      </c>
      <c r="BB689">
        <v>0</v>
      </c>
      <c r="BC689" t="s">
        <v>133</v>
      </c>
      <c r="BD689">
        <v>0</v>
      </c>
      <c r="BE689" t="s">
        <v>133</v>
      </c>
      <c r="BF68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90" spans="1:58" x14ac:dyDescent="0.25">
      <c r="A690" t="s">
        <v>927</v>
      </c>
      <c r="B690" t="s">
        <v>19</v>
      </c>
      <c r="C690">
        <v>2</v>
      </c>
      <c r="D690">
        <v>74</v>
      </c>
      <c r="E690" t="s">
        <v>2108</v>
      </c>
      <c r="F690" t="s">
        <v>123</v>
      </c>
      <c r="G690" t="s">
        <v>124</v>
      </c>
      <c r="H690" t="s">
        <v>125</v>
      </c>
      <c r="I690" t="s">
        <v>173</v>
      </c>
      <c r="J690" t="s">
        <v>173</v>
      </c>
      <c r="K690" t="s">
        <v>192</v>
      </c>
      <c r="L690">
        <v>50</v>
      </c>
      <c r="M690">
        <v>1137239</v>
      </c>
      <c r="N690">
        <v>11.8</v>
      </c>
      <c r="O690">
        <v>3</v>
      </c>
      <c r="P690" t="s">
        <v>168</v>
      </c>
      <c r="Q690" t="s">
        <v>129</v>
      </c>
      <c r="R690">
        <v>7</v>
      </c>
      <c r="S690" t="s">
        <v>919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3</v>
      </c>
      <c r="Z690">
        <v>0</v>
      </c>
      <c r="AA690">
        <v>3</v>
      </c>
      <c r="AB690">
        <v>50</v>
      </c>
      <c r="AC690">
        <v>0</v>
      </c>
      <c r="AD690">
        <v>0</v>
      </c>
      <c r="AE690">
        <v>16</v>
      </c>
      <c r="AF690">
        <v>16</v>
      </c>
      <c r="AG690">
        <v>0</v>
      </c>
      <c r="AH690">
        <v>50</v>
      </c>
      <c r="AI690">
        <v>34</v>
      </c>
      <c r="AJ690">
        <v>34</v>
      </c>
      <c r="AK690">
        <v>50</v>
      </c>
      <c r="AL690">
        <v>0</v>
      </c>
      <c r="AM690">
        <v>0.23600000000000002</v>
      </c>
      <c r="AN690">
        <v>3.0909090909090908</v>
      </c>
      <c r="AO690">
        <v>0</v>
      </c>
      <c r="AP690" t="s">
        <v>920</v>
      </c>
      <c r="AQ690" t="s">
        <v>131</v>
      </c>
      <c r="AR690" t="s">
        <v>194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 t="s">
        <v>135</v>
      </c>
      <c r="BA690">
        <v>11.8</v>
      </c>
      <c r="BB690">
        <v>0</v>
      </c>
      <c r="BC690" t="s">
        <v>133</v>
      </c>
      <c r="BD690">
        <v>0</v>
      </c>
      <c r="BE690" t="s">
        <v>133</v>
      </c>
      <c r="BF69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91" spans="1:58" x14ac:dyDescent="0.25">
      <c r="A691" t="s">
        <v>928</v>
      </c>
      <c r="B691" t="s">
        <v>19</v>
      </c>
      <c r="C691">
        <v>2</v>
      </c>
      <c r="D691">
        <v>75</v>
      </c>
      <c r="E691" t="s">
        <v>2108</v>
      </c>
      <c r="F691" t="s">
        <v>123</v>
      </c>
      <c r="G691" t="s">
        <v>124</v>
      </c>
      <c r="H691" t="s">
        <v>125</v>
      </c>
      <c r="I691" t="s">
        <v>173</v>
      </c>
      <c r="J691" t="s">
        <v>173</v>
      </c>
      <c r="K691" t="s">
        <v>192</v>
      </c>
      <c r="L691">
        <v>50</v>
      </c>
      <c r="M691">
        <v>1137241</v>
      </c>
      <c r="N691">
        <v>11.8</v>
      </c>
      <c r="O691">
        <v>3</v>
      </c>
      <c r="P691" t="s">
        <v>168</v>
      </c>
      <c r="Q691" t="s">
        <v>129</v>
      </c>
      <c r="R691">
        <v>7</v>
      </c>
      <c r="S691" t="s">
        <v>919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3</v>
      </c>
      <c r="Z691">
        <v>0</v>
      </c>
      <c r="AA691">
        <v>3</v>
      </c>
      <c r="AB691">
        <v>50</v>
      </c>
      <c r="AC691">
        <v>0</v>
      </c>
      <c r="AD691">
        <v>0</v>
      </c>
      <c r="AE691">
        <v>16</v>
      </c>
      <c r="AF691">
        <v>16</v>
      </c>
      <c r="AG691">
        <v>0</v>
      </c>
      <c r="AH691">
        <v>50</v>
      </c>
      <c r="AI691">
        <v>34</v>
      </c>
      <c r="AJ691">
        <v>34</v>
      </c>
      <c r="AK691">
        <v>50</v>
      </c>
      <c r="AL691">
        <v>0</v>
      </c>
      <c r="AM691">
        <v>0.23600000000000002</v>
      </c>
      <c r="AN691">
        <v>3.0909090909090908</v>
      </c>
      <c r="AO691">
        <v>0</v>
      </c>
      <c r="AP691" t="s">
        <v>920</v>
      </c>
      <c r="AQ691" t="s">
        <v>131</v>
      </c>
      <c r="AR691" t="s">
        <v>194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 t="s">
        <v>135</v>
      </c>
      <c r="BA691">
        <v>11.8</v>
      </c>
      <c r="BB691">
        <v>0</v>
      </c>
      <c r="BC691" t="s">
        <v>133</v>
      </c>
      <c r="BD691">
        <v>0</v>
      </c>
      <c r="BE691" t="s">
        <v>133</v>
      </c>
      <c r="BF69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92" spans="1:58" x14ac:dyDescent="0.25">
      <c r="A692" t="s">
        <v>929</v>
      </c>
      <c r="B692" t="s">
        <v>19</v>
      </c>
      <c r="C692">
        <v>2</v>
      </c>
      <c r="D692">
        <v>76</v>
      </c>
      <c r="E692" t="s">
        <v>2108</v>
      </c>
      <c r="F692" t="s">
        <v>123</v>
      </c>
      <c r="G692" t="s">
        <v>124</v>
      </c>
      <c r="H692" t="s">
        <v>125</v>
      </c>
      <c r="I692" t="s">
        <v>173</v>
      </c>
      <c r="J692" t="s">
        <v>173</v>
      </c>
      <c r="K692" t="s">
        <v>192</v>
      </c>
      <c r="L692">
        <v>50</v>
      </c>
      <c r="M692">
        <v>1137243</v>
      </c>
      <c r="N692">
        <v>11.8</v>
      </c>
      <c r="O692">
        <v>3</v>
      </c>
      <c r="P692" t="s">
        <v>168</v>
      </c>
      <c r="Q692" t="s">
        <v>129</v>
      </c>
      <c r="R692">
        <v>7</v>
      </c>
      <c r="S692" t="s">
        <v>919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50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50</v>
      </c>
      <c r="AI692">
        <v>50</v>
      </c>
      <c r="AJ692">
        <v>50</v>
      </c>
      <c r="AK692">
        <v>50</v>
      </c>
      <c r="AL692">
        <v>0</v>
      </c>
      <c r="AM692">
        <v>0.23600000000000002</v>
      </c>
      <c r="AN692">
        <v>4.5454545454545459</v>
      </c>
      <c r="AO692">
        <v>0</v>
      </c>
      <c r="AP692" t="s">
        <v>920</v>
      </c>
      <c r="AQ692" t="s">
        <v>155</v>
      </c>
      <c r="AR692" t="s">
        <v>194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 t="s">
        <v>135</v>
      </c>
      <c r="BA692">
        <v>11.8</v>
      </c>
      <c r="BB692">
        <v>0</v>
      </c>
      <c r="BC692" t="s">
        <v>133</v>
      </c>
      <c r="BD692">
        <v>0</v>
      </c>
      <c r="BE692" t="s">
        <v>133</v>
      </c>
      <c r="BF69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93" spans="1:58" x14ac:dyDescent="0.25">
      <c r="A693" t="s">
        <v>930</v>
      </c>
      <c r="B693" t="s">
        <v>19</v>
      </c>
      <c r="C693">
        <v>2</v>
      </c>
      <c r="D693">
        <v>77</v>
      </c>
      <c r="E693" t="s">
        <v>2108</v>
      </c>
      <c r="F693" t="s">
        <v>123</v>
      </c>
      <c r="G693" t="s">
        <v>124</v>
      </c>
      <c r="H693" t="s">
        <v>125</v>
      </c>
      <c r="I693" t="s">
        <v>173</v>
      </c>
      <c r="J693" t="s">
        <v>173</v>
      </c>
      <c r="K693" t="s">
        <v>192</v>
      </c>
      <c r="L693">
        <v>50</v>
      </c>
      <c r="M693">
        <v>1137245</v>
      </c>
      <c r="N693">
        <v>11.8</v>
      </c>
      <c r="O693">
        <v>3</v>
      </c>
      <c r="P693" t="s">
        <v>168</v>
      </c>
      <c r="Q693" t="s">
        <v>129</v>
      </c>
      <c r="R693">
        <v>7</v>
      </c>
      <c r="S693" t="s">
        <v>919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50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50</v>
      </c>
      <c r="AI693">
        <v>50</v>
      </c>
      <c r="AJ693">
        <v>50</v>
      </c>
      <c r="AK693">
        <v>50</v>
      </c>
      <c r="AL693">
        <v>0</v>
      </c>
      <c r="AM693">
        <v>0.23600000000000002</v>
      </c>
      <c r="AN693">
        <v>4.5454545454545459</v>
      </c>
      <c r="AO693">
        <v>0</v>
      </c>
      <c r="AP693" t="s">
        <v>920</v>
      </c>
      <c r="AQ693" t="s">
        <v>155</v>
      </c>
      <c r="AR693" t="s">
        <v>194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 t="s">
        <v>135</v>
      </c>
      <c r="BA693">
        <v>11.8</v>
      </c>
      <c r="BB693">
        <v>0</v>
      </c>
      <c r="BC693" t="s">
        <v>144</v>
      </c>
      <c r="BD693">
        <v>0</v>
      </c>
      <c r="BE693" t="s">
        <v>133</v>
      </c>
      <c r="BF69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694" spans="1:58" x14ac:dyDescent="0.25">
      <c r="A694" t="s">
        <v>931</v>
      </c>
      <c r="B694" t="s">
        <v>19</v>
      </c>
      <c r="C694">
        <v>2</v>
      </c>
      <c r="D694">
        <v>78</v>
      </c>
      <c r="E694" t="s">
        <v>2110</v>
      </c>
      <c r="F694" t="s">
        <v>123</v>
      </c>
      <c r="G694" t="s">
        <v>124</v>
      </c>
      <c r="H694" t="s">
        <v>125</v>
      </c>
      <c r="I694" t="s">
        <v>126</v>
      </c>
      <c r="J694" t="s">
        <v>126</v>
      </c>
      <c r="K694" t="s">
        <v>127</v>
      </c>
      <c r="L694">
        <v>50</v>
      </c>
      <c r="M694">
        <v>1137247</v>
      </c>
      <c r="N694">
        <v>6</v>
      </c>
      <c r="O694">
        <v>3</v>
      </c>
      <c r="P694" t="s">
        <v>168</v>
      </c>
      <c r="Q694" t="s">
        <v>129</v>
      </c>
      <c r="R694">
        <v>8</v>
      </c>
      <c r="T694">
        <v>0</v>
      </c>
      <c r="U694">
        <v>5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5</v>
      </c>
      <c r="AB694">
        <v>50</v>
      </c>
      <c r="AC694">
        <v>5</v>
      </c>
      <c r="AD694">
        <v>0</v>
      </c>
      <c r="AE694">
        <v>0</v>
      </c>
      <c r="AF694">
        <v>5</v>
      </c>
      <c r="AG694">
        <v>0</v>
      </c>
      <c r="AH694">
        <v>45</v>
      </c>
      <c r="AI694">
        <v>45</v>
      </c>
      <c r="AJ694">
        <v>45</v>
      </c>
      <c r="AK694">
        <v>45</v>
      </c>
      <c r="AL694">
        <v>0</v>
      </c>
      <c r="AM694">
        <v>0.12</v>
      </c>
      <c r="AN694">
        <v>4.0909090909090908</v>
      </c>
      <c r="AO694">
        <v>0</v>
      </c>
      <c r="AP694" t="s">
        <v>130</v>
      </c>
      <c r="AQ694" t="s">
        <v>131</v>
      </c>
      <c r="AR694" t="s">
        <v>523</v>
      </c>
      <c r="AS694">
        <v>191</v>
      </c>
      <c r="AT694">
        <v>166</v>
      </c>
      <c r="AU694">
        <v>0</v>
      </c>
      <c r="AV694">
        <v>0</v>
      </c>
      <c r="AW694">
        <v>0.35699999999999998</v>
      </c>
      <c r="AX694">
        <v>7.1399999999999991E-2</v>
      </c>
      <c r="AY694">
        <v>0.35699999999999998</v>
      </c>
      <c r="AZ694" t="s">
        <v>135</v>
      </c>
      <c r="BA694">
        <v>5.6429999999999998</v>
      </c>
      <c r="BB694">
        <v>79.033613445378151</v>
      </c>
      <c r="BC694" t="s">
        <v>132</v>
      </c>
      <c r="BD694">
        <v>1</v>
      </c>
      <c r="BE694" t="s">
        <v>133</v>
      </c>
      <c r="BF69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0.35699999999999998</v>
      </c>
    </row>
    <row r="695" spans="1:58" x14ac:dyDescent="0.25">
      <c r="A695" t="s">
        <v>932</v>
      </c>
      <c r="B695" t="s">
        <v>19</v>
      </c>
      <c r="C695">
        <v>2</v>
      </c>
      <c r="D695">
        <v>79</v>
      </c>
      <c r="E695" t="s">
        <v>2110</v>
      </c>
      <c r="F695" t="s">
        <v>123</v>
      </c>
      <c r="G695" t="s">
        <v>124</v>
      </c>
      <c r="H695" t="s">
        <v>125</v>
      </c>
      <c r="I695" t="s">
        <v>126</v>
      </c>
      <c r="J695" t="s">
        <v>126</v>
      </c>
      <c r="K695" t="s">
        <v>127</v>
      </c>
      <c r="L695">
        <v>50</v>
      </c>
      <c r="M695">
        <v>1137249</v>
      </c>
      <c r="N695">
        <v>6</v>
      </c>
      <c r="O695">
        <v>3</v>
      </c>
      <c r="P695" t="s">
        <v>168</v>
      </c>
      <c r="Q695" t="s">
        <v>129</v>
      </c>
      <c r="R695">
        <v>8</v>
      </c>
      <c r="T695">
        <v>7</v>
      </c>
      <c r="U695">
        <v>12</v>
      </c>
      <c r="V695">
        <v>2</v>
      </c>
      <c r="W695">
        <v>0</v>
      </c>
      <c r="X695">
        <v>2</v>
      </c>
      <c r="Y695">
        <v>0</v>
      </c>
      <c r="Z695">
        <v>9</v>
      </c>
      <c r="AA695">
        <v>14</v>
      </c>
      <c r="AB695">
        <v>50</v>
      </c>
      <c r="AC695">
        <v>21</v>
      </c>
      <c r="AD695">
        <v>3</v>
      </c>
      <c r="AE695">
        <v>0</v>
      </c>
      <c r="AF695">
        <v>24</v>
      </c>
      <c r="AG695">
        <v>0</v>
      </c>
      <c r="AH695">
        <v>29</v>
      </c>
      <c r="AI695">
        <v>26</v>
      </c>
      <c r="AJ695">
        <v>29</v>
      </c>
      <c r="AK695">
        <v>29</v>
      </c>
      <c r="AL695">
        <v>0</v>
      </c>
      <c r="AM695">
        <v>0.12</v>
      </c>
      <c r="AN695">
        <v>2.6363636363636362</v>
      </c>
      <c r="AO695">
        <v>0</v>
      </c>
      <c r="AP695" t="s">
        <v>130</v>
      </c>
      <c r="AQ695" t="s">
        <v>131</v>
      </c>
      <c r="AR695" t="s">
        <v>523</v>
      </c>
      <c r="AS695">
        <v>963</v>
      </c>
      <c r="AT695">
        <v>1332</v>
      </c>
      <c r="AU695">
        <v>0</v>
      </c>
      <c r="AV695">
        <v>0</v>
      </c>
      <c r="AW695">
        <v>2.2949999999999999</v>
      </c>
      <c r="AX695">
        <v>0.10928571428571428</v>
      </c>
      <c r="AY695">
        <v>2.6228571428571428</v>
      </c>
      <c r="AZ695" t="s">
        <v>135</v>
      </c>
      <c r="BA695">
        <v>3.3771428571428572</v>
      </c>
      <c r="BB695">
        <v>30.901960784313729</v>
      </c>
      <c r="BC695" t="s">
        <v>133</v>
      </c>
      <c r="BD695">
        <v>0</v>
      </c>
      <c r="BE695" t="s">
        <v>133</v>
      </c>
      <c r="BF69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2.2949999999999999</v>
      </c>
    </row>
    <row r="696" spans="1:58" x14ac:dyDescent="0.25">
      <c r="A696" t="s">
        <v>933</v>
      </c>
      <c r="B696" t="s">
        <v>19</v>
      </c>
      <c r="C696">
        <v>2</v>
      </c>
      <c r="D696">
        <v>80</v>
      </c>
      <c r="E696" t="s">
        <v>2110</v>
      </c>
      <c r="F696" t="s">
        <v>123</v>
      </c>
      <c r="G696" t="s">
        <v>124</v>
      </c>
      <c r="H696" t="s">
        <v>125</v>
      </c>
      <c r="I696" t="s">
        <v>126</v>
      </c>
      <c r="J696" t="s">
        <v>126</v>
      </c>
      <c r="K696" t="s">
        <v>127</v>
      </c>
      <c r="L696">
        <v>50</v>
      </c>
      <c r="M696">
        <v>1137251</v>
      </c>
      <c r="N696">
        <v>6</v>
      </c>
      <c r="O696">
        <v>3</v>
      </c>
      <c r="P696" t="s">
        <v>168</v>
      </c>
      <c r="Q696" t="s">
        <v>129</v>
      </c>
      <c r="R696">
        <v>8</v>
      </c>
      <c r="T696">
        <v>3</v>
      </c>
      <c r="U696">
        <v>8</v>
      </c>
      <c r="V696">
        <v>1</v>
      </c>
      <c r="W696">
        <v>1</v>
      </c>
      <c r="X696">
        <v>0</v>
      </c>
      <c r="Y696">
        <v>5</v>
      </c>
      <c r="Z696">
        <v>9</v>
      </c>
      <c r="AA696">
        <v>14</v>
      </c>
      <c r="AB696">
        <v>50</v>
      </c>
      <c r="AC696">
        <v>12</v>
      </c>
      <c r="AD696">
        <v>0</v>
      </c>
      <c r="AE696">
        <v>5</v>
      </c>
      <c r="AF696">
        <v>18</v>
      </c>
      <c r="AG696">
        <v>1</v>
      </c>
      <c r="AH696">
        <v>38</v>
      </c>
      <c r="AI696">
        <v>32</v>
      </c>
      <c r="AJ696">
        <v>32</v>
      </c>
      <c r="AK696">
        <v>37</v>
      </c>
      <c r="AL696">
        <v>0</v>
      </c>
      <c r="AM696">
        <v>0.12</v>
      </c>
      <c r="AN696">
        <v>2.9090909090909092</v>
      </c>
      <c r="AO696">
        <v>0.13636363636363635</v>
      </c>
      <c r="AP696" t="s">
        <v>130</v>
      </c>
      <c r="AQ696" t="s">
        <v>131</v>
      </c>
      <c r="AR696" t="s">
        <v>523</v>
      </c>
      <c r="AS696">
        <v>619</v>
      </c>
      <c r="AT696">
        <v>801</v>
      </c>
      <c r="AU696">
        <v>0</v>
      </c>
      <c r="AV696">
        <v>0</v>
      </c>
      <c r="AW696">
        <v>1.42</v>
      </c>
      <c r="AX696">
        <v>0.11833333333333333</v>
      </c>
      <c r="AY696">
        <v>2.13</v>
      </c>
      <c r="AZ696" t="s">
        <v>135</v>
      </c>
      <c r="BA696">
        <v>3.87</v>
      </c>
      <c r="BB696">
        <v>32.70422535211268</v>
      </c>
      <c r="BC696" t="s">
        <v>133</v>
      </c>
      <c r="BD696">
        <v>0</v>
      </c>
      <c r="BE696" t="s">
        <v>133</v>
      </c>
      <c r="BF69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1.42</v>
      </c>
    </row>
    <row r="697" spans="1:58" x14ac:dyDescent="0.25">
      <c r="A697" t="s">
        <v>934</v>
      </c>
      <c r="B697" t="s">
        <v>19</v>
      </c>
      <c r="C697">
        <v>2</v>
      </c>
      <c r="D697">
        <v>81</v>
      </c>
      <c r="E697" t="s">
        <v>2110</v>
      </c>
      <c r="F697" t="s">
        <v>123</v>
      </c>
      <c r="G697" t="s">
        <v>124</v>
      </c>
      <c r="H697" t="s">
        <v>125</v>
      </c>
      <c r="I697" t="s">
        <v>126</v>
      </c>
      <c r="J697" t="s">
        <v>126</v>
      </c>
      <c r="K697" t="s">
        <v>127</v>
      </c>
      <c r="L697">
        <v>50</v>
      </c>
      <c r="M697">
        <v>1137253</v>
      </c>
      <c r="N697">
        <v>6</v>
      </c>
      <c r="O697">
        <v>3</v>
      </c>
      <c r="P697" t="s">
        <v>168</v>
      </c>
      <c r="Q697" t="s">
        <v>129</v>
      </c>
      <c r="R697">
        <v>8</v>
      </c>
      <c r="T697">
        <v>6</v>
      </c>
      <c r="U697">
        <v>11</v>
      </c>
      <c r="V697">
        <v>1</v>
      </c>
      <c r="W697">
        <v>1</v>
      </c>
      <c r="X697">
        <v>0</v>
      </c>
      <c r="Y697">
        <v>0</v>
      </c>
      <c r="Z697">
        <v>7</v>
      </c>
      <c r="AA697">
        <v>12</v>
      </c>
      <c r="AB697">
        <v>50</v>
      </c>
      <c r="AC697">
        <v>15</v>
      </c>
      <c r="AD697">
        <v>0</v>
      </c>
      <c r="AE697">
        <v>0</v>
      </c>
      <c r="AF697">
        <v>16</v>
      </c>
      <c r="AG697">
        <v>1</v>
      </c>
      <c r="AH697">
        <v>35</v>
      </c>
      <c r="AI697">
        <v>34</v>
      </c>
      <c r="AJ697">
        <v>34</v>
      </c>
      <c r="AK697">
        <v>34</v>
      </c>
      <c r="AL697">
        <v>0</v>
      </c>
      <c r="AM697">
        <v>0.12</v>
      </c>
      <c r="AN697">
        <v>3.0909090909090908</v>
      </c>
      <c r="AO697">
        <v>0.13636363636363635</v>
      </c>
      <c r="AP697" t="s">
        <v>130</v>
      </c>
      <c r="AQ697" t="s">
        <v>131</v>
      </c>
      <c r="AR697" t="s">
        <v>523</v>
      </c>
      <c r="AS697">
        <v>888</v>
      </c>
      <c r="AT697">
        <v>899</v>
      </c>
      <c r="AU697">
        <v>0</v>
      </c>
      <c r="AV697">
        <v>0</v>
      </c>
      <c r="AW697">
        <v>1.7869999999999999</v>
      </c>
      <c r="AX697">
        <v>0.11913333333333333</v>
      </c>
      <c r="AY697">
        <v>1.9061333333333332</v>
      </c>
      <c r="AZ697" t="s">
        <v>135</v>
      </c>
      <c r="BA697">
        <v>4.093866666666667</v>
      </c>
      <c r="BB697">
        <v>34.36373810856184</v>
      </c>
      <c r="BC697" t="s">
        <v>133</v>
      </c>
      <c r="BD697">
        <v>0</v>
      </c>
      <c r="BE697" t="s">
        <v>133</v>
      </c>
      <c r="BF69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1.7869999999999999</v>
      </c>
    </row>
    <row r="698" spans="1:58" x14ac:dyDescent="0.25">
      <c r="A698" t="s">
        <v>935</v>
      </c>
      <c r="B698" t="s">
        <v>19</v>
      </c>
      <c r="C698">
        <v>2</v>
      </c>
      <c r="D698">
        <v>82</v>
      </c>
      <c r="E698" t="s">
        <v>2110</v>
      </c>
      <c r="F698" t="s">
        <v>123</v>
      </c>
      <c r="G698" t="s">
        <v>124</v>
      </c>
      <c r="H698" t="s">
        <v>125</v>
      </c>
      <c r="I698" t="s">
        <v>126</v>
      </c>
      <c r="J698" t="s">
        <v>126</v>
      </c>
      <c r="K698" t="s">
        <v>127</v>
      </c>
      <c r="L698">
        <v>50</v>
      </c>
      <c r="M698">
        <v>1137255</v>
      </c>
      <c r="N698">
        <v>6</v>
      </c>
      <c r="O698">
        <v>3</v>
      </c>
      <c r="P698" t="s">
        <v>168</v>
      </c>
      <c r="Q698" t="s">
        <v>129</v>
      </c>
      <c r="R698">
        <v>8</v>
      </c>
      <c r="T698">
        <v>6</v>
      </c>
      <c r="U698">
        <v>11</v>
      </c>
      <c r="V698">
        <v>3</v>
      </c>
      <c r="W698">
        <v>1</v>
      </c>
      <c r="X698">
        <v>2</v>
      </c>
      <c r="Y698">
        <v>0</v>
      </c>
      <c r="Z698">
        <v>9</v>
      </c>
      <c r="AA698">
        <v>14</v>
      </c>
      <c r="AB698">
        <v>50</v>
      </c>
      <c r="AC698">
        <v>17</v>
      </c>
      <c r="AD698">
        <v>2</v>
      </c>
      <c r="AE698">
        <v>0</v>
      </c>
      <c r="AF698">
        <v>20</v>
      </c>
      <c r="AG698">
        <v>1</v>
      </c>
      <c r="AH698">
        <v>33</v>
      </c>
      <c r="AI698">
        <v>30</v>
      </c>
      <c r="AJ698">
        <v>32</v>
      </c>
      <c r="AK698">
        <v>32</v>
      </c>
      <c r="AL698">
        <v>0</v>
      </c>
      <c r="AM698">
        <v>0.12</v>
      </c>
      <c r="AN698">
        <v>2.9090909090909092</v>
      </c>
      <c r="AO698">
        <v>0.13636363636363635</v>
      </c>
      <c r="AP698" t="s">
        <v>130</v>
      </c>
      <c r="AQ698" t="s">
        <v>131</v>
      </c>
      <c r="AR698" t="s">
        <v>523</v>
      </c>
      <c r="AS698">
        <v>1171</v>
      </c>
      <c r="AT698">
        <v>1080</v>
      </c>
      <c r="AU698">
        <v>0</v>
      </c>
      <c r="AV698">
        <v>0</v>
      </c>
      <c r="AW698">
        <v>2.2509999999999999</v>
      </c>
      <c r="AX698">
        <v>0.13241176470588234</v>
      </c>
      <c r="AY698">
        <v>2.6482352941176468</v>
      </c>
      <c r="AZ698" t="s">
        <v>135</v>
      </c>
      <c r="BA698">
        <v>3.3517647058823532</v>
      </c>
      <c r="BB698">
        <v>25.313194135939586</v>
      </c>
      <c r="BC698" t="s">
        <v>133</v>
      </c>
      <c r="BD698">
        <v>0</v>
      </c>
      <c r="BE698" t="s">
        <v>133</v>
      </c>
      <c r="BF69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2.2509999999999999</v>
      </c>
    </row>
    <row r="699" spans="1:58" x14ac:dyDescent="0.25">
      <c r="A699" t="s">
        <v>936</v>
      </c>
      <c r="B699" t="s">
        <v>19</v>
      </c>
      <c r="C699">
        <v>2</v>
      </c>
      <c r="D699">
        <v>83</v>
      </c>
      <c r="E699" t="s">
        <v>2110</v>
      </c>
      <c r="F699" t="s">
        <v>123</v>
      </c>
      <c r="G699" t="s">
        <v>124</v>
      </c>
      <c r="H699" t="s">
        <v>136</v>
      </c>
      <c r="I699" t="s">
        <v>137</v>
      </c>
      <c r="J699" t="s">
        <v>138</v>
      </c>
      <c r="K699" t="s">
        <v>127</v>
      </c>
      <c r="L699">
        <v>50</v>
      </c>
      <c r="M699">
        <v>1137257</v>
      </c>
      <c r="N699">
        <v>5</v>
      </c>
      <c r="O699">
        <v>3</v>
      </c>
      <c r="P699" t="s">
        <v>168</v>
      </c>
      <c r="Q699" t="s">
        <v>129</v>
      </c>
      <c r="R699">
        <v>8</v>
      </c>
      <c r="T699">
        <v>0</v>
      </c>
      <c r="U699">
        <v>4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4</v>
      </c>
      <c r="AB699">
        <v>50</v>
      </c>
      <c r="AC699">
        <v>4</v>
      </c>
      <c r="AD699">
        <v>0</v>
      </c>
      <c r="AE699">
        <v>0</v>
      </c>
      <c r="AF699">
        <v>4</v>
      </c>
      <c r="AG699">
        <v>0</v>
      </c>
      <c r="AH699">
        <v>46</v>
      </c>
      <c r="AI699">
        <v>46</v>
      </c>
      <c r="AJ699">
        <v>46</v>
      </c>
      <c r="AK699">
        <v>46</v>
      </c>
      <c r="AL699">
        <v>0</v>
      </c>
      <c r="AM699">
        <v>0.1</v>
      </c>
      <c r="AN699">
        <v>4.1818181818181817</v>
      </c>
      <c r="AO699">
        <v>0</v>
      </c>
      <c r="AP699" t="s">
        <v>139</v>
      </c>
      <c r="AQ699" t="s">
        <v>131</v>
      </c>
      <c r="AR699" t="s">
        <v>523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 t="s">
        <v>134</v>
      </c>
      <c r="BA699">
        <v>5</v>
      </c>
      <c r="BB699">
        <v>0</v>
      </c>
      <c r="BC699" t="s">
        <v>133</v>
      </c>
      <c r="BD699">
        <v>0</v>
      </c>
      <c r="BE699" t="s">
        <v>133</v>
      </c>
      <c r="BF69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00" spans="1:58" x14ac:dyDescent="0.25">
      <c r="A700" t="s">
        <v>937</v>
      </c>
      <c r="B700" t="s">
        <v>19</v>
      </c>
      <c r="C700">
        <v>2</v>
      </c>
      <c r="D700">
        <v>84</v>
      </c>
      <c r="E700" t="s">
        <v>2110</v>
      </c>
      <c r="F700" t="s">
        <v>123</v>
      </c>
      <c r="G700" t="s">
        <v>124</v>
      </c>
      <c r="H700" t="s">
        <v>125</v>
      </c>
      <c r="I700" t="s">
        <v>126</v>
      </c>
      <c r="J700" t="s">
        <v>126</v>
      </c>
      <c r="K700" t="s">
        <v>127</v>
      </c>
      <c r="L700">
        <v>50</v>
      </c>
      <c r="M700">
        <v>1137259</v>
      </c>
      <c r="N700">
        <v>6</v>
      </c>
      <c r="O700">
        <v>3</v>
      </c>
      <c r="P700" t="s">
        <v>168</v>
      </c>
      <c r="Q700" t="s">
        <v>129</v>
      </c>
      <c r="R700">
        <v>8</v>
      </c>
      <c r="T700">
        <v>4</v>
      </c>
      <c r="U700">
        <v>9</v>
      </c>
      <c r="V700">
        <v>0</v>
      </c>
      <c r="W700">
        <v>0</v>
      </c>
      <c r="X700">
        <v>0</v>
      </c>
      <c r="Y700">
        <v>0</v>
      </c>
      <c r="Z700">
        <v>4</v>
      </c>
      <c r="AA700">
        <v>9</v>
      </c>
      <c r="AB700">
        <v>50</v>
      </c>
      <c r="AC700">
        <v>10</v>
      </c>
      <c r="AD700">
        <v>0</v>
      </c>
      <c r="AE700">
        <v>0</v>
      </c>
      <c r="AF700">
        <v>10</v>
      </c>
      <c r="AG700">
        <v>0</v>
      </c>
      <c r="AH700">
        <v>40</v>
      </c>
      <c r="AI700">
        <v>40</v>
      </c>
      <c r="AJ700">
        <v>40</v>
      </c>
      <c r="AK700">
        <v>40</v>
      </c>
      <c r="AL700">
        <v>0</v>
      </c>
      <c r="AM700">
        <v>0.12</v>
      </c>
      <c r="AN700">
        <v>3.6363636363636367</v>
      </c>
      <c r="AO700">
        <v>0</v>
      </c>
      <c r="AP700" t="s">
        <v>130</v>
      </c>
      <c r="AQ700" t="s">
        <v>131</v>
      </c>
      <c r="AR700" t="s">
        <v>523</v>
      </c>
      <c r="AS700">
        <v>489</v>
      </c>
      <c r="AT700">
        <v>493</v>
      </c>
      <c r="AU700">
        <v>0</v>
      </c>
      <c r="AV700">
        <v>0</v>
      </c>
      <c r="AW700">
        <v>0.98199999999999998</v>
      </c>
      <c r="AX700">
        <v>9.8199999999999996E-2</v>
      </c>
      <c r="AY700">
        <v>0.98199999999999998</v>
      </c>
      <c r="AZ700" t="s">
        <v>135</v>
      </c>
      <c r="BA700">
        <v>5.0179999999999998</v>
      </c>
      <c r="BB700">
        <v>51.099796334012218</v>
      </c>
      <c r="BC700" t="s">
        <v>133</v>
      </c>
      <c r="BD700">
        <v>0</v>
      </c>
      <c r="BE700" t="s">
        <v>133</v>
      </c>
      <c r="BF70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0.98199999999999998</v>
      </c>
    </row>
    <row r="701" spans="1:58" x14ac:dyDescent="0.25">
      <c r="A701" t="s">
        <v>938</v>
      </c>
      <c r="B701" t="s">
        <v>19</v>
      </c>
      <c r="C701">
        <v>2</v>
      </c>
      <c r="D701">
        <v>85</v>
      </c>
      <c r="E701" t="s">
        <v>2110</v>
      </c>
      <c r="F701" t="s">
        <v>123</v>
      </c>
      <c r="G701" t="s">
        <v>124</v>
      </c>
      <c r="H701" t="s">
        <v>125</v>
      </c>
      <c r="I701" t="s">
        <v>126</v>
      </c>
      <c r="J701" t="s">
        <v>126</v>
      </c>
      <c r="K701" t="s">
        <v>127</v>
      </c>
      <c r="L701">
        <v>50</v>
      </c>
      <c r="M701">
        <v>1137261</v>
      </c>
      <c r="N701">
        <v>6</v>
      </c>
      <c r="O701">
        <v>3</v>
      </c>
      <c r="P701" t="s">
        <v>168</v>
      </c>
      <c r="Q701" t="s">
        <v>129</v>
      </c>
      <c r="R701">
        <v>8</v>
      </c>
      <c r="T701">
        <v>4</v>
      </c>
      <c r="U701">
        <v>9</v>
      </c>
      <c r="V701">
        <v>1</v>
      </c>
      <c r="W701">
        <v>0</v>
      </c>
      <c r="X701">
        <v>1</v>
      </c>
      <c r="Y701">
        <v>1</v>
      </c>
      <c r="Z701">
        <v>6</v>
      </c>
      <c r="AA701">
        <v>11</v>
      </c>
      <c r="AB701">
        <v>50</v>
      </c>
      <c r="AC701">
        <v>12</v>
      </c>
      <c r="AD701">
        <v>1</v>
      </c>
      <c r="AE701">
        <v>1</v>
      </c>
      <c r="AF701">
        <v>14</v>
      </c>
      <c r="AG701">
        <v>0</v>
      </c>
      <c r="AH701">
        <v>38</v>
      </c>
      <c r="AI701">
        <v>36</v>
      </c>
      <c r="AJ701">
        <v>37</v>
      </c>
      <c r="AK701">
        <v>38</v>
      </c>
      <c r="AL701">
        <v>0</v>
      </c>
      <c r="AM701">
        <v>0.12</v>
      </c>
      <c r="AN701">
        <v>3.3636363636363638</v>
      </c>
      <c r="AO701">
        <v>0</v>
      </c>
      <c r="AP701" t="s">
        <v>130</v>
      </c>
      <c r="AQ701" t="s">
        <v>131</v>
      </c>
      <c r="AR701" t="s">
        <v>523</v>
      </c>
      <c r="AS701">
        <v>457</v>
      </c>
      <c r="AT701">
        <v>641</v>
      </c>
      <c r="AU701">
        <v>0</v>
      </c>
      <c r="AV701">
        <v>0</v>
      </c>
      <c r="AW701">
        <v>1.0980000000000001</v>
      </c>
      <c r="AX701">
        <v>9.1500000000000012E-2</v>
      </c>
      <c r="AY701">
        <v>1.2810000000000001</v>
      </c>
      <c r="AZ701" t="s">
        <v>135</v>
      </c>
      <c r="BA701">
        <v>4.7189999999999994</v>
      </c>
      <c r="BB701">
        <v>51.573770491803266</v>
      </c>
      <c r="BC701" t="s">
        <v>133</v>
      </c>
      <c r="BD701">
        <v>0</v>
      </c>
      <c r="BE701" t="s">
        <v>133</v>
      </c>
      <c r="BF70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1.0980000000000001</v>
      </c>
    </row>
    <row r="702" spans="1:58" x14ac:dyDescent="0.25">
      <c r="A702" t="s">
        <v>939</v>
      </c>
      <c r="B702" t="s">
        <v>19</v>
      </c>
      <c r="C702">
        <v>2</v>
      </c>
      <c r="D702">
        <v>86</v>
      </c>
      <c r="E702" t="s">
        <v>2110</v>
      </c>
      <c r="F702" t="s">
        <v>123</v>
      </c>
      <c r="G702" t="s">
        <v>124</v>
      </c>
      <c r="H702" t="s">
        <v>125</v>
      </c>
      <c r="I702" t="s">
        <v>126</v>
      </c>
      <c r="J702" t="s">
        <v>126</v>
      </c>
      <c r="K702" t="s">
        <v>127</v>
      </c>
      <c r="L702">
        <v>50</v>
      </c>
      <c r="M702">
        <v>1137263</v>
      </c>
      <c r="N702">
        <v>6</v>
      </c>
      <c r="O702">
        <v>3</v>
      </c>
      <c r="P702" t="s">
        <v>168</v>
      </c>
      <c r="Q702" t="s">
        <v>129</v>
      </c>
      <c r="R702">
        <v>8</v>
      </c>
      <c r="T702">
        <v>5</v>
      </c>
      <c r="U702">
        <v>10</v>
      </c>
      <c r="V702">
        <v>3</v>
      </c>
      <c r="W702">
        <v>1</v>
      </c>
      <c r="X702">
        <v>2</v>
      </c>
      <c r="Y702">
        <v>1</v>
      </c>
      <c r="Z702">
        <v>9</v>
      </c>
      <c r="AA702">
        <v>14</v>
      </c>
      <c r="AB702">
        <v>50</v>
      </c>
      <c r="AC702">
        <v>15</v>
      </c>
      <c r="AD702">
        <v>6</v>
      </c>
      <c r="AE702">
        <v>2</v>
      </c>
      <c r="AF702">
        <v>24</v>
      </c>
      <c r="AG702">
        <v>1</v>
      </c>
      <c r="AH702">
        <v>35</v>
      </c>
      <c r="AI702">
        <v>26</v>
      </c>
      <c r="AJ702">
        <v>32</v>
      </c>
      <c r="AK702">
        <v>34</v>
      </c>
      <c r="AL702">
        <v>0</v>
      </c>
      <c r="AM702">
        <v>0.12</v>
      </c>
      <c r="AN702">
        <v>2.9090909090909092</v>
      </c>
      <c r="AO702">
        <v>0.13636363636363635</v>
      </c>
      <c r="AP702" t="s">
        <v>130</v>
      </c>
      <c r="AQ702" t="s">
        <v>131</v>
      </c>
      <c r="AR702" t="s">
        <v>523</v>
      </c>
      <c r="AS702">
        <v>718</v>
      </c>
      <c r="AT702">
        <v>771</v>
      </c>
      <c r="AU702">
        <v>0</v>
      </c>
      <c r="AV702">
        <v>0</v>
      </c>
      <c r="AW702">
        <v>1.4890000000000001</v>
      </c>
      <c r="AX702">
        <v>9.926666666666667E-2</v>
      </c>
      <c r="AY702">
        <v>2.3824000000000001</v>
      </c>
      <c r="AZ702" t="s">
        <v>135</v>
      </c>
      <c r="BA702">
        <v>3.6175999999999999</v>
      </c>
      <c r="BB702">
        <v>36.443250503693754</v>
      </c>
      <c r="BC702" t="s">
        <v>133</v>
      </c>
      <c r="BD702">
        <v>0</v>
      </c>
      <c r="BE702" t="s">
        <v>133</v>
      </c>
      <c r="BF70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1.4890000000000001</v>
      </c>
    </row>
    <row r="703" spans="1:58" x14ac:dyDescent="0.25">
      <c r="A703" t="s">
        <v>940</v>
      </c>
      <c r="B703" t="s">
        <v>19</v>
      </c>
      <c r="C703">
        <v>2</v>
      </c>
      <c r="D703">
        <v>87</v>
      </c>
      <c r="E703" t="s">
        <v>2110</v>
      </c>
      <c r="F703" t="s">
        <v>123</v>
      </c>
      <c r="G703" t="s">
        <v>124</v>
      </c>
      <c r="H703" t="s">
        <v>125</v>
      </c>
      <c r="I703" t="s">
        <v>126</v>
      </c>
      <c r="J703" t="s">
        <v>126</v>
      </c>
      <c r="K703" t="s">
        <v>127</v>
      </c>
      <c r="L703">
        <v>50</v>
      </c>
      <c r="M703">
        <v>1137265</v>
      </c>
      <c r="N703">
        <v>6</v>
      </c>
      <c r="O703">
        <v>3</v>
      </c>
      <c r="P703" t="s">
        <v>168</v>
      </c>
      <c r="Q703" t="s">
        <v>129</v>
      </c>
      <c r="R703">
        <v>8</v>
      </c>
      <c r="T703">
        <v>6</v>
      </c>
      <c r="U703">
        <v>11</v>
      </c>
      <c r="V703">
        <v>3</v>
      </c>
      <c r="W703">
        <v>2</v>
      </c>
      <c r="X703">
        <v>1</v>
      </c>
      <c r="Y703">
        <v>0</v>
      </c>
      <c r="Z703">
        <v>9</v>
      </c>
      <c r="AA703">
        <v>14</v>
      </c>
      <c r="AB703">
        <v>50</v>
      </c>
      <c r="AC703">
        <v>20</v>
      </c>
      <c r="AD703">
        <v>1</v>
      </c>
      <c r="AE703">
        <v>0</v>
      </c>
      <c r="AF703">
        <v>23</v>
      </c>
      <c r="AG703">
        <v>2</v>
      </c>
      <c r="AH703">
        <v>30</v>
      </c>
      <c r="AI703">
        <v>27</v>
      </c>
      <c r="AJ703">
        <v>28</v>
      </c>
      <c r="AK703">
        <v>28</v>
      </c>
      <c r="AL703">
        <v>0</v>
      </c>
      <c r="AM703">
        <v>0.12</v>
      </c>
      <c r="AN703">
        <v>2.5454545454545454</v>
      </c>
      <c r="AO703">
        <v>0.27272727272727271</v>
      </c>
      <c r="AP703" t="s">
        <v>130</v>
      </c>
      <c r="AQ703" t="s">
        <v>131</v>
      </c>
      <c r="AR703" t="s">
        <v>523</v>
      </c>
      <c r="AS703">
        <v>1574</v>
      </c>
      <c r="AT703">
        <v>1419</v>
      </c>
      <c r="AU703">
        <v>0</v>
      </c>
      <c r="AV703">
        <v>0</v>
      </c>
      <c r="AW703">
        <v>2.9929999999999999</v>
      </c>
      <c r="AX703">
        <v>0.14965000000000001</v>
      </c>
      <c r="AY703">
        <v>3.4419500000000003</v>
      </c>
      <c r="AZ703" t="s">
        <v>135</v>
      </c>
      <c r="BA703">
        <v>2.5580499999999997</v>
      </c>
      <c r="BB703">
        <v>17.093551620447709</v>
      </c>
      <c r="BC703" t="s">
        <v>133</v>
      </c>
      <c r="BD703">
        <v>0</v>
      </c>
      <c r="BE703" t="s">
        <v>133</v>
      </c>
      <c r="BF70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2.9929999999999999</v>
      </c>
    </row>
    <row r="704" spans="1:58" x14ac:dyDescent="0.25">
      <c r="A704" t="s">
        <v>941</v>
      </c>
      <c r="B704" t="s">
        <v>19</v>
      </c>
      <c r="C704">
        <v>2</v>
      </c>
      <c r="D704">
        <v>88</v>
      </c>
      <c r="E704" t="s">
        <v>2110</v>
      </c>
      <c r="F704" t="s">
        <v>123</v>
      </c>
      <c r="G704" t="s">
        <v>124</v>
      </c>
      <c r="H704" t="s">
        <v>125</v>
      </c>
      <c r="I704" t="s">
        <v>126</v>
      </c>
      <c r="J704" t="s">
        <v>126</v>
      </c>
      <c r="K704" t="s">
        <v>127</v>
      </c>
      <c r="L704">
        <v>50</v>
      </c>
      <c r="M704">
        <v>1137267</v>
      </c>
      <c r="N704">
        <v>6</v>
      </c>
      <c r="O704">
        <v>3</v>
      </c>
      <c r="P704" t="s">
        <v>168</v>
      </c>
      <c r="Q704" t="s">
        <v>129</v>
      </c>
      <c r="R704">
        <v>8</v>
      </c>
      <c r="T704">
        <v>4</v>
      </c>
      <c r="U704">
        <v>9</v>
      </c>
      <c r="V704">
        <v>3</v>
      </c>
      <c r="W704">
        <v>1</v>
      </c>
      <c r="X704">
        <v>2</v>
      </c>
      <c r="Y704">
        <v>1</v>
      </c>
      <c r="Z704">
        <v>8</v>
      </c>
      <c r="AA704">
        <v>13</v>
      </c>
      <c r="AB704">
        <v>50</v>
      </c>
      <c r="AC704">
        <v>9</v>
      </c>
      <c r="AD704">
        <v>4</v>
      </c>
      <c r="AE704">
        <v>1</v>
      </c>
      <c r="AF704">
        <v>15</v>
      </c>
      <c r="AG704">
        <v>1</v>
      </c>
      <c r="AH704">
        <v>41</v>
      </c>
      <c r="AI704">
        <v>35</v>
      </c>
      <c r="AJ704">
        <v>39</v>
      </c>
      <c r="AK704">
        <v>40</v>
      </c>
      <c r="AL704">
        <v>0</v>
      </c>
      <c r="AM704">
        <v>0.12</v>
      </c>
      <c r="AN704">
        <v>3.5454545454545454</v>
      </c>
      <c r="AO704">
        <v>0.13636363636363635</v>
      </c>
      <c r="AP704" t="s">
        <v>130</v>
      </c>
      <c r="AQ704" t="s">
        <v>131</v>
      </c>
      <c r="AR704" t="s">
        <v>523</v>
      </c>
      <c r="AS704">
        <v>846</v>
      </c>
      <c r="AT704">
        <v>860</v>
      </c>
      <c r="AU704">
        <v>0</v>
      </c>
      <c r="AV704">
        <v>0</v>
      </c>
      <c r="AW704">
        <v>1.706</v>
      </c>
      <c r="AX704">
        <v>0.18955555555555556</v>
      </c>
      <c r="AY704">
        <v>2.8433333333333333</v>
      </c>
      <c r="AZ704" t="s">
        <v>135</v>
      </c>
      <c r="BA704">
        <v>3.1566666666666667</v>
      </c>
      <c r="BB704">
        <v>16.652989449003517</v>
      </c>
      <c r="BC704" t="s">
        <v>144</v>
      </c>
      <c r="BD704">
        <v>0</v>
      </c>
      <c r="BE704" t="s">
        <v>133</v>
      </c>
      <c r="BF70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1.706</v>
      </c>
    </row>
    <row r="705" spans="1:58" x14ac:dyDescent="0.25">
      <c r="A705" t="s">
        <v>942</v>
      </c>
      <c r="B705" t="s">
        <v>19</v>
      </c>
      <c r="C705">
        <v>2</v>
      </c>
      <c r="D705">
        <v>89</v>
      </c>
      <c r="E705" t="s">
        <v>2108</v>
      </c>
      <c r="F705" t="s">
        <v>123</v>
      </c>
      <c r="G705" t="s">
        <v>124</v>
      </c>
      <c r="H705" t="s">
        <v>125</v>
      </c>
      <c r="I705" t="s">
        <v>173</v>
      </c>
      <c r="J705" t="s">
        <v>173</v>
      </c>
      <c r="K705" t="s">
        <v>166</v>
      </c>
      <c r="L705">
        <v>50</v>
      </c>
      <c r="M705">
        <v>1137293</v>
      </c>
      <c r="N705">
        <v>11.8</v>
      </c>
      <c r="O705">
        <v>3</v>
      </c>
      <c r="P705" t="s">
        <v>168</v>
      </c>
      <c r="Q705" t="s">
        <v>129</v>
      </c>
      <c r="R705">
        <v>9</v>
      </c>
      <c r="S705" t="s">
        <v>919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9</v>
      </c>
      <c r="Z705">
        <v>5</v>
      </c>
      <c r="AA705">
        <v>9</v>
      </c>
      <c r="AB705">
        <v>50</v>
      </c>
      <c r="AC705">
        <v>0</v>
      </c>
      <c r="AD705">
        <v>0</v>
      </c>
      <c r="AE705">
        <v>26</v>
      </c>
      <c r="AF705">
        <v>26</v>
      </c>
      <c r="AG705">
        <v>0</v>
      </c>
      <c r="AH705">
        <v>50</v>
      </c>
      <c r="AI705">
        <v>24</v>
      </c>
      <c r="AJ705">
        <v>24</v>
      </c>
      <c r="AK705">
        <v>50</v>
      </c>
      <c r="AL705">
        <v>0</v>
      </c>
      <c r="AM705">
        <v>0.23600000000000002</v>
      </c>
      <c r="AN705">
        <v>2.1818181818181817</v>
      </c>
      <c r="AO705">
        <v>0</v>
      </c>
      <c r="AP705" t="s">
        <v>174</v>
      </c>
      <c r="AQ705" t="s">
        <v>131</v>
      </c>
      <c r="AR705" t="s">
        <v>194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 t="s">
        <v>135</v>
      </c>
      <c r="BA705">
        <v>11.8</v>
      </c>
      <c r="BB705">
        <v>0</v>
      </c>
      <c r="BC705" t="s">
        <v>132</v>
      </c>
      <c r="BD705">
        <v>0</v>
      </c>
      <c r="BE705" t="s">
        <v>133</v>
      </c>
      <c r="BF70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06" spans="1:58" x14ac:dyDescent="0.25">
      <c r="A706" t="s">
        <v>943</v>
      </c>
      <c r="B706" t="s">
        <v>19</v>
      </c>
      <c r="C706">
        <v>2</v>
      </c>
      <c r="D706">
        <v>90</v>
      </c>
      <c r="E706" t="s">
        <v>2108</v>
      </c>
      <c r="F706" t="s">
        <v>123</v>
      </c>
      <c r="G706" t="s">
        <v>124</v>
      </c>
      <c r="H706" t="s">
        <v>125</v>
      </c>
      <c r="I706" t="s">
        <v>173</v>
      </c>
      <c r="J706" t="s">
        <v>173</v>
      </c>
      <c r="K706" t="s">
        <v>166</v>
      </c>
      <c r="L706">
        <v>50</v>
      </c>
      <c r="M706">
        <v>1137295</v>
      </c>
      <c r="N706">
        <v>11.8</v>
      </c>
      <c r="O706">
        <v>3</v>
      </c>
      <c r="P706" t="s">
        <v>168</v>
      </c>
      <c r="Q706" t="s">
        <v>129</v>
      </c>
      <c r="R706">
        <v>9</v>
      </c>
      <c r="S706" t="s">
        <v>919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9</v>
      </c>
      <c r="Z706">
        <v>5</v>
      </c>
      <c r="AA706">
        <v>9</v>
      </c>
      <c r="AB706">
        <v>50</v>
      </c>
      <c r="AC706">
        <v>0</v>
      </c>
      <c r="AD706">
        <v>0</v>
      </c>
      <c r="AE706">
        <v>26</v>
      </c>
      <c r="AF706">
        <v>26</v>
      </c>
      <c r="AG706">
        <v>0</v>
      </c>
      <c r="AH706">
        <v>50</v>
      </c>
      <c r="AI706">
        <v>24</v>
      </c>
      <c r="AJ706">
        <v>24</v>
      </c>
      <c r="AK706">
        <v>50</v>
      </c>
      <c r="AL706">
        <v>0</v>
      </c>
      <c r="AM706">
        <v>0.23600000000000002</v>
      </c>
      <c r="AN706">
        <v>2.1818181818181817</v>
      </c>
      <c r="AO706">
        <v>0</v>
      </c>
      <c r="AP706" t="s">
        <v>174</v>
      </c>
      <c r="AQ706" t="s">
        <v>131</v>
      </c>
      <c r="AR706" t="s">
        <v>194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 t="s">
        <v>135</v>
      </c>
      <c r="BA706">
        <v>11.8</v>
      </c>
      <c r="BB706">
        <v>0</v>
      </c>
      <c r="BC706" t="s">
        <v>133</v>
      </c>
      <c r="BD706">
        <v>0</v>
      </c>
      <c r="BE706" t="s">
        <v>133</v>
      </c>
      <c r="BF70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07" spans="1:58" x14ac:dyDescent="0.25">
      <c r="A707" t="s">
        <v>944</v>
      </c>
      <c r="B707" t="s">
        <v>19</v>
      </c>
      <c r="C707">
        <v>2</v>
      </c>
      <c r="D707">
        <v>91</v>
      </c>
      <c r="E707" t="s">
        <v>2108</v>
      </c>
      <c r="F707" t="s">
        <v>123</v>
      </c>
      <c r="G707" t="s">
        <v>124</v>
      </c>
      <c r="H707" t="s">
        <v>125</v>
      </c>
      <c r="I707" t="s">
        <v>173</v>
      </c>
      <c r="J707" t="s">
        <v>173</v>
      </c>
      <c r="K707" t="s">
        <v>166</v>
      </c>
      <c r="L707">
        <v>50</v>
      </c>
      <c r="M707">
        <v>1137297</v>
      </c>
      <c r="N707">
        <v>11.8</v>
      </c>
      <c r="O707">
        <v>3</v>
      </c>
      <c r="P707" t="s">
        <v>168</v>
      </c>
      <c r="Q707" t="s">
        <v>129</v>
      </c>
      <c r="R707">
        <v>9</v>
      </c>
      <c r="S707" t="s">
        <v>919</v>
      </c>
      <c r="T707">
        <v>0</v>
      </c>
      <c r="U707">
        <v>0</v>
      </c>
      <c r="V707">
        <v>13</v>
      </c>
      <c r="W707">
        <v>0</v>
      </c>
      <c r="X707">
        <v>13</v>
      </c>
      <c r="Y707">
        <v>3</v>
      </c>
      <c r="Z707">
        <v>12</v>
      </c>
      <c r="AA707">
        <v>16</v>
      </c>
      <c r="AB707">
        <v>50</v>
      </c>
      <c r="AC707">
        <v>0</v>
      </c>
      <c r="AD707">
        <v>25</v>
      </c>
      <c r="AE707">
        <v>3</v>
      </c>
      <c r="AF707">
        <v>28</v>
      </c>
      <c r="AG707">
        <v>0</v>
      </c>
      <c r="AH707">
        <v>50</v>
      </c>
      <c r="AI707">
        <v>22</v>
      </c>
      <c r="AJ707">
        <v>47</v>
      </c>
      <c r="AK707">
        <v>50</v>
      </c>
      <c r="AL707">
        <v>0</v>
      </c>
      <c r="AM707">
        <v>0.23600000000000002</v>
      </c>
      <c r="AN707">
        <v>4.2727272727272725</v>
      </c>
      <c r="AO707">
        <v>0</v>
      </c>
      <c r="AP707" t="s">
        <v>174</v>
      </c>
      <c r="AQ707" t="s">
        <v>131</v>
      </c>
      <c r="AR707" t="s">
        <v>194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 t="s">
        <v>135</v>
      </c>
      <c r="BA707">
        <v>11.8</v>
      </c>
      <c r="BB707">
        <v>0</v>
      </c>
      <c r="BC707" t="s">
        <v>133</v>
      </c>
      <c r="BD707">
        <v>0</v>
      </c>
      <c r="BE707" t="s">
        <v>133</v>
      </c>
      <c r="BF70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08" spans="1:58" x14ac:dyDescent="0.25">
      <c r="A708" t="s">
        <v>945</v>
      </c>
      <c r="B708" t="s">
        <v>19</v>
      </c>
      <c r="C708">
        <v>2</v>
      </c>
      <c r="D708">
        <v>92</v>
      </c>
      <c r="E708" t="s">
        <v>2108</v>
      </c>
      <c r="F708" t="s">
        <v>123</v>
      </c>
      <c r="G708" t="s">
        <v>124</v>
      </c>
      <c r="H708" t="s">
        <v>125</v>
      </c>
      <c r="I708" t="s">
        <v>173</v>
      </c>
      <c r="J708" t="s">
        <v>173</v>
      </c>
      <c r="K708" t="s">
        <v>166</v>
      </c>
      <c r="L708">
        <v>50</v>
      </c>
      <c r="M708">
        <v>1137299</v>
      </c>
      <c r="N708">
        <v>11.8</v>
      </c>
      <c r="O708">
        <v>3</v>
      </c>
      <c r="P708" t="s">
        <v>168</v>
      </c>
      <c r="Q708" t="s">
        <v>129</v>
      </c>
      <c r="R708">
        <v>9</v>
      </c>
      <c r="S708" t="s">
        <v>919</v>
      </c>
      <c r="T708">
        <v>0</v>
      </c>
      <c r="U708">
        <v>0</v>
      </c>
      <c r="V708">
        <v>2</v>
      </c>
      <c r="W708">
        <v>0</v>
      </c>
      <c r="X708">
        <v>2</v>
      </c>
      <c r="Y708">
        <v>14</v>
      </c>
      <c r="Z708">
        <v>12</v>
      </c>
      <c r="AA708">
        <v>16</v>
      </c>
      <c r="AB708">
        <v>50</v>
      </c>
      <c r="AC708">
        <v>0</v>
      </c>
      <c r="AD708">
        <v>3</v>
      </c>
      <c r="AE708">
        <v>25</v>
      </c>
      <c r="AF708">
        <v>28</v>
      </c>
      <c r="AG708">
        <v>0</v>
      </c>
      <c r="AH708">
        <v>50</v>
      </c>
      <c r="AI708">
        <v>22</v>
      </c>
      <c r="AJ708">
        <v>25</v>
      </c>
      <c r="AK708">
        <v>50</v>
      </c>
      <c r="AL708">
        <v>0</v>
      </c>
      <c r="AM708">
        <v>0.23600000000000002</v>
      </c>
      <c r="AN708">
        <v>2.2727272727272729</v>
      </c>
      <c r="AO708">
        <v>0</v>
      </c>
      <c r="AP708" t="s">
        <v>174</v>
      </c>
      <c r="AQ708" t="s">
        <v>131</v>
      </c>
      <c r="AR708" t="s">
        <v>194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 t="s">
        <v>135</v>
      </c>
      <c r="BA708">
        <v>11.8</v>
      </c>
      <c r="BB708">
        <v>0</v>
      </c>
      <c r="BC708" t="s">
        <v>133</v>
      </c>
      <c r="BD708">
        <v>0</v>
      </c>
      <c r="BE708" t="s">
        <v>133</v>
      </c>
      <c r="BF70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09" spans="1:58" x14ac:dyDescent="0.25">
      <c r="A709" t="s">
        <v>946</v>
      </c>
      <c r="B709" t="s">
        <v>19</v>
      </c>
      <c r="C709">
        <v>2</v>
      </c>
      <c r="D709">
        <v>93</v>
      </c>
      <c r="E709" t="s">
        <v>2108</v>
      </c>
      <c r="F709" t="s">
        <v>123</v>
      </c>
      <c r="G709" t="s">
        <v>124</v>
      </c>
      <c r="H709" t="s">
        <v>125</v>
      </c>
      <c r="I709" t="s">
        <v>173</v>
      </c>
      <c r="J709" t="s">
        <v>173</v>
      </c>
      <c r="K709" t="s">
        <v>166</v>
      </c>
      <c r="L709">
        <v>50</v>
      </c>
      <c r="M709">
        <v>1137301</v>
      </c>
      <c r="N709">
        <v>11.8</v>
      </c>
      <c r="O709">
        <v>3</v>
      </c>
      <c r="P709" t="s">
        <v>168</v>
      </c>
      <c r="Q709" t="s">
        <v>129</v>
      </c>
      <c r="R709">
        <v>9</v>
      </c>
      <c r="S709" t="s">
        <v>919</v>
      </c>
      <c r="T709">
        <v>0</v>
      </c>
      <c r="U709">
        <v>0</v>
      </c>
      <c r="V709">
        <v>1</v>
      </c>
      <c r="W709">
        <v>0</v>
      </c>
      <c r="X709">
        <v>1</v>
      </c>
      <c r="Y709">
        <v>7</v>
      </c>
      <c r="Z709">
        <v>5</v>
      </c>
      <c r="AA709">
        <v>8</v>
      </c>
      <c r="AB709">
        <v>50</v>
      </c>
      <c r="AC709">
        <v>0</v>
      </c>
      <c r="AD709">
        <v>1</v>
      </c>
      <c r="AE709">
        <v>24</v>
      </c>
      <c r="AF709">
        <v>25</v>
      </c>
      <c r="AG709">
        <v>0</v>
      </c>
      <c r="AH709">
        <v>50</v>
      </c>
      <c r="AI709">
        <v>25</v>
      </c>
      <c r="AJ709">
        <v>26</v>
      </c>
      <c r="AK709">
        <v>50</v>
      </c>
      <c r="AL709">
        <v>0</v>
      </c>
      <c r="AM709">
        <v>0.23600000000000002</v>
      </c>
      <c r="AN709">
        <v>2.3636363636363638</v>
      </c>
      <c r="AO709">
        <v>0</v>
      </c>
      <c r="AP709" t="s">
        <v>174</v>
      </c>
      <c r="AQ709" t="s">
        <v>131</v>
      </c>
      <c r="AR709" t="s">
        <v>194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 t="s">
        <v>135</v>
      </c>
      <c r="BA709">
        <v>11.8</v>
      </c>
      <c r="BB709">
        <v>0</v>
      </c>
      <c r="BC709" t="s">
        <v>133</v>
      </c>
      <c r="BD709">
        <v>0</v>
      </c>
      <c r="BE709" t="s">
        <v>133</v>
      </c>
      <c r="BF70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10" spans="1:58" x14ac:dyDescent="0.25">
      <c r="A710" t="s">
        <v>947</v>
      </c>
      <c r="B710" t="s">
        <v>19</v>
      </c>
      <c r="C710">
        <v>2</v>
      </c>
      <c r="D710">
        <v>94</v>
      </c>
      <c r="E710" t="s">
        <v>2108</v>
      </c>
      <c r="F710" t="s">
        <v>123</v>
      </c>
      <c r="G710" t="s">
        <v>124</v>
      </c>
      <c r="H710" t="s">
        <v>125</v>
      </c>
      <c r="I710" t="s">
        <v>173</v>
      </c>
      <c r="J710" t="s">
        <v>173</v>
      </c>
      <c r="K710" t="s">
        <v>166</v>
      </c>
      <c r="L710">
        <v>50</v>
      </c>
      <c r="M710">
        <v>1137303</v>
      </c>
      <c r="N710">
        <v>11.8</v>
      </c>
      <c r="O710">
        <v>3</v>
      </c>
      <c r="P710" t="s">
        <v>168</v>
      </c>
      <c r="Q710" t="s">
        <v>129</v>
      </c>
      <c r="R710">
        <v>9</v>
      </c>
      <c r="S710" t="s">
        <v>919</v>
      </c>
      <c r="T710">
        <v>0</v>
      </c>
      <c r="U710">
        <v>0</v>
      </c>
      <c r="V710">
        <v>1</v>
      </c>
      <c r="W710">
        <v>0</v>
      </c>
      <c r="X710">
        <v>1</v>
      </c>
      <c r="Y710">
        <v>7</v>
      </c>
      <c r="Z710">
        <v>5</v>
      </c>
      <c r="AA710">
        <v>8</v>
      </c>
      <c r="AB710">
        <v>50</v>
      </c>
      <c r="AC710">
        <v>0</v>
      </c>
      <c r="AD710">
        <v>1</v>
      </c>
      <c r="AE710">
        <v>24</v>
      </c>
      <c r="AF710">
        <v>25</v>
      </c>
      <c r="AG710">
        <v>0</v>
      </c>
      <c r="AH710">
        <v>50</v>
      </c>
      <c r="AI710">
        <v>25</v>
      </c>
      <c r="AJ710">
        <v>26</v>
      </c>
      <c r="AK710">
        <v>50</v>
      </c>
      <c r="AL710">
        <v>0</v>
      </c>
      <c r="AM710">
        <v>0.23600000000000002</v>
      </c>
      <c r="AN710">
        <v>2.3636363636363638</v>
      </c>
      <c r="AO710">
        <v>0</v>
      </c>
      <c r="AP710" t="s">
        <v>174</v>
      </c>
      <c r="AQ710" t="s">
        <v>131</v>
      </c>
      <c r="AR710" t="s">
        <v>194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 t="s">
        <v>135</v>
      </c>
      <c r="BA710">
        <v>11.8</v>
      </c>
      <c r="BB710">
        <v>0</v>
      </c>
      <c r="BC710" t="s">
        <v>133</v>
      </c>
      <c r="BD710">
        <v>0</v>
      </c>
      <c r="BE710" t="s">
        <v>133</v>
      </c>
      <c r="BF71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11" spans="1:58" x14ac:dyDescent="0.25">
      <c r="A711" t="s">
        <v>948</v>
      </c>
      <c r="B711" t="s">
        <v>19</v>
      </c>
      <c r="C711">
        <v>2</v>
      </c>
      <c r="D711">
        <v>95</v>
      </c>
      <c r="E711" t="s">
        <v>2108</v>
      </c>
      <c r="F711" t="s">
        <v>123</v>
      </c>
      <c r="G711" t="s">
        <v>124</v>
      </c>
      <c r="H711" t="s">
        <v>125</v>
      </c>
      <c r="I711" t="s">
        <v>173</v>
      </c>
      <c r="J711" t="s">
        <v>173</v>
      </c>
      <c r="K711" t="s">
        <v>166</v>
      </c>
      <c r="L711">
        <v>50</v>
      </c>
      <c r="M711">
        <v>1137305</v>
      </c>
      <c r="N711">
        <v>11.8</v>
      </c>
      <c r="O711">
        <v>3</v>
      </c>
      <c r="P711" t="s">
        <v>168</v>
      </c>
      <c r="Q711" t="s">
        <v>129</v>
      </c>
      <c r="R711">
        <v>9</v>
      </c>
      <c r="S711" t="s">
        <v>919</v>
      </c>
      <c r="T711">
        <v>0</v>
      </c>
      <c r="U711">
        <v>0</v>
      </c>
      <c r="V711">
        <v>1</v>
      </c>
      <c r="W711">
        <v>0</v>
      </c>
      <c r="X711">
        <v>1</v>
      </c>
      <c r="Y711">
        <v>2</v>
      </c>
      <c r="Z711">
        <v>0</v>
      </c>
      <c r="AA711">
        <v>3</v>
      </c>
      <c r="AB711">
        <v>50</v>
      </c>
      <c r="AC711">
        <v>0</v>
      </c>
      <c r="AD711">
        <v>1</v>
      </c>
      <c r="AE711">
        <v>2</v>
      </c>
      <c r="AF711">
        <v>3</v>
      </c>
      <c r="AG711">
        <v>0</v>
      </c>
      <c r="AH711">
        <v>50</v>
      </c>
      <c r="AI711">
        <v>47</v>
      </c>
      <c r="AJ711">
        <v>48</v>
      </c>
      <c r="AK711">
        <v>50</v>
      </c>
      <c r="AL711">
        <v>0</v>
      </c>
      <c r="AM711">
        <v>0.23600000000000002</v>
      </c>
      <c r="AN711">
        <v>4.3636363636363633</v>
      </c>
      <c r="AO711">
        <v>0</v>
      </c>
      <c r="AP711" t="s">
        <v>174</v>
      </c>
      <c r="AQ711" t="s">
        <v>131</v>
      </c>
      <c r="AR711" t="s">
        <v>194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 t="s">
        <v>135</v>
      </c>
      <c r="BA711">
        <v>11.8</v>
      </c>
      <c r="BB711">
        <v>0</v>
      </c>
      <c r="BC711" t="s">
        <v>133</v>
      </c>
      <c r="BD711">
        <v>0</v>
      </c>
      <c r="BE711" t="s">
        <v>133</v>
      </c>
      <c r="BF71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12" spans="1:58" x14ac:dyDescent="0.25">
      <c r="A712" t="s">
        <v>949</v>
      </c>
      <c r="B712" t="s">
        <v>19</v>
      </c>
      <c r="C712">
        <v>2</v>
      </c>
      <c r="D712">
        <v>96</v>
      </c>
      <c r="E712" t="s">
        <v>2108</v>
      </c>
      <c r="F712" t="s">
        <v>123</v>
      </c>
      <c r="G712" t="s">
        <v>124</v>
      </c>
      <c r="H712" t="s">
        <v>125</v>
      </c>
      <c r="I712" t="s">
        <v>173</v>
      </c>
      <c r="J712" t="s">
        <v>173</v>
      </c>
      <c r="K712" t="s">
        <v>166</v>
      </c>
      <c r="L712">
        <v>50</v>
      </c>
      <c r="M712">
        <v>1137307</v>
      </c>
      <c r="N712">
        <v>11.8</v>
      </c>
      <c r="O712">
        <v>3</v>
      </c>
      <c r="P712" t="s">
        <v>168</v>
      </c>
      <c r="Q712" t="s">
        <v>129</v>
      </c>
      <c r="R712">
        <v>9</v>
      </c>
      <c r="S712" t="s">
        <v>919</v>
      </c>
      <c r="T712">
        <v>0</v>
      </c>
      <c r="U712">
        <v>0</v>
      </c>
      <c r="V712">
        <v>1</v>
      </c>
      <c r="W712">
        <v>0</v>
      </c>
      <c r="X712">
        <v>1</v>
      </c>
      <c r="Y712">
        <v>7</v>
      </c>
      <c r="Z712">
        <v>5</v>
      </c>
      <c r="AA712">
        <v>8</v>
      </c>
      <c r="AB712">
        <v>50</v>
      </c>
      <c r="AC712">
        <v>0</v>
      </c>
      <c r="AD712">
        <v>1</v>
      </c>
      <c r="AE712">
        <v>27</v>
      </c>
      <c r="AF712">
        <v>28</v>
      </c>
      <c r="AG712">
        <v>0</v>
      </c>
      <c r="AH712">
        <v>50</v>
      </c>
      <c r="AI712">
        <v>22</v>
      </c>
      <c r="AJ712">
        <v>23</v>
      </c>
      <c r="AK712">
        <v>50</v>
      </c>
      <c r="AL712">
        <v>0</v>
      </c>
      <c r="AM712">
        <v>0.23600000000000002</v>
      </c>
      <c r="AN712">
        <v>2.0909090909090908</v>
      </c>
      <c r="AO712">
        <v>0</v>
      </c>
      <c r="AP712" t="s">
        <v>174</v>
      </c>
      <c r="AQ712" t="s">
        <v>131</v>
      </c>
      <c r="AR712" t="s">
        <v>194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 t="s">
        <v>135</v>
      </c>
      <c r="BA712">
        <v>11.8</v>
      </c>
      <c r="BB712">
        <v>0</v>
      </c>
      <c r="BC712" t="s">
        <v>133</v>
      </c>
      <c r="BD712">
        <v>0</v>
      </c>
      <c r="BE712" t="s">
        <v>133</v>
      </c>
      <c r="BF71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13" spans="1:58" x14ac:dyDescent="0.25">
      <c r="A713" t="s">
        <v>950</v>
      </c>
      <c r="B713" t="s">
        <v>19</v>
      </c>
      <c r="C713">
        <v>2</v>
      </c>
      <c r="D713">
        <v>97</v>
      </c>
      <c r="E713" t="s">
        <v>2108</v>
      </c>
      <c r="F713" t="s">
        <v>123</v>
      </c>
      <c r="G713" t="s">
        <v>124</v>
      </c>
      <c r="H713" t="s">
        <v>125</v>
      </c>
      <c r="I713" t="s">
        <v>173</v>
      </c>
      <c r="J713" t="s">
        <v>173</v>
      </c>
      <c r="K713" t="s">
        <v>166</v>
      </c>
      <c r="L713">
        <v>50</v>
      </c>
      <c r="M713">
        <v>1137309</v>
      </c>
      <c r="N713">
        <v>11.8</v>
      </c>
      <c r="O713">
        <v>3</v>
      </c>
      <c r="P713" t="s">
        <v>168</v>
      </c>
      <c r="Q713" t="s">
        <v>129</v>
      </c>
      <c r="R713">
        <v>9</v>
      </c>
      <c r="S713" t="s">
        <v>919</v>
      </c>
      <c r="T713">
        <v>0</v>
      </c>
      <c r="U713">
        <v>0</v>
      </c>
      <c r="V713">
        <v>8</v>
      </c>
      <c r="W713">
        <v>0</v>
      </c>
      <c r="X713">
        <v>8</v>
      </c>
      <c r="Y713">
        <v>3</v>
      </c>
      <c r="Z713">
        <v>7</v>
      </c>
      <c r="AA713">
        <v>11</v>
      </c>
      <c r="AB713">
        <v>50</v>
      </c>
      <c r="AC713">
        <v>0</v>
      </c>
      <c r="AD713">
        <v>15</v>
      </c>
      <c r="AE713">
        <v>3</v>
      </c>
      <c r="AF713">
        <v>18</v>
      </c>
      <c r="AG713">
        <v>0</v>
      </c>
      <c r="AH713">
        <v>50</v>
      </c>
      <c r="AI713">
        <v>32</v>
      </c>
      <c r="AJ713">
        <v>47</v>
      </c>
      <c r="AK713">
        <v>50</v>
      </c>
      <c r="AL713">
        <v>0</v>
      </c>
      <c r="AM713">
        <v>0.23600000000000002</v>
      </c>
      <c r="AN713">
        <v>4.2727272727272725</v>
      </c>
      <c r="AO713">
        <v>0</v>
      </c>
      <c r="AP713" t="s">
        <v>174</v>
      </c>
      <c r="AQ713" t="s">
        <v>131</v>
      </c>
      <c r="AR713" t="s">
        <v>194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 t="s">
        <v>135</v>
      </c>
      <c r="BA713">
        <v>11.8</v>
      </c>
      <c r="BB713">
        <v>0</v>
      </c>
      <c r="BC713" t="s">
        <v>133</v>
      </c>
      <c r="BD713">
        <v>0</v>
      </c>
      <c r="BE713" t="s">
        <v>133</v>
      </c>
      <c r="BF71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14" spans="1:58" x14ac:dyDescent="0.25">
      <c r="A714" t="s">
        <v>951</v>
      </c>
      <c r="B714" t="s">
        <v>19</v>
      </c>
      <c r="C714">
        <v>2</v>
      </c>
      <c r="D714">
        <v>98</v>
      </c>
      <c r="E714" t="s">
        <v>2108</v>
      </c>
      <c r="F714" t="s">
        <v>123</v>
      </c>
      <c r="G714" t="s">
        <v>124</v>
      </c>
      <c r="H714" t="s">
        <v>125</v>
      </c>
      <c r="I714" t="s">
        <v>173</v>
      </c>
      <c r="J714" t="s">
        <v>173</v>
      </c>
      <c r="K714" t="s">
        <v>166</v>
      </c>
      <c r="L714">
        <v>50</v>
      </c>
      <c r="M714">
        <v>1137311</v>
      </c>
      <c r="N714">
        <v>11.8</v>
      </c>
      <c r="O714">
        <v>3</v>
      </c>
      <c r="P714" t="s">
        <v>168</v>
      </c>
      <c r="Q714" t="s">
        <v>129</v>
      </c>
      <c r="R714">
        <v>9</v>
      </c>
      <c r="S714" t="s">
        <v>919</v>
      </c>
      <c r="T714">
        <v>0</v>
      </c>
      <c r="U714">
        <v>0</v>
      </c>
      <c r="V714">
        <v>1</v>
      </c>
      <c r="W714">
        <v>0</v>
      </c>
      <c r="X714">
        <v>1</v>
      </c>
      <c r="Y714">
        <v>3</v>
      </c>
      <c r="Z714">
        <v>0</v>
      </c>
      <c r="AA714">
        <v>4</v>
      </c>
      <c r="AB714">
        <v>50</v>
      </c>
      <c r="AC714">
        <v>0</v>
      </c>
      <c r="AD714">
        <v>1</v>
      </c>
      <c r="AE714">
        <v>3</v>
      </c>
      <c r="AF714">
        <v>4</v>
      </c>
      <c r="AG714">
        <v>0</v>
      </c>
      <c r="AH714">
        <v>50</v>
      </c>
      <c r="AI714">
        <v>46</v>
      </c>
      <c r="AJ714">
        <v>47</v>
      </c>
      <c r="AK714">
        <v>50</v>
      </c>
      <c r="AL714">
        <v>0</v>
      </c>
      <c r="AM714">
        <v>0.23600000000000002</v>
      </c>
      <c r="AN714">
        <v>4.2727272727272725</v>
      </c>
      <c r="AO714">
        <v>0</v>
      </c>
      <c r="AP714" t="s">
        <v>174</v>
      </c>
      <c r="AQ714" t="s">
        <v>131</v>
      </c>
      <c r="AR714" t="s">
        <v>194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 t="s">
        <v>135</v>
      </c>
      <c r="BA714">
        <v>11.8</v>
      </c>
      <c r="BB714">
        <v>0</v>
      </c>
      <c r="BC714" t="s">
        <v>133</v>
      </c>
      <c r="BD714">
        <v>0</v>
      </c>
      <c r="BE714" t="s">
        <v>133</v>
      </c>
      <c r="BF71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15" spans="1:58" x14ac:dyDescent="0.25">
      <c r="A715" t="s">
        <v>952</v>
      </c>
      <c r="B715" t="s">
        <v>19</v>
      </c>
      <c r="C715">
        <v>2</v>
      </c>
      <c r="D715">
        <v>99</v>
      </c>
      <c r="E715" t="s">
        <v>2108</v>
      </c>
      <c r="F715" t="s">
        <v>123</v>
      </c>
      <c r="G715" t="s">
        <v>124</v>
      </c>
      <c r="H715" t="s">
        <v>125</v>
      </c>
      <c r="I715" t="s">
        <v>173</v>
      </c>
      <c r="J715" t="s">
        <v>173</v>
      </c>
      <c r="K715" t="s">
        <v>166</v>
      </c>
      <c r="L715">
        <v>50</v>
      </c>
      <c r="M715">
        <v>1137313</v>
      </c>
      <c r="N715">
        <v>11.8</v>
      </c>
      <c r="O715">
        <v>3</v>
      </c>
      <c r="P715" t="s">
        <v>168</v>
      </c>
      <c r="Q715" t="s">
        <v>129</v>
      </c>
      <c r="R715">
        <v>9</v>
      </c>
      <c r="S715" t="s">
        <v>919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50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50</v>
      </c>
      <c r="AI715">
        <v>50</v>
      </c>
      <c r="AJ715">
        <v>50</v>
      </c>
      <c r="AK715">
        <v>50</v>
      </c>
      <c r="AL715">
        <v>0</v>
      </c>
      <c r="AM715">
        <v>0.23600000000000002</v>
      </c>
      <c r="AN715">
        <v>4.5454545454545459</v>
      </c>
      <c r="AO715">
        <v>0</v>
      </c>
      <c r="AP715" t="s">
        <v>174</v>
      </c>
      <c r="AQ715" t="s">
        <v>155</v>
      </c>
      <c r="AR715" t="s">
        <v>194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 t="s">
        <v>135</v>
      </c>
      <c r="BA715">
        <v>11.8</v>
      </c>
      <c r="BB715">
        <v>0</v>
      </c>
      <c r="BC715" t="s">
        <v>144</v>
      </c>
      <c r="BD715">
        <v>0</v>
      </c>
      <c r="BE715" t="s">
        <v>133</v>
      </c>
      <c r="BF71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16" spans="1:58" x14ac:dyDescent="0.25">
      <c r="A716" t="s">
        <v>953</v>
      </c>
      <c r="B716" t="s">
        <v>19</v>
      </c>
      <c r="C716">
        <v>2</v>
      </c>
      <c r="D716">
        <v>100</v>
      </c>
      <c r="E716" t="s">
        <v>2109</v>
      </c>
      <c r="F716" t="s">
        <v>123</v>
      </c>
      <c r="G716" t="s">
        <v>124</v>
      </c>
      <c r="H716" t="s">
        <v>125</v>
      </c>
      <c r="I716" t="s">
        <v>183</v>
      </c>
      <c r="J716" t="s">
        <v>190</v>
      </c>
      <c r="K716" t="s">
        <v>166</v>
      </c>
      <c r="L716">
        <v>50</v>
      </c>
      <c r="M716">
        <v>1137315</v>
      </c>
      <c r="N716">
        <v>20</v>
      </c>
      <c r="O716">
        <v>3</v>
      </c>
      <c r="P716" t="s">
        <v>168</v>
      </c>
      <c r="Q716" t="s">
        <v>129</v>
      </c>
      <c r="R716">
        <v>10</v>
      </c>
      <c r="S716" t="s">
        <v>2125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50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50</v>
      </c>
      <c r="AI716">
        <v>50</v>
      </c>
      <c r="AJ716">
        <v>50</v>
      </c>
      <c r="AK716">
        <v>50</v>
      </c>
      <c r="AL716">
        <v>0</v>
      </c>
      <c r="AM716">
        <v>0.4</v>
      </c>
      <c r="AN716">
        <v>4.5454545454545459</v>
      </c>
      <c r="AO716">
        <v>0</v>
      </c>
      <c r="AP716" t="s">
        <v>184</v>
      </c>
      <c r="AQ716" t="s">
        <v>155</v>
      </c>
      <c r="AR716" t="s">
        <v>229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0</v>
      </c>
      <c r="AZ716" t="s">
        <v>135</v>
      </c>
      <c r="BA716">
        <v>20</v>
      </c>
      <c r="BB716">
        <v>0</v>
      </c>
      <c r="BC716" t="s">
        <v>132</v>
      </c>
      <c r="BD716">
        <v>0</v>
      </c>
      <c r="BE716" t="s">
        <v>133</v>
      </c>
      <c r="BF71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17" spans="1:58" x14ac:dyDescent="0.25">
      <c r="A717" t="s">
        <v>955</v>
      </c>
      <c r="B717" t="s">
        <v>19</v>
      </c>
      <c r="C717">
        <v>2</v>
      </c>
      <c r="D717">
        <v>101</v>
      </c>
      <c r="E717" t="s">
        <v>2109</v>
      </c>
      <c r="F717" t="s">
        <v>123</v>
      </c>
      <c r="G717" t="s">
        <v>124</v>
      </c>
      <c r="H717" t="s">
        <v>125</v>
      </c>
      <c r="I717" t="s">
        <v>183</v>
      </c>
      <c r="J717" t="s">
        <v>190</v>
      </c>
      <c r="K717" t="s">
        <v>166</v>
      </c>
      <c r="L717">
        <v>50</v>
      </c>
      <c r="M717">
        <v>1137317</v>
      </c>
      <c r="N717">
        <v>20</v>
      </c>
      <c r="O717">
        <v>3</v>
      </c>
      <c r="P717" t="s">
        <v>168</v>
      </c>
      <c r="Q717" t="s">
        <v>129</v>
      </c>
      <c r="R717">
        <v>10</v>
      </c>
      <c r="S717" t="s">
        <v>2125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50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50</v>
      </c>
      <c r="AI717">
        <v>50</v>
      </c>
      <c r="AJ717">
        <v>50</v>
      </c>
      <c r="AK717">
        <v>50</v>
      </c>
      <c r="AL717">
        <v>0</v>
      </c>
      <c r="AM717">
        <v>0.4</v>
      </c>
      <c r="AN717">
        <v>4.5454545454545459</v>
      </c>
      <c r="AO717">
        <v>0</v>
      </c>
      <c r="AP717" t="s">
        <v>184</v>
      </c>
      <c r="AQ717" t="s">
        <v>155</v>
      </c>
      <c r="AR717" t="s">
        <v>229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0</v>
      </c>
      <c r="AZ717" t="s">
        <v>135</v>
      </c>
      <c r="BA717">
        <v>20</v>
      </c>
      <c r="BB717">
        <v>0</v>
      </c>
      <c r="BC717" t="s">
        <v>133</v>
      </c>
      <c r="BD717">
        <v>0</v>
      </c>
      <c r="BE717" t="s">
        <v>133</v>
      </c>
      <c r="BF71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18" spans="1:58" x14ac:dyDescent="0.25">
      <c r="A718" t="s">
        <v>956</v>
      </c>
      <c r="B718" t="s">
        <v>19</v>
      </c>
      <c r="C718">
        <v>2</v>
      </c>
      <c r="D718">
        <v>102</v>
      </c>
      <c r="E718" t="s">
        <v>2109</v>
      </c>
      <c r="F718" t="s">
        <v>123</v>
      </c>
      <c r="G718" t="s">
        <v>124</v>
      </c>
      <c r="H718" t="s">
        <v>125</v>
      </c>
      <c r="I718" t="s">
        <v>183</v>
      </c>
      <c r="J718" t="s">
        <v>190</v>
      </c>
      <c r="K718" t="s">
        <v>166</v>
      </c>
      <c r="L718">
        <v>50</v>
      </c>
      <c r="M718">
        <v>1137319</v>
      </c>
      <c r="N718">
        <v>20</v>
      </c>
      <c r="O718">
        <v>3</v>
      </c>
      <c r="P718" t="s">
        <v>168</v>
      </c>
      <c r="Q718" t="s">
        <v>129</v>
      </c>
      <c r="R718">
        <v>10</v>
      </c>
      <c r="S718" t="s">
        <v>2125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50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50</v>
      </c>
      <c r="AI718">
        <v>50</v>
      </c>
      <c r="AJ718">
        <v>50</v>
      </c>
      <c r="AK718">
        <v>50</v>
      </c>
      <c r="AL718">
        <v>0</v>
      </c>
      <c r="AM718">
        <v>0.4</v>
      </c>
      <c r="AN718">
        <v>4.5454545454545459</v>
      </c>
      <c r="AO718">
        <v>0</v>
      </c>
      <c r="AP718" t="s">
        <v>184</v>
      </c>
      <c r="AQ718" t="s">
        <v>155</v>
      </c>
      <c r="AR718" t="s">
        <v>229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 t="s">
        <v>135</v>
      </c>
      <c r="BA718">
        <v>20</v>
      </c>
      <c r="BB718">
        <v>0</v>
      </c>
      <c r="BC718" t="s">
        <v>133</v>
      </c>
      <c r="BD718">
        <v>0</v>
      </c>
      <c r="BE718" t="s">
        <v>133</v>
      </c>
      <c r="BF71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19" spans="1:58" x14ac:dyDescent="0.25">
      <c r="A719" t="s">
        <v>957</v>
      </c>
      <c r="B719" t="s">
        <v>19</v>
      </c>
      <c r="C719">
        <v>2</v>
      </c>
      <c r="D719">
        <v>103</v>
      </c>
      <c r="E719" t="s">
        <v>2110</v>
      </c>
      <c r="F719" t="s">
        <v>123</v>
      </c>
      <c r="G719" t="s">
        <v>124</v>
      </c>
      <c r="H719" t="s">
        <v>125</v>
      </c>
      <c r="I719" t="s">
        <v>154</v>
      </c>
      <c r="J719" t="s">
        <v>154</v>
      </c>
      <c r="K719" t="s">
        <v>166</v>
      </c>
      <c r="L719">
        <v>50</v>
      </c>
      <c r="M719">
        <v>1137321</v>
      </c>
      <c r="N719">
        <v>0</v>
      </c>
      <c r="O719">
        <v>3</v>
      </c>
      <c r="P719" t="s">
        <v>168</v>
      </c>
      <c r="Q719" t="s">
        <v>129</v>
      </c>
      <c r="R719">
        <v>10</v>
      </c>
      <c r="S719" t="s">
        <v>954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50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50</v>
      </c>
      <c r="AI719">
        <v>50</v>
      </c>
      <c r="AJ719">
        <v>50</v>
      </c>
      <c r="AK719">
        <v>50</v>
      </c>
      <c r="AL719">
        <v>0</v>
      </c>
      <c r="AM719">
        <v>0</v>
      </c>
      <c r="AN719">
        <v>4.5454545454545459</v>
      </c>
      <c r="AO719">
        <v>0</v>
      </c>
      <c r="AP719" t="s">
        <v>167</v>
      </c>
      <c r="AQ719" t="s">
        <v>155</v>
      </c>
      <c r="AR719" t="s">
        <v>523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 t="s">
        <v>135</v>
      </c>
      <c r="BA719">
        <v>0</v>
      </c>
      <c r="BB719">
        <v>0</v>
      </c>
      <c r="BC719" t="s">
        <v>133</v>
      </c>
      <c r="BD719">
        <v>1</v>
      </c>
      <c r="BE719" t="s">
        <v>133</v>
      </c>
      <c r="BF71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20" spans="1:58" x14ac:dyDescent="0.25">
      <c r="A720" t="s">
        <v>958</v>
      </c>
      <c r="B720" t="s">
        <v>19</v>
      </c>
      <c r="C720">
        <v>2</v>
      </c>
      <c r="D720">
        <v>104</v>
      </c>
      <c r="E720" t="s">
        <v>2110</v>
      </c>
      <c r="F720" t="s">
        <v>123</v>
      </c>
      <c r="G720" t="s">
        <v>124</v>
      </c>
      <c r="H720" t="s">
        <v>125</v>
      </c>
      <c r="I720" t="s">
        <v>154</v>
      </c>
      <c r="J720" t="s">
        <v>154</v>
      </c>
      <c r="K720" t="s">
        <v>166</v>
      </c>
      <c r="L720">
        <v>50</v>
      </c>
      <c r="M720">
        <v>1137323</v>
      </c>
      <c r="N720">
        <v>0</v>
      </c>
      <c r="O720">
        <v>3</v>
      </c>
      <c r="P720" t="s">
        <v>168</v>
      </c>
      <c r="Q720" t="s">
        <v>129</v>
      </c>
      <c r="R720">
        <v>10</v>
      </c>
      <c r="S720" t="s">
        <v>954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50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50</v>
      </c>
      <c r="AI720">
        <v>50</v>
      </c>
      <c r="AJ720">
        <v>50</v>
      </c>
      <c r="AK720">
        <v>50</v>
      </c>
      <c r="AL720">
        <v>0</v>
      </c>
      <c r="AM720">
        <v>0</v>
      </c>
      <c r="AN720">
        <v>4.5454545454545459</v>
      </c>
      <c r="AO720">
        <v>0</v>
      </c>
      <c r="AP720" t="s">
        <v>167</v>
      </c>
      <c r="AQ720" t="s">
        <v>155</v>
      </c>
      <c r="AR720" t="s">
        <v>523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 t="s">
        <v>135</v>
      </c>
      <c r="BA720">
        <v>0</v>
      </c>
      <c r="BB720">
        <v>0</v>
      </c>
      <c r="BC720" t="s">
        <v>133</v>
      </c>
      <c r="BD720">
        <v>2</v>
      </c>
      <c r="BE720" t="s">
        <v>133</v>
      </c>
      <c r="BF72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21" spans="1:58" x14ac:dyDescent="0.25">
      <c r="A721" t="s">
        <v>959</v>
      </c>
      <c r="B721" t="s">
        <v>19</v>
      </c>
      <c r="C721">
        <v>2</v>
      </c>
      <c r="D721">
        <v>105</v>
      </c>
      <c r="E721" t="s">
        <v>2110</v>
      </c>
      <c r="F721" t="s">
        <v>123</v>
      </c>
      <c r="G721" t="s">
        <v>124</v>
      </c>
      <c r="H721" t="s">
        <v>125</v>
      </c>
      <c r="I721" t="s">
        <v>154</v>
      </c>
      <c r="J721" t="s">
        <v>154</v>
      </c>
      <c r="K721" t="s">
        <v>166</v>
      </c>
      <c r="L721">
        <v>50</v>
      </c>
      <c r="M721">
        <v>1137325</v>
      </c>
      <c r="N721">
        <v>0</v>
      </c>
      <c r="O721">
        <v>3</v>
      </c>
      <c r="P721" t="s">
        <v>168</v>
      </c>
      <c r="Q721" t="s">
        <v>129</v>
      </c>
      <c r="R721">
        <v>10</v>
      </c>
      <c r="S721" t="s">
        <v>954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50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50</v>
      </c>
      <c r="AI721">
        <v>50</v>
      </c>
      <c r="AJ721">
        <v>50</v>
      </c>
      <c r="AK721">
        <v>50</v>
      </c>
      <c r="AL721">
        <v>0</v>
      </c>
      <c r="AM721">
        <v>0</v>
      </c>
      <c r="AN721">
        <v>4.5454545454545459</v>
      </c>
      <c r="AO721">
        <v>0</v>
      </c>
      <c r="AP721" t="s">
        <v>167</v>
      </c>
      <c r="AQ721" t="s">
        <v>155</v>
      </c>
      <c r="AR721" t="s">
        <v>523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 t="s">
        <v>135</v>
      </c>
      <c r="BA721">
        <v>0</v>
      </c>
      <c r="BB721">
        <v>0</v>
      </c>
      <c r="BC721" t="s">
        <v>133</v>
      </c>
      <c r="BD721">
        <v>3</v>
      </c>
      <c r="BE721" t="s">
        <v>133</v>
      </c>
      <c r="BF72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22" spans="1:58" x14ac:dyDescent="0.25">
      <c r="A722" t="s">
        <v>960</v>
      </c>
      <c r="B722" t="s">
        <v>19</v>
      </c>
      <c r="C722">
        <v>2</v>
      </c>
      <c r="D722">
        <v>106</v>
      </c>
      <c r="E722" t="s">
        <v>2110</v>
      </c>
      <c r="F722" t="s">
        <v>123</v>
      </c>
      <c r="G722" t="s">
        <v>124</v>
      </c>
      <c r="H722" t="s">
        <v>125</v>
      </c>
      <c r="I722" t="s">
        <v>154</v>
      </c>
      <c r="J722" t="s">
        <v>154</v>
      </c>
      <c r="K722" t="s">
        <v>166</v>
      </c>
      <c r="L722">
        <v>50</v>
      </c>
      <c r="M722">
        <v>1137327</v>
      </c>
      <c r="N722">
        <v>0</v>
      </c>
      <c r="O722">
        <v>3</v>
      </c>
      <c r="P722" t="s">
        <v>168</v>
      </c>
      <c r="Q722" t="s">
        <v>129</v>
      </c>
      <c r="R722">
        <v>10</v>
      </c>
      <c r="S722" t="s">
        <v>954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50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50</v>
      </c>
      <c r="AI722">
        <v>50</v>
      </c>
      <c r="AJ722">
        <v>50</v>
      </c>
      <c r="AK722">
        <v>50</v>
      </c>
      <c r="AL722">
        <v>0</v>
      </c>
      <c r="AM722">
        <v>0</v>
      </c>
      <c r="AN722">
        <v>4.5454545454545459</v>
      </c>
      <c r="AO722">
        <v>0</v>
      </c>
      <c r="AP722" t="s">
        <v>167</v>
      </c>
      <c r="AQ722" t="s">
        <v>155</v>
      </c>
      <c r="AR722" t="s">
        <v>523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 t="s">
        <v>135</v>
      </c>
      <c r="BA722">
        <v>0</v>
      </c>
      <c r="BB722">
        <v>0</v>
      </c>
      <c r="BC722" t="s">
        <v>133</v>
      </c>
      <c r="BD722">
        <v>4</v>
      </c>
      <c r="BE722" t="s">
        <v>133</v>
      </c>
      <c r="BF72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23" spans="1:58" x14ac:dyDescent="0.25">
      <c r="A723" t="s">
        <v>961</v>
      </c>
      <c r="B723" t="s">
        <v>19</v>
      </c>
      <c r="C723">
        <v>2</v>
      </c>
      <c r="D723">
        <v>107</v>
      </c>
      <c r="E723" t="s">
        <v>2110</v>
      </c>
      <c r="F723" t="s">
        <v>123</v>
      </c>
      <c r="G723" t="s">
        <v>124</v>
      </c>
      <c r="H723" t="s">
        <v>125</v>
      </c>
      <c r="I723" t="s">
        <v>154</v>
      </c>
      <c r="J723" t="s">
        <v>154</v>
      </c>
      <c r="K723" t="s">
        <v>166</v>
      </c>
      <c r="L723">
        <v>50</v>
      </c>
      <c r="M723">
        <v>1137329</v>
      </c>
      <c r="N723">
        <v>0</v>
      </c>
      <c r="O723">
        <v>3</v>
      </c>
      <c r="P723" t="s">
        <v>168</v>
      </c>
      <c r="Q723" t="s">
        <v>129</v>
      </c>
      <c r="R723">
        <v>10</v>
      </c>
      <c r="S723" t="s">
        <v>954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50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50</v>
      </c>
      <c r="AI723">
        <v>50</v>
      </c>
      <c r="AJ723">
        <v>50</v>
      </c>
      <c r="AK723">
        <v>50</v>
      </c>
      <c r="AL723">
        <v>0</v>
      </c>
      <c r="AM723">
        <v>0</v>
      </c>
      <c r="AN723">
        <v>4.5454545454545459</v>
      </c>
      <c r="AO723">
        <v>0</v>
      </c>
      <c r="AP723" t="s">
        <v>167</v>
      </c>
      <c r="AQ723" t="s">
        <v>155</v>
      </c>
      <c r="AR723" t="s">
        <v>523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 t="s">
        <v>135</v>
      </c>
      <c r="BA723">
        <v>0</v>
      </c>
      <c r="BB723">
        <v>0</v>
      </c>
      <c r="BC723" t="s">
        <v>133</v>
      </c>
      <c r="BD723">
        <v>5</v>
      </c>
      <c r="BE723" t="s">
        <v>133</v>
      </c>
      <c r="BF72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24" spans="1:58" x14ac:dyDescent="0.25">
      <c r="A724" t="s">
        <v>962</v>
      </c>
      <c r="B724" t="s">
        <v>19</v>
      </c>
      <c r="C724">
        <v>2</v>
      </c>
      <c r="D724">
        <v>108</v>
      </c>
      <c r="E724" t="s">
        <v>2110</v>
      </c>
      <c r="F724" t="s">
        <v>123</v>
      </c>
      <c r="G724" t="s">
        <v>124</v>
      </c>
      <c r="H724" t="s">
        <v>125</v>
      </c>
      <c r="I724" t="s">
        <v>154</v>
      </c>
      <c r="J724" t="s">
        <v>154</v>
      </c>
      <c r="K724" t="s">
        <v>166</v>
      </c>
      <c r="L724">
        <v>50</v>
      </c>
      <c r="M724">
        <v>1137331</v>
      </c>
      <c r="N724">
        <v>0</v>
      </c>
      <c r="O724">
        <v>3</v>
      </c>
      <c r="P724" t="s">
        <v>168</v>
      </c>
      <c r="Q724" t="s">
        <v>129</v>
      </c>
      <c r="R724">
        <v>10</v>
      </c>
      <c r="S724" t="s">
        <v>954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50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50</v>
      </c>
      <c r="AI724">
        <v>50</v>
      </c>
      <c r="AJ724">
        <v>50</v>
      </c>
      <c r="AK724">
        <v>50</v>
      </c>
      <c r="AL724">
        <v>0</v>
      </c>
      <c r="AM724">
        <v>0</v>
      </c>
      <c r="AN724">
        <v>4.5454545454545459</v>
      </c>
      <c r="AO724">
        <v>0</v>
      </c>
      <c r="AP724" t="s">
        <v>167</v>
      </c>
      <c r="AQ724" t="s">
        <v>155</v>
      </c>
      <c r="AR724" t="s">
        <v>523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 t="s">
        <v>135</v>
      </c>
      <c r="BA724">
        <v>0</v>
      </c>
      <c r="BB724">
        <v>0</v>
      </c>
      <c r="BC724" t="s">
        <v>133</v>
      </c>
      <c r="BD724">
        <v>6</v>
      </c>
      <c r="BE724" t="s">
        <v>133</v>
      </c>
      <c r="BF72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25" spans="1:58" x14ac:dyDescent="0.25">
      <c r="A725" t="s">
        <v>963</v>
      </c>
      <c r="B725" t="s">
        <v>19</v>
      </c>
      <c r="C725">
        <v>2</v>
      </c>
      <c r="D725">
        <v>109</v>
      </c>
      <c r="E725" t="s">
        <v>2110</v>
      </c>
      <c r="F725" t="s">
        <v>123</v>
      </c>
      <c r="G725" t="s">
        <v>124</v>
      </c>
      <c r="H725" t="s">
        <v>125</v>
      </c>
      <c r="I725" t="s">
        <v>154</v>
      </c>
      <c r="J725" t="s">
        <v>154</v>
      </c>
      <c r="K725" t="s">
        <v>166</v>
      </c>
      <c r="L725">
        <v>50</v>
      </c>
      <c r="M725">
        <v>1137333</v>
      </c>
      <c r="N725">
        <v>0</v>
      </c>
      <c r="O725">
        <v>3</v>
      </c>
      <c r="P725" t="s">
        <v>168</v>
      </c>
      <c r="Q725" t="s">
        <v>129</v>
      </c>
      <c r="R725">
        <v>10</v>
      </c>
      <c r="S725" t="s">
        <v>954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50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50</v>
      </c>
      <c r="AI725">
        <v>50</v>
      </c>
      <c r="AJ725">
        <v>50</v>
      </c>
      <c r="AK725">
        <v>50</v>
      </c>
      <c r="AL725">
        <v>0</v>
      </c>
      <c r="AM725">
        <v>0</v>
      </c>
      <c r="AN725">
        <v>4.5454545454545459</v>
      </c>
      <c r="AO725">
        <v>0</v>
      </c>
      <c r="AP725" t="s">
        <v>167</v>
      </c>
      <c r="AQ725" t="s">
        <v>155</v>
      </c>
      <c r="AR725" t="s">
        <v>523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 t="s">
        <v>135</v>
      </c>
      <c r="BA725">
        <v>0</v>
      </c>
      <c r="BB725">
        <v>0</v>
      </c>
      <c r="BC725" t="s">
        <v>133</v>
      </c>
      <c r="BD725">
        <v>7</v>
      </c>
      <c r="BE725" t="s">
        <v>133</v>
      </c>
      <c r="BF72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26" spans="1:58" x14ac:dyDescent="0.25">
      <c r="A726" t="s">
        <v>964</v>
      </c>
      <c r="B726" t="s">
        <v>19</v>
      </c>
      <c r="C726">
        <v>2</v>
      </c>
      <c r="D726">
        <v>110</v>
      </c>
      <c r="E726" t="s">
        <v>2110</v>
      </c>
      <c r="F726" t="s">
        <v>123</v>
      </c>
      <c r="G726" t="s">
        <v>124</v>
      </c>
      <c r="H726" t="s">
        <v>125</v>
      </c>
      <c r="I726" t="s">
        <v>154</v>
      </c>
      <c r="J726" t="s">
        <v>154</v>
      </c>
      <c r="K726" t="s">
        <v>166</v>
      </c>
      <c r="L726">
        <v>50</v>
      </c>
      <c r="M726">
        <v>1137335</v>
      </c>
      <c r="N726">
        <v>0</v>
      </c>
      <c r="O726">
        <v>3</v>
      </c>
      <c r="P726" t="s">
        <v>168</v>
      </c>
      <c r="Q726" t="s">
        <v>129</v>
      </c>
      <c r="R726">
        <v>10</v>
      </c>
      <c r="S726" t="s">
        <v>954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50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50</v>
      </c>
      <c r="AI726">
        <v>50</v>
      </c>
      <c r="AJ726">
        <v>50</v>
      </c>
      <c r="AK726">
        <v>50</v>
      </c>
      <c r="AL726">
        <v>0</v>
      </c>
      <c r="AM726">
        <v>0</v>
      </c>
      <c r="AN726">
        <v>4.5454545454545459</v>
      </c>
      <c r="AO726">
        <v>0</v>
      </c>
      <c r="AP726" t="s">
        <v>167</v>
      </c>
      <c r="AQ726" t="s">
        <v>155</v>
      </c>
      <c r="AR726" t="s">
        <v>523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 t="s">
        <v>135</v>
      </c>
      <c r="BA726">
        <v>0</v>
      </c>
      <c r="BB726">
        <v>0</v>
      </c>
      <c r="BC726" t="s">
        <v>144</v>
      </c>
      <c r="BD726">
        <v>8</v>
      </c>
      <c r="BE726" t="s">
        <v>133</v>
      </c>
      <c r="BF72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27" spans="1:58" x14ac:dyDescent="0.25">
      <c r="A727" t="s">
        <v>965</v>
      </c>
      <c r="B727" t="s">
        <v>19</v>
      </c>
      <c r="C727">
        <v>2</v>
      </c>
      <c r="D727">
        <v>111</v>
      </c>
      <c r="E727" t="s">
        <v>2108</v>
      </c>
      <c r="F727" t="s">
        <v>123</v>
      </c>
      <c r="G727" t="s">
        <v>124</v>
      </c>
      <c r="H727" t="s">
        <v>125</v>
      </c>
      <c r="I727" t="s">
        <v>154</v>
      </c>
      <c r="J727" t="s">
        <v>154</v>
      </c>
      <c r="K727" t="s">
        <v>181</v>
      </c>
      <c r="L727">
        <v>50</v>
      </c>
      <c r="M727">
        <v>1137337</v>
      </c>
      <c r="N727">
        <v>0</v>
      </c>
      <c r="O727">
        <v>3</v>
      </c>
      <c r="P727" t="s">
        <v>168</v>
      </c>
      <c r="Q727" t="s">
        <v>129</v>
      </c>
      <c r="R727">
        <v>11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50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50</v>
      </c>
      <c r="AJ727">
        <v>50</v>
      </c>
      <c r="AK727">
        <v>50</v>
      </c>
      <c r="AL727">
        <v>50</v>
      </c>
      <c r="AM727">
        <v>0</v>
      </c>
      <c r="AN727">
        <v>4.5454545454545459</v>
      </c>
      <c r="AO727">
        <v>0</v>
      </c>
      <c r="AP727" t="s">
        <v>966</v>
      </c>
      <c r="AQ727" t="s">
        <v>155</v>
      </c>
      <c r="AR727" t="s">
        <v>194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 t="s">
        <v>135</v>
      </c>
      <c r="BA727">
        <v>0</v>
      </c>
      <c r="BB727">
        <v>0</v>
      </c>
      <c r="BC727" t="s">
        <v>132</v>
      </c>
      <c r="BD727">
        <v>1</v>
      </c>
      <c r="BE727" t="s">
        <v>133</v>
      </c>
      <c r="BF72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28" spans="1:58" x14ac:dyDescent="0.25">
      <c r="A728" t="s">
        <v>967</v>
      </c>
      <c r="B728" t="s">
        <v>19</v>
      </c>
      <c r="C728">
        <v>2</v>
      </c>
      <c r="D728">
        <v>112</v>
      </c>
      <c r="E728" t="s">
        <v>2108</v>
      </c>
      <c r="F728" t="s">
        <v>123</v>
      </c>
      <c r="G728" t="s">
        <v>124</v>
      </c>
      <c r="H728" t="s">
        <v>125</v>
      </c>
      <c r="I728" t="s">
        <v>126</v>
      </c>
      <c r="J728" t="s">
        <v>126</v>
      </c>
      <c r="K728" t="s">
        <v>127</v>
      </c>
      <c r="L728">
        <v>50</v>
      </c>
      <c r="M728">
        <v>1137339</v>
      </c>
      <c r="N728">
        <v>6</v>
      </c>
      <c r="O728">
        <v>3</v>
      </c>
      <c r="P728" t="s">
        <v>168</v>
      </c>
      <c r="Q728" t="s">
        <v>129</v>
      </c>
      <c r="R728">
        <v>11</v>
      </c>
      <c r="T728">
        <v>20</v>
      </c>
      <c r="U728">
        <v>25</v>
      </c>
      <c r="V728">
        <v>4</v>
      </c>
      <c r="W728">
        <v>0</v>
      </c>
      <c r="X728">
        <v>4</v>
      </c>
      <c r="Y728">
        <v>4</v>
      </c>
      <c r="Z728">
        <v>28</v>
      </c>
      <c r="AA728">
        <v>33</v>
      </c>
      <c r="AB728">
        <v>50</v>
      </c>
      <c r="AC728">
        <v>26</v>
      </c>
      <c r="AD728">
        <v>7</v>
      </c>
      <c r="AE728">
        <v>8</v>
      </c>
      <c r="AF728">
        <v>41</v>
      </c>
      <c r="AG728">
        <v>0</v>
      </c>
      <c r="AH728">
        <v>24</v>
      </c>
      <c r="AI728">
        <v>9</v>
      </c>
      <c r="AJ728">
        <v>16</v>
      </c>
      <c r="AK728">
        <v>24</v>
      </c>
      <c r="AL728">
        <v>0</v>
      </c>
      <c r="AM728">
        <v>0.12</v>
      </c>
      <c r="AN728">
        <v>1.4545454545454546</v>
      </c>
      <c r="AO728">
        <v>0</v>
      </c>
      <c r="AP728" t="s">
        <v>130</v>
      </c>
      <c r="AQ728" t="s">
        <v>131</v>
      </c>
      <c r="AR728" t="s">
        <v>194</v>
      </c>
      <c r="AS728">
        <v>2893</v>
      </c>
      <c r="AT728">
        <v>2805</v>
      </c>
      <c r="AU728">
        <v>0</v>
      </c>
      <c r="AV728">
        <v>0</v>
      </c>
      <c r="AW728">
        <v>5.6980000000000004</v>
      </c>
      <c r="AX728">
        <v>0.21915384615384617</v>
      </c>
      <c r="AY728">
        <v>8.9853076923076927</v>
      </c>
      <c r="AZ728" t="s">
        <v>135</v>
      </c>
      <c r="BA728">
        <v>-2.9853076923076927</v>
      </c>
      <c r="BB728">
        <v>-13.621972621972622</v>
      </c>
      <c r="BC728" t="s">
        <v>133</v>
      </c>
      <c r="BD728">
        <v>0</v>
      </c>
      <c r="BE728" t="s">
        <v>133</v>
      </c>
      <c r="BF72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5.6980000000000004</v>
      </c>
    </row>
    <row r="729" spans="1:58" x14ac:dyDescent="0.25">
      <c r="A729" t="s">
        <v>968</v>
      </c>
      <c r="B729" t="s">
        <v>19</v>
      </c>
      <c r="C729">
        <v>2</v>
      </c>
      <c r="D729">
        <v>113</v>
      </c>
      <c r="E729" t="s">
        <v>2108</v>
      </c>
      <c r="F729" t="s">
        <v>123</v>
      </c>
      <c r="G729" t="s">
        <v>124</v>
      </c>
      <c r="H729" t="s">
        <v>125</v>
      </c>
      <c r="I729" t="s">
        <v>126</v>
      </c>
      <c r="J729" t="s">
        <v>126</v>
      </c>
      <c r="K729" t="s">
        <v>127</v>
      </c>
      <c r="L729">
        <v>50</v>
      </c>
      <c r="M729">
        <v>1137341</v>
      </c>
      <c r="N729">
        <v>6</v>
      </c>
      <c r="O729">
        <v>3</v>
      </c>
      <c r="P729" t="s">
        <v>168</v>
      </c>
      <c r="Q729" t="s">
        <v>129</v>
      </c>
      <c r="R729">
        <v>11</v>
      </c>
      <c r="T729">
        <v>17</v>
      </c>
      <c r="U729">
        <v>22</v>
      </c>
      <c r="V729">
        <v>4</v>
      </c>
      <c r="W729">
        <v>0</v>
      </c>
      <c r="X729">
        <v>4</v>
      </c>
      <c r="Y729">
        <v>8</v>
      </c>
      <c r="Z729">
        <v>29</v>
      </c>
      <c r="AA729">
        <v>34</v>
      </c>
      <c r="AB729">
        <v>50</v>
      </c>
      <c r="AC729">
        <v>24</v>
      </c>
      <c r="AD729">
        <v>4</v>
      </c>
      <c r="AE729">
        <v>10</v>
      </c>
      <c r="AF729">
        <v>38</v>
      </c>
      <c r="AG729">
        <v>0</v>
      </c>
      <c r="AH729">
        <v>26</v>
      </c>
      <c r="AI729">
        <v>12</v>
      </c>
      <c r="AJ729">
        <v>16</v>
      </c>
      <c r="AK729">
        <v>26</v>
      </c>
      <c r="AL729">
        <v>0</v>
      </c>
      <c r="AM729">
        <v>0.12</v>
      </c>
      <c r="AN729">
        <v>1.4545454545454546</v>
      </c>
      <c r="AO729">
        <v>0</v>
      </c>
      <c r="AP729" t="s">
        <v>130</v>
      </c>
      <c r="AQ729" t="s">
        <v>131</v>
      </c>
      <c r="AR729" t="s">
        <v>194</v>
      </c>
      <c r="AS729">
        <v>2563</v>
      </c>
      <c r="AT729">
        <v>2255</v>
      </c>
      <c r="AU729">
        <v>0</v>
      </c>
      <c r="AV729">
        <v>0</v>
      </c>
      <c r="AW729">
        <v>4.8179999999999996</v>
      </c>
      <c r="AX729">
        <v>0.20074999999999998</v>
      </c>
      <c r="AY729">
        <v>7.6284999999999989</v>
      </c>
      <c r="AZ729" t="s">
        <v>135</v>
      </c>
      <c r="BA729">
        <v>-1.6284999999999989</v>
      </c>
      <c r="BB729">
        <v>-8.112079701120793</v>
      </c>
      <c r="BC729" t="s">
        <v>133</v>
      </c>
      <c r="BD729">
        <v>0</v>
      </c>
      <c r="BE729" t="s">
        <v>133</v>
      </c>
      <c r="BF72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4.8179999999999996</v>
      </c>
    </row>
    <row r="730" spans="1:58" x14ac:dyDescent="0.25">
      <c r="A730" t="s">
        <v>969</v>
      </c>
      <c r="B730" t="s">
        <v>19</v>
      </c>
      <c r="C730">
        <v>2</v>
      </c>
      <c r="D730">
        <v>114</v>
      </c>
      <c r="E730" t="s">
        <v>2108</v>
      </c>
      <c r="F730" t="s">
        <v>123</v>
      </c>
      <c r="G730" t="s">
        <v>124</v>
      </c>
      <c r="H730" t="s">
        <v>125</v>
      </c>
      <c r="I730" t="s">
        <v>126</v>
      </c>
      <c r="J730" t="s">
        <v>126</v>
      </c>
      <c r="K730" t="s">
        <v>127</v>
      </c>
      <c r="L730">
        <v>50</v>
      </c>
      <c r="M730">
        <v>1137343</v>
      </c>
      <c r="N730">
        <v>6</v>
      </c>
      <c r="O730">
        <v>3</v>
      </c>
      <c r="P730" t="s">
        <v>168</v>
      </c>
      <c r="Q730" t="s">
        <v>129</v>
      </c>
      <c r="R730">
        <v>11</v>
      </c>
      <c r="T730">
        <v>14</v>
      </c>
      <c r="U730">
        <v>19</v>
      </c>
      <c r="V730">
        <v>1</v>
      </c>
      <c r="W730">
        <v>0</v>
      </c>
      <c r="X730">
        <v>1</v>
      </c>
      <c r="Y730">
        <v>5</v>
      </c>
      <c r="Z730">
        <v>20</v>
      </c>
      <c r="AA730">
        <v>25</v>
      </c>
      <c r="AB730">
        <v>50</v>
      </c>
      <c r="AC730">
        <v>23</v>
      </c>
      <c r="AD730">
        <v>1</v>
      </c>
      <c r="AE730">
        <v>12</v>
      </c>
      <c r="AF730">
        <v>36</v>
      </c>
      <c r="AG730">
        <v>0</v>
      </c>
      <c r="AH730">
        <v>27</v>
      </c>
      <c r="AI730">
        <v>14</v>
      </c>
      <c r="AJ730">
        <v>15</v>
      </c>
      <c r="AK730">
        <v>27</v>
      </c>
      <c r="AL730">
        <v>0</v>
      </c>
      <c r="AM730">
        <v>0.12</v>
      </c>
      <c r="AN730">
        <v>1.3636363636363638</v>
      </c>
      <c r="AO730">
        <v>0</v>
      </c>
      <c r="AP730" t="s">
        <v>130</v>
      </c>
      <c r="AQ730" t="s">
        <v>131</v>
      </c>
      <c r="AR730" t="s">
        <v>194</v>
      </c>
      <c r="AS730">
        <v>2226</v>
      </c>
      <c r="AT730">
        <v>2196</v>
      </c>
      <c r="AU730">
        <v>0</v>
      </c>
      <c r="AV730">
        <v>0</v>
      </c>
      <c r="AW730">
        <v>4.4219999999999997</v>
      </c>
      <c r="AX730">
        <v>0.19226086956521737</v>
      </c>
      <c r="AY730">
        <v>6.921391304347825</v>
      </c>
      <c r="AZ730" t="s">
        <v>135</v>
      </c>
      <c r="BA730">
        <v>-0.92139130434782501</v>
      </c>
      <c r="BB730">
        <v>-4.7924016282225184</v>
      </c>
      <c r="BC730" t="s">
        <v>133</v>
      </c>
      <c r="BD730">
        <v>0</v>
      </c>
      <c r="BE730" t="s">
        <v>133</v>
      </c>
      <c r="BF73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4.4219999999999997</v>
      </c>
    </row>
    <row r="731" spans="1:58" x14ac:dyDescent="0.25">
      <c r="A731" t="s">
        <v>970</v>
      </c>
      <c r="B731" t="s">
        <v>19</v>
      </c>
      <c r="C731">
        <v>2</v>
      </c>
      <c r="D731">
        <v>115</v>
      </c>
      <c r="E731" t="s">
        <v>2108</v>
      </c>
      <c r="F731" t="s">
        <v>123</v>
      </c>
      <c r="G731" t="s">
        <v>124</v>
      </c>
      <c r="H731" t="s">
        <v>125</v>
      </c>
      <c r="I731" t="s">
        <v>126</v>
      </c>
      <c r="J731" t="s">
        <v>126</v>
      </c>
      <c r="K731" t="s">
        <v>127</v>
      </c>
      <c r="L731">
        <v>50</v>
      </c>
      <c r="M731">
        <v>1137345</v>
      </c>
      <c r="N731">
        <v>6</v>
      </c>
      <c r="O731">
        <v>3</v>
      </c>
      <c r="P731" t="s">
        <v>168</v>
      </c>
      <c r="Q731" t="s">
        <v>129</v>
      </c>
      <c r="R731">
        <v>11</v>
      </c>
      <c r="T731">
        <v>14</v>
      </c>
      <c r="U731">
        <v>19</v>
      </c>
      <c r="V731">
        <v>4</v>
      </c>
      <c r="W731">
        <v>0</v>
      </c>
      <c r="X731">
        <v>4</v>
      </c>
      <c r="Y731">
        <v>2</v>
      </c>
      <c r="Z731">
        <v>20</v>
      </c>
      <c r="AA731">
        <v>25</v>
      </c>
      <c r="AB731">
        <v>50</v>
      </c>
      <c r="AC731">
        <v>23</v>
      </c>
      <c r="AD731">
        <v>5</v>
      </c>
      <c r="AE731">
        <v>3</v>
      </c>
      <c r="AF731">
        <v>31</v>
      </c>
      <c r="AG731">
        <v>0</v>
      </c>
      <c r="AH731">
        <v>27</v>
      </c>
      <c r="AI731">
        <v>19</v>
      </c>
      <c r="AJ731">
        <v>24</v>
      </c>
      <c r="AK731">
        <v>27</v>
      </c>
      <c r="AL731">
        <v>0</v>
      </c>
      <c r="AM731">
        <v>0.12</v>
      </c>
      <c r="AN731">
        <v>2.1818181818181817</v>
      </c>
      <c r="AO731">
        <v>0</v>
      </c>
      <c r="AP731" t="s">
        <v>130</v>
      </c>
      <c r="AQ731" t="s">
        <v>131</v>
      </c>
      <c r="AR731" t="s">
        <v>194</v>
      </c>
      <c r="AS731">
        <v>2602</v>
      </c>
      <c r="AT731">
        <v>2155</v>
      </c>
      <c r="AU731">
        <v>0</v>
      </c>
      <c r="AV731">
        <v>0</v>
      </c>
      <c r="AW731">
        <v>4.7569999999999997</v>
      </c>
      <c r="AX731">
        <v>0.20682608695652172</v>
      </c>
      <c r="AY731">
        <v>6.4116086956521734</v>
      </c>
      <c r="AZ731" t="s">
        <v>135</v>
      </c>
      <c r="BA731">
        <v>-0.4116086956521734</v>
      </c>
      <c r="BB731">
        <v>-1.9901198234181183</v>
      </c>
      <c r="BC731" t="s">
        <v>133</v>
      </c>
      <c r="BD731">
        <v>0</v>
      </c>
      <c r="BE731" t="s">
        <v>133</v>
      </c>
      <c r="BF73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4.7569999999999997</v>
      </c>
    </row>
    <row r="732" spans="1:58" x14ac:dyDescent="0.25">
      <c r="A732" t="s">
        <v>971</v>
      </c>
      <c r="B732" t="s">
        <v>19</v>
      </c>
      <c r="C732">
        <v>2</v>
      </c>
      <c r="D732">
        <v>116</v>
      </c>
      <c r="E732" t="s">
        <v>2108</v>
      </c>
      <c r="F732" t="s">
        <v>123</v>
      </c>
      <c r="G732" t="s">
        <v>124</v>
      </c>
      <c r="H732" t="s">
        <v>125</v>
      </c>
      <c r="I732" t="s">
        <v>126</v>
      </c>
      <c r="J732" t="s">
        <v>126</v>
      </c>
      <c r="K732" t="s">
        <v>127</v>
      </c>
      <c r="L732">
        <v>50</v>
      </c>
      <c r="M732">
        <v>1137347</v>
      </c>
      <c r="N732">
        <v>6</v>
      </c>
      <c r="O732">
        <v>3</v>
      </c>
      <c r="P732" t="s">
        <v>168</v>
      </c>
      <c r="Q732" t="s">
        <v>129</v>
      </c>
      <c r="R732">
        <v>11</v>
      </c>
      <c r="T732">
        <v>15</v>
      </c>
      <c r="U732">
        <v>20</v>
      </c>
      <c r="V732">
        <v>4</v>
      </c>
      <c r="W732">
        <v>0</v>
      </c>
      <c r="X732">
        <v>4</v>
      </c>
      <c r="Y732">
        <v>2</v>
      </c>
      <c r="Z732">
        <v>21</v>
      </c>
      <c r="AA732">
        <v>26</v>
      </c>
      <c r="AB732">
        <v>50</v>
      </c>
      <c r="AC732">
        <v>22</v>
      </c>
      <c r="AD732">
        <v>5</v>
      </c>
      <c r="AE732">
        <v>2</v>
      </c>
      <c r="AF732">
        <v>29</v>
      </c>
      <c r="AG732">
        <v>0</v>
      </c>
      <c r="AH732">
        <v>28</v>
      </c>
      <c r="AI732">
        <v>21</v>
      </c>
      <c r="AJ732">
        <v>26</v>
      </c>
      <c r="AK732">
        <v>28</v>
      </c>
      <c r="AL732">
        <v>0</v>
      </c>
      <c r="AM732">
        <v>0.12</v>
      </c>
      <c r="AN732">
        <v>2.3636363636363638</v>
      </c>
      <c r="AO732">
        <v>0</v>
      </c>
      <c r="AP732" t="s">
        <v>130</v>
      </c>
      <c r="AQ732" t="s">
        <v>131</v>
      </c>
      <c r="AR732" t="s">
        <v>194</v>
      </c>
      <c r="AS732">
        <v>2043</v>
      </c>
      <c r="AT732">
        <v>2533</v>
      </c>
      <c r="AU732">
        <v>0</v>
      </c>
      <c r="AV732">
        <v>0</v>
      </c>
      <c r="AW732">
        <v>4.5759999999999996</v>
      </c>
      <c r="AX732">
        <v>0.20799999999999999</v>
      </c>
      <c r="AY732">
        <v>6.032</v>
      </c>
      <c r="AZ732" t="s">
        <v>135</v>
      </c>
      <c r="BA732">
        <v>-3.2000000000000028E-2</v>
      </c>
      <c r="BB732">
        <v>-0.15384615384615399</v>
      </c>
      <c r="BC732" t="s">
        <v>133</v>
      </c>
      <c r="BD732">
        <v>0</v>
      </c>
      <c r="BE732" t="s">
        <v>133</v>
      </c>
      <c r="BF73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4.5759999999999996</v>
      </c>
    </row>
    <row r="733" spans="1:58" x14ac:dyDescent="0.25">
      <c r="A733" t="s">
        <v>972</v>
      </c>
      <c r="B733" t="s">
        <v>19</v>
      </c>
      <c r="C733">
        <v>2</v>
      </c>
      <c r="D733">
        <v>117</v>
      </c>
      <c r="E733" t="s">
        <v>2108</v>
      </c>
      <c r="F733" t="s">
        <v>123</v>
      </c>
      <c r="G733" t="s">
        <v>124</v>
      </c>
      <c r="H733" t="s">
        <v>136</v>
      </c>
      <c r="I733" t="s">
        <v>137</v>
      </c>
      <c r="J733" t="s">
        <v>138</v>
      </c>
      <c r="K733" t="s">
        <v>127</v>
      </c>
      <c r="L733">
        <v>50</v>
      </c>
      <c r="M733">
        <v>1137349</v>
      </c>
      <c r="N733">
        <v>5</v>
      </c>
      <c r="O733">
        <v>3</v>
      </c>
      <c r="P733" t="s">
        <v>168</v>
      </c>
      <c r="Q733" t="s">
        <v>129</v>
      </c>
      <c r="R733">
        <v>11</v>
      </c>
      <c r="T733">
        <v>0</v>
      </c>
      <c r="U733">
        <v>4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4</v>
      </c>
      <c r="AB733">
        <v>50</v>
      </c>
      <c r="AC733">
        <v>4</v>
      </c>
      <c r="AD733">
        <v>0</v>
      </c>
      <c r="AE733">
        <v>0</v>
      </c>
      <c r="AF733">
        <v>4</v>
      </c>
      <c r="AG733">
        <v>0</v>
      </c>
      <c r="AH733">
        <v>46</v>
      </c>
      <c r="AI733">
        <v>46</v>
      </c>
      <c r="AJ733">
        <v>46</v>
      </c>
      <c r="AK733">
        <v>46</v>
      </c>
      <c r="AL733">
        <v>0</v>
      </c>
      <c r="AM733">
        <v>0.1</v>
      </c>
      <c r="AN733">
        <v>4.1818181818181817</v>
      </c>
      <c r="AO733">
        <v>0</v>
      </c>
      <c r="AP733" t="s">
        <v>139</v>
      </c>
      <c r="AQ733" t="s">
        <v>131</v>
      </c>
      <c r="AR733" t="s">
        <v>194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 t="s">
        <v>134</v>
      </c>
      <c r="BA733">
        <v>5</v>
      </c>
      <c r="BB733">
        <v>0</v>
      </c>
      <c r="BC733" t="s">
        <v>133</v>
      </c>
      <c r="BD733">
        <v>0</v>
      </c>
      <c r="BE733" t="s">
        <v>133</v>
      </c>
      <c r="BF73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34" spans="1:58" x14ac:dyDescent="0.25">
      <c r="A734" t="s">
        <v>973</v>
      </c>
      <c r="B734" t="s">
        <v>19</v>
      </c>
      <c r="C734">
        <v>2</v>
      </c>
      <c r="D734">
        <v>118</v>
      </c>
      <c r="E734" t="s">
        <v>2108</v>
      </c>
      <c r="F734" t="s">
        <v>123</v>
      </c>
      <c r="G734" t="s">
        <v>124</v>
      </c>
      <c r="H734" t="s">
        <v>125</v>
      </c>
      <c r="I734" t="s">
        <v>126</v>
      </c>
      <c r="J734" t="s">
        <v>126</v>
      </c>
      <c r="K734" t="s">
        <v>127</v>
      </c>
      <c r="L734">
        <v>50</v>
      </c>
      <c r="M734">
        <v>1137351</v>
      </c>
      <c r="N734">
        <v>6</v>
      </c>
      <c r="O734">
        <v>3</v>
      </c>
      <c r="P734" t="s">
        <v>168</v>
      </c>
      <c r="Q734" t="s">
        <v>129</v>
      </c>
      <c r="R734">
        <v>11</v>
      </c>
      <c r="T734">
        <v>14</v>
      </c>
      <c r="U734">
        <v>19</v>
      </c>
      <c r="V734">
        <v>3</v>
      </c>
      <c r="W734">
        <v>0</v>
      </c>
      <c r="X734">
        <v>3</v>
      </c>
      <c r="Y734">
        <v>1</v>
      </c>
      <c r="Z734">
        <v>18</v>
      </c>
      <c r="AA734">
        <v>23</v>
      </c>
      <c r="AB734">
        <v>50</v>
      </c>
      <c r="AC734">
        <v>28</v>
      </c>
      <c r="AD734">
        <v>7</v>
      </c>
      <c r="AE734">
        <v>1</v>
      </c>
      <c r="AF734">
        <v>36</v>
      </c>
      <c r="AG734">
        <v>0</v>
      </c>
      <c r="AH734">
        <v>22</v>
      </c>
      <c r="AI734">
        <v>14</v>
      </c>
      <c r="AJ734">
        <v>21</v>
      </c>
      <c r="AK734">
        <v>22</v>
      </c>
      <c r="AL734">
        <v>0</v>
      </c>
      <c r="AM734">
        <v>0.12</v>
      </c>
      <c r="AN734">
        <v>1.9090909090909092</v>
      </c>
      <c r="AO734">
        <v>0</v>
      </c>
      <c r="AP734" t="s">
        <v>130</v>
      </c>
      <c r="AQ734" t="s">
        <v>131</v>
      </c>
      <c r="AR734" t="s">
        <v>194</v>
      </c>
      <c r="AS734">
        <v>2268</v>
      </c>
      <c r="AT734">
        <v>1819</v>
      </c>
      <c r="AU734">
        <v>0</v>
      </c>
      <c r="AV734">
        <v>0</v>
      </c>
      <c r="AW734">
        <v>4.0869999999999997</v>
      </c>
      <c r="AX734">
        <v>0.14596428571428571</v>
      </c>
      <c r="AY734">
        <v>5.2547142857142859</v>
      </c>
      <c r="AZ734" t="s">
        <v>135</v>
      </c>
      <c r="BA734">
        <v>0.74528571428571411</v>
      </c>
      <c r="BB734">
        <v>5.1059456814289197</v>
      </c>
      <c r="BC734" t="s">
        <v>133</v>
      </c>
      <c r="BD734">
        <v>0</v>
      </c>
      <c r="BE734" t="s">
        <v>133</v>
      </c>
      <c r="BF73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4.0869999999999997</v>
      </c>
    </row>
    <row r="735" spans="1:58" x14ac:dyDescent="0.25">
      <c r="A735" t="s">
        <v>974</v>
      </c>
      <c r="B735" t="s">
        <v>19</v>
      </c>
      <c r="C735">
        <v>2</v>
      </c>
      <c r="D735">
        <v>119</v>
      </c>
      <c r="E735" t="s">
        <v>2108</v>
      </c>
      <c r="F735" t="s">
        <v>123</v>
      </c>
      <c r="G735" t="s">
        <v>124</v>
      </c>
      <c r="H735" t="s">
        <v>125</v>
      </c>
      <c r="I735" t="s">
        <v>126</v>
      </c>
      <c r="J735" t="s">
        <v>126</v>
      </c>
      <c r="K735" t="s">
        <v>127</v>
      </c>
      <c r="L735">
        <v>50</v>
      </c>
      <c r="M735">
        <v>1137353</v>
      </c>
      <c r="N735">
        <v>6</v>
      </c>
      <c r="O735">
        <v>3</v>
      </c>
      <c r="P735" t="s">
        <v>168</v>
      </c>
      <c r="Q735" t="s">
        <v>129</v>
      </c>
      <c r="R735">
        <v>11</v>
      </c>
      <c r="T735">
        <v>11</v>
      </c>
      <c r="U735">
        <v>16</v>
      </c>
      <c r="V735">
        <v>3</v>
      </c>
      <c r="W735">
        <v>0</v>
      </c>
      <c r="X735">
        <v>3</v>
      </c>
      <c r="Y735">
        <v>2</v>
      </c>
      <c r="Z735">
        <v>16</v>
      </c>
      <c r="AA735">
        <v>21</v>
      </c>
      <c r="AB735">
        <v>50</v>
      </c>
      <c r="AC735">
        <v>24</v>
      </c>
      <c r="AD735">
        <v>4</v>
      </c>
      <c r="AE735">
        <v>5</v>
      </c>
      <c r="AF735">
        <v>33</v>
      </c>
      <c r="AG735">
        <v>0</v>
      </c>
      <c r="AH735">
        <v>26</v>
      </c>
      <c r="AI735">
        <v>17</v>
      </c>
      <c r="AJ735">
        <v>21</v>
      </c>
      <c r="AK735">
        <v>26</v>
      </c>
      <c r="AL735">
        <v>0</v>
      </c>
      <c r="AM735">
        <v>0.12</v>
      </c>
      <c r="AN735">
        <v>1.9090909090909092</v>
      </c>
      <c r="AO735">
        <v>0</v>
      </c>
      <c r="AP735" t="s">
        <v>130</v>
      </c>
      <c r="AQ735" t="s">
        <v>131</v>
      </c>
      <c r="AR735" t="s">
        <v>194</v>
      </c>
      <c r="AS735">
        <v>2075</v>
      </c>
      <c r="AT735">
        <v>2013</v>
      </c>
      <c r="AU735">
        <v>0</v>
      </c>
      <c r="AV735">
        <v>0</v>
      </c>
      <c r="AW735">
        <v>4.0880000000000001</v>
      </c>
      <c r="AX735">
        <v>0.17033333333333334</v>
      </c>
      <c r="AY735">
        <v>5.6210000000000004</v>
      </c>
      <c r="AZ735" t="s">
        <v>135</v>
      </c>
      <c r="BA735">
        <v>0.37899999999999956</v>
      </c>
      <c r="BB735">
        <v>2.2250489236790578</v>
      </c>
      <c r="BC735" t="s">
        <v>133</v>
      </c>
      <c r="BD735">
        <v>0</v>
      </c>
      <c r="BE735" t="s">
        <v>133</v>
      </c>
      <c r="BF73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4.0880000000000001</v>
      </c>
    </row>
    <row r="736" spans="1:58" x14ac:dyDescent="0.25">
      <c r="A736" t="s">
        <v>975</v>
      </c>
      <c r="B736" t="s">
        <v>19</v>
      </c>
      <c r="C736">
        <v>2</v>
      </c>
      <c r="D736">
        <v>120</v>
      </c>
      <c r="E736" t="s">
        <v>2108</v>
      </c>
      <c r="F736" t="s">
        <v>123</v>
      </c>
      <c r="G736" t="s">
        <v>124</v>
      </c>
      <c r="H736" t="s">
        <v>125</v>
      </c>
      <c r="I736" t="s">
        <v>126</v>
      </c>
      <c r="J736" t="s">
        <v>126</v>
      </c>
      <c r="K736" t="s">
        <v>127</v>
      </c>
      <c r="L736">
        <v>50</v>
      </c>
      <c r="M736">
        <v>1137355</v>
      </c>
      <c r="N736">
        <v>6</v>
      </c>
      <c r="O736">
        <v>3</v>
      </c>
      <c r="P736" t="s">
        <v>168</v>
      </c>
      <c r="Q736" t="s">
        <v>129</v>
      </c>
      <c r="R736">
        <v>11</v>
      </c>
      <c r="T736">
        <v>7</v>
      </c>
      <c r="U736">
        <v>12</v>
      </c>
      <c r="V736">
        <v>5</v>
      </c>
      <c r="W736">
        <v>0</v>
      </c>
      <c r="X736">
        <v>5</v>
      </c>
      <c r="Y736">
        <v>3</v>
      </c>
      <c r="Z736">
        <v>15</v>
      </c>
      <c r="AA736">
        <v>20</v>
      </c>
      <c r="AB736">
        <v>50</v>
      </c>
      <c r="AC736">
        <v>17</v>
      </c>
      <c r="AD736">
        <v>9</v>
      </c>
      <c r="AE736">
        <v>7</v>
      </c>
      <c r="AF736">
        <v>33</v>
      </c>
      <c r="AG736">
        <v>0</v>
      </c>
      <c r="AH736">
        <v>33</v>
      </c>
      <c r="AI736">
        <v>17</v>
      </c>
      <c r="AJ736">
        <v>26</v>
      </c>
      <c r="AK736">
        <v>33</v>
      </c>
      <c r="AL736">
        <v>0</v>
      </c>
      <c r="AM736">
        <v>0.12</v>
      </c>
      <c r="AN736">
        <v>2.3636363636363638</v>
      </c>
      <c r="AO736">
        <v>0</v>
      </c>
      <c r="AP736" t="s">
        <v>130</v>
      </c>
      <c r="AQ736" t="s">
        <v>131</v>
      </c>
      <c r="AR736" t="s">
        <v>194</v>
      </c>
      <c r="AS736">
        <v>1349</v>
      </c>
      <c r="AT736">
        <v>964</v>
      </c>
      <c r="AU736">
        <v>0</v>
      </c>
      <c r="AV736">
        <v>0</v>
      </c>
      <c r="AW736">
        <v>2.3130000000000002</v>
      </c>
      <c r="AX736">
        <v>0.13605882352941179</v>
      </c>
      <c r="AY736">
        <v>4.4899411764705892</v>
      </c>
      <c r="AZ736" t="s">
        <v>135</v>
      </c>
      <c r="BA736">
        <v>1.5100588235294108</v>
      </c>
      <c r="BB736">
        <v>11.09857328145265</v>
      </c>
      <c r="BC736" t="s">
        <v>133</v>
      </c>
      <c r="BD736">
        <v>0</v>
      </c>
      <c r="BE736" t="s">
        <v>133</v>
      </c>
      <c r="BF73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2.3130000000000002</v>
      </c>
    </row>
    <row r="737" spans="1:58" x14ac:dyDescent="0.25">
      <c r="A737" t="s">
        <v>976</v>
      </c>
      <c r="B737" t="s">
        <v>19</v>
      </c>
      <c r="C737">
        <v>2</v>
      </c>
      <c r="D737">
        <v>121</v>
      </c>
      <c r="E737" t="s">
        <v>2108</v>
      </c>
      <c r="F737" t="s">
        <v>123</v>
      </c>
      <c r="G737" t="s">
        <v>124</v>
      </c>
      <c r="H737" t="s">
        <v>125</v>
      </c>
      <c r="I737" t="s">
        <v>126</v>
      </c>
      <c r="J737" t="s">
        <v>126</v>
      </c>
      <c r="K737" t="s">
        <v>127</v>
      </c>
      <c r="L737">
        <v>50</v>
      </c>
      <c r="M737">
        <v>1137357</v>
      </c>
      <c r="N737">
        <v>6</v>
      </c>
      <c r="O737">
        <v>3</v>
      </c>
      <c r="P737" t="s">
        <v>168</v>
      </c>
      <c r="Q737" t="s">
        <v>129</v>
      </c>
      <c r="R737">
        <v>11</v>
      </c>
      <c r="T737">
        <v>13</v>
      </c>
      <c r="U737">
        <v>18</v>
      </c>
      <c r="V737">
        <v>2</v>
      </c>
      <c r="W737">
        <v>0</v>
      </c>
      <c r="X737">
        <v>2</v>
      </c>
      <c r="Y737">
        <v>3</v>
      </c>
      <c r="Z737">
        <v>18</v>
      </c>
      <c r="AA737">
        <v>23</v>
      </c>
      <c r="AB737">
        <v>50</v>
      </c>
      <c r="AC737">
        <v>22</v>
      </c>
      <c r="AD737">
        <v>2</v>
      </c>
      <c r="AE737">
        <v>6</v>
      </c>
      <c r="AF737">
        <v>30</v>
      </c>
      <c r="AG737">
        <v>0</v>
      </c>
      <c r="AH737">
        <v>28</v>
      </c>
      <c r="AI737">
        <v>20</v>
      </c>
      <c r="AJ737">
        <v>22</v>
      </c>
      <c r="AK737">
        <v>28</v>
      </c>
      <c r="AL737">
        <v>0</v>
      </c>
      <c r="AM737">
        <v>0.12</v>
      </c>
      <c r="AN737">
        <v>2</v>
      </c>
      <c r="AO737">
        <v>0</v>
      </c>
      <c r="AP737" t="s">
        <v>130</v>
      </c>
      <c r="AQ737" t="s">
        <v>131</v>
      </c>
      <c r="AR737" t="s">
        <v>194</v>
      </c>
      <c r="AS737">
        <v>2240</v>
      </c>
      <c r="AT737">
        <v>2117</v>
      </c>
      <c r="AU737">
        <v>0</v>
      </c>
      <c r="AV737">
        <v>0</v>
      </c>
      <c r="AW737">
        <v>4.3570000000000002</v>
      </c>
      <c r="AX737">
        <v>0.19804545454545455</v>
      </c>
      <c r="AY737">
        <v>5.9413636363636364</v>
      </c>
      <c r="AZ737" t="s">
        <v>135</v>
      </c>
      <c r="BA737">
        <v>5.8636363636363598E-2</v>
      </c>
      <c r="BB737">
        <v>0.29607528115675902</v>
      </c>
      <c r="BC737" t="s">
        <v>133</v>
      </c>
      <c r="BD737">
        <v>0</v>
      </c>
      <c r="BE737" t="s">
        <v>133</v>
      </c>
      <c r="BF73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4.3570000000000002</v>
      </c>
    </row>
    <row r="738" spans="1:58" x14ac:dyDescent="0.25">
      <c r="A738" t="s">
        <v>977</v>
      </c>
      <c r="B738" t="s">
        <v>19</v>
      </c>
      <c r="C738">
        <v>2</v>
      </c>
      <c r="D738">
        <v>122</v>
      </c>
      <c r="E738" t="s">
        <v>2108</v>
      </c>
      <c r="F738" t="s">
        <v>123</v>
      </c>
      <c r="G738" t="s">
        <v>124</v>
      </c>
      <c r="H738" t="s">
        <v>125</v>
      </c>
      <c r="I738" t="s">
        <v>126</v>
      </c>
      <c r="J738" t="s">
        <v>126</v>
      </c>
      <c r="K738" t="s">
        <v>127</v>
      </c>
      <c r="L738">
        <v>50</v>
      </c>
      <c r="M738">
        <v>1137359</v>
      </c>
      <c r="N738">
        <v>6</v>
      </c>
      <c r="O738">
        <v>3</v>
      </c>
      <c r="P738" t="s">
        <v>168</v>
      </c>
      <c r="Q738" t="s">
        <v>129</v>
      </c>
      <c r="R738">
        <v>11</v>
      </c>
      <c r="T738">
        <v>9</v>
      </c>
      <c r="U738">
        <v>14</v>
      </c>
      <c r="V738">
        <v>2</v>
      </c>
      <c r="W738">
        <v>0</v>
      </c>
      <c r="X738">
        <v>2</v>
      </c>
      <c r="Y738">
        <v>5</v>
      </c>
      <c r="Z738">
        <v>16</v>
      </c>
      <c r="AA738">
        <v>21</v>
      </c>
      <c r="AB738">
        <v>50</v>
      </c>
      <c r="AC738">
        <v>17</v>
      </c>
      <c r="AD738">
        <v>2</v>
      </c>
      <c r="AE738">
        <v>7</v>
      </c>
      <c r="AF738">
        <v>26</v>
      </c>
      <c r="AG738">
        <v>0</v>
      </c>
      <c r="AH738">
        <v>33</v>
      </c>
      <c r="AI738">
        <v>24</v>
      </c>
      <c r="AJ738">
        <v>26</v>
      </c>
      <c r="AK738">
        <v>33</v>
      </c>
      <c r="AL738">
        <v>0</v>
      </c>
      <c r="AM738">
        <v>0.12</v>
      </c>
      <c r="AN738">
        <v>2.3636363636363638</v>
      </c>
      <c r="AO738">
        <v>0</v>
      </c>
      <c r="AP738" t="s">
        <v>130</v>
      </c>
      <c r="AQ738" t="s">
        <v>131</v>
      </c>
      <c r="AR738" t="s">
        <v>194</v>
      </c>
      <c r="AS738">
        <v>1634</v>
      </c>
      <c r="AT738">
        <v>1601</v>
      </c>
      <c r="AU738">
        <v>0</v>
      </c>
      <c r="AV738">
        <v>0</v>
      </c>
      <c r="AW738">
        <v>3.2349999999999999</v>
      </c>
      <c r="AX738">
        <v>0.19029411764705881</v>
      </c>
      <c r="AY738">
        <v>4.9476470588235291</v>
      </c>
      <c r="AZ738" t="s">
        <v>135</v>
      </c>
      <c r="BA738">
        <v>1.0523529411764709</v>
      </c>
      <c r="BB738">
        <v>5.5301391035548706</v>
      </c>
      <c r="BC738" t="s">
        <v>144</v>
      </c>
      <c r="BD738">
        <v>0</v>
      </c>
      <c r="BE738" t="s">
        <v>133</v>
      </c>
      <c r="BF73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3.2349999999999999</v>
      </c>
    </row>
    <row r="739" spans="1:58" x14ac:dyDescent="0.25">
      <c r="A739" t="s">
        <v>978</v>
      </c>
      <c r="B739" t="s">
        <v>19</v>
      </c>
      <c r="C739">
        <v>2</v>
      </c>
      <c r="D739">
        <v>123</v>
      </c>
      <c r="E739" t="s">
        <v>2110</v>
      </c>
      <c r="F739" t="s">
        <v>123</v>
      </c>
      <c r="G739" t="s">
        <v>124</v>
      </c>
      <c r="H739" t="s">
        <v>125</v>
      </c>
      <c r="I739" t="s">
        <v>126</v>
      </c>
      <c r="J739" t="s">
        <v>126</v>
      </c>
      <c r="K739" t="s">
        <v>127</v>
      </c>
      <c r="L739">
        <v>50</v>
      </c>
      <c r="M739">
        <v>1137361</v>
      </c>
      <c r="N739">
        <v>6</v>
      </c>
      <c r="O739">
        <v>3</v>
      </c>
      <c r="P739" t="s">
        <v>168</v>
      </c>
      <c r="Q739" t="s">
        <v>129</v>
      </c>
      <c r="R739">
        <v>12</v>
      </c>
      <c r="T739">
        <v>9</v>
      </c>
      <c r="U739">
        <v>14</v>
      </c>
      <c r="V739">
        <v>8</v>
      </c>
      <c r="W739">
        <v>0</v>
      </c>
      <c r="X739">
        <v>8</v>
      </c>
      <c r="Y739">
        <v>0</v>
      </c>
      <c r="Z739">
        <v>17</v>
      </c>
      <c r="AA739">
        <v>22</v>
      </c>
      <c r="AB739">
        <v>50</v>
      </c>
      <c r="AC739">
        <v>15</v>
      </c>
      <c r="AD739">
        <v>16</v>
      </c>
      <c r="AE739">
        <v>0</v>
      </c>
      <c r="AF739">
        <v>31</v>
      </c>
      <c r="AG739">
        <v>0</v>
      </c>
      <c r="AH739">
        <v>35</v>
      </c>
      <c r="AI739">
        <v>19</v>
      </c>
      <c r="AJ739">
        <v>35</v>
      </c>
      <c r="AK739">
        <v>35</v>
      </c>
      <c r="AL739">
        <v>0</v>
      </c>
      <c r="AM739">
        <v>0.12</v>
      </c>
      <c r="AN739">
        <v>3.1818181818181821</v>
      </c>
      <c r="AO739">
        <v>0</v>
      </c>
      <c r="AP739" t="s">
        <v>130</v>
      </c>
      <c r="AQ739" t="s">
        <v>131</v>
      </c>
      <c r="AR739" t="s">
        <v>523</v>
      </c>
      <c r="AS739">
        <v>1965</v>
      </c>
      <c r="AT739">
        <v>2172</v>
      </c>
      <c r="AU739">
        <v>0</v>
      </c>
      <c r="AV739">
        <v>0</v>
      </c>
      <c r="AW739">
        <v>4.1369999999999996</v>
      </c>
      <c r="AX739">
        <v>0.27579999999999999</v>
      </c>
      <c r="AY739">
        <v>8.5497999999999994</v>
      </c>
      <c r="AZ739" t="s">
        <v>135</v>
      </c>
      <c r="BA739">
        <v>-2.5497999999999994</v>
      </c>
      <c r="BB739">
        <v>-9.2451051486584461</v>
      </c>
      <c r="BC739" t="s">
        <v>132</v>
      </c>
      <c r="BD739">
        <v>0</v>
      </c>
      <c r="BE739" t="s">
        <v>133</v>
      </c>
      <c r="BF73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4.1369999999999996</v>
      </c>
    </row>
    <row r="740" spans="1:58" x14ac:dyDescent="0.25">
      <c r="A740" t="s">
        <v>979</v>
      </c>
      <c r="B740" t="s">
        <v>19</v>
      </c>
      <c r="C740">
        <v>2</v>
      </c>
      <c r="D740">
        <v>124</v>
      </c>
      <c r="E740" t="s">
        <v>2110</v>
      </c>
      <c r="F740" t="s">
        <v>123</v>
      </c>
      <c r="G740" t="s">
        <v>124</v>
      </c>
      <c r="H740" t="s">
        <v>125</v>
      </c>
      <c r="I740" t="s">
        <v>126</v>
      </c>
      <c r="J740" t="s">
        <v>126</v>
      </c>
      <c r="K740" t="s">
        <v>127</v>
      </c>
      <c r="L740">
        <v>50</v>
      </c>
      <c r="M740">
        <v>1137363</v>
      </c>
      <c r="N740">
        <v>6</v>
      </c>
      <c r="O740">
        <v>3</v>
      </c>
      <c r="P740" t="s">
        <v>168</v>
      </c>
      <c r="Q740" t="s">
        <v>129</v>
      </c>
      <c r="R740">
        <v>12</v>
      </c>
      <c r="T740">
        <v>0</v>
      </c>
      <c r="U740">
        <v>5</v>
      </c>
      <c r="V740">
        <v>11</v>
      </c>
      <c r="W740">
        <v>0</v>
      </c>
      <c r="X740">
        <v>11</v>
      </c>
      <c r="Y740">
        <v>0</v>
      </c>
      <c r="Z740">
        <v>11</v>
      </c>
      <c r="AA740">
        <v>16</v>
      </c>
      <c r="AB740">
        <v>50</v>
      </c>
      <c r="AC740">
        <v>5</v>
      </c>
      <c r="AD740">
        <v>22</v>
      </c>
      <c r="AE740">
        <v>0</v>
      </c>
      <c r="AF740">
        <v>27</v>
      </c>
      <c r="AG740">
        <v>0</v>
      </c>
      <c r="AH740">
        <v>45</v>
      </c>
      <c r="AI740">
        <v>23</v>
      </c>
      <c r="AJ740">
        <v>45</v>
      </c>
      <c r="AK740">
        <v>45</v>
      </c>
      <c r="AL740">
        <v>0</v>
      </c>
      <c r="AM740">
        <v>0.12</v>
      </c>
      <c r="AN740">
        <v>4.0909090909090908</v>
      </c>
      <c r="AO740">
        <v>0</v>
      </c>
      <c r="AP740" t="s">
        <v>130</v>
      </c>
      <c r="AQ740" t="s">
        <v>131</v>
      </c>
      <c r="AR740" t="s">
        <v>523</v>
      </c>
      <c r="AS740">
        <v>448</v>
      </c>
      <c r="AT740">
        <v>521</v>
      </c>
      <c r="AU740">
        <v>0</v>
      </c>
      <c r="AV740">
        <v>0</v>
      </c>
      <c r="AW740">
        <v>0.96899999999999997</v>
      </c>
      <c r="AX740">
        <v>0.1938</v>
      </c>
      <c r="AY740">
        <v>5.2325999999999997</v>
      </c>
      <c r="AZ740" t="s">
        <v>135</v>
      </c>
      <c r="BA740">
        <v>0.7674000000000003</v>
      </c>
      <c r="BB740">
        <v>3.9597523219814259</v>
      </c>
      <c r="BC740" t="s">
        <v>133</v>
      </c>
      <c r="BD740">
        <v>1</v>
      </c>
      <c r="BE740" t="s">
        <v>133</v>
      </c>
      <c r="BF74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0.96899999999999997</v>
      </c>
    </row>
    <row r="741" spans="1:58" x14ac:dyDescent="0.25">
      <c r="A741" t="s">
        <v>980</v>
      </c>
      <c r="B741" t="s">
        <v>19</v>
      </c>
      <c r="C741">
        <v>2</v>
      </c>
      <c r="D741">
        <v>125</v>
      </c>
      <c r="E741" t="s">
        <v>2110</v>
      </c>
      <c r="F741" t="s">
        <v>123</v>
      </c>
      <c r="G741" t="s">
        <v>124</v>
      </c>
      <c r="H741" t="s">
        <v>125</v>
      </c>
      <c r="I741" t="s">
        <v>126</v>
      </c>
      <c r="J741" t="s">
        <v>126</v>
      </c>
      <c r="K741" t="s">
        <v>127</v>
      </c>
      <c r="L741">
        <v>50</v>
      </c>
      <c r="M741">
        <v>1137365</v>
      </c>
      <c r="N741">
        <v>6</v>
      </c>
      <c r="O741">
        <v>3</v>
      </c>
      <c r="P741" t="s">
        <v>168</v>
      </c>
      <c r="Q741" t="s">
        <v>129</v>
      </c>
      <c r="R741">
        <v>12</v>
      </c>
      <c r="T741">
        <v>7</v>
      </c>
      <c r="U741">
        <v>12</v>
      </c>
      <c r="V741">
        <v>9</v>
      </c>
      <c r="W741">
        <v>0</v>
      </c>
      <c r="X741">
        <v>9</v>
      </c>
      <c r="Y741">
        <v>0</v>
      </c>
      <c r="Z741">
        <v>16</v>
      </c>
      <c r="AA741">
        <v>21</v>
      </c>
      <c r="AB741">
        <v>50</v>
      </c>
      <c r="AC741">
        <v>19</v>
      </c>
      <c r="AD741">
        <v>18</v>
      </c>
      <c r="AE741">
        <v>0</v>
      </c>
      <c r="AF741">
        <v>37</v>
      </c>
      <c r="AG741">
        <v>0</v>
      </c>
      <c r="AH741">
        <v>31</v>
      </c>
      <c r="AI741">
        <v>13</v>
      </c>
      <c r="AJ741">
        <v>31</v>
      </c>
      <c r="AK741">
        <v>31</v>
      </c>
      <c r="AL741">
        <v>0</v>
      </c>
      <c r="AM741">
        <v>0.12</v>
      </c>
      <c r="AN741">
        <v>2.8181818181818183</v>
      </c>
      <c r="AO741">
        <v>0</v>
      </c>
      <c r="AP741" t="s">
        <v>130</v>
      </c>
      <c r="AQ741" t="s">
        <v>131</v>
      </c>
      <c r="AR741" t="s">
        <v>523</v>
      </c>
      <c r="AS741">
        <v>1467</v>
      </c>
      <c r="AT741">
        <v>1540</v>
      </c>
      <c r="AU741">
        <v>0</v>
      </c>
      <c r="AV741">
        <v>0</v>
      </c>
      <c r="AW741">
        <v>3.0070000000000001</v>
      </c>
      <c r="AX741">
        <v>0.15826315789473686</v>
      </c>
      <c r="AY741">
        <v>5.855736842105264</v>
      </c>
      <c r="AZ741" t="s">
        <v>135</v>
      </c>
      <c r="BA741">
        <v>0.14426315789473598</v>
      </c>
      <c r="BB741">
        <v>0.91153974060524889</v>
      </c>
      <c r="BC741" t="s">
        <v>133</v>
      </c>
      <c r="BD741">
        <v>0</v>
      </c>
      <c r="BE741" t="s">
        <v>133</v>
      </c>
      <c r="BF74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3.0070000000000001</v>
      </c>
    </row>
    <row r="742" spans="1:58" x14ac:dyDescent="0.25">
      <c r="A742" t="s">
        <v>981</v>
      </c>
      <c r="B742" t="s">
        <v>19</v>
      </c>
      <c r="C742">
        <v>2</v>
      </c>
      <c r="D742">
        <v>126</v>
      </c>
      <c r="E742" t="s">
        <v>2110</v>
      </c>
      <c r="F742" t="s">
        <v>123</v>
      </c>
      <c r="G742" t="s">
        <v>124</v>
      </c>
      <c r="H742" t="s">
        <v>125</v>
      </c>
      <c r="I742" t="s">
        <v>126</v>
      </c>
      <c r="J742" t="s">
        <v>126</v>
      </c>
      <c r="K742" t="s">
        <v>127</v>
      </c>
      <c r="L742">
        <v>50</v>
      </c>
      <c r="M742">
        <v>1137367</v>
      </c>
      <c r="N742">
        <v>6</v>
      </c>
      <c r="O742">
        <v>3</v>
      </c>
      <c r="P742" t="s">
        <v>168</v>
      </c>
      <c r="Q742" t="s">
        <v>129</v>
      </c>
      <c r="R742">
        <v>12</v>
      </c>
      <c r="T742">
        <v>21</v>
      </c>
      <c r="U742">
        <v>26</v>
      </c>
      <c r="V742">
        <v>0</v>
      </c>
      <c r="W742">
        <v>0</v>
      </c>
      <c r="X742">
        <v>0</v>
      </c>
      <c r="Y742">
        <v>1</v>
      </c>
      <c r="Z742">
        <v>22</v>
      </c>
      <c r="AA742">
        <v>27</v>
      </c>
      <c r="AB742">
        <v>50</v>
      </c>
      <c r="AC742">
        <v>27</v>
      </c>
      <c r="AD742">
        <v>0</v>
      </c>
      <c r="AE742">
        <v>1</v>
      </c>
      <c r="AF742">
        <v>28</v>
      </c>
      <c r="AG742">
        <v>0</v>
      </c>
      <c r="AH742">
        <v>23</v>
      </c>
      <c r="AI742">
        <v>22</v>
      </c>
      <c r="AJ742">
        <v>22</v>
      </c>
      <c r="AK742">
        <v>23</v>
      </c>
      <c r="AL742">
        <v>0</v>
      </c>
      <c r="AM742">
        <v>0.12</v>
      </c>
      <c r="AN742">
        <v>2</v>
      </c>
      <c r="AO742">
        <v>0</v>
      </c>
      <c r="AP742" t="s">
        <v>130</v>
      </c>
      <c r="AQ742" t="s">
        <v>131</v>
      </c>
      <c r="AR742" t="s">
        <v>523</v>
      </c>
      <c r="AS742">
        <v>3534</v>
      </c>
      <c r="AT742">
        <v>3471</v>
      </c>
      <c r="AU742">
        <v>0</v>
      </c>
      <c r="AV742">
        <v>0</v>
      </c>
      <c r="AW742">
        <v>7.0049999999999999</v>
      </c>
      <c r="AX742">
        <v>0.25944444444444442</v>
      </c>
      <c r="AY742">
        <v>7.264444444444444</v>
      </c>
      <c r="AZ742" t="s">
        <v>135</v>
      </c>
      <c r="BA742">
        <v>-1.264444444444444</v>
      </c>
      <c r="BB742">
        <v>-4.8736616702355446</v>
      </c>
      <c r="BC742" t="s">
        <v>133</v>
      </c>
      <c r="BD742">
        <v>0</v>
      </c>
      <c r="BE742" t="s">
        <v>133</v>
      </c>
      <c r="BF74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7.0049999999999999</v>
      </c>
    </row>
    <row r="743" spans="1:58" x14ac:dyDescent="0.25">
      <c r="A743" t="s">
        <v>982</v>
      </c>
      <c r="B743" t="s">
        <v>19</v>
      </c>
      <c r="C743">
        <v>2</v>
      </c>
      <c r="D743">
        <v>127</v>
      </c>
      <c r="E743" t="s">
        <v>2110</v>
      </c>
      <c r="F743" t="s">
        <v>123</v>
      </c>
      <c r="G743" t="s">
        <v>124</v>
      </c>
      <c r="H743" t="s">
        <v>125</v>
      </c>
      <c r="I743" t="s">
        <v>126</v>
      </c>
      <c r="J743" t="s">
        <v>126</v>
      </c>
      <c r="K743" t="s">
        <v>127</v>
      </c>
      <c r="L743">
        <v>50</v>
      </c>
      <c r="M743">
        <v>1137369</v>
      </c>
      <c r="N743">
        <v>6</v>
      </c>
      <c r="O743">
        <v>3</v>
      </c>
      <c r="P743" t="s">
        <v>168</v>
      </c>
      <c r="Q743" t="s">
        <v>129</v>
      </c>
      <c r="R743">
        <v>12</v>
      </c>
      <c r="T743">
        <v>4</v>
      </c>
      <c r="U743">
        <v>9</v>
      </c>
      <c r="V743">
        <v>15</v>
      </c>
      <c r="W743">
        <v>0</v>
      </c>
      <c r="X743">
        <v>15</v>
      </c>
      <c r="Y743">
        <v>0</v>
      </c>
      <c r="Z743">
        <v>19</v>
      </c>
      <c r="AA743">
        <v>24</v>
      </c>
      <c r="AB743">
        <v>50</v>
      </c>
      <c r="AC743">
        <v>13</v>
      </c>
      <c r="AD743">
        <v>30</v>
      </c>
      <c r="AE743">
        <v>0</v>
      </c>
      <c r="AF743">
        <v>43</v>
      </c>
      <c r="AG743">
        <v>0</v>
      </c>
      <c r="AH743">
        <v>37</v>
      </c>
      <c r="AI743">
        <v>7</v>
      </c>
      <c r="AJ743">
        <v>37</v>
      </c>
      <c r="AK743">
        <v>37</v>
      </c>
      <c r="AL743">
        <v>0</v>
      </c>
      <c r="AM743">
        <v>0.12</v>
      </c>
      <c r="AN743">
        <v>3.3636363636363638</v>
      </c>
      <c r="AO743">
        <v>0</v>
      </c>
      <c r="AP743" t="s">
        <v>130</v>
      </c>
      <c r="AQ743" t="s">
        <v>131</v>
      </c>
      <c r="AR743" t="s">
        <v>523</v>
      </c>
      <c r="AS743">
        <v>1143</v>
      </c>
      <c r="AT743">
        <v>1345</v>
      </c>
      <c r="AU743">
        <v>0</v>
      </c>
      <c r="AV743">
        <v>0</v>
      </c>
      <c r="AW743">
        <v>2.488</v>
      </c>
      <c r="AX743">
        <v>0.19138461538461538</v>
      </c>
      <c r="AY743">
        <v>8.2295384615384606</v>
      </c>
      <c r="AZ743" t="s">
        <v>135</v>
      </c>
      <c r="BA743">
        <v>-2.2295384615384606</v>
      </c>
      <c r="BB743">
        <v>-11.649517684887455</v>
      </c>
      <c r="BC743" t="s">
        <v>133</v>
      </c>
      <c r="BD743">
        <v>0</v>
      </c>
      <c r="BE743" t="s">
        <v>133</v>
      </c>
      <c r="BF74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2.488</v>
      </c>
    </row>
    <row r="744" spans="1:58" x14ac:dyDescent="0.25">
      <c r="A744" t="s">
        <v>983</v>
      </c>
      <c r="B744" t="s">
        <v>19</v>
      </c>
      <c r="C744">
        <v>2</v>
      </c>
      <c r="D744">
        <v>128</v>
      </c>
      <c r="E744" t="s">
        <v>2110</v>
      </c>
      <c r="F744" t="s">
        <v>123</v>
      </c>
      <c r="G744" t="s">
        <v>124</v>
      </c>
      <c r="H744" t="s">
        <v>136</v>
      </c>
      <c r="I744" t="s">
        <v>137</v>
      </c>
      <c r="J744" t="s">
        <v>138</v>
      </c>
      <c r="K744" t="s">
        <v>127</v>
      </c>
      <c r="L744">
        <v>50</v>
      </c>
      <c r="M744">
        <v>1137371</v>
      </c>
      <c r="N744">
        <v>5</v>
      </c>
      <c r="O744">
        <v>3</v>
      </c>
      <c r="P744" t="s">
        <v>168</v>
      </c>
      <c r="Q744" t="s">
        <v>129</v>
      </c>
      <c r="R744">
        <v>12</v>
      </c>
      <c r="T744">
        <v>0</v>
      </c>
      <c r="U744">
        <v>4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4</v>
      </c>
      <c r="AB744">
        <v>50</v>
      </c>
      <c r="AC744">
        <v>4</v>
      </c>
      <c r="AD744">
        <v>0</v>
      </c>
      <c r="AE744">
        <v>0</v>
      </c>
      <c r="AF744">
        <v>4</v>
      </c>
      <c r="AG744">
        <v>0</v>
      </c>
      <c r="AH744">
        <v>46</v>
      </c>
      <c r="AI744">
        <v>46</v>
      </c>
      <c r="AJ744">
        <v>46</v>
      </c>
      <c r="AK744">
        <v>46</v>
      </c>
      <c r="AL744">
        <v>0</v>
      </c>
      <c r="AM744">
        <v>0.1</v>
      </c>
      <c r="AN744">
        <v>4.1818181818181817</v>
      </c>
      <c r="AO744">
        <v>0</v>
      </c>
      <c r="AP744" t="s">
        <v>139</v>
      </c>
      <c r="AQ744" t="s">
        <v>131</v>
      </c>
      <c r="AR744" t="s">
        <v>523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 t="s">
        <v>134</v>
      </c>
      <c r="BA744">
        <v>5</v>
      </c>
      <c r="BB744">
        <v>0</v>
      </c>
      <c r="BC744" t="s">
        <v>133</v>
      </c>
      <c r="BD744">
        <v>0</v>
      </c>
      <c r="BE744" t="s">
        <v>133</v>
      </c>
      <c r="BF74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45" spans="1:58" x14ac:dyDescent="0.25">
      <c r="A745" t="s">
        <v>984</v>
      </c>
      <c r="B745" t="s">
        <v>19</v>
      </c>
      <c r="C745">
        <v>2</v>
      </c>
      <c r="D745">
        <v>129</v>
      </c>
      <c r="E745" t="s">
        <v>2110</v>
      </c>
      <c r="F745" t="s">
        <v>123</v>
      </c>
      <c r="G745" t="s">
        <v>124</v>
      </c>
      <c r="H745" t="s">
        <v>125</v>
      </c>
      <c r="I745" t="s">
        <v>126</v>
      </c>
      <c r="J745" t="s">
        <v>126</v>
      </c>
      <c r="K745" t="s">
        <v>127</v>
      </c>
      <c r="L745">
        <v>50</v>
      </c>
      <c r="M745">
        <v>1137373</v>
      </c>
      <c r="N745">
        <v>6</v>
      </c>
      <c r="O745">
        <v>3</v>
      </c>
      <c r="P745" t="s">
        <v>168</v>
      </c>
      <c r="Q745" t="s">
        <v>129</v>
      </c>
      <c r="R745">
        <v>12</v>
      </c>
      <c r="T745">
        <v>6</v>
      </c>
      <c r="U745">
        <v>11</v>
      </c>
      <c r="V745">
        <v>5</v>
      </c>
      <c r="W745">
        <v>0</v>
      </c>
      <c r="X745">
        <v>5</v>
      </c>
      <c r="Y745">
        <v>0</v>
      </c>
      <c r="Z745">
        <v>11</v>
      </c>
      <c r="AA745">
        <v>16</v>
      </c>
      <c r="AB745">
        <v>50</v>
      </c>
      <c r="AC745">
        <v>17</v>
      </c>
      <c r="AD745">
        <v>8</v>
      </c>
      <c r="AE745">
        <v>0</v>
      </c>
      <c r="AF745">
        <v>25</v>
      </c>
      <c r="AG745">
        <v>0</v>
      </c>
      <c r="AH745">
        <v>33</v>
      </c>
      <c r="AI745">
        <v>25</v>
      </c>
      <c r="AJ745">
        <v>33</v>
      </c>
      <c r="AK745">
        <v>33</v>
      </c>
      <c r="AL745">
        <v>0</v>
      </c>
      <c r="AM745">
        <v>0.12</v>
      </c>
      <c r="AN745">
        <v>3</v>
      </c>
      <c r="AO745">
        <v>0</v>
      </c>
      <c r="AP745" t="s">
        <v>130</v>
      </c>
      <c r="AQ745" t="s">
        <v>131</v>
      </c>
      <c r="AR745" t="s">
        <v>523</v>
      </c>
      <c r="AS745">
        <v>2383</v>
      </c>
      <c r="AT745">
        <v>2276</v>
      </c>
      <c r="AU745">
        <v>0</v>
      </c>
      <c r="AV745">
        <v>0</v>
      </c>
      <c r="AW745">
        <v>4.6589999999999998</v>
      </c>
      <c r="AX745">
        <v>0.27405882352941174</v>
      </c>
      <c r="AY745">
        <v>6.8514705882352933</v>
      </c>
      <c r="AZ745" t="s">
        <v>135</v>
      </c>
      <c r="BA745">
        <v>-0.85147058823529331</v>
      </c>
      <c r="BB745">
        <v>-3.1068898905344469</v>
      </c>
      <c r="BC745" t="s">
        <v>133</v>
      </c>
      <c r="BD745">
        <v>0</v>
      </c>
      <c r="BE745" t="s">
        <v>133</v>
      </c>
      <c r="BF74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4.6589999999999998</v>
      </c>
    </row>
    <row r="746" spans="1:58" x14ac:dyDescent="0.25">
      <c r="A746" t="s">
        <v>985</v>
      </c>
      <c r="B746" t="s">
        <v>19</v>
      </c>
      <c r="C746">
        <v>2</v>
      </c>
      <c r="D746">
        <v>130</v>
      </c>
      <c r="E746" t="s">
        <v>2110</v>
      </c>
      <c r="F746" t="s">
        <v>123</v>
      </c>
      <c r="G746" t="s">
        <v>124</v>
      </c>
      <c r="H746" t="s">
        <v>125</v>
      </c>
      <c r="I746" t="s">
        <v>126</v>
      </c>
      <c r="J746" t="s">
        <v>126</v>
      </c>
      <c r="K746" t="s">
        <v>127</v>
      </c>
      <c r="L746">
        <v>50</v>
      </c>
      <c r="M746">
        <v>1137375</v>
      </c>
      <c r="N746">
        <v>6</v>
      </c>
      <c r="O746">
        <v>3</v>
      </c>
      <c r="P746" t="s">
        <v>168</v>
      </c>
      <c r="Q746" t="s">
        <v>129</v>
      </c>
      <c r="R746">
        <v>12</v>
      </c>
      <c r="T746">
        <v>24</v>
      </c>
      <c r="U746">
        <v>29</v>
      </c>
      <c r="V746">
        <v>0</v>
      </c>
      <c r="W746">
        <v>0</v>
      </c>
      <c r="X746">
        <v>0</v>
      </c>
      <c r="Y746">
        <v>0</v>
      </c>
      <c r="Z746">
        <v>24</v>
      </c>
      <c r="AA746">
        <v>29</v>
      </c>
      <c r="AB746">
        <v>50</v>
      </c>
      <c r="AC746">
        <v>29</v>
      </c>
      <c r="AD746">
        <v>0</v>
      </c>
      <c r="AE746">
        <v>0</v>
      </c>
      <c r="AF746">
        <v>29</v>
      </c>
      <c r="AG746">
        <v>0</v>
      </c>
      <c r="AH746">
        <v>21</v>
      </c>
      <c r="AI746">
        <v>21</v>
      </c>
      <c r="AJ746">
        <v>21</v>
      </c>
      <c r="AK746">
        <v>21</v>
      </c>
      <c r="AL746">
        <v>0</v>
      </c>
      <c r="AM746">
        <v>0.12</v>
      </c>
      <c r="AN746">
        <v>1.9090909090909092</v>
      </c>
      <c r="AO746">
        <v>0</v>
      </c>
      <c r="AP746" t="s">
        <v>130</v>
      </c>
      <c r="AQ746" t="s">
        <v>131</v>
      </c>
      <c r="AR746" t="s">
        <v>523</v>
      </c>
      <c r="AS746">
        <v>4210</v>
      </c>
      <c r="AT746">
        <v>4253</v>
      </c>
      <c r="AU746">
        <v>0</v>
      </c>
      <c r="AV746">
        <v>0</v>
      </c>
      <c r="AW746">
        <v>8.4629999999999992</v>
      </c>
      <c r="AX746">
        <v>0.29182758620689653</v>
      </c>
      <c r="AY746">
        <v>8.4629999999999992</v>
      </c>
      <c r="AZ746" t="s">
        <v>135</v>
      </c>
      <c r="BA746">
        <v>-2.4629999999999992</v>
      </c>
      <c r="BB746">
        <v>-8.4399149237858886</v>
      </c>
      <c r="BC746" t="s">
        <v>133</v>
      </c>
      <c r="BD746">
        <v>0</v>
      </c>
      <c r="BE746" t="s">
        <v>133</v>
      </c>
      <c r="BF74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8.4629999999999992</v>
      </c>
    </row>
    <row r="747" spans="1:58" x14ac:dyDescent="0.25">
      <c r="A747" t="s">
        <v>986</v>
      </c>
      <c r="B747" t="s">
        <v>19</v>
      </c>
      <c r="C747">
        <v>2</v>
      </c>
      <c r="D747">
        <v>131</v>
      </c>
      <c r="E747" t="s">
        <v>2110</v>
      </c>
      <c r="F747" t="s">
        <v>123</v>
      </c>
      <c r="G747" t="s">
        <v>124</v>
      </c>
      <c r="H747" t="s">
        <v>125</v>
      </c>
      <c r="I747" t="s">
        <v>126</v>
      </c>
      <c r="J747" t="s">
        <v>126</v>
      </c>
      <c r="K747" t="s">
        <v>127</v>
      </c>
      <c r="L747">
        <v>50</v>
      </c>
      <c r="M747">
        <v>1137377</v>
      </c>
      <c r="N747">
        <v>6</v>
      </c>
      <c r="O747">
        <v>3</v>
      </c>
      <c r="P747" t="s">
        <v>168</v>
      </c>
      <c r="Q747" t="s">
        <v>129</v>
      </c>
      <c r="R747">
        <v>12</v>
      </c>
      <c r="T747">
        <v>9</v>
      </c>
      <c r="U747">
        <v>14</v>
      </c>
      <c r="V747">
        <v>7</v>
      </c>
      <c r="W747">
        <v>0</v>
      </c>
      <c r="X747">
        <v>7</v>
      </c>
      <c r="Y747">
        <v>1</v>
      </c>
      <c r="Z747">
        <v>17</v>
      </c>
      <c r="AA747">
        <v>22</v>
      </c>
      <c r="AB747">
        <v>50</v>
      </c>
      <c r="AC747">
        <v>17</v>
      </c>
      <c r="AD747">
        <v>14</v>
      </c>
      <c r="AE747">
        <v>2</v>
      </c>
      <c r="AF747">
        <v>33</v>
      </c>
      <c r="AG747">
        <v>0</v>
      </c>
      <c r="AH747">
        <v>33</v>
      </c>
      <c r="AI747">
        <v>17</v>
      </c>
      <c r="AJ747">
        <v>31</v>
      </c>
      <c r="AK747">
        <v>33</v>
      </c>
      <c r="AL747">
        <v>0</v>
      </c>
      <c r="AM747">
        <v>0.12</v>
      </c>
      <c r="AN747">
        <v>2.8181818181818183</v>
      </c>
      <c r="AO747">
        <v>0</v>
      </c>
      <c r="AP747" t="s">
        <v>130</v>
      </c>
      <c r="AQ747" t="s">
        <v>131</v>
      </c>
      <c r="AR747" t="s">
        <v>523</v>
      </c>
      <c r="AS747">
        <v>2076</v>
      </c>
      <c r="AT747">
        <v>2159</v>
      </c>
      <c r="AU747">
        <v>0</v>
      </c>
      <c r="AV747">
        <v>0</v>
      </c>
      <c r="AW747">
        <v>4.2350000000000003</v>
      </c>
      <c r="AX747">
        <v>0.24911764705882355</v>
      </c>
      <c r="AY747">
        <v>8.2208823529411781</v>
      </c>
      <c r="AZ747" t="s">
        <v>135</v>
      </c>
      <c r="BA747">
        <v>-2.2208823529411781</v>
      </c>
      <c r="BB747">
        <v>-8.9149940968122845</v>
      </c>
      <c r="BC747" t="s">
        <v>133</v>
      </c>
      <c r="BD747">
        <v>0</v>
      </c>
      <c r="BE747" t="s">
        <v>133</v>
      </c>
      <c r="BF74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4.2350000000000003</v>
      </c>
    </row>
    <row r="748" spans="1:58" x14ac:dyDescent="0.25">
      <c r="A748" t="s">
        <v>987</v>
      </c>
      <c r="B748" t="s">
        <v>19</v>
      </c>
      <c r="C748">
        <v>2</v>
      </c>
      <c r="D748">
        <v>132</v>
      </c>
      <c r="E748" t="s">
        <v>2110</v>
      </c>
      <c r="F748" t="s">
        <v>123</v>
      </c>
      <c r="G748" t="s">
        <v>124</v>
      </c>
      <c r="H748" t="s">
        <v>125</v>
      </c>
      <c r="I748" t="s">
        <v>126</v>
      </c>
      <c r="J748" t="s">
        <v>126</v>
      </c>
      <c r="K748" t="s">
        <v>127</v>
      </c>
      <c r="L748">
        <v>50</v>
      </c>
      <c r="M748">
        <v>1137379</v>
      </c>
      <c r="N748">
        <v>6</v>
      </c>
      <c r="O748">
        <v>3</v>
      </c>
      <c r="P748" t="s">
        <v>168</v>
      </c>
      <c r="Q748" t="s">
        <v>129</v>
      </c>
      <c r="R748">
        <v>12</v>
      </c>
      <c r="T748">
        <v>21</v>
      </c>
      <c r="U748">
        <v>26</v>
      </c>
      <c r="V748">
        <v>4</v>
      </c>
      <c r="W748">
        <v>0</v>
      </c>
      <c r="X748">
        <v>4</v>
      </c>
      <c r="Y748">
        <v>0</v>
      </c>
      <c r="Z748">
        <v>25</v>
      </c>
      <c r="AA748">
        <v>30</v>
      </c>
      <c r="AB748">
        <v>50</v>
      </c>
      <c r="AC748">
        <v>26</v>
      </c>
      <c r="AD748">
        <v>8</v>
      </c>
      <c r="AE748">
        <v>0</v>
      </c>
      <c r="AF748">
        <v>34</v>
      </c>
      <c r="AG748">
        <v>0</v>
      </c>
      <c r="AH748">
        <v>24</v>
      </c>
      <c r="AI748">
        <v>16</v>
      </c>
      <c r="AJ748">
        <v>24</v>
      </c>
      <c r="AK748">
        <v>24</v>
      </c>
      <c r="AL748">
        <v>0</v>
      </c>
      <c r="AM748">
        <v>0.12</v>
      </c>
      <c r="AN748">
        <v>2.1818181818181817</v>
      </c>
      <c r="AO748">
        <v>0</v>
      </c>
      <c r="AP748" t="s">
        <v>130</v>
      </c>
      <c r="AQ748" t="s">
        <v>131</v>
      </c>
      <c r="AR748" t="s">
        <v>523</v>
      </c>
      <c r="AS748">
        <v>3022</v>
      </c>
      <c r="AT748">
        <v>3033</v>
      </c>
      <c r="AU748">
        <v>0</v>
      </c>
      <c r="AV748">
        <v>0</v>
      </c>
      <c r="AW748">
        <v>6.0549999999999997</v>
      </c>
      <c r="AX748">
        <v>0.23288461538461538</v>
      </c>
      <c r="AY748">
        <v>7.9180769230769235</v>
      </c>
      <c r="AZ748" t="s">
        <v>135</v>
      </c>
      <c r="BA748">
        <v>-1.9180769230769235</v>
      </c>
      <c r="BB748">
        <v>-8.2361684558216375</v>
      </c>
      <c r="BC748" t="s">
        <v>133</v>
      </c>
      <c r="BD748">
        <v>0</v>
      </c>
      <c r="BE748" t="s">
        <v>133</v>
      </c>
      <c r="BF74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6.0549999999999997</v>
      </c>
    </row>
    <row r="749" spans="1:58" x14ac:dyDescent="0.25">
      <c r="A749" t="s">
        <v>988</v>
      </c>
      <c r="B749" t="s">
        <v>19</v>
      </c>
      <c r="C749">
        <v>2</v>
      </c>
      <c r="D749">
        <v>133</v>
      </c>
      <c r="E749" t="s">
        <v>2110</v>
      </c>
      <c r="F749" t="s">
        <v>123</v>
      </c>
      <c r="G749" t="s">
        <v>124</v>
      </c>
      <c r="H749" t="s">
        <v>125</v>
      </c>
      <c r="I749" t="s">
        <v>126</v>
      </c>
      <c r="J749" t="s">
        <v>126</v>
      </c>
      <c r="K749" t="s">
        <v>127</v>
      </c>
      <c r="L749">
        <v>50</v>
      </c>
      <c r="M749">
        <v>1137381</v>
      </c>
      <c r="N749">
        <v>6</v>
      </c>
      <c r="O749">
        <v>3</v>
      </c>
      <c r="P749" t="s">
        <v>168</v>
      </c>
      <c r="Q749" t="s">
        <v>129</v>
      </c>
      <c r="R749">
        <v>12</v>
      </c>
      <c r="T749">
        <v>25</v>
      </c>
      <c r="U749">
        <v>30</v>
      </c>
      <c r="V749">
        <v>6</v>
      </c>
      <c r="W749">
        <v>0</v>
      </c>
      <c r="X749">
        <v>6</v>
      </c>
      <c r="Y749">
        <v>0</v>
      </c>
      <c r="Z749">
        <v>31</v>
      </c>
      <c r="AA749">
        <v>36</v>
      </c>
      <c r="AB749">
        <v>50</v>
      </c>
      <c r="AC749">
        <v>30</v>
      </c>
      <c r="AD749">
        <v>6</v>
      </c>
      <c r="AE749">
        <v>0</v>
      </c>
      <c r="AF749">
        <v>36</v>
      </c>
      <c r="AG749">
        <v>0</v>
      </c>
      <c r="AH749">
        <v>20</v>
      </c>
      <c r="AI749">
        <v>14</v>
      </c>
      <c r="AJ749">
        <v>20</v>
      </c>
      <c r="AK749">
        <v>20</v>
      </c>
      <c r="AL749">
        <v>0</v>
      </c>
      <c r="AM749">
        <v>0.12</v>
      </c>
      <c r="AN749">
        <v>1.8181818181818183</v>
      </c>
      <c r="AO749">
        <v>0</v>
      </c>
      <c r="AP749" t="s">
        <v>130</v>
      </c>
      <c r="AQ749" t="s">
        <v>131</v>
      </c>
      <c r="AR749" t="s">
        <v>523</v>
      </c>
      <c r="AS749">
        <v>3368</v>
      </c>
      <c r="AT749">
        <v>3441</v>
      </c>
      <c r="AU749">
        <v>0</v>
      </c>
      <c r="AV749">
        <v>0</v>
      </c>
      <c r="AW749">
        <v>6.8090000000000002</v>
      </c>
      <c r="AX749">
        <v>0.22696666666666668</v>
      </c>
      <c r="AY749">
        <v>8.1707999999999998</v>
      </c>
      <c r="AZ749" t="s">
        <v>135</v>
      </c>
      <c r="BA749">
        <v>-2.1707999999999998</v>
      </c>
      <c r="BB749">
        <v>-9.5644000587457771</v>
      </c>
      <c r="BC749" t="s">
        <v>144</v>
      </c>
      <c r="BD749">
        <v>0</v>
      </c>
      <c r="BE749" t="s">
        <v>133</v>
      </c>
      <c r="BF74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6.8090000000000002</v>
      </c>
    </row>
    <row r="750" spans="1:58" x14ac:dyDescent="0.25">
      <c r="A750" t="s">
        <v>989</v>
      </c>
      <c r="B750" t="s">
        <v>19</v>
      </c>
      <c r="C750">
        <v>2</v>
      </c>
      <c r="D750">
        <v>134</v>
      </c>
      <c r="E750" t="s">
        <v>2109</v>
      </c>
      <c r="F750" t="s">
        <v>123</v>
      </c>
      <c r="G750" t="s">
        <v>124</v>
      </c>
      <c r="H750" t="s">
        <v>125</v>
      </c>
      <c r="I750" t="s">
        <v>154</v>
      </c>
      <c r="J750" t="s">
        <v>154</v>
      </c>
      <c r="K750" t="s">
        <v>151</v>
      </c>
      <c r="L750">
        <v>50</v>
      </c>
      <c r="M750">
        <v>1137383</v>
      </c>
      <c r="N750">
        <v>0</v>
      </c>
      <c r="O750">
        <v>3</v>
      </c>
      <c r="P750" t="s">
        <v>168</v>
      </c>
      <c r="Q750" t="s">
        <v>129</v>
      </c>
      <c r="R750">
        <v>13</v>
      </c>
      <c r="S750" t="s">
        <v>189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50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50</v>
      </c>
      <c r="AJ750">
        <v>50</v>
      </c>
      <c r="AK750">
        <v>50</v>
      </c>
      <c r="AL750">
        <v>50</v>
      </c>
      <c r="AM750">
        <v>0</v>
      </c>
      <c r="AN750">
        <v>4.5454545454545459</v>
      </c>
      <c r="AO750">
        <v>0</v>
      </c>
      <c r="AP750" t="s">
        <v>172</v>
      </c>
      <c r="AQ750" t="s">
        <v>155</v>
      </c>
      <c r="AR750" t="s">
        <v>229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 t="s">
        <v>147</v>
      </c>
      <c r="BA750">
        <v>0</v>
      </c>
      <c r="BB750">
        <v>0</v>
      </c>
      <c r="BC750" t="s">
        <v>132</v>
      </c>
      <c r="BD750">
        <v>1</v>
      </c>
      <c r="BE750" t="s">
        <v>133</v>
      </c>
      <c r="BF75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51" spans="1:58" x14ac:dyDescent="0.25">
      <c r="A751" t="s">
        <v>990</v>
      </c>
      <c r="B751" t="s">
        <v>19</v>
      </c>
      <c r="C751">
        <v>2</v>
      </c>
      <c r="D751">
        <v>135</v>
      </c>
      <c r="E751" t="s">
        <v>2109</v>
      </c>
      <c r="F751" t="s">
        <v>123</v>
      </c>
      <c r="G751" t="s">
        <v>124</v>
      </c>
      <c r="H751" t="s">
        <v>136</v>
      </c>
      <c r="I751" t="s">
        <v>183</v>
      </c>
      <c r="J751" t="s">
        <v>137</v>
      </c>
      <c r="K751" t="s">
        <v>127</v>
      </c>
      <c r="L751">
        <v>50</v>
      </c>
      <c r="M751">
        <v>1137385</v>
      </c>
      <c r="N751">
        <v>10</v>
      </c>
      <c r="O751">
        <v>3</v>
      </c>
      <c r="P751" t="s">
        <v>168</v>
      </c>
      <c r="Q751" t="s">
        <v>129</v>
      </c>
      <c r="R751">
        <v>13</v>
      </c>
      <c r="S751" t="s">
        <v>991</v>
      </c>
      <c r="T751">
        <v>0</v>
      </c>
      <c r="U751">
        <v>2</v>
      </c>
      <c r="V751">
        <v>1</v>
      </c>
      <c r="W751">
        <v>0</v>
      </c>
      <c r="X751">
        <v>1</v>
      </c>
      <c r="Y751">
        <v>0</v>
      </c>
      <c r="Z751">
        <v>0</v>
      </c>
      <c r="AA751">
        <v>3</v>
      </c>
      <c r="AB751">
        <v>50</v>
      </c>
      <c r="AC751">
        <v>2</v>
      </c>
      <c r="AD751">
        <v>1</v>
      </c>
      <c r="AE751">
        <v>0</v>
      </c>
      <c r="AF751">
        <v>3</v>
      </c>
      <c r="AG751">
        <v>0</v>
      </c>
      <c r="AH751">
        <v>48</v>
      </c>
      <c r="AI751">
        <v>47</v>
      </c>
      <c r="AJ751">
        <v>48</v>
      </c>
      <c r="AK751">
        <v>48</v>
      </c>
      <c r="AL751">
        <v>0</v>
      </c>
      <c r="AM751">
        <v>0.2</v>
      </c>
      <c r="AN751">
        <v>4.3636363636363633</v>
      </c>
      <c r="AO751">
        <v>0</v>
      </c>
      <c r="AP751" t="s">
        <v>188</v>
      </c>
      <c r="AQ751" t="s">
        <v>131</v>
      </c>
      <c r="AR751" t="s">
        <v>229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0</v>
      </c>
      <c r="AZ751" t="s">
        <v>147</v>
      </c>
      <c r="BA751">
        <v>10</v>
      </c>
      <c r="BB751">
        <v>0</v>
      </c>
      <c r="BC751" t="s">
        <v>133</v>
      </c>
      <c r="BD751">
        <v>0</v>
      </c>
      <c r="BE751" t="s">
        <v>133</v>
      </c>
      <c r="BF75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52" spans="1:58" x14ac:dyDescent="0.25">
      <c r="A752" t="s">
        <v>992</v>
      </c>
      <c r="B752" t="s">
        <v>19</v>
      </c>
      <c r="C752">
        <v>2</v>
      </c>
      <c r="D752">
        <v>136</v>
      </c>
      <c r="E752" t="s">
        <v>2109</v>
      </c>
      <c r="F752" t="s">
        <v>123</v>
      </c>
      <c r="G752" t="s">
        <v>124</v>
      </c>
      <c r="H752" t="s">
        <v>136</v>
      </c>
      <c r="I752" t="s">
        <v>183</v>
      </c>
      <c r="J752" t="s">
        <v>137</v>
      </c>
      <c r="K752" t="s">
        <v>127</v>
      </c>
      <c r="L752">
        <v>50</v>
      </c>
      <c r="M752">
        <v>1137387</v>
      </c>
      <c r="N752">
        <v>10</v>
      </c>
      <c r="O752">
        <v>3</v>
      </c>
      <c r="P752" t="s">
        <v>168</v>
      </c>
      <c r="Q752" t="s">
        <v>129</v>
      </c>
      <c r="R752">
        <v>13</v>
      </c>
      <c r="S752" t="s">
        <v>991</v>
      </c>
      <c r="T752">
        <v>0</v>
      </c>
      <c r="U752">
        <v>4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4</v>
      </c>
      <c r="AB752">
        <v>50</v>
      </c>
      <c r="AC752">
        <v>4</v>
      </c>
      <c r="AD752">
        <v>0</v>
      </c>
      <c r="AE752">
        <v>0</v>
      </c>
      <c r="AF752">
        <v>4</v>
      </c>
      <c r="AG752">
        <v>0</v>
      </c>
      <c r="AH752">
        <v>46</v>
      </c>
      <c r="AI752">
        <v>46</v>
      </c>
      <c r="AJ752">
        <v>46</v>
      </c>
      <c r="AK752">
        <v>46</v>
      </c>
      <c r="AL752">
        <v>0</v>
      </c>
      <c r="AM752">
        <v>0.2</v>
      </c>
      <c r="AN752">
        <v>4.1818181818181817</v>
      </c>
      <c r="AO752">
        <v>0</v>
      </c>
      <c r="AP752" t="s">
        <v>188</v>
      </c>
      <c r="AQ752" t="s">
        <v>131</v>
      </c>
      <c r="AR752" t="s">
        <v>229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 t="s">
        <v>147</v>
      </c>
      <c r="BA752">
        <v>10</v>
      </c>
      <c r="BB752">
        <v>0</v>
      </c>
      <c r="BC752" t="s">
        <v>133</v>
      </c>
      <c r="BD752">
        <v>0</v>
      </c>
      <c r="BE752" t="s">
        <v>133</v>
      </c>
      <c r="BF75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53" spans="1:58" x14ac:dyDescent="0.25">
      <c r="A753" t="s">
        <v>993</v>
      </c>
      <c r="B753" t="s">
        <v>19</v>
      </c>
      <c r="C753">
        <v>2</v>
      </c>
      <c r="D753">
        <v>137</v>
      </c>
      <c r="E753" t="s">
        <v>2109</v>
      </c>
      <c r="F753" t="s">
        <v>123</v>
      </c>
      <c r="G753" t="s">
        <v>124</v>
      </c>
      <c r="H753" t="s">
        <v>125</v>
      </c>
      <c r="I753" t="s">
        <v>183</v>
      </c>
      <c r="J753" t="s">
        <v>140</v>
      </c>
      <c r="K753" t="s">
        <v>166</v>
      </c>
      <c r="L753">
        <v>50</v>
      </c>
      <c r="M753">
        <v>3479174</v>
      </c>
      <c r="N753">
        <v>20</v>
      </c>
      <c r="O753">
        <v>3</v>
      </c>
      <c r="P753" t="s">
        <v>168</v>
      </c>
      <c r="Q753" t="s">
        <v>129</v>
      </c>
      <c r="R753">
        <v>13</v>
      </c>
      <c r="S753" t="s">
        <v>994</v>
      </c>
      <c r="T753">
        <v>0</v>
      </c>
      <c r="U753">
        <v>0</v>
      </c>
      <c r="V753">
        <v>25</v>
      </c>
      <c r="W753">
        <v>0</v>
      </c>
      <c r="X753">
        <v>25</v>
      </c>
      <c r="Y753">
        <v>0</v>
      </c>
      <c r="Z753">
        <v>22</v>
      </c>
      <c r="AA753">
        <v>25</v>
      </c>
      <c r="AB753">
        <v>50</v>
      </c>
      <c r="AC753">
        <v>0</v>
      </c>
      <c r="AD753">
        <v>49</v>
      </c>
      <c r="AE753">
        <v>0</v>
      </c>
      <c r="AF753">
        <v>49</v>
      </c>
      <c r="AG753">
        <v>0</v>
      </c>
      <c r="AH753">
        <v>50</v>
      </c>
      <c r="AI753">
        <v>1</v>
      </c>
      <c r="AJ753">
        <v>50</v>
      </c>
      <c r="AK753">
        <v>50</v>
      </c>
      <c r="AL753">
        <v>0</v>
      </c>
      <c r="AM753">
        <v>0.4</v>
      </c>
      <c r="AN753">
        <v>4.5454545454545459</v>
      </c>
      <c r="AO753">
        <v>0</v>
      </c>
      <c r="AP753" t="s">
        <v>184</v>
      </c>
      <c r="AQ753" t="s">
        <v>131</v>
      </c>
      <c r="AR753" t="s">
        <v>229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 t="s">
        <v>135</v>
      </c>
      <c r="BA753">
        <v>20</v>
      </c>
      <c r="BB753">
        <v>0</v>
      </c>
      <c r="BC753" t="s">
        <v>133</v>
      </c>
      <c r="BD753">
        <v>0</v>
      </c>
      <c r="BE753" t="s">
        <v>133</v>
      </c>
      <c r="BF75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54" spans="1:58" x14ac:dyDescent="0.25">
      <c r="A754" t="s">
        <v>995</v>
      </c>
      <c r="B754" t="s">
        <v>19</v>
      </c>
      <c r="C754">
        <v>2</v>
      </c>
      <c r="D754">
        <v>138</v>
      </c>
      <c r="E754" t="s">
        <v>2109</v>
      </c>
      <c r="F754" t="s">
        <v>123</v>
      </c>
      <c r="G754" t="s">
        <v>124</v>
      </c>
      <c r="H754" t="s">
        <v>125</v>
      </c>
      <c r="I754" t="s">
        <v>183</v>
      </c>
      <c r="J754" t="s">
        <v>140</v>
      </c>
      <c r="K754" t="s">
        <v>166</v>
      </c>
      <c r="L754">
        <v>50</v>
      </c>
      <c r="M754">
        <v>1137391</v>
      </c>
      <c r="N754">
        <v>20</v>
      </c>
      <c r="O754">
        <v>3</v>
      </c>
      <c r="P754" t="s">
        <v>168</v>
      </c>
      <c r="Q754" t="s">
        <v>129</v>
      </c>
      <c r="R754">
        <v>13</v>
      </c>
      <c r="S754" t="s">
        <v>994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50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50</v>
      </c>
      <c r="AI754">
        <v>50</v>
      </c>
      <c r="AJ754">
        <v>50</v>
      </c>
      <c r="AK754">
        <v>50</v>
      </c>
      <c r="AL754">
        <v>0</v>
      </c>
      <c r="AM754">
        <v>0.4</v>
      </c>
      <c r="AN754">
        <v>4.5454545454545459</v>
      </c>
      <c r="AO754">
        <v>0</v>
      </c>
      <c r="AP754" t="s">
        <v>184</v>
      </c>
      <c r="AQ754" t="s">
        <v>155</v>
      </c>
      <c r="AR754" t="s">
        <v>229</v>
      </c>
      <c r="AS754">
        <v>0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0</v>
      </c>
      <c r="AZ754" t="s">
        <v>135</v>
      </c>
      <c r="BA754">
        <v>20</v>
      </c>
      <c r="BB754">
        <v>0</v>
      </c>
      <c r="BC754" t="s">
        <v>133</v>
      </c>
      <c r="BD754">
        <v>0</v>
      </c>
      <c r="BE754" t="s">
        <v>133</v>
      </c>
      <c r="BF75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55" spans="1:58" x14ac:dyDescent="0.25">
      <c r="A755" t="s">
        <v>996</v>
      </c>
      <c r="B755" t="s">
        <v>19</v>
      </c>
      <c r="C755">
        <v>2</v>
      </c>
      <c r="D755">
        <v>139</v>
      </c>
      <c r="E755" t="s">
        <v>2109</v>
      </c>
      <c r="F755" t="s">
        <v>123</v>
      </c>
      <c r="G755" t="s">
        <v>124</v>
      </c>
      <c r="H755" t="s">
        <v>125</v>
      </c>
      <c r="I755" t="s">
        <v>154</v>
      </c>
      <c r="J755" t="s">
        <v>154</v>
      </c>
      <c r="K755" t="s">
        <v>151</v>
      </c>
      <c r="L755">
        <v>50</v>
      </c>
      <c r="M755">
        <v>1137393</v>
      </c>
      <c r="N755">
        <v>0</v>
      </c>
      <c r="O755">
        <v>3</v>
      </c>
      <c r="P755" t="s">
        <v>168</v>
      </c>
      <c r="Q755" t="s">
        <v>129</v>
      </c>
      <c r="R755">
        <v>13</v>
      </c>
      <c r="S755" t="s">
        <v>189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50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50</v>
      </c>
      <c r="AJ755">
        <v>50</v>
      </c>
      <c r="AK755">
        <v>50</v>
      </c>
      <c r="AL755">
        <v>50</v>
      </c>
      <c r="AM755">
        <v>0</v>
      </c>
      <c r="AN755">
        <v>4.5454545454545459</v>
      </c>
      <c r="AO755">
        <v>0</v>
      </c>
      <c r="AP755" t="s">
        <v>172</v>
      </c>
      <c r="AQ755" t="s">
        <v>155</v>
      </c>
      <c r="AR755" t="s">
        <v>229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0</v>
      </c>
      <c r="AZ755" t="s">
        <v>147</v>
      </c>
      <c r="BA755">
        <v>0</v>
      </c>
      <c r="BB755">
        <v>0</v>
      </c>
      <c r="BC755" t="s">
        <v>133</v>
      </c>
      <c r="BD755">
        <v>1</v>
      </c>
      <c r="BE755" t="s">
        <v>133</v>
      </c>
      <c r="BF75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56" spans="1:58" x14ac:dyDescent="0.25">
      <c r="A756" t="s">
        <v>997</v>
      </c>
      <c r="B756" t="s">
        <v>19</v>
      </c>
      <c r="C756">
        <v>2</v>
      </c>
      <c r="D756">
        <v>140</v>
      </c>
      <c r="E756" t="s">
        <v>2108</v>
      </c>
      <c r="F756" t="s">
        <v>123</v>
      </c>
      <c r="G756" t="s">
        <v>124</v>
      </c>
      <c r="H756" t="s">
        <v>136</v>
      </c>
      <c r="I756" t="s">
        <v>137</v>
      </c>
      <c r="J756" t="s">
        <v>152</v>
      </c>
      <c r="K756" t="s">
        <v>127</v>
      </c>
      <c r="L756">
        <v>50</v>
      </c>
      <c r="M756">
        <v>1137395</v>
      </c>
      <c r="N756">
        <v>0</v>
      </c>
      <c r="O756">
        <v>3</v>
      </c>
      <c r="P756" t="s">
        <v>168</v>
      </c>
      <c r="Q756" t="s">
        <v>129</v>
      </c>
      <c r="R756">
        <v>13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50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50</v>
      </c>
      <c r="AI756">
        <v>50</v>
      </c>
      <c r="AJ756">
        <v>50</v>
      </c>
      <c r="AK756">
        <v>50</v>
      </c>
      <c r="AL756">
        <v>0</v>
      </c>
      <c r="AM756">
        <v>0</v>
      </c>
      <c r="AN756">
        <v>4.5454545454545459</v>
      </c>
      <c r="AO756">
        <v>0</v>
      </c>
      <c r="AP756" t="s">
        <v>139</v>
      </c>
      <c r="AQ756" t="s">
        <v>155</v>
      </c>
      <c r="AR756" t="s">
        <v>194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 t="s">
        <v>147</v>
      </c>
      <c r="BA756">
        <v>0</v>
      </c>
      <c r="BB756">
        <v>0</v>
      </c>
      <c r="BC756" t="s">
        <v>133</v>
      </c>
      <c r="BD756">
        <v>2</v>
      </c>
      <c r="BE756" t="s">
        <v>133</v>
      </c>
      <c r="BF75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57" spans="1:58" x14ac:dyDescent="0.25">
      <c r="A757" t="s">
        <v>998</v>
      </c>
      <c r="B757" t="s">
        <v>19</v>
      </c>
      <c r="C757">
        <v>2</v>
      </c>
      <c r="D757">
        <v>141</v>
      </c>
      <c r="E757" t="s">
        <v>2109</v>
      </c>
      <c r="F757" t="s">
        <v>123</v>
      </c>
      <c r="G757" t="s">
        <v>124</v>
      </c>
      <c r="H757" t="s">
        <v>125</v>
      </c>
      <c r="I757" t="s">
        <v>154</v>
      </c>
      <c r="J757" t="s">
        <v>154</v>
      </c>
      <c r="K757" t="s">
        <v>151</v>
      </c>
      <c r="L757">
        <v>50</v>
      </c>
      <c r="M757">
        <v>1137397</v>
      </c>
      <c r="N757">
        <v>0</v>
      </c>
      <c r="O757">
        <v>3</v>
      </c>
      <c r="P757" t="s">
        <v>168</v>
      </c>
      <c r="Q757" t="s">
        <v>129</v>
      </c>
      <c r="R757">
        <v>13</v>
      </c>
      <c r="S757" t="s">
        <v>189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50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50</v>
      </c>
      <c r="AJ757">
        <v>50</v>
      </c>
      <c r="AK757">
        <v>50</v>
      </c>
      <c r="AL757">
        <v>50</v>
      </c>
      <c r="AM757">
        <v>0</v>
      </c>
      <c r="AN757">
        <v>4.5454545454545459</v>
      </c>
      <c r="AO757">
        <v>0</v>
      </c>
      <c r="AP757" t="s">
        <v>172</v>
      </c>
      <c r="AQ757" t="s">
        <v>155</v>
      </c>
      <c r="AR757" t="s">
        <v>229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 t="s">
        <v>147</v>
      </c>
      <c r="BA757">
        <v>0</v>
      </c>
      <c r="BB757">
        <v>0</v>
      </c>
      <c r="BC757" t="s">
        <v>133</v>
      </c>
      <c r="BD757">
        <v>3</v>
      </c>
      <c r="BE757" t="s">
        <v>133</v>
      </c>
      <c r="BF75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58" spans="1:58" x14ac:dyDescent="0.25">
      <c r="A758" t="s">
        <v>999</v>
      </c>
      <c r="B758" t="s">
        <v>19</v>
      </c>
      <c r="C758">
        <v>2</v>
      </c>
      <c r="D758">
        <v>142</v>
      </c>
      <c r="E758" t="s">
        <v>2109</v>
      </c>
      <c r="F758" t="s">
        <v>123</v>
      </c>
      <c r="G758" t="s">
        <v>124</v>
      </c>
      <c r="H758" t="s">
        <v>125</v>
      </c>
      <c r="I758" t="s">
        <v>154</v>
      </c>
      <c r="J758" t="s">
        <v>154</v>
      </c>
      <c r="K758" t="s">
        <v>151</v>
      </c>
      <c r="L758">
        <v>50</v>
      </c>
      <c r="M758">
        <v>1137399</v>
      </c>
      <c r="N758">
        <v>0</v>
      </c>
      <c r="O758">
        <v>3</v>
      </c>
      <c r="P758" t="s">
        <v>168</v>
      </c>
      <c r="Q758" t="s">
        <v>129</v>
      </c>
      <c r="R758">
        <v>13</v>
      </c>
      <c r="S758" t="s">
        <v>189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50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50</v>
      </c>
      <c r="AJ758">
        <v>50</v>
      </c>
      <c r="AK758">
        <v>50</v>
      </c>
      <c r="AL758">
        <v>50</v>
      </c>
      <c r="AM758">
        <v>0</v>
      </c>
      <c r="AN758">
        <v>4.5454545454545459</v>
      </c>
      <c r="AO758">
        <v>0</v>
      </c>
      <c r="AP758" t="s">
        <v>172</v>
      </c>
      <c r="AQ758" t="s">
        <v>155</v>
      </c>
      <c r="AR758" t="s">
        <v>229</v>
      </c>
      <c r="AS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 t="s">
        <v>147</v>
      </c>
      <c r="BA758">
        <v>0</v>
      </c>
      <c r="BB758">
        <v>0</v>
      </c>
      <c r="BC758" t="s">
        <v>133</v>
      </c>
      <c r="BD758">
        <v>4</v>
      </c>
      <c r="BE758" t="s">
        <v>133</v>
      </c>
      <c r="BF75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59" spans="1:58" x14ac:dyDescent="0.25">
      <c r="A759" t="s">
        <v>1000</v>
      </c>
      <c r="B759" t="s">
        <v>19</v>
      </c>
      <c r="C759">
        <v>2</v>
      </c>
      <c r="D759">
        <v>143</v>
      </c>
      <c r="E759" t="s">
        <v>2109</v>
      </c>
      <c r="F759" t="s">
        <v>123</v>
      </c>
      <c r="G759" t="s">
        <v>124</v>
      </c>
      <c r="H759" t="s">
        <v>125</v>
      </c>
      <c r="I759" t="s">
        <v>154</v>
      </c>
      <c r="J759" t="s">
        <v>154</v>
      </c>
      <c r="K759" t="s">
        <v>151</v>
      </c>
      <c r="L759">
        <v>50</v>
      </c>
      <c r="M759">
        <v>1137401</v>
      </c>
      <c r="N759">
        <v>0</v>
      </c>
      <c r="O759">
        <v>3</v>
      </c>
      <c r="P759" t="s">
        <v>168</v>
      </c>
      <c r="Q759" t="s">
        <v>129</v>
      </c>
      <c r="R759">
        <v>13</v>
      </c>
      <c r="S759" t="s">
        <v>189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50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50</v>
      </c>
      <c r="AJ759">
        <v>50</v>
      </c>
      <c r="AK759">
        <v>50</v>
      </c>
      <c r="AL759">
        <v>50</v>
      </c>
      <c r="AM759">
        <v>0</v>
      </c>
      <c r="AN759">
        <v>4.5454545454545459</v>
      </c>
      <c r="AO759">
        <v>0</v>
      </c>
      <c r="AP759" t="s">
        <v>172</v>
      </c>
      <c r="AQ759" t="s">
        <v>155</v>
      </c>
      <c r="AR759" t="s">
        <v>229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0</v>
      </c>
      <c r="AZ759" t="s">
        <v>147</v>
      </c>
      <c r="BA759">
        <v>0</v>
      </c>
      <c r="BB759">
        <v>0</v>
      </c>
      <c r="BC759" t="s">
        <v>133</v>
      </c>
      <c r="BD759">
        <v>5</v>
      </c>
      <c r="BE759" t="s">
        <v>133</v>
      </c>
      <c r="BF75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60" spans="1:58" x14ac:dyDescent="0.25">
      <c r="A760" t="s">
        <v>1001</v>
      </c>
      <c r="B760" t="s">
        <v>19</v>
      </c>
      <c r="C760">
        <v>2</v>
      </c>
      <c r="D760">
        <v>144</v>
      </c>
      <c r="E760" t="s">
        <v>2109</v>
      </c>
      <c r="F760" t="s">
        <v>123</v>
      </c>
      <c r="G760" t="s">
        <v>124</v>
      </c>
      <c r="H760" t="s">
        <v>125</v>
      </c>
      <c r="I760" t="s">
        <v>154</v>
      </c>
      <c r="J760" t="s">
        <v>154</v>
      </c>
      <c r="K760" t="s">
        <v>151</v>
      </c>
      <c r="L760">
        <v>50</v>
      </c>
      <c r="M760">
        <v>1137403</v>
      </c>
      <c r="N760">
        <v>0</v>
      </c>
      <c r="O760">
        <v>3</v>
      </c>
      <c r="P760" t="s">
        <v>168</v>
      </c>
      <c r="Q760" t="s">
        <v>129</v>
      </c>
      <c r="R760">
        <v>13</v>
      </c>
      <c r="S760" t="s">
        <v>189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50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50</v>
      </c>
      <c r="AJ760">
        <v>50</v>
      </c>
      <c r="AK760">
        <v>50</v>
      </c>
      <c r="AL760">
        <v>50</v>
      </c>
      <c r="AM760">
        <v>0</v>
      </c>
      <c r="AN760">
        <v>4.5454545454545459</v>
      </c>
      <c r="AO760">
        <v>0</v>
      </c>
      <c r="AP760" t="s">
        <v>172</v>
      </c>
      <c r="AQ760" t="s">
        <v>155</v>
      </c>
      <c r="AR760" t="s">
        <v>229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0</v>
      </c>
      <c r="AY760">
        <v>0</v>
      </c>
      <c r="AZ760" t="s">
        <v>147</v>
      </c>
      <c r="BA760">
        <v>0</v>
      </c>
      <c r="BB760">
        <v>0</v>
      </c>
      <c r="BC760" t="s">
        <v>133</v>
      </c>
      <c r="BD760">
        <v>6</v>
      </c>
      <c r="BE760" t="s">
        <v>133</v>
      </c>
      <c r="BF76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61" spans="1:58" x14ac:dyDescent="0.25">
      <c r="A761" t="s">
        <v>1002</v>
      </c>
      <c r="B761" t="s">
        <v>19</v>
      </c>
      <c r="C761">
        <v>2</v>
      </c>
      <c r="D761">
        <v>145</v>
      </c>
      <c r="E761" t="s">
        <v>2109</v>
      </c>
      <c r="F761" t="s">
        <v>123</v>
      </c>
      <c r="G761" t="s">
        <v>124</v>
      </c>
      <c r="H761" t="s">
        <v>125</v>
      </c>
      <c r="I761" t="s">
        <v>154</v>
      </c>
      <c r="J761" t="s">
        <v>154</v>
      </c>
      <c r="K761" t="s">
        <v>151</v>
      </c>
      <c r="L761">
        <v>50</v>
      </c>
      <c r="M761">
        <v>1137405</v>
      </c>
      <c r="N761">
        <v>0</v>
      </c>
      <c r="O761">
        <v>3</v>
      </c>
      <c r="P761" t="s">
        <v>168</v>
      </c>
      <c r="Q761" t="s">
        <v>129</v>
      </c>
      <c r="R761">
        <v>13</v>
      </c>
      <c r="S761" t="s">
        <v>189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50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50</v>
      </c>
      <c r="AJ761">
        <v>50</v>
      </c>
      <c r="AK761">
        <v>50</v>
      </c>
      <c r="AL761">
        <v>50</v>
      </c>
      <c r="AM761">
        <v>0</v>
      </c>
      <c r="AN761">
        <v>4.5454545454545459</v>
      </c>
      <c r="AO761">
        <v>0</v>
      </c>
      <c r="AP761" t="s">
        <v>172</v>
      </c>
      <c r="AQ761" t="s">
        <v>155</v>
      </c>
      <c r="AR761" t="s">
        <v>229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 t="s">
        <v>147</v>
      </c>
      <c r="BA761">
        <v>0</v>
      </c>
      <c r="BB761">
        <v>0</v>
      </c>
      <c r="BC761" t="s">
        <v>144</v>
      </c>
      <c r="BD761">
        <v>7</v>
      </c>
      <c r="BE761" t="s">
        <v>133</v>
      </c>
      <c r="BF76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62" spans="1:58" x14ac:dyDescent="0.25">
      <c r="A762" t="s">
        <v>1003</v>
      </c>
      <c r="B762" t="s">
        <v>19</v>
      </c>
      <c r="C762">
        <v>2</v>
      </c>
      <c r="D762">
        <v>146</v>
      </c>
      <c r="E762" t="s">
        <v>2109</v>
      </c>
      <c r="F762" t="s">
        <v>123</v>
      </c>
      <c r="G762" t="s">
        <v>124</v>
      </c>
      <c r="H762" t="s">
        <v>125</v>
      </c>
      <c r="I762" t="s">
        <v>183</v>
      </c>
      <c r="J762" t="s">
        <v>140</v>
      </c>
      <c r="K762" t="s">
        <v>166</v>
      </c>
      <c r="L762">
        <v>50</v>
      </c>
      <c r="M762">
        <v>1137407</v>
      </c>
      <c r="N762">
        <v>20</v>
      </c>
      <c r="O762">
        <v>3</v>
      </c>
      <c r="P762" t="s">
        <v>168</v>
      </c>
      <c r="Q762" t="s">
        <v>129</v>
      </c>
      <c r="R762">
        <v>14</v>
      </c>
      <c r="S762" t="s">
        <v>1004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50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50</v>
      </c>
      <c r="AI762">
        <v>50</v>
      </c>
      <c r="AJ762">
        <v>50</v>
      </c>
      <c r="AK762">
        <v>50</v>
      </c>
      <c r="AL762">
        <v>0</v>
      </c>
      <c r="AM762">
        <v>0.4</v>
      </c>
      <c r="AN762">
        <v>4.5454545454545459</v>
      </c>
      <c r="AO762">
        <v>0</v>
      </c>
      <c r="AP762" t="s">
        <v>184</v>
      </c>
      <c r="AQ762" t="s">
        <v>155</v>
      </c>
      <c r="AR762" t="s">
        <v>229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 t="s">
        <v>135</v>
      </c>
      <c r="BA762">
        <v>20</v>
      </c>
      <c r="BB762">
        <v>0</v>
      </c>
      <c r="BC762" t="s">
        <v>132</v>
      </c>
      <c r="BD762">
        <v>0</v>
      </c>
      <c r="BE762" t="s">
        <v>133</v>
      </c>
      <c r="BF76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63" spans="1:58" x14ac:dyDescent="0.25">
      <c r="A763" t="s">
        <v>1005</v>
      </c>
      <c r="B763" t="s">
        <v>19</v>
      </c>
      <c r="C763">
        <v>2</v>
      </c>
      <c r="D763">
        <v>147</v>
      </c>
      <c r="E763" t="s">
        <v>2109</v>
      </c>
      <c r="F763" t="s">
        <v>123</v>
      </c>
      <c r="G763" t="s">
        <v>124</v>
      </c>
      <c r="H763" t="s">
        <v>125</v>
      </c>
      <c r="I763" t="s">
        <v>183</v>
      </c>
      <c r="J763" t="s">
        <v>140</v>
      </c>
      <c r="K763" t="s">
        <v>166</v>
      </c>
      <c r="L763">
        <v>50</v>
      </c>
      <c r="M763">
        <v>1137409</v>
      </c>
      <c r="N763">
        <v>20</v>
      </c>
      <c r="O763">
        <v>3</v>
      </c>
      <c r="P763" t="s">
        <v>168</v>
      </c>
      <c r="Q763" t="s">
        <v>129</v>
      </c>
      <c r="R763">
        <v>14</v>
      </c>
      <c r="S763" t="s">
        <v>1004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50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50</v>
      </c>
      <c r="AI763">
        <v>50</v>
      </c>
      <c r="AJ763">
        <v>50</v>
      </c>
      <c r="AK763">
        <v>50</v>
      </c>
      <c r="AL763">
        <v>0</v>
      </c>
      <c r="AM763">
        <v>0.4</v>
      </c>
      <c r="AN763">
        <v>4.5454545454545459</v>
      </c>
      <c r="AO763">
        <v>0</v>
      </c>
      <c r="AP763" t="s">
        <v>184</v>
      </c>
      <c r="AQ763" t="s">
        <v>155</v>
      </c>
      <c r="AR763" t="s">
        <v>229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0</v>
      </c>
      <c r="AY763">
        <v>0</v>
      </c>
      <c r="AZ763" t="s">
        <v>135</v>
      </c>
      <c r="BA763">
        <v>20</v>
      </c>
      <c r="BB763">
        <v>0</v>
      </c>
      <c r="BC763" t="s">
        <v>133</v>
      </c>
      <c r="BD763">
        <v>0</v>
      </c>
      <c r="BE763" t="s">
        <v>133</v>
      </c>
      <c r="BF76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64" spans="1:58" x14ac:dyDescent="0.25">
      <c r="A764" t="s">
        <v>1006</v>
      </c>
      <c r="B764" t="s">
        <v>19</v>
      </c>
      <c r="C764">
        <v>2</v>
      </c>
      <c r="D764">
        <v>148</v>
      </c>
      <c r="E764" t="s">
        <v>2109</v>
      </c>
      <c r="F764" t="s">
        <v>123</v>
      </c>
      <c r="G764" t="s">
        <v>124</v>
      </c>
      <c r="H764" t="s">
        <v>125</v>
      </c>
      <c r="I764" t="s">
        <v>183</v>
      </c>
      <c r="J764" t="s">
        <v>140</v>
      </c>
      <c r="K764" t="s">
        <v>127</v>
      </c>
      <c r="L764">
        <v>50</v>
      </c>
      <c r="M764">
        <v>3472564</v>
      </c>
      <c r="N764">
        <v>20</v>
      </c>
      <c r="O764">
        <v>3</v>
      </c>
      <c r="P764" t="s">
        <v>168</v>
      </c>
      <c r="Q764" t="s">
        <v>129</v>
      </c>
      <c r="R764">
        <v>14</v>
      </c>
      <c r="S764" t="s">
        <v>1007</v>
      </c>
      <c r="T764">
        <v>22</v>
      </c>
      <c r="U764">
        <v>25</v>
      </c>
      <c r="V764">
        <v>0</v>
      </c>
      <c r="W764">
        <v>0</v>
      </c>
      <c r="X764">
        <v>0</v>
      </c>
      <c r="Y764">
        <v>0</v>
      </c>
      <c r="Z764">
        <v>22</v>
      </c>
      <c r="AA764">
        <v>25</v>
      </c>
      <c r="AB764">
        <v>50</v>
      </c>
      <c r="AC764">
        <v>49</v>
      </c>
      <c r="AD764">
        <v>0</v>
      </c>
      <c r="AE764">
        <v>0</v>
      </c>
      <c r="AF764">
        <v>49</v>
      </c>
      <c r="AG764">
        <v>0</v>
      </c>
      <c r="AH764">
        <v>1</v>
      </c>
      <c r="AI764">
        <v>1</v>
      </c>
      <c r="AJ764">
        <v>1</v>
      </c>
      <c r="AK764">
        <v>1</v>
      </c>
      <c r="AL764">
        <v>0</v>
      </c>
      <c r="AM764">
        <v>0.4</v>
      </c>
      <c r="AN764">
        <v>9.0909090909090912E-2</v>
      </c>
      <c r="AO764">
        <v>0</v>
      </c>
      <c r="AP764" t="s">
        <v>188</v>
      </c>
      <c r="AQ764" t="s">
        <v>131</v>
      </c>
      <c r="AR764" t="s">
        <v>229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0</v>
      </c>
      <c r="AY764">
        <v>0</v>
      </c>
      <c r="AZ764" t="s">
        <v>134</v>
      </c>
      <c r="BA764">
        <v>20</v>
      </c>
      <c r="BB764">
        <v>0</v>
      </c>
      <c r="BC764" t="s">
        <v>133</v>
      </c>
      <c r="BD764">
        <v>0</v>
      </c>
      <c r="BE764" t="s">
        <v>133</v>
      </c>
      <c r="BF76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65" spans="1:58" x14ac:dyDescent="0.25">
      <c r="A765" t="s">
        <v>1008</v>
      </c>
      <c r="B765" t="s">
        <v>19</v>
      </c>
      <c r="C765">
        <v>2</v>
      </c>
      <c r="D765">
        <v>149</v>
      </c>
      <c r="E765" t="s">
        <v>2109</v>
      </c>
      <c r="F765" t="s">
        <v>123</v>
      </c>
      <c r="G765" t="s">
        <v>124</v>
      </c>
      <c r="H765" t="s">
        <v>125</v>
      </c>
      <c r="I765" t="s">
        <v>183</v>
      </c>
      <c r="J765" t="s">
        <v>140</v>
      </c>
      <c r="K765" t="s">
        <v>166</v>
      </c>
      <c r="L765">
        <v>50</v>
      </c>
      <c r="M765">
        <v>3499299</v>
      </c>
      <c r="N765">
        <v>20</v>
      </c>
      <c r="O765">
        <v>3</v>
      </c>
      <c r="P765" t="s">
        <v>168</v>
      </c>
      <c r="Q765" t="s">
        <v>129</v>
      </c>
      <c r="R765">
        <v>14</v>
      </c>
      <c r="S765" t="s">
        <v>1007</v>
      </c>
      <c r="T765">
        <v>22</v>
      </c>
      <c r="U765">
        <v>25</v>
      </c>
      <c r="V765">
        <v>0</v>
      </c>
      <c r="W765">
        <v>0</v>
      </c>
      <c r="X765">
        <v>0</v>
      </c>
      <c r="Y765">
        <v>0</v>
      </c>
      <c r="Z765">
        <v>22</v>
      </c>
      <c r="AA765">
        <v>25</v>
      </c>
      <c r="AB765">
        <v>50</v>
      </c>
      <c r="AC765">
        <v>49</v>
      </c>
      <c r="AD765">
        <v>0</v>
      </c>
      <c r="AE765">
        <v>0</v>
      </c>
      <c r="AF765">
        <v>49</v>
      </c>
      <c r="AG765">
        <v>0</v>
      </c>
      <c r="AH765">
        <v>1</v>
      </c>
      <c r="AI765">
        <v>1</v>
      </c>
      <c r="AJ765">
        <v>1</v>
      </c>
      <c r="AK765">
        <v>1</v>
      </c>
      <c r="AL765">
        <v>0</v>
      </c>
      <c r="AM765">
        <v>0.4</v>
      </c>
      <c r="AN765">
        <v>9.0909090909090912E-2</v>
      </c>
      <c r="AO765">
        <v>0</v>
      </c>
      <c r="AP765" t="s">
        <v>184</v>
      </c>
      <c r="AQ765" t="s">
        <v>131</v>
      </c>
      <c r="AR765" t="s">
        <v>229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0</v>
      </c>
      <c r="AZ765" t="s">
        <v>135</v>
      </c>
      <c r="BA765">
        <v>20</v>
      </c>
      <c r="BB765">
        <v>0</v>
      </c>
      <c r="BC765" t="s">
        <v>133</v>
      </c>
      <c r="BD765">
        <v>0</v>
      </c>
      <c r="BE765" t="s">
        <v>133</v>
      </c>
      <c r="BF76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66" spans="1:58" x14ac:dyDescent="0.25">
      <c r="A766" t="s">
        <v>1009</v>
      </c>
      <c r="B766" t="s">
        <v>19</v>
      </c>
      <c r="C766">
        <v>2</v>
      </c>
      <c r="D766">
        <v>150</v>
      </c>
      <c r="E766" t="s">
        <v>2109</v>
      </c>
      <c r="F766" t="s">
        <v>123</v>
      </c>
      <c r="G766" t="s">
        <v>124</v>
      </c>
      <c r="H766" t="s">
        <v>125</v>
      </c>
      <c r="I766" t="s">
        <v>154</v>
      </c>
      <c r="J766" t="s">
        <v>154</v>
      </c>
      <c r="K766" t="s">
        <v>151</v>
      </c>
      <c r="L766">
        <v>50</v>
      </c>
      <c r="M766">
        <v>1137415</v>
      </c>
      <c r="N766">
        <v>0</v>
      </c>
      <c r="O766">
        <v>3</v>
      </c>
      <c r="P766" t="s">
        <v>168</v>
      </c>
      <c r="Q766" t="s">
        <v>129</v>
      </c>
      <c r="R766">
        <v>14</v>
      </c>
      <c r="S766" t="s">
        <v>189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50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50</v>
      </c>
      <c r="AJ766">
        <v>50</v>
      </c>
      <c r="AK766">
        <v>50</v>
      </c>
      <c r="AL766">
        <v>50</v>
      </c>
      <c r="AM766">
        <v>0</v>
      </c>
      <c r="AN766">
        <v>4.5454545454545459</v>
      </c>
      <c r="AO766">
        <v>0</v>
      </c>
      <c r="AP766" t="s">
        <v>172</v>
      </c>
      <c r="AQ766" t="s">
        <v>155</v>
      </c>
      <c r="AR766" t="s">
        <v>229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0</v>
      </c>
      <c r="AY766">
        <v>0</v>
      </c>
      <c r="AZ766" t="s">
        <v>147</v>
      </c>
      <c r="BA766">
        <v>0</v>
      </c>
      <c r="BB766">
        <v>0</v>
      </c>
      <c r="BC766" t="s">
        <v>133</v>
      </c>
      <c r="BD766">
        <v>1</v>
      </c>
      <c r="BE766" t="s">
        <v>133</v>
      </c>
      <c r="BF76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67" spans="1:58" x14ac:dyDescent="0.25">
      <c r="A767" t="s">
        <v>1010</v>
      </c>
      <c r="B767" t="s">
        <v>19</v>
      </c>
      <c r="C767">
        <v>2</v>
      </c>
      <c r="D767">
        <v>151</v>
      </c>
      <c r="E767" t="s">
        <v>2110</v>
      </c>
      <c r="F767" t="s">
        <v>123</v>
      </c>
      <c r="G767" t="s">
        <v>124</v>
      </c>
      <c r="H767" t="s">
        <v>136</v>
      </c>
      <c r="I767" t="s">
        <v>137</v>
      </c>
      <c r="J767" t="s">
        <v>152</v>
      </c>
      <c r="K767" t="s">
        <v>127</v>
      </c>
      <c r="L767">
        <v>50</v>
      </c>
      <c r="M767">
        <v>1137417</v>
      </c>
      <c r="N767">
        <v>0</v>
      </c>
      <c r="O767">
        <v>3</v>
      </c>
      <c r="P767" t="s">
        <v>168</v>
      </c>
      <c r="Q767" t="s">
        <v>129</v>
      </c>
      <c r="R767">
        <v>14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50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50</v>
      </c>
      <c r="AI767">
        <v>50</v>
      </c>
      <c r="AJ767">
        <v>50</v>
      </c>
      <c r="AK767">
        <v>50</v>
      </c>
      <c r="AL767">
        <v>0</v>
      </c>
      <c r="AM767">
        <v>0</v>
      </c>
      <c r="AN767">
        <v>4.5454545454545459</v>
      </c>
      <c r="AO767">
        <v>0</v>
      </c>
      <c r="AP767" t="s">
        <v>139</v>
      </c>
      <c r="AQ767" t="s">
        <v>155</v>
      </c>
      <c r="AR767" t="s">
        <v>523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0</v>
      </c>
      <c r="AZ767" t="s">
        <v>147</v>
      </c>
      <c r="BA767">
        <v>0</v>
      </c>
      <c r="BB767">
        <v>0</v>
      </c>
      <c r="BC767" t="s">
        <v>133</v>
      </c>
      <c r="BD767">
        <v>2</v>
      </c>
      <c r="BE767" t="s">
        <v>133</v>
      </c>
      <c r="BF76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68" spans="1:58" x14ac:dyDescent="0.25">
      <c r="A768" t="s">
        <v>1011</v>
      </c>
      <c r="B768" t="s">
        <v>19</v>
      </c>
      <c r="C768">
        <v>2</v>
      </c>
      <c r="D768">
        <v>152</v>
      </c>
      <c r="E768" t="s">
        <v>2109</v>
      </c>
      <c r="F768" t="s">
        <v>123</v>
      </c>
      <c r="G768" t="s">
        <v>124</v>
      </c>
      <c r="H768" t="s">
        <v>125</v>
      </c>
      <c r="I768" t="s">
        <v>154</v>
      </c>
      <c r="J768" t="s">
        <v>154</v>
      </c>
      <c r="K768" t="s">
        <v>151</v>
      </c>
      <c r="L768">
        <v>50</v>
      </c>
      <c r="M768">
        <v>1137419</v>
      </c>
      <c r="N768">
        <v>0</v>
      </c>
      <c r="O768">
        <v>3</v>
      </c>
      <c r="P768" t="s">
        <v>168</v>
      </c>
      <c r="Q768" t="s">
        <v>129</v>
      </c>
      <c r="R768">
        <v>14</v>
      </c>
      <c r="S768" t="s">
        <v>189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50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50</v>
      </c>
      <c r="AJ768">
        <v>50</v>
      </c>
      <c r="AK768">
        <v>50</v>
      </c>
      <c r="AL768">
        <v>50</v>
      </c>
      <c r="AM768">
        <v>0</v>
      </c>
      <c r="AN768">
        <v>4.5454545454545459</v>
      </c>
      <c r="AO768">
        <v>0</v>
      </c>
      <c r="AP768" t="s">
        <v>172</v>
      </c>
      <c r="AQ768" t="s">
        <v>155</v>
      </c>
      <c r="AR768" t="s">
        <v>229</v>
      </c>
      <c r="AS768">
        <v>0</v>
      </c>
      <c r="AT768">
        <v>0</v>
      </c>
      <c r="AU768">
        <v>0</v>
      </c>
      <c r="AV768">
        <v>0</v>
      </c>
      <c r="AW768">
        <v>0</v>
      </c>
      <c r="AX768">
        <v>0</v>
      </c>
      <c r="AY768">
        <v>0</v>
      </c>
      <c r="AZ768" t="s">
        <v>147</v>
      </c>
      <c r="BA768">
        <v>0</v>
      </c>
      <c r="BB768">
        <v>0</v>
      </c>
      <c r="BC768" t="s">
        <v>133</v>
      </c>
      <c r="BD768">
        <v>3</v>
      </c>
      <c r="BE768" t="s">
        <v>133</v>
      </c>
      <c r="BF76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69" spans="1:58" x14ac:dyDescent="0.25">
      <c r="A769" t="s">
        <v>1012</v>
      </c>
      <c r="B769" t="s">
        <v>19</v>
      </c>
      <c r="C769">
        <v>2</v>
      </c>
      <c r="D769">
        <v>153</v>
      </c>
      <c r="E769" t="s">
        <v>2109</v>
      </c>
      <c r="F769" t="s">
        <v>123</v>
      </c>
      <c r="G769" t="s">
        <v>124</v>
      </c>
      <c r="H769" t="s">
        <v>125</v>
      </c>
      <c r="I769" t="s">
        <v>154</v>
      </c>
      <c r="J769" t="s">
        <v>154</v>
      </c>
      <c r="K769" t="s">
        <v>151</v>
      </c>
      <c r="L769">
        <v>50</v>
      </c>
      <c r="M769">
        <v>1137421</v>
      </c>
      <c r="N769">
        <v>0</v>
      </c>
      <c r="O769">
        <v>3</v>
      </c>
      <c r="P769" t="s">
        <v>168</v>
      </c>
      <c r="Q769" t="s">
        <v>129</v>
      </c>
      <c r="R769">
        <v>14</v>
      </c>
      <c r="S769" t="s">
        <v>189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50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50</v>
      </c>
      <c r="AJ769">
        <v>50</v>
      </c>
      <c r="AK769">
        <v>50</v>
      </c>
      <c r="AL769">
        <v>50</v>
      </c>
      <c r="AM769">
        <v>0</v>
      </c>
      <c r="AN769">
        <v>4.5454545454545459</v>
      </c>
      <c r="AO769">
        <v>0</v>
      </c>
      <c r="AP769" t="s">
        <v>172</v>
      </c>
      <c r="AQ769" t="s">
        <v>155</v>
      </c>
      <c r="AR769" t="s">
        <v>229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 t="s">
        <v>147</v>
      </c>
      <c r="BA769">
        <v>0</v>
      </c>
      <c r="BB769">
        <v>0</v>
      </c>
      <c r="BC769" t="s">
        <v>133</v>
      </c>
      <c r="BD769">
        <v>4</v>
      </c>
      <c r="BE769" t="s">
        <v>133</v>
      </c>
      <c r="BF76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70" spans="1:58" x14ac:dyDescent="0.25">
      <c r="A770" t="s">
        <v>1013</v>
      </c>
      <c r="B770" t="s">
        <v>19</v>
      </c>
      <c r="C770">
        <v>2</v>
      </c>
      <c r="D770">
        <v>154</v>
      </c>
      <c r="E770" t="s">
        <v>2109</v>
      </c>
      <c r="F770" t="s">
        <v>123</v>
      </c>
      <c r="G770" t="s">
        <v>124</v>
      </c>
      <c r="H770" t="s">
        <v>125</v>
      </c>
      <c r="I770" t="s">
        <v>154</v>
      </c>
      <c r="J770" t="s">
        <v>154</v>
      </c>
      <c r="K770" t="s">
        <v>151</v>
      </c>
      <c r="L770">
        <v>50</v>
      </c>
      <c r="M770">
        <v>1137423</v>
      </c>
      <c r="N770">
        <v>0</v>
      </c>
      <c r="O770">
        <v>3</v>
      </c>
      <c r="P770" t="s">
        <v>168</v>
      </c>
      <c r="Q770" t="s">
        <v>129</v>
      </c>
      <c r="R770">
        <v>14</v>
      </c>
      <c r="S770" t="s">
        <v>189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50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50</v>
      </c>
      <c r="AJ770">
        <v>50</v>
      </c>
      <c r="AK770">
        <v>50</v>
      </c>
      <c r="AL770">
        <v>50</v>
      </c>
      <c r="AM770">
        <v>0</v>
      </c>
      <c r="AN770">
        <v>4.5454545454545459</v>
      </c>
      <c r="AO770">
        <v>0</v>
      </c>
      <c r="AP770" t="s">
        <v>172</v>
      </c>
      <c r="AQ770" t="s">
        <v>155</v>
      </c>
      <c r="AR770" t="s">
        <v>229</v>
      </c>
      <c r="AS770">
        <v>0</v>
      </c>
      <c r="AT770">
        <v>0</v>
      </c>
      <c r="AU770">
        <v>0</v>
      </c>
      <c r="AV770">
        <v>0</v>
      </c>
      <c r="AW770">
        <v>0</v>
      </c>
      <c r="AX770">
        <v>0</v>
      </c>
      <c r="AY770">
        <v>0</v>
      </c>
      <c r="AZ770" t="s">
        <v>147</v>
      </c>
      <c r="BA770">
        <v>0</v>
      </c>
      <c r="BB770">
        <v>0</v>
      </c>
      <c r="BC770" t="s">
        <v>133</v>
      </c>
      <c r="BD770">
        <v>5</v>
      </c>
      <c r="BE770" t="s">
        <v>133</v>
      </c>
      <c r="BF77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71" spans="1:58" x14ac:dyDescent="0.25">
      <c r="A771" t="s">
        <v>1014</v>
      </c>
      <c r="B771" t="s">
        <v>19</v>
      </c>
      <c r="C771">
        <v>2</v>
      </c>
      <c r="D771">
        <v>155</v>
      </c>
      <c r="E771" t="s">
        <v>2109</v>
      </c>
      <c r="F771" t="s">
        <v>123</v>
      </c>
      <c r="G771" t="s">
        <v>124</v>
      </c>
      <c r="H771" t="s">
        <v>125</v>
      </c>
      <c r="I771" t="s">
        <v>154</v>
      </c>
      <c r="J771" t="s">
        <v>154</v>
      </c>
      <c r="K771" t="s">
        <v>151</v>
      </c>
      <c r="L771">
        <v>50</v>
      </c>
      <c r="M771">
        <v>1137425</v>
      </c>
      <c r="N771">
        <v>0</v>
      </c>
      <c r="O771">
        <v>3</v>
      </c>
      <c r="P771" t="s">
        <v>168</v>
      </c>
      <c r="Q771" t="s">
        <v>129</v>
      </c>
      <c r="R771">
        <v>14</v>
      </c>
      <c r="S771" t="s">
        <v>189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50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50</v>
      </c>
      <c r="AJ771">
        <v>50</v>
      </c>
      <c r="AK771">
        <v>50</v>
      </c>
      <c r="AL771">
        <v>50</v>
      </c>
      <c r="AM771">
        <v>0</v>
      </c>
      <c r="AN771">
        <v>4.5454545454545459</v>
      </c>
      <c r="AO771">
        <v>0</v>
      </c>
      <c r="AP771" t="s">
        <v>172</v>
      </c>
      <c r="AQ771" t="s">
        <v>155</v>
      </c>
      <c r="AR771" t="s">
        <v>229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 t="s">
        <v>147</v>
      </c>
      <c r="BA771">
        <v>0</v>
      </c>
      <c r="BB771">
        <v>0</v>
      </c>
      <c r="BC771" t="s">
        <v>133</v>
      </c>
      <c r="BD771">
        <v>6</v>
      </c>
      <c r="BE771" t="s">
        <v>133</v>
      </c>
      <c r="BF77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72" spans="1:58" x14ac:dyDescent="0.25">
      <c r="A772" t="s">
        <v>1015</v>
      </c>
      <c r="B772" t="s">
        <v>19</v>
      </c>
      <c r="C772">
        <v>2</v>
      </c>
      <c r="D772">
        <v>156</v>
      </c>
      <c r="E772" t="s">
        <v>2109</v>
      </c>
      <c r="F772" t="s">
        <v>123</v>
      </c>
      <c r="G772" t="s">
        <v>124</v>
      </c>
      <c r="H772" t="s">
        <v>125</v>
      </c>
      <c r="I772" t="s">
        <v>154</v>
      </c>
      <c r="J772" t="s">
        <v>154</v>
      </c>
      <c r="K772" t="s">
        <v>151</v>
      </c>
      <c r="L772">
        <v>50</v>
      </c>
      <c r="M772">
        <v>1137427</v>
      </c>
      <c r="N772">
        <v>0</v>
      </c>
      <c r="O772">
        <v>3</v>
      </c>
      <c r="P772" t="s">
        <v>168</v>
      </c>
      <c r="Q772" t="s">
        <v>129</v>
      </c>
      <c r="R772">
        <v>14</v>
      </c>
      <c r="S772" t="s">
        <v>189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50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50</v>
      </c>
      <c r="AJ772">
        <v>50</v>
      </c>
      <c r="AK772">
        <v>50</v>
      </c>
      <c r="AL772">
        <v>50</v>
      </c>
      <c r="AM772">
        <v>0</v>
      </c>
      <c r="AN772">
        <v>4.5454545454545459</v>
      </c>
      <c r="AO772">
        <v>0</v>
      </c>
      <c r="AP772" t="s">
        <v>172</v>
      </c>
      <c r="AQ772" t="s">
        <v>155</v>
      </c>
      <c r="AR772" t="s">
        <v>229</v>
      </c>
      <c r="AS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0</v>
      </c>
      <c r="AZ772" t="s">
        <v>147</v>
      </c>
      <c r="BA772">
        <v>0</v>
      </c>
      <c r="BB772">
        <v>0</v>
      </c>
      <c r="BC772" t="s">
        <v>144</v>
      </c>
      <c r="BD772">
        <v>7</v>
      </c>
      <c r="BE772" t="s">
        <v>133</v>
      </c>
      <c r="BF77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73" spans="1:58" x14ac:dyDescent="0.25">
      <c r="A773" t="s">
        <v>1016</v>
      </c>
      <c r="B773" t="s">
        <v>19</v>
      </c>
      <c r="C773">
        <v>2</v>
      </c>
      <c r="D773">
        <v>157</v>
      </c>
      <c r="E773" t="s">
        <v>2108</v>
      </c>
      <c r="F773" t="s">
        <v>123</v>
      </c>
      <c r="G773" t="s">
        <v>124</v>
      </c>
      <c r="H773" t="s">
        <v>136</v>
      </c>
      <c r="I773" t="s">
        <v>137</v>
      </c>
      <c r="J773" t="s">
        <v>185</v>
      </c>
      <c r="K773" t="s">
        <v>127</v>
      </c>
      <c r="L773">
        <v>50</v>
      </c>
      <c r="M773">
        <v>1137429</v>
      </c>
      <c r="N773">
        <v>9.1</v>
      </c>
      <c r="O773">
        <v>3</v>
      </c>
      <c r="P773" t="s">
        <v>168</v>
      </c>
      <c r="Q773" t="s">
        <v>129</v>
      </c>
      <c r="R773">
        <v>15</v>
      </c>
      <c r="S773" t="s">
        <v>1017</v>
      </c>
      <c r="T773">
        <v>0</v>
      </c>
      <c r="U773">
        <v>6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6</v>
      </c>
      <c r="AB773">
        <v>50</v>
      </c>
      <c r="AC773">
        <v>6</v>
      </c>
      <c r="AD773">
        <v>0</v>
      </c>
      <c r="AE773">
        <v>0</v>
      </c>
      <c r="AF773">
        <v>6</v>
      </c>
      <c r="AG773">
        <v>0</v>
      </c>
      <c r="AH773">
        <v>44</v>
      </c>
      <c r="AI773">
        <v>44</v>
      </c>
      <c r="AJ773">
        <v>44</v>
      </c>
      <c r="AK773">
        <v>44</v>
      </c>
      <c r="AL773">
        <v>0</v>
      </c>
      <c r="AM773">
        <v>0.182</v>
      </c>
      <c r="AN773">
        <v>4</v>
      </c>
      <c r="AO773">
        <v>0</v>
      </c>
      <c r="AP773" t="s">
        <v>139</v>
      </c>
      <c r="AQ773" t="s">
        <v>131</v>
      </c>
      <c r="AR773" t="s">
        <v>194</v>
      </c>
      <c r="AS773">
        <v>266</v>
      </c>
      <c r="AT773">
        <v>168</v>
      </c>
      <c r="AU773">
        <v>0</v>
      </c>
      <c r="AV773">
        <v>0</v>
      </c>
      <c r="AW773">
        <v>0.434</v>
      </c>
      <c r="AX773">
        <v>7.2333333333333333E-2</v>
      </c>
      <c r="AY773">
        <v>0.434</v>
      </c>
      <c r="AZ773" t="s">
        <v>135</v>
      </c>
      <c r="BA773">
        <v>8.6660000000000004</v>
      </c>
      <c r="BB773">
        <v>119.80645161290323</v>
      </c>
      <c r="BC773" t="s">
        <v>132</v>
      </c>
      <c r="BD773">
        <v>0</v>
      </c>
      <c r="BE773" t="s">
        <v>133</v>
      </c>
      <c r="BF77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0.434</v>
      </c>
    </row>
    <row r="774" spans="1:58" x14ac:dyDescent="0.25">
      <c r="A774" t="s">
        <v>1018</v>
      </c>
      <c r="B774" t="s">
        <v>19</v>
      </c>
      <c r="C774">
        <v>2</v>
      </c>
      <c r="D774">
        <v>158</v>
      </c>
      <c r="E774" t="s">
        <v>2108</v>
      </c>
      <c r="F774" t="s">
        <v>123</v>
      </c>
      <c r="G774" t="s">
        <v>124</v>
      </c>
      <c r="H774" t="s">
        <v>125</v>
      </c>
      <c r="I774" t="s">
        <v>140</v>
      </c>
      <c r="J774" t="s">
        <v>141</v>
      </c>
      <c r="K774" t="s">
        <v>127</v>
      </c>
      <c r="L774">
        <v>50</v>
      </c>
      <c r="M774">
        <v>1137431</v>
      </c>
      <c r="N774">
        <v>10</v>
      </c>
      <c r="O774">
        <v>3</v>
      </c>
      <c r="P774" t="s">
        <v>168</v>
      </c>
      <c r="Q774" t="s">
        <v>129</v>
      </c>
      <c r="R774">
        <v>15</v>
      </c>
      <c r="T774">
        <v>27</v>
      </c>
      <c r="U774">
        <v>32</v>
      </c>
      <c r="V774">
        <v>3</v>
      </c>
      <c r="W774">
        <v>0</v>
      </c>
      <c r="X774">
        <v>3</v>
      </c>
      <c r="Y774">
        <v>2</v>
      </c>
      <c r="Z774">
        <v>32</v>
      </c>
      <c r="AA774">
        <v>37</v>
      </c>
      <c r="AB774">
        <v>50</v>
      </c>
      <c r="AC774">
        <v>32</v>
      </c>
      <c r="AD774">
        <v>3</v>
      </c>
      <c r="AE774">
        <v>2</v>
      </c>
      <c r="AF774">
        <v>37</v>
      </c>
      <c r="AG774">
        <v>0</v>
      </c>
      <c r="AH774">
        <v>18</v>
      </c>
      <c r="AI774">
        <v>13</v>
      </c>
      <c r="AJ774">
        <v>16</v>
      </c>
      <c r="AK774">
        <v>18</v>
      </c>
      <c r="AL774">
        <v>0</v>
      </c>
      <c r="AM774">
        <v>0.2</v>
      </c>
      <c r="AN774">
        <v>1.4545454545454546</v>
      </c>
      <c r="AO774">
        <v>0</v>
      </c>
      <c r="AP774" t="s">
        <v>142</v>
      </c>
      <c r="AQ774" t="s">
        <v>131</v>
      </c>
      <c r="AR774" t="s">
        <v>194</v>
      </c>
      <c r="AS774">
        <v>4061</v>
      </c>
      <c r="AT774">
        <v>3532</v>
      </c>
      <c r="AU774">
        <v>0</v>
      </c>
      <c r="AV774">
        <v>0</v>
      </c>
      <c r="AW774">
        <v>7.593</v>
      </c>
      <c r="AX774">
        <v>0.23728125</v>
      </c>
      <c r="AY774">
        <v>8.7794062499999992</v>
      </c>
      <c r="AZ774" t="s">
        <v>135</v>
      </c>
      <c r="BA774">
        <v>1.2205937500000008</v>
      </c>
      <c r="BB774">
        <v>5.1440800737521437</v>
      </c>
      <c r="BC774" t="s">
        <v>133</v>
      </c>
      <c r="BD774">
        <v>0</v>
      </c>
      <c r="BE774" t="s">
        <v>133</v>
      </c>
      <c r="BF77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7.593</v>
      </c>
    </row>
    <row r="775" spans="1:58" x14ac:dyDescent="0.25">
      <c r="A775" t="s">
        <v>1019</v>
      </c>
      <c r="B775" t="s">
        <v>19</v>
      </c>
      <c r="C775">
        <v>2</v>
      </c>
      <c r="D775">
        <v>159</v>
      </c>
      <c r="E775" t="s">
        <v>2108</v>
      </c>
      <c r="F775" t="s">
        <v>123</v>
      </c>
      <c r="G775" t="s">
        <v>124</v>
      </c>
      <c r="H775" t="s">
        <v>125</v>
      </c>
      <c r="I775" t="s">
        <v>140</v>
      </c>
      <c r="J775" t="s">
        <v>141</v>
      </c>
      <c r="K775" t="s">
        <v>127</v>
      </c>
      <c r="L775">
        <v>50</v>
      </c>
      <c r="M775">
        <v>1137433</v>
      </c>
      <c r="N775">
        <v>10</v>
      </c>
      <c r="O775">
        <v>3</v>
      </c>
      <c r="P775" t="s">
        <v>168</v>
      </c>
      <c r="Q775" t="s">
        <v>129</v>
      </c>
      <c r="R775">
        <v>15</v>
      </c>
      <c r="T775">
        <v>12</v>
      </c>
      <c r="U775">
        <v>17</v>
      </c>
      <c r="V775">
        <v>12</v>
      </c>
      <c r="W775">
        <v>0</v>
      </c>
      <c r="X775">
        <v>12</v>
      </c>
      <c r="Y775">
        <v>4</v>
      </c>
      <c r="Z775">
        <v>28</v>
      </c>
      <c r="AA775">
        <v>33</v>
      </c>
      <c r="AB775">
        <v>50</v>
      </c>
      <c r="AC775">
        <v>17</v>
      </c>
      <c r="AD775">
        <v>12</v>
      </c>
      <c r="AE775">
        <v>4</v>
      </c>
      <c r="AF775">
        <v>33</v>
      </c>
      <c r="AG775">
        <v>0</v>
      </c>
      <c r="AH775">
        <v>33</v>
      </c>
      <c r="AI775">
        <v>17</v>
      </c>
      <c r="AJ775">
        <v>29</v>
      </c>
      <c r="AK775">
        <v>33</v>
      </c>
      <c r="AL775">
        <v>0</v>
      </c>
      <c r="AM775">
        <v>0.2</v>
      </c>
      <c r="AN775">
        <v>2.6363636363636362</v>
      </c>
      <c r="AO775">
        <v>0</v>
      </c>
      <c r="AP775" t="s">
        <v>142</v>
      </c>
      <c r="AQ775" t="s">
        <v>131</v>
      </c>
      <c r="AR775" t="s">
        <v>194</v>
      </c>
      <c r="AS775">
        <v>2687</v>
      </c>
      <c r="AT775">
        <v>2787</v>
      </c>
      <c r="AU775">
        <v>0</v>
      </c>
      <c r="AV775">
        <v>0</v>
      </c>
      <c r="AW775">
        <v>5.4740000000000002</v>
      </c>
      <c r="AX775">
        <v>0.32200000000000001</v>
      </c>
      <c r="AY775">
        <v>10.625999999999999</v>
      </c>
      <c r="AZ775" t="s">
        <v>135</v>
      </c>
      <c r="BA775">
        <v>-0.62599999999999945</v>
      </c>
      <c r="BB775">
        <v>-1.9440993788819858</v>
      </c>
      <c r="BC775" t="s">
        <v>133</v>
      </c>
      <c r="BD775">
        <v>0</v>
      </c>
      <c r="BE775" t="s">
        <v>133</v>
      </c>
      <c r="BF77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5.4740000000000002</v>
      </c>
    </row>
    <row r="776" spans="1:58" x14ac:dyDescent="0.25">
      <c r="A776" t="s">
        <v>1020</v>
      </c>
      <c r="B776" t="s">
        <v>19</v>
      </c>
      <c r="C776">
        <v>2</v>
      </c>
      <c r="D776">
        <v>160</v>
      </c>
      <c r="E776" t="s">
        <v>2108</v>
      </c>
      <c r="F776" t="s">
        <v>123</v>
      </c>
      <c r="G776" t="s">
        <v>124</v>
      </c>
      <c r="H776" t="s">
        <v>125</v>
      </c>
      <c r="I776" t="s">
        <v>140</v>
      </c>
      <c r="J776" t="s">
        <v>141</v>
      </c>
      <c r="K776" t="s">
        <v>127</v>
      </c>
      <c r="L776">
        <v>50</v>
      </c>
      <c r="M776">
        <v>1137435</v>
      </c>
      <c r="N776">
        <v>10</v>
      </c>
      <c r="O776">
        <v>3</v>
      </c>
      <c r="P776" t="s">
        <v>168</v>
      </c>
      <c r="Q776" t="s">
        <v>129</v>
      </c>
      <c r="R776">
        <v>15</v>
      </c>
      <c r="T776">
        <v>20</v>
      </c>
      <c r="U776">
        <v>25</v>
      </c>
      <c r="V776">
        <v>10</v>
      </c>
      <c r="W776">
        <v>0</v>
      </c>
      <c r="X776">
        <v>10</v>
      </c>
      <c r="Y776">
        <v>2</v>
      </c>
      <c r="Z776">
        <v>32</v>
      </c>
      <c r="AA776">
        <v>37</v>
      </c>
      <c r="AB776">
        <v>50</v>
      </c>
      <c r="AC776">
        <v>25</v>
      </c>
      <c r="AD776">
        <v>10</v>
      </c>
      <c r="AE776">
        <v>2</v>
      </c>
      <c r="AF776">
        <v>37</v>
      </c>
      <c r="AG776">
        <v>0</v>
      </c>
      <c r="AH776">
        <v>25</v>
      </c>
      <c r="AI776">
        <v>13</v>
      </c>
      <c r="AJ776">
        <v>23</v>
      </c>
      <c r="AK776">
        <v>25</v>
      </c>
      <c r="AL776">
        <v>0</v>
      </c>
      <c r="AM776">
        <v>0.2</v>
      </c>
      <c r="AN776">
        <v>2.0909090909090908</v>
      </c>
      <c r="AO776">
        <v>0</v>
      </c>
      <c r="AP776" t="s">
        <v>142</v>
      </c>
      <c r="AQ776" t="s">
        <v>131</v>
      </c>
      <c r="AR776" t="s">
        <v>194</v>
      </c>
      <c r="AS776">
        <v>3828</v>
      </c>
      <c r="AT776">
        <v>2895</v>
      </c>
      <c r="AU776">
        <v>0</v>
      </c>
      <c r="AV776">
        <v>0</v>
      </c>
      <c r="AW776">
        <v>6.7229999999999999</v>
      </c>
      <c r="AX776">
        <v>0.26891999999999999</v>
      </c>
      <c r="AY776">
        <v>9.9500399999999996</v>
      </c>
      <c r="AZ776" t="s">
        <v>135</v>
      </c>
      <c r="BA776">
        <v>4.9960000000000448E-2</v>
      </c>
      <c r="BB776">
        <v>0.18578015766770953</v>
      </c>
      <c r="BC776" t="s">
        <v>133</v>
      </c>
      <c r="BD776">
        <v>0</v>
      </c>
      <c r="BE776" t="s">
        <v>133</v>
      </c>
      <c r="BF77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6.7229999999999999</v>
      </c>
    </row>
    <row r="777" spans="1:58" x14ac:dyDescent="0.25">
      <c r="A777" t="s">
        <v>1021</v>
      </c>
      <c r="B777" t="s">
        <v>19</v>
      </c>
      <c r="C777">
        <v>2</v>
      </c>
      <c r="D777">
        <v>161</v>
      </c>
      <c r="E777" t="s">
        <v>2108</v>
      </c>
      <c r="F777" t="s">
        <v>123</v>
      </c>
      <c r="G777" t="s">
        <v>124</v>
      </c>
      <c r="H777" t="s">
        <v>125</v>
      </c>
      <c r="I777" t="s">
        <v>140</v>
      </c>
      <c r="J777" t="s">
        <v>141</v>
      </c>
      <c r="K777" t="s">
        <v>127</v>
      </c>
      <c r="L777">
        <v>50</v>
      </c>
      <c r="M777">
        <v>1137437</v>
      </c>
      <c r="N777">
        <v>10</v>
      </c>
      <c r="O777">
        <v>3</v>
      </c>
      <c r="P777" t="s">
        <v>168</v>
      </c>
      <c r="Q777" t="s">
        <v>129</v>
      </c>
      <c r="R777">
        <v>15</v>
      </c>
      <c r="T777">
        <v>22</v>
      </c>
      <c r="U777">
        <v>27</v>
      </c>
      <c r="V777">
        <v>7</v>
      </c>
      <c r="W777">
        <v>0</v>
      </c>
      <c r="X777">
        <v>7</v>
      </c>
      <c r="Y777">
        <v>3</v>
      </c>
      <c r="Z777">
        <v>32</v>
      </c>
      <c r="AA777">
        <v>37</v>
      </c>
      <c r="AB777">
        <v>50</v>
      </c>
      <c r="AC777">
        <v>27</v>
      </c>
      <c r="AD777">
        <v>7</v>
      </c>
      <c r="AE777">
        <v>3</v>
      </c>
      <c r="AF777">
        <v>37</v>
      </c>
      <c r="AG777">
        <v>0</v>
      </c>
      <c r="AH777">
        <v>23</v>
      </c>
      <c r="AI777">
        <v>13</v>
      </c>
      <c r="AJ777">
        <v>20</v>
      </c>
      <c r="AK777">
        <v>23</v>
      </c>
      <c r="AL777">
        <v>0</v>
      </c>
      <c r="AM777">
        <v>0.2</v>
      </c>
      <c r="AN777">
        <v>1.8181818181818183</v>
      </c>
      <c r="AO777">
        <v>0</v>
      </c>
      <c r="AP777" t="s">
        <v>142</v>
      </c>
      <c r="AQ777" t="s">
        <v>131</v>
      </c>
      <c r="AR777" t="s">
        <v>194</v>
      </c>
      <c r="AS777">
        <v>4342</v>
      </c>
      <c r="AT777">
        <v>2730</v>
      </c>
      <c r="AU777">
        <v>0</v>
      </c>
      <c r="AV777">
        <v>0</v>
      </c>
      <c r="AW777">
        <v>7.0720000000000001</v>
      </c>
      <c r="AX777">
        <v>0.26192592592592595</v>
      </c>
      <c r="AY777">
        <v>9.6912592592592599</v>
      </c>
      <c r="AZ777" t="s">
        <v>135</v>
      </c>
      <c r="BA777">
        <v>0.30874074074074009</v>
      </c>
      <c r="BB777">
        <v>1.1787330316742055</v>
      </c>
      <c r="BC777" t="s">
        <v>133</v>
      </c>
      <c r="BD777">
        <v>0</v>
      </c>
      <c r="BE777" t="s">
        <v>133</v>
      </c>
      <c r="BF77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7.0720000000000001</v>
      </c>
    </row>
    <row r="778" spans="1:58" x14ac:dyDescent="0.25">
      <c r="A778" t="s">
        <v>1022</v>
      </c>
      <c r="B778" t="s">
        <v>19</v>
      </c>
      <c r="C778">
        <v>2</v>
      </c>
      <c r="D778">
        <v>162</v>
      </c>
      <c r="E778" t="s">
        <v>2108</v>
      </c>
      <c r="F778" t="s">
        <v>123</v>
      </c>
      <c r="G778" t="s">
        <v>124</v>
      </c>
      <c r="H778" t="s">
        <v>136</v>
      </c>
      <c r="I778" t="s">
        <v>137</v>
      </c>
      <c r="J778" t="s">
        <v>138</v>
      </c>
      <c r="K778" t="s">
        <v>127</v>
      </c>
      <c r="L778">
        <v>50</v>
      </c>
      <c r="M778">
        <v>1137439</v>
      </c>
      <c r="N778">
        <v>5</v>
      </c>
      <c r="O778">
        <v>3</v>
      </c>
      <c r="P778" t="s">
        <v>168</v>
      </c>
      <c r="Q778" t="s">
        <v>129</v>
      </c>
      <c r="R778">
        <v>15</v>
      </c>
      <c r="T778">
        <v>0</v>
      </c>
      <c r="U778">
        <v>5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5</v>
      </c>
      <c r="AB778">
        <v>50</v>
      </c>
      <c r="AC778">
        <v>5</v>
      </c>
      <c r="AD778">
        <v>0</v>
      </c>
      <c r="AE778">
        <v>0</v>
      </c>
      <c r="AF778">
        <v>5</v>
      </c>
      <c r="AG778">
        <v>0</v>
      </c>
      <c r="AH778">
        <v>45</v>
      </c>
      <c r="AI778">
        <v>45</v>
      </c>
      <c r="AJ778">
        <v>45</v>
      </c>
      <c r="AK778">
        <v>45</v>
      </c>
      <c r="AL778">
        <v>0</v>
      </c>
      <c r="AM778">
        <v>0.1</v>
      </c>
      <c r="AN778">
        <v>4.0909090909090908</v>
      </c>
      <c r="AO778">
        <v>0</v>
      </c>
      <c r="AP778" t="s">
        <v>139</v>
      </c>
      <c r="AQ778" t="s">
        <v>131</v>
      </c>
      <c r="AR778" t="s">
        <v>194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0</v>
      </c>
      <c r="AZ778" t="s">
        <v>134</v>
      </c>
      <c r="BA778">
        <v>5</v>
      </c>
      <c r="BB778">
        <v>0</v>
      </c>
      <c r="BC778" t="s">
        <v>133</v>
      </c>
      <c r="BD778">
        <v>0</v>
      </c>
      <c r="BE778" t="s">
        <v>133</v>
      </c>
      <c r="BF77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79" spans="1:58" x14ac:dyDescent="0.25">
      <c r="A779" t="s">
        <v>1023</v>
      </c>
      <c r="B779" t="s">
        <v>19</v>
      </c>
      <c r="C779">
        <v>2</v>
      </c>
      <c r="D779">
        <v>163</v>
      </c>
      <c r="E779" t="s">
        <v>2108</v>
      </c>
      <c r="F779" t="s">
        <v>123</v>
      </c>
      <c r="G779" t="s">
        <v>124</v>
      </c>
      <c r="H779" t="s">
        <v>136</v>
      </c>
      <c r="I779" t="s">
        <v>137</v>
      </c>
      <c r="J779" t="s">
        <v>185</v>
      </c>
      <c r="K779" t="s">
        <v>127</v>
      </c>
      <c r="L779">
        <v>50</v>
      </c>
      <c r="M779">
        <v>1137441</v>
      </c>
      <c r="N779">
        <v>9.1</v>
      </c>
      <c r="O779">
        <v>3</v>
      </c>
      <c r="P779" t="s">
        <v>168</v>
      </c>
      <c r="Q779" t="s">
        <v>129</v>
      </c>
      <c r="R779">
        <v>15</v>
      </c>
      <c r="S779" t="s">
        <v>1017</v>
      </c>
      <c r="T779">
        <v>0</v>
      </c>
      <c r="U779">
        <v>6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6</v>
      </c>
      <c r="AB779">
        <v>50</v>
      </c>
      <c r="AC779">
        <v>6</v>
      </c>
      <c r="AD779">
        <v>0</v>
      </c>
      <c r="AE779">
        <v>0</v>
      </c>
      <c r="AF779">
        <v>6</v>
      </c>
      <c r="AG779">
        <v>0</v>
      </c>
      <c r="AH779">
        <v>44</v>
      </c>
      <c r="AI779">
        <v>44</v>
      </c>
      <c r="AJ779">
        <v>44</v>
      </c>
      <c r="AK779">
        <v>44</v>
      </c>
      <c r="AL779">
        <v>0</v>
      </c>
      <c r="AM779">
        <v>0.182</v>
      </c>
      <c r="AN779">
        <v>4</v>
      </c>
      <c r="AO779">
        <v>0</v>
      </c>
      <c r="AP779" t="s">
        <v>139</v>
      </c>
      <c r="AQ779" t="s">
        <v>131</v>
      </c>
      <c r="AR779" t="s">
        <v>194</v>
      </c>
      <c r="AS779">
        <v>914</v>
      </c>
      <c r="AT779">
        <v>946</v>
      </c>
      <c r="AU779">
        <v>0</v>
      </c>
      <c r="AV779">
        <v>0</v>
      </c>
      <c r="AW779">
        <v>1.86</v>
      </c>
      <c r="AX779">
        <v>0.31</v>
      </c>
      <c r="AY779">
        <v>1.8599999999999999</v>
      </c>
      <c r="AZ779" t="s">
        <v>135</v>
      </c>
      <c r="BA779">
        <v>7.24</v>
      </c>
      <c r="BB779">
        <v>23.35483870967742</v>
      </c>
      <c r="BC779" t="s">
        <v>133</v>
      </c>
      <c r="BD779">
        <v>0</v>
      </c>
      <c r="BE779" t="s">
        <v>133</v>
      </c>
      <c r="BF77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1.86</v>
      </c>
    </row>
    <row r="780" spans="1:58" x14ac:dyDescent="0.25">
      <c r="A780" t="s">
        <v>1024</v>
      </c>
      <c r="B780" t="s">
        <v>19</v>
      </c>
      <c r="C780">
        <v>2</v>
      </c>
      <c r="D780">
        <v>164</v>
      </c>
      <c r="E780" t="s">
        <v>2108</v>
      </c>
      <c r="F780" t="s">
        <v>123</v>
      </c>
      <c r="G780" t="s">
        <v>124</v>
      </c>
      <c r="H780" t="s">
        <v>136</v>
      </c>
      <c r="I780" t="s">
        <v>137</v>
      </c>
      <c r="J780" t="s">
        <v>185</v>
      </c>
      <c r="K780" t="s">
        <v>127</v>
      </c>
      <c r="L780">
        <v>50</v>
      </c>
      <c r="M780">
        <v>1137443</v>
      </c>
      <c r="N780">
        <v>9.1</v>
      </c>
      <c r="O780">
        <v>3</v>
      </c>
      <c r="P780" t="s">
        <v>168</v>
      </c>
      <c r="Q780" t="s">
        <v>129</v>
      </c>
      <c r="R780">
        <v>15</v>
      </c>
      <c r="S780" t="s">
        <v>1017</v>
      </c>
      <c r="T780">
        <v>0</v>
      </c>
      <c r="U780">
        <v>3</v>
      </c>
      <c r="V780">
        <v>2</v>
      </c>
      <c r="W780">
        <v>0</v>
      </c>
      <c r="X780">
        <v>2</v>
      </c>
      <c r="Y780">
        <v>0</v>
      </c>
      <c r="Z780">
        <v>0</v>
      </c>
      <c r="AA780">
        <v>5</v>
      </c>
      <c r="AB780">
        <v>50</v>
      </c>
      <c r="AC780">
        <v>3</v>
      </c>
      <c r="AD780">
        <v>2</v>
      </c>
      <c r="AE780">
        <v>0</v>
      </c>
      <c r="AF780">
        <v>5</v>
      </c>
      <c r="AG780">
        <v>0</v>
      </c>
      <c r="AH780">
        <v>47</v>
      </c>
      <c r="AI780">
        <v>45</v>
      </c>
      <c r="AJ780">
        <v>47</v>
      </c>
      <c r="AK780">
        <v>47</v>
      </c>
      <c r="AL780">
        <v>0</v>
      </c>
      <c r="AM780">
        <v>0.182</v>
      </c>
      <c r="AN780">
        <v>4.2727272727272725</v>
      </c>
      <c r="AO780">
        <v>0</v>
      </c>
      <c r="AP780" t="s">
        <v>139</v>
      </c>
      <c r="AQ780" t="s">
        <v>131</v>
      </c>
      <c r="AR780" t="s">
        <v>194</v>
      </c>
      <c r="AS780">
        <v>192</v>
      </c>
      <c r="AT780">
        <v>175</v>
      </c>
      <c r="AU780">
        <v>0</v>
      </c>
      <c r="AV780">
        <v>0</v>
      </c>
      <c r="AW780">
        <v>0.36699999999999999</v>
      </c>
      <c r="AX780">
        <v>0.12233333333333334</v>
      </c>
      <c r="AY780">
        <v>0.61166666666666669</v>
      </c>
      <c r="AZ780" t="s">
        <v>135</v>
      </c>
      <c r="BA780">
        <v>8.4883333333333333</v>
      </c>
      <c r="BB780">
        <v>69.386920980926433</v>
      </c>
      <c r="BC780" t="s">
        <v>133</v>
      </c>
      <c r="BD780">
        <v>0</v>
      </c>
      <c r="BE780" t="s">
        <v>133</v>
      </c>
      <c r="BF78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0.36699999999999999</v>
      </c>
    </row>
    <row r="781" spans="1:58" x14ac:dyDescent="0.25">
      <c r="A781" t="s">
        <v>1025</v>
      </c>
      <c r="B781" t="s">
        <v>19</v>
      </c>
      <c r="C781">
        <v>2</v>
      </c>
      <c r="D781">
        <v>165</v>
      </c>
      <c r="E781" t="s">
        <v>2108</v>
      </c>
      <c r="F781" t="s">
        <v>123</v>
      </c>
      <c r="G781" t="s">
        <v>124</v>
      </c>
      <c r="H781" t="s">
        <v>136</v>
      </c>
      <c r="I781" t="s">
        <v>137</v>
      </c>
      <c r="J781" t="s">
        <v>185</v>
      </c>
      <c r="K781" t="s">
        <v>127</v>
      </c>
      <c r="L781">
        <v>50</v>
      </c>
      <c r="M781">
        <v>1137445</v>
      </c>
      <c r="N781">
        <v>9.1</v>
      </c>
      <c r="O781">
        <v>3</v>
      </c>
      <c r="P781" t="s">
        <v>168</v>
      </c>
      <c r="Q781" t="s">
        <v>129</v>
      </c>
      <c r="R781">
        <v>15</v>
      </c>
      <c r="S781" t="s">
        <v>1017</v>
      </c>
      <c r="T781">
        <v>2</v>
      </c>
      <c r="U781">
        <v>5</v>
      </c>
      <c r="V781">
        <v>2</v>
      </c>
      <c r="W781">
        <v>0</v>
      </c>
      <c r="X781">
        <v>2</v>
      </c>
      <c r="Y781">
        <v>0</v>
      </c>
      <c r="Z781">
        <v>2</v>
      </c>
      <c r="AA781">
        <v>7</v>
      </c>
      <c r="AB781">
        <v>50</v>
      </c>
      <c r="AC781">
        <v>5</v>
      </c>
      <c r="AD781">
        <v>2</v>
      </c>
      <c r="AE781">
        <v>0</v>
      </c>
      <c r="AF781">
        <v>7</v>
      </c>
      <c r="AG781">
        <v>0</v>
      </c>
      <c r="AH781">
        <v>45</v>
      </c>
      <c r="AI781">
        <v>43</v>
      </c>
      <c r="AJ781">
        <v>45</v>
      </c>
      <c r="AK781">
        <v>45</v>
      </c>
      <c r="AL781">
        <v>0</v>
      </c>
      <c r="AM781">
        <v>0.182</v>
      </c>
      <c r="AN781">
        <v>4.0909090909090908</v>
      </c>
      <c r="AO781">
        <v>0</v>
      </c>
      <c r="AP781" t="s">
        <v>139</v>
      </c>
      <c r="AQ781" t="s">
        <v>131</v>
      </c>
      <c r="AR781" t="s">
        <v>194</v>
      </c>
      <c r="AS781">
        <v>352</v>
      </c>
      <c r="AT781">
        <v>325</v>
      </c>
      <c r="AU781">
        <v>0</v>
      </c>
      <c r="AV781">
        <v>0</v>
      </c>
      <c r="AW781">
        <v>0.67700000000000005</v>
      </c>
      <c r="AX781">
        <v>0.13540000000000002</v>
      </c>
      <c r="AY781">
        <v>0.9478000000000002</v>
      </c>
      <c r="AZ781" t="s">
        <v>135</v>
      </c>
      <c r="BA781">
        <v>8.1521999999999988</v>
      </c>
      <c r="BB781">
        <v>60.20827178729688</v>
      </c>
      <c r="BC781" t="s">
        <v>133</v>
      </c>
      <c r="BD781">
        <v>0</v>
      </c>
      <c r="BE781" t="s">
        <v>133</v>
      </c>
      <c r="BF78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0.67700000000000005</v>
      </c>
    </row>
    <row r="782" spans="1:58" x14ac:dyDescent="0.25">
      <c r="A782" t="s">
        <v>1026</v>
      </c>
      <c r="B782" t="s">
        <v>19</v>
      </c>
      <c r="C782">
        <v>2</v>
      </c>
      <c r="D782">
        <v>166</v>
      </c>
      <c r="E782" t="s">
        <v>2108</v>
      </c>
      <c r="F782" t="s">
        <v>123</v>
      </c>
      <c r="G782" t="s">
        <v>124</v>
      </c>
      <c r="H782" t="s">
        <v>136</v>
      </c>
      <c r="I782" t="s">
        <v>137</v>
      </c>
      <c r="J782" t="s">
        <v>185</v>
      </c>
      <c r="K782" t="s">
        <v>127</v>
      </c>
      <c r="L782">
        <v>50</v>
      </c>
      <c r="M782">
        <v>1137447</v>
      </c>
      <c r="N782">
        <v>9.1</v>
      </c>
      <c r="O782">
        <v>3</v>
      </c>
      <c r="P782" t="s">
        <v>168</v>
      </c>
      <c r="Q782" t="s">
        <v>129</v>
      </c>
      <c r="R782">
        <v>15</v>
      </c>
      <c r="S782" t="s">
        <v>1017</v>
      </c>
      <c r="T782">
        <v>0</v>
      </c>
      <c r="U782">
        <v>3</v>
      </c>
      <c r="V782">
        <v>2</v>
      </c>
      <c r="W782">
        <v>0</v>
      </c>
      <c r="X782">
        <v>2</v>
      </c>
      <c r="Y782">
        <v>0</v>
      </c>
      <c r="Z782">
        <v>0</v>
      </c>
      <c r="AA782">
        <v>5</v>
      </c>
      <c r="AB782">
        <v>50</v>
      </c>
      <c r="AC782">
        <v>3</v>
      </c>
      <c r="AD782">
        <v>2</v>
      </c>
      <c r="AE782">
        <v>0</v>
      </c>
      <c r="AF782">
        <v>5</v>
      </c>
      <c r="AG782">
        <v>0</v>
      </c>
      <c r="AH782">
        <v>47</v>
      </c>
      <c r="AI782">
        <v>45</v>
      </c>
      <c r="AJ782">
        <v>47</v>
      </c>
      <c r="AK782">
        <v>47</v>
      </c>
      <c r="AL782">
        <v>0</v>
      </c>
      <c r="AM782">
        <v>0.182</v>
      </c>
      <c r="AN782">
        <v>4.2727272727272725</v>
      </c>
      <c r="AO782">
        <v>0</v>
      </c>
      <c r="AP782" t="s">
        <v>139</v>
      </c>
      <c r="AQ782" t="s">
        <v>131</v>
      </c>
      <c r="AR782" t="s">
        <v>194</v>
      </c>
      <c r="AS782">
        <v>180</v>
      </c>
      <c r="AT782">
        <v>193</v>
      </c>
      <c r="AU782">
        <v>0</v>
      </c>
      <c r="AV782">
        <v>0</v>
      </c>
      <c r="AW782">
        <v>0.373</v>
      </c>
      <c r="AX782">
        <v>0.12433333333333334</v>
      </c>
      <c r="AY782">
        <v>0.6216666666666667</v>
      </c>
      <c r="AZ782" t="s">
        <v>135</v>
      </c>
      <c r="BA782">
        <v>8.4783333333333335</v>
      </c>
      <c r="BB782">
        <v>68.190348525469162</v>
      </c>
      <c r="BC782" t="s">
        <v>133</v>
      </c>
      <c r="BD782">
        <v>0</v>
      </c>
      <c r="BE782" t="s">
        <v>133</v>
      </c>
      <c r="BF78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0.373</v>
      </c>
    </row>
    <row r="783" spans="1:58" x14ac:dyDescent="0.25">
      <c r="A783" t="s">
        <v>1027</v>
      </c>
      <c r="B783" t="s">
        <v>19</v>
      </c>
      <c r="C783">
        <v>2</v>
      </c>
      <c r="D783">
        <v>167</v>
      </c>
      <c r="E783" t="s">
        <v>2108</v>
      </c>
      <c r="F783" t="s">
        <v>123</v>
      </c>
      <c r="G783" t="s">
        <v>124</v>
      </c>
      <c r="H783" t="s">
        <v>136</v>
      </c>
      <c r="I783" t="s">
        <v>137</v>
      </c>
      <c r="J783" t="s">
        <v>185</v>
      </c>
      <c r="K783" t="s">
        <v>127</v>
      </c>
      <c r="L783">
        <v>50</v>
      </c>
      <c r="M783">
        <v>1137449</v>
      </c>
      <c r="N783">
        <v>9.1</v>
      </c>
      <c r="O783">
        <v>3</v>
      </c>
      <c r="P783" t="s">
        <v>168</v>
      </c>
      <c r="Q783" t="s">
        <v>129</v>
      </c>
      <c r="R783">
        <v>15</v>
      </c>
      <c r="S783" t="s">
        <v>1017</v>
      </c>
      <c r="T783">
        <v>0</v>
      </c>
      <c r="U783">
        <v>3</v>
      </c>
      <c r="V783">
        <v>2</v>
      </c>
      <c r="W783">
        <v>0</v>
      </c>
      <c r="X783">
        <v>2</v>
      </c>
      <c r="Y783">
        <v>0</v>
      </c>
      <c r="Z783">
        <v>0</v>
      </c>
      <c r="AA783">
        <v>5</v>
      </c>
      <c r="AB783">
        <v>50</v>
      </c>
      <c r="AC783">
        <v>3</v>
      </c>
      <c r="AD783">
        <v>2</v>
      </c>
      <c r="AE783">
        <v>0</v>
      </c>
      <c r="AF783">
        <v>5</v>
      </c>
      <c r="AG783">
        <v>0</v>
      </c>
      <c r="AH783">
        <v>47</v>
      </c>
      <c r="AI783">
        <v>45</v>
      </c>
      <c r="AJ783">
        <v>47</v>
      </c>
      <c r="AK783">
        <v>47</v>
      </c>
      <c r="AL783">
        <v>0</v>
      </c>
      <c r="AM783">
        <v>0.182</v>
      </c>
      <c r="AN783">
        <v>4.2727272727272725</v>
      </c>
      <c r="AO783">
        <v>0</v>
      </c>
      <c r="AP783" t="s">
        <v>139</v>
      </c>
      <c r="AQ783" t="s">
        <v>131</v>
      </c>
      <c r="AR783" t="s">
        <v>194</v>
      </c>
      <c r="AS783">
        <v>196</v>
      </c>
      <c r="AT783">
        <v>196</v>
      </c>
      <c r="AU783">
        <v>0</v>
      </c>
      <c r="AV783">
        <v>0</v>
      </c>
      <c r="AW783">
        <v>0.39200000000000002</v>
      </c>
      <c r="AX783">
        <v>0.13066666666666668</v>
      </c>
      <c r="AY783">
        <v>0.65333333333333343</v>
      </c>
      <c r="AZ783" t="s">
        <v>135</v>
      </c>
      <c r="BA783">
        <v>8.4466666666666654</v>
      </c>
      <c r="BB783">
        <v>64.642857142857125</v>
      </c>
      <c r="BC783" t="s">
        <v>144</v>
      </c>
      <c r="BD783">
        <v>0</v>
      </c>
      <c r="BE783" t="s">
        <v>133</v>
      </c>
      <c r="BF78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0.39200000000000002</v>
      </c>
    </row>
    <row r="784" spans="1:58" x14ac:dyDescent="0.25">
      <c r="A784" t="s">
        <v>1028</v>
      </c>
      <c r="B784" t="s">
        <v>19</v>
      </c>
      <c r="C784">
        <v>2</v>
      </c>
      <c r="D784">
        <v>168</v>
      </c>
      <c r="E784" t="s">
        <v>2110</v>
      </c>
      <c r="F784" t="s">
        <v>123</v>
      </c>
      <c r="G784" t="s">
        <v>124</v>
      </c>
      <c r="H784" t="s">
        <v>125</v>
      </c>
      <c r="I784" t="s">
        <v>126</v>
      </c>
      <c r="J784" t="s">
        <v>126</v>
      </c>
      <c r="K784" t="s">
        <v>127</v>
      </c>
      <c r="L784">
        <v>50</v>
      </c>
      <c r="M784">
        <v>1137451</v>
      </c>
      <c r="N784">
        <v>6</v>
      </c>
      <c r="O784">
        <v>3</v>
      </c>
      <c r="P784" t="s">
        <v>168</v>
      </c>
      <c r="Q784" t="s">
        <v>129</v>
      </c>
      <c r="R784">
        <v>16</v>
      </c>
      <c r="T784">
        <v>30</v>
      </c>
      <c r="U784">
        <v>35</v>
      </c>
      <c r="V784">
        <v>8</v>
      </c>
      <c r="W784">
        <v>3</v>
      </c>
      <c r="X784">
        <v>5</v>
      </c>
      <c r="Y784">
        <v>3</v>
      </c>
      <c r="Z784">
        <v>41</v>
      </c>
      <c r="AA784">
        <v>46</v>
      </c>
      <c r="AB784">
        <v>50</v>
      </c>
      <c r="AC784">
        <v>35</v>
      </c>
      <c r="AD784">
        <v>5</v>
      </c>
      <c r="AE784">
        <v>3</v>
      </c>
      <c r="AF784">
        <v>46</v>
      </c>
      <c r="AG784">
        <v>3</v>
      </c>
      <c r="AH784">
        <v>15</v>
      </c>
      <c r="AI784">
        <v>4</v>
      </c>
      <c r="AJ784">
        <v>9</v>
      </c>
      <c r="AK784">
        <v>12</v>
      </c>
      <c r="AL784">
        <v>0</v>
      </c>
      <c r="AM784">
        <v>0.12</v>
      </c>
      <c r="AN784">
        <v>0.81818181818181823</v>
      </c>
      <c r="AO784">
        <v>0.40909090909090906</v>
      </c>
      <c r="AP784" t="s">
        <v>130</v>
      </c>
      <c r="AQ784" t="s">
        <v>131</v>
      </c>
      <c r="AR784" t="s">
        <v>523</v>
      </c>
      <c r="AS784">
        <v>2867</v>
      </c>
      <c r="AT784">
        <v>2931</v>
      </c>
      <c r="AU784">
        <v>0</v>
      </c>
      <c r="AV784">
        <v>0</v>
      </c>
      <c r="AW784">
        <v>5.798</v>
      </c>
      <c r="AX784">
        <v>0.16565714285714286</v>
      </c>
      <c r="AY784">
        <v>7.620228571428572</v>
      </c>
      <c r="AZ784" t="s">
        <v>135</v>
      </c>
      <c r="BA784">
        <v>-1.620228571428572</v>
      </c>
      <c r="BB784">
        <v>-9.7806140048292551</v>
      </c>
      <c r="BC784" t="s">
        <v>132</v>
      </c>
      <c r="BD784">
        <v>0</v>
      </c>
      <c r="BE784" t="s">
        <v>133</v>
      </c>
      <c r="BF78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5.798</v>
      </c>
    </row>
    <row r="785" spans="1:58" x14ac:dyDescent="0.25">
      <c r="A785" t="s">
        <v>1029</v>
      </c>
      <c r="B785" t="s">
        <v>19</v>
      </c>
      <c r="C785">
        <v>2</v>
      </c>
      <c r="D785">
        <v>169</v>
      </c>
      <c r="E785" t="s">
        <v>2110</v>
      </c>
      <c r="F785" t="s">
        <v>123</v>
      </c>
      <c r="G785" t="s">
        <v>124</v>
      </c>
      <c r="H785" t="s">
        <v>125</v>
      </c>
      <c r="I785" t="s">
        <v>126</v>
      </c>
      <c r="J785" t="s">
        <v>126</v>
      </c>
      <c r="K785" t="s">
        <v>127</v>
      </c>
      <c r="L785">
        <v>50</v>
      </c>
      <c r="M785">
        <v>1137453</v>
      </c>
      <c r="N785">
        <v>6</v>
      </c>
      <c r="O785">
        <v>3</v>
      </c>
      <c r="P785" t="s">
        <v>168</v>
      </c>
      <c r="Q785" t="s">
        <v>129</v>
      </c>
      <c r="R785">
        <v>16</v>
      </c>
      <c r="T785">
        <v>14</v>
      </c>
      <c r="U785">
        <v>19</v>
      </c>
      <c r="V785">
        <v>1</v>
      </c>
      <c r="W785">
        <v>0</v>
      </c>
      <c r="X785">
        <v>1</v>
      </c>
      <c r="Y785">
        <v>0</v>
      </c>
      <c r="Z785">
        <v>15</v>
      </c>
      <c r="AA785">
        <v>20</v>
      </c>
      <c r="AB785">
        <v>50</v>
      </c>
      <c r="AC785">
        <v>20</v>
      </c>
      <c r="AD785">
        <v>1</v>
      </c>
      <c r="AE785">
        <v>0</v>
      </c>
      <c r="AF785">
        <v>21</v>
      </c>
      <c r="AG785">
        <v>0</v>
      </c>
      <c r="AH785">
        <v>30</v>
      </c>
      <c r="AI785">
        <v>29</v>
      </c>
      <c r="AJ785">
        <v>30</v>
      </c>
      <c r="AK785">
        <v>30</v>
      </c>
      <c r="AL785">
        <v>0</v>
      </c>
      <c r="AM785">
        <v>0.12</v>
      </c>
      <c r="AN785">
        <v>2.7272727272727275</v>
      </c>
      <c r="AO785">
        <v>0</v>
      </c>
      <c r="AP785" t="s">
        <v>130</v>
      </c>
      <c r="AQ785" t="s">
        <v>131</v>
      </c>
      <c r="AR785" t="s">
        <v>523</v>
      </c>
      <c r="AS785">
        <v>1288</v>
      </c>
      <c r="AT785">
        <v>1489</v>
      </c>
      <c r="AU785">
        <v>0</v>
      </c>
      <c r="AV785">
        <v>0</v>
      </c>
      <c r="AW785">
        <v>2.7770000000000001</v>
      </c>
      <c r="AX785">
        <v>0.13885</v>
      </c>
      <c r="AY785">
        <v>2.9158499999999998</v>
      </c>
      <c r="AZ785" t="s">
        <v>135</v>
      </c>
      <c r="BA785">
        <v>3.0841500000000002</v>
      </c>
      <c r="BB785">
        <v>22.212099387828594</v>
      </c>
      <c r="BC785" t="s">
        <v>133</v>
      </c>
      <c r="BD785">
        <v>0</v>
      </c>
      <c r="BE785" t="s">
        <v>133</v>
      </c>
      <c r="BF78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2.7770000000000001</v>
      </c>
    </row>
    <row r="786" spans="1:58" x14ac:dyDescent="0.25">
      <c r="A786" t="s">
        <v>1030</v>
      </c>
      <c r="B786" t="s">
        <v>19</v>
      </c>
      <c r="C786">
        <v>2</v>
      </c>
      <c r="D786">
        <v>170</v>
      </c>
      <c r="E786" t="s">
        <v>2110</v>
      </c>
      <c r="F786" t="s">
        <v>123</v>
      </c>
      <c r="G786" t="s">
        <v>124</v>
      </c>
      <c r="H786" t="s">
        <v>125</v>
      </c>
      <c r="I786" t="s">
        <v>126</v>
      </c>
      <c r="J786" t="s">
        <v>126</v>
      </c>
      <c r="K786" t="s">
        <v>127</v>
      </c>
      <c r="L786">
        <v>50</v>
      </c>
      <c r="M786">
        <v>1137455</v>
      </c>
      <c r="N786">
        <v>6</v>
      </c>
      <c r="O786">
        <v>3</v>
      </c>
      <c r="P786" t="s">
        <v>168</v>
      </c>
      <c r="Q786" t="s">
        <v>129</v>
      </c>
      <c r="R786">
        <v>16</v>
      </c>
      <c r="T786">
        <v>20</v>
      </c>
      <c r="U786">
        <v>25</v>
      </c>
      <c r="V786">
        <v>5</v>
      </c>
      <c r="W786">
        <v>2</v>
      </c>
      <c r="X786">
        <v>3</v>
      </c>
      <c r="Y786">
        <v>2</v>
      </c>
      <c r="Z786">
        <v>27</v>
      </c>
      <c r="AA786">
        <v>32</v>
      </c>
      <c r="AB786">
        <v>50</v>
      </c>
      <c r="AC786">
        <v>25</v>
      </c>
      <c r="AD786">
        <v>4</v>
      </c>
      <c r="AE786">
        <v>2</v>
      </c>
      <c r="AF786">
        <v>33</v>
      </c>
      <c r="AG786">
        <v>2</v>
      </c>
      <c r="AH786">
        <v>25</v>
      </c>
      <c r="AI786">
        <v>17</v>
      </c>
      <c r="AJ786">
        <v>21</v>
      </c>
      <c r="AK786">
        <v>23</v>
      </c>
      <c r="AL786">
        <v>0</v>
      </c>
      <c r="AM786">
        <v>0.12</v>
      </c>
      <c r="AN786">
        <v>1.9090909090909092</v>
      </c>
      <c r="AO786">
        <v>0.27272727272727271</v>
      </c>
      <c r="AP786" t="s">
        <v>130</v>
      </c>
      <c r="AQ786" t="s">
        <v>131</v>
      </c>
      <c r="AR786" t="s">
        <v>523</v>
      </c>
      <c r="AS786">
        <v>2602</v>
      </c>
      <c r="AT786">
        <v>2514</v>
      </c>
      <c r="AU786">
        <v>0</v>
      </c>
      <c r="AV786">
        <v>0</v>
      </c>
      <c r="AW786">
        <v>5.1159999999999997</v>
      </c>
      <c r="AX786">
        <v>0.20463999999999999</v>
      </c>
      <c r="AY786">
        <v>6.75312</v>
      </c>
      <c r="AZ786" t="s">
        <v>135</v>
      </c>
      <c r="BA786">
        <v>-0.75312000000000001</v>
      </c>
      <c r="BB786">
        <v>-3.6802189210320564</v>
      </c>
      <c r="BC786" t="s">
        <v>133</v>
      </c>
      <c r="BD786">
        <v>0</v>
      </c>
      <c r="BE786" t="s">
        <v>133</v>
      </c>
      <c r="BF78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5.1159999999999997</v>
      </c>
    </row>
    <row r="787" spans="1:58" x14ac:dyDescent="0.25">
      <c r="A787" t="s">
        <v>1031</v>
      </c>
      <c r="B787" t="s">
        <v>19</v>
      </c>
      <c r="C787">
        <v>2</v>
      </c>
      <c r="D787">
        <v>171</v>
      </c>
      <c r="E787" t="s">
        <v>2110</v>
      </c>
      <c r="F787" t="s">
        <v>123</v>
      </c>
      <c r="G787" t="s">
        <v>124</v>
      </c>
      <c r="H787" t="s">
        <v>125</v>
      </c>
      <c r="I787" t="s">
        <v>126</v>
      </c>
      <c r="J787" t="s">
        <v>126</v>
      </c>
      <c r="K787" t="s">
        <v>127</v>
      </c>
      <c r="L787">
        <v>50</v>
      </c>
      <c r="M787">
        <v>1137457</v>
      </c>
      <c r="N787">
        <v>6</v>
      </c>
      <c r="O787">
        <v>3</v>
      </c>
      <c r="P787" t="s">
        <v>168</v>
      </c>
      <c r="Q787" t="s">
        <v>129</v>
      </c>
      <c r="R787">
        <v>16</v>
      </c>
      <c r="T787">
        <v>21</v>
      </c>
      <c r="U787">
        <v>26</v>
      </c>
      <c r="V787">
        <v>1</v>
      </c>
      <c r="W787">
        <v>0</v>
      </c>
      <c r="X787">
        <v>1</v>
      </c>
      <c r="Y787">
        <v>1</v>
      </c>
      <c r="Z787">
        <v>23</v>
      </c>
      <c r="AA787">
        <v>28</v>
      </c>
      <c r="AB787">
        <v>50</v>
      </c>
      <c r="AC787">
        <v>28</v>
      </c>
      <c r="AD787">
        <v>1</v>
      </c>
      <c r="AE787">
        <v>1</v>
      </c>
      <c r="AF787">
        <v>30</v>
      </c>
      <c r="AG787">
        <v>0</v>
      </c>
      <c r="AH787">
        <v>22</v>
      </c>
      <c r="AI787">
        <v>20</v>
      </c>
      <c r="AJ787">
        <v>21</v>
      </c>
      <c r="AK787">
        <v>22</v>
      </c>
      <c r="AL787">
        <v>0</v>
      </c>
      <c r="AM787">
        <v>0.12</v>
      </c>
      <c r="AN787">
        <v>1.9090909090909092</v>
      </c>
      <c r="AO787">
        <v>0</v>
      </c>
      <c r="AP787" t="s">
        <v>130</v>
      </c>
      <c r="AQ787" t="s">
        <v>131</v>
      </c>
      <c r="AR787" t="s">
        <v>523</v>
      </c>
      <c r="AS787">
        <v>2284</v>
      </c>
      <c r="AT787">
        <v>2130</v>
      </c>
      <c r="AU787">
        <v>0</v>
      </c>
      <c r="AV787">
        <v>0</v>
      </c>
      <c r="AW787">
        <v>4.4139999999999997</v>
      </c>
      <c r="AX787">
        <v>0.15764285714285714</v>
      </c>
      <c r="AY787">
        <v>4.7292857142857141</v>
      </c>
      <c r="AZ787" t="s">
        <v>135</v>
      </c>
      <c r="BA787">
        <v>1.2707142857142859</v>
      </c>
      <c r="BB787">
        <v>8.060715903942004</v>
      </c>
      <c r="BC787" t="s">
        <v>133</v>
      </c>
      <c r="BD787">
        <v>0</v>
      </c>
      <c r="BE787" t="s">
        <v>133</v>
      </c>
      <c r="BF78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4.4139999999999997</v>
      </c>
    </row>
    <row r="788" spans="1:58" x14ac:dyDescent="0.25">
      <c r="A788" t="s">
        <v>1032</v>
      </c>
      <c r="B788" t="s">
        <v>19</v>
      </c>
      <c r="C788">
        <v>2</v>
      </c>
      <c r="D788">
        <v>172</v>
      </c>
      <c r="E788" t="s">
        <v>2110</v>
      </c>
      <c r="F788" t="s">
        <v>123</v>
      </c>
      <c r="G788" t="s">
        <v>124</v>
      </c>
      <c r="H788" t="s">
        <v>125</v>
      </c>
      <c r="I788" t="s">
        <v>126</v>
      </c>
      <c r="J788" t="s">
        <v>126</v>
      </c>
      <c r="K788" t="s">
        <v>127</v>
      </c>
      <c r="L788">
        <v>50</v>
      </c>
      <c r="M788">
        <v>1137459</v>
      </c>
      <c r="N788">
        <v>6</v>
      </c>
      <c r="O788">
        <v>3</v>
      </c>
      <c r="P788" t="s">
        <v>168</v>
      </c>
      <c r="Q788" t="s">
        <v>129</v>
      </c>
      <c r="R788">
        <v>16</v>
      </c>
      <c r="T788">
        <v>18</v>
      </c>
      <c r="U788">
        <v>23</v>
      </c>
      <c r="V788">
        <v>3</v>
      </c>
      <c r="W788">
        <v>0</v>
      </c>
      <c r="X788">
        <v>3</v>
      </c>
      <c r="Y788">
        <v>1</v>
      </c>
      <c r="Z788">
        <v>22</v>
      </c>
      <c r="AA788">
        <v>27</v>
      </c>
      <c r="AB788">
        <v>50</v>
      </c>
      <c r="AC788">
        <v>24</v>
      </c>
      <c r="AD788">
        <v>3</v>
      </c>
      <c r="AE788">
        <v>1</v>
      </c>
      <c r="AF788">
        <v>28</v>
      </c>
      <c r="AG788">
        <v>0</v>
      </c>
      <c r="AH788">
        <v>26</v>
      </c>
      <c r="AI788">
        <v>22</v>
      </c>
      <c r="AJ788">
        <v>25</v>
      </c>
      <c r="AK788">
        <v>26</v>
      </c>
      <c r="AL788">
        <v>0</v>
      </c>
      <c r="AM788">
        <v>0.12</v>
      </c>
      <c r="AN788">
        <v>2.2727272727272729</v>
      </c>
      <c r="AO788">
        <v>0</v>
      </c>
      <c r="AP788" t="s">
        <v>130</v>
      </c>
      <c r="AQ788" t="s">
        <v>131</v>
      </c>
      <c r="AR788" t="s">
        <v>523</v>
      </c>
      <c r="AS788">
        <v>2468</v>
      </c>
      <c r="AT788">
        <v>1985</v>
      </c>
      <c r="AU788">
        <v>0</v>
      </c>
      <c r="AV788">
        <v>0</v>
      </c>
      <c r="AW788">
        <v>4.4530000000000003</v>
      </c>
      <c r="AX788">
        <v>0.18554166666666669</v>
      </c>
      <c r="AY788">
        <v>5.1951666666666672</v>
      </c>
      <c r="AZ788" t="s">
        <v>135</v>
      </c>
      <c r="BA788">
        <v>0.80483333333333285</v>
      </c>
      <c r="BB788">
        <v>4.3377498315742162</v>
      </c>
      <c r="BC788" t="s">
        <v>133</v>
      </c>
      <c r="BD788">
        <v>0</v>
      </c>
      <c r="BE788" t="s">
        <v>133</v>
      </c>
      <c r="BF78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4.4530000000000003</v>
      </c>
    </row>
    <row r="789" spans="1:58" x14ac:dyDescent="0.25">
      <c r="A789" t="s">
        <v>1033</v>
      </c>
      <c r="B789" t="s">
        <v>19</v>
      </c>
      <c r="C789">
        <v>2</v>
      </c>
      <c r="D789">
        <v>173</v>
      </c>
      <c r="E789" t="s">
        <v>2110</v>
      </c>
      <c r="F789" t="s">
        <v>123</v>
      </c>
      <c r="G789" t="s">
        <v>124</v>
      </c>
      <c r="H789" t="s">
        <v>136</v>
      </c>
      <c r="I789" t="s">
        <v>137</v>
      </c>
      <c r="J789" t="s">
        <v>138</v>
      </c>
      <c r="K789" t="s">
        <v>127</v>
      </c>
      <c r="L789">
        <v>50</v>
      </c>
      <c r="M789">
        <v>1137461</v>
      </c>
      <c r="N789">
        <v>5</v>
      </c>
      <c r="O789">
        <v>3</v>
      </c>
      <c r="P789" t="s">
        <v>168</v>
      </c>
      <c r="Q789" t="s">
        <v>129</v>
      </c>
      <c r="R789">
        <v>16</v>
      </c>
      <c r="T789">
        <v>0</v>
      </c>
      <c r="U789">
        <v>4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4</v>
      </c>
      <c r="AB789">
        <v>50</v>
      </c>
      <c r="AC789">
        <v>4</v>
      </c>
      <c r="AD789">
        <v>0</v>
      </c>
      <c r="AE789">
        <v>0</v>
      </c>
      <c r="AF789">
        <v>4</v>
      </c>
      <c r="AG789">
        <v>0</v>
      </c>
      <c r="AH789">
        <v>46</v>
      </c>
      <c r="AI789">
        <v>46</v>
      </c>
      <c r="AJ789">
        <v>46</v>
      </c>
      <c r="AK789">
        <v>46</v>
      </c>
      <c r="AL789">
        <v>0</v>
      </c>
      <c r="AM789">
        <v>0.1</v>
      </c>
      <c r="AN789">
        <v>4.1818181818181817</v>
      </c>
      <c r="AO789">
        <v>0</v>
      </c>
      <c r="AP789" t="s">
        <v>139</v>
      </c>
      <c r="AQ789" t="s">
        <v>131</v>
      </c>
      <c r="AR789" t="s">
        <v>523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0</v>
      </c>
      <c r="AY789">
        <v>0</v>
      </c>
      <c r="AZ789" t="s">
        <v>134</v>
      </c>
      <c r="BA789">
        <v>5</v>
      </c>
      <c r="BB789">
        <v>0</v>
      </c>
      <c r="BC789" t="s">
        <v>133</v>
      </c>
      <c r="BD789">
        <v>0</v>
      </c>
      <c r="BE789" t="s">
        <v>133</v>
      </c>
      <c r="BF78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90" spans="1:58" x14ac:dyDescent="0.25">
      <c r="A790" t="s">
        <v>1034</v>
      </c>
      <c r="B790" t="s">
        <v>19</v>
      </c>
      <c r="C790">
        <v>2</v>
      </c>
      <c r="D790">
        <v>174</v>
      </c>
      <c r="E790" t="s">
        <v>2110</v>
      </c>
      <c r="F790" t="s">
        <v>123</v>
      </c>
      <c r="G790" t="s">
        <v>124</v>
      </c>
      <c r="H790" t="s">
        <v>125</v>
      </c>
      <c r="I790" t="s">
        <v>126</v>
      </c>
      <c r="J790" t="s">
        <v>126</v>
      </c>
      <c r="K790" t="s">
        <v>127</v>
      </c>
      <c r="L790">
        <v>50</v>
      </c>
      <c r="M790">
        <v>1137463</v>
      </c>
      <c r="N790">
        <v>6</v>
      </c>
      <c r="O790">
        <v>3</v>
      </c>
      <c r="P790" t="s">
        <v>168</v>
      </c>
      <c r="Q790" t="s">
        <v>129</v>
      </c>
      <c r="R790">
        <v>16</v>
      </c>
      <c r="T790">
        <v>12</v>
      </c>
      <c r="U790">
        <v>17</v>
      </c>
      <c r="V790">
        <v>3</v>
      </c>
      <c r="W790">
        <v>0</v>
      </c>
      <c r="X790">
        <v>3</v>
      </c>
      <c r="Y790">
        <v>1</v>
      </c>
      <c r="Z790">
        <v>16</v>
      </c>
      <c r="AA790">
        <v>21</v>
      </c>
      <c r="AB790">
        <v>50</v>
      </c>
      <c r="AC790">
        <v>19</v>
      </c>
      <c r="AD790">
        <v>4</v>
      </c>
      <c r="AE790">
        <v>2</v>
      </c>
      <c r="AF790">
        <v>25</v>
      </c>
      <c r="AG790">
        <v>0</v>
      </c>
      <c r="AH790">
        <v>31</v>
      </c>
      <c r="AI790">
        <v>25</v>
      </c>
      <c r="AJ790">
        <v>29</v>
      </c>
      <c r="AK790">
        <v>31</v>
      </c>
      <c r="AL790">
        <v>0</v>
      </c>
      <c r="AM790">
        <v>0.12</v>
      </c>
      <c r="AN790">
        <v>2.6363636363636362</v>
      </c>
      <c r="AO790">
        <v>0</v>
      </c>
      <c r="AP790" t="s">
        <v>130</v>
      </c>
      <c r="AQ790" t="s">
        <v>131</v>
      </c>
      <c r="AR790" t="s">
        <v>523</v>
      </c>
      <c r="AS790">
        <v>908</v>
      </c>
      <c r="AT790">
        <v>852</v>
      </c>
      <c r="AU790">
        <v>0</v>
      </c>
      <c r="AV790">
        <v>0</v>
      </c>
      <c r="AW790">
        <v>1.76</v>
      </c>
      <c r="AX790">
        <v>9.2631578947368426E-2</v>
      </c>
      <c r="AY790">
        <v>2.3157894736842106</v>
      </c>
      <c r="AZ790" t="s">
        <v>135</v>
      </c>
      <c r="BA790">
        <v>3.6842105263157894</v>
      </c>
      <c r="BB790">
        <v>39.772727272727266</v>
      </c>
      <c r="BC790" t="s">
        <v>133</v>
      </c>
      <c r="BD790">
        <v>0</v>
      </c>
      <c r="BE790" t="s">
        <v>133</v>
      </c>
      <c r="BF79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1.76</v>
      </c>
    </row>
    <row r="791" spans="1:58" x14ac:dyDescent="0.25">
      <c r="A791" t="s">
        <v>1035</v>
      </c>
      <c r="B791" t="s">
        <v>19</v>
      </c>
      <c r="C791">
        <v>2</v>
      </c>
      <c r="D791">
        <v>175</v>
      </c>
      <c r="E791" t="s">
        <v>2110</v>
      </c>
      <c r="F791" t="s">
        <v>123</v>
      </c>
      <c r="G791" t="s">
        <v>124</v>
      </c>
      <c r="H791" t="s">
        <v>125</v>
      </c>
      <c r="I791" t="s">
        <v>126</v>
      </c>
      <c r="J791" t="s">
        <v>126</v>
      </c>
      <c r="K791" t="s">
        <v>127</v>
      </c>
      <c r="L791">
        <v>50</v>
      </c>
      <c r="M791">
        <v>1137465</v>
      </c>
      <c r="N791">
        <v>6</v>
      </c>
      <c r="O791">
        <v>3</v>
      </c>
      <c r="P791" t="s">
        <v>168</v>
      </c>
      <c r="Q791" t="s">
        <v>129</v>
      </c>
      <c r="R791">
        <v>16</v>
      </c>
      <c r="T791">
        <v>14</v>
      </c>
      <c r="U791">
        <v>19</v>
      </c>
      <c r="V791">
        <v>1</v>
      </c>
      <c r="W791">
        <v>1</v>
      </c>
      <c r="X791">
        <v>0</v>
      </c>
      <c r="Y791">
        <v>0</v>
      </c>
      <c r="Z791">
        <v>15</v>
      </c>
      <c r="AA791">
        <v>20</v>
      </c>
      <c r="AB791">
        <v>50</v>
      </c>
      <c r="AC791">
        <v>26</v>
      </c>
      <c r="AD791">
        <v>0</v>
      </c>
      <c r="AE791">
        <v>0</v>
      </c>
      <c r="AF791">
        <v>27</v>
      </c>
      <c r="AG791">
        <v>1</v>
      </c>
      <c r="AH791">
        <v>24</v>
      </c>
      <c r="AI791">
        <v>23</v>
      </c>
      <c r="AJ791">
        <v>23</v>
      </c>
      <c r="AK791">
        <v>23</v>
      </c>
      <c r="AL791">
        <v>0</v>
      </c>
      <c r="AM791">
        <v>0.12</v>
      </c>
      <c r="AN791">
        <v>2.0909090909090908</v>
      </c>
      <c r="AO791">
        <v>0.13636363636363635</v>
      </c>
      <c r="AP791" t="s">
        <v>130</v>
      </c>
      <c r="AQ791" t="s">
        <v>131</v>
      </c>
      <c r="AR791" t="s">
        <v>523</v>
      </c>
      <c r="AS791">
        <v>2734</v>
      </c>
      <c r="AT791">
        <v>2677</v>
      </c>
      <c r="AU791">
        <v>0</v>
      </c>
      <c r="AV791">
        <v>0</v>
      </c>
      <c r="AW791">
        <v>5.4109999999999996</v>
      </c>
      <c r="AX791">
        <v>0.20811538461538459</v>
      </c>
      <c r="AY791">
        <v>5.6191153846153838</v>
      </c>
      <c r="AZ791" t="s">
        <v>135</v>
      </c>
      <c r="BA791">
        <v>0.38088461538461615</v>
      </c>
      <c r="BB791">
        <v>1.8301607835889893</v>
      </c>
      <c r="BC791" t="s">
        <v>133</v>
      </c>
      <c r="BD791">
        <v>0</v>
      </c>
      <c r="BE791" t="s">
        <v>133</v>
      </c>
      <c r="BF79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5.4109999999999996</v>
      </c>
    </row>
    <row r="792" spans="1:58" x14ac:dyDescent="0.25">
      <c r="A792" t="s">
        <v>1036</v>
      </c>
      <c r="B792" t="s">
        <v>19</v>
      </c>
      <c r="C792">
        <v>2</v>
      </c>
      <c r="D792">
        <v>176</v>
      </c>
      <c r="E792" t="s">
        <v>2110</v>
      </c>
      <c r="F792" t="s">
        <v>123</v>
      </c>
      <c r="G792" t="s">
        <v>124</v>
      </c>
      <c r="H792" t="s">
        <v>125</v>
      </c>
      <c r="I792" t="s">
        <v>126</v>
      </c>
      <c r="J792" t="s">
        <v>126</v>
      </c>
      <c r="K792" t="s">
        <v>127</v>
      </c>
      <c r="L792">
        <v>50</v>
      </c>
      <c r="M792">
        <v>1137467</v>
      </c>
      <c r="N792">
        <v>6</v>
      </c>
      <c r="O792">
        <v>3</v>
      </c>
      <c r="P792" t="s">
        <v>168</v>
      </c>
      <c r="Q792" t="s">
        <v>129</v>
      </c>
      <c r="R792">
        <v>16</v>
      </c>
      <c r="T792">
        <v>3</v>
      </c>
      <c r="U792">
        <v>8</v>
      </c>
      <c r="V792">
        <v>3</v>
      </c>
      <c r="W792">
        <v>0</v>
      </c>
      <c r="X792">
        <v>3</v>
      </c>
      <c r="Y792">
        <v>0</v>
      </c>
      <c r="Z792">
        <v>6</v>
      </c>
      <c r="AA792">
        <v>11</v>
      </c>
      <c r="AB792">
        <v>50</v>
      </c>
      <c r="AC792">
        <v>10</v>
      </c>
      <c r="AD792">
        <v>5</v>
      </c>
      <c r="AE792">
        <v>0</v>
      </c>
      <c r="AF792">
        <v>15</v>
      </c>
      <c r="AG792">
        <v>0</v>
      </c>
      <c r="AH792">
        <v>40</v>
      </c>
      <c r="AI792">
        <v>35</v>
      </c>
      <c r="AJ792">
        <v>40</v>
      </c>
      <c r="AK792">
        <v>40</v>
      </c>
      <c r="AL792">
        <v>0</v>
      </c>
      <c r="AM792">
        <v>0.12</v>
      </c>
      <c r="AN792">
        <v>3.6363636363636367</v>
      </c>
      <c r="AO792">
        <v>0</v>
      </c>
      <c r="AP792" t="s">
        <v>130</v>
      </c>
      <c r="AQ792" t="s">
        <v>131</v>
      </c>
      <c r="AR792" t="s">
        <v>523</v>
      </c>
      <c r="AS792">
        <v>538</v>
      </c>
      <c r="AT792">
        <v>548</v>
      </c>
      <c r="AU792">
        <v>0</v>
      </c>
      <c r="AV792">
        <v>0</v>
      </c>
      <c r="AW792">
        <v>1.0860000000000001</v>
      </c>
      <c r="AX792">
        <v>0.1086</v>
      </c>
      <c r="AY792">
        <v>1.629</v>
      </c>
      <c r="AZ792" t="s">
        <v>135</v>
      </c>
      <c r="BA792">
        <v>4.3710000000000004</v>
      </c>
      <c r="BB792">
        <v>40.248618784530393</v>
      </c>
      <c r="BC792" t="s">
        <v>133</v>
      </c>
      <c r="BD792">
        <v>0</v>
      </c>
      <c r="BE792" t="s">
        <v>133</v>
      </c>
      <c r="BF79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1.0860000000000001</v>
      </c>
    </row>
    <row r="793" spans="1:58" x14ac:dyDescent="0.25">
      <c r="A793" t="s">
        <v>1037</v>
      </c>
      <c r="B793" t="s">
        <v>19</v>
      </c>
      <c r="C793">
        <v>2</v>
      </c>
      <c r="D793">
        <v>177</v>
      </c>
      <c r="E793" t="s">
        <v>2110</v>
      </c>
      <c r="F793" t="s">
        <v>123</v>
      </c>
      <c r="G793" t="s">
        <v>124</v>
      </c>
      <c r="H793" t="s">
        <v>125</v>
      </c>
      <c r="I793" t="s">
        <v>126</v>
      </c>
      <c r="J793" t="s">
        <v>126</v>
      </c>
      <c r="K793" t="s">
        <v>127</v>
      </c>
      <c r="L793">
        <v>50</v>
      </c>
      <c r="M793">
        <v>1137469</v>
      </c>
      <c r="N793">
        <v>6</v>
      </c>
      <c r="O793">
        <v>3</v>
      </c>
      <c r="P793" t="s">
        <v>168</v>
      </c>
      <c r="Q793" t="s">
        <v>129</v>
      </c>
      <c r="R793">
        <v>16</v>
      </c>
      <c r="T793">
        <v>5</v>
      </c>
      <c r="U793">
        <v>10</v>
      </c>
      <c r="V793">
        <v>1</v>
      </c>
      <c r="W793">
        <v>0</v>
      </c>
      <c r="X793">
        <v>1</v>
      </c>
      <c r="Y793">
        <v>1</v>
      </c>
      <c r="Z793">
        <v>7</v>
      </c>
      <c r="AA793">
        <v>12</v>
      </c>
      <c r="AB793">
        <v>50</v>
      </c>
      <c r="AC793">
        <v>19</v>
      </c>
      <c r="AD793">
        <v>2</v>
      </c>
      <c r="AE793">
        <v>2</v>
      </c>
      <c r="AF793">
        <v>23</v>
      </c>
      <c r="AG793">
        <v>0</v>
      </c>
      <c r="AH793">
        <v>31</v>
      </c>
      <c r="AI793">
        <v>27</v>
      </c>
      <c r="AJ793">
        <v>29</v>
      </c>
      <c r="AK793">
        <v>31</v>
      </c>
      <c r="AL793">
        <v>0</v>
      </c>
      <c r="AM793">
        <v>0.12</v>
      </c>
      <c r="AN793">
        <v>2.6363636363636362</v>
      </c>
      <c r="AO793">
        <v>0</v>
      </c>
      <c r="AP793" t="s">
        <v>130</v>
      </c>
      <c r="AQ793" t="s">
        <v>131</v>
      </c>
      <c r="AR793" t="s">
        <v>523</v>
      </c>
      <c r="AS793">
        <v>905</v>
      </c>
      <c r="AT793">
        <v>906</v>
      </c>
      <c r="AU793">
        <v>0</v>
      </c>
      <c r="AV793">
        <v>0</v>
      </c>
      <c r="AW793">
        <v>1.8109999999999999</v>
      </c>
      <c r="AX793">
        <v>9.5315789473684201E-2</v>
      </c>
      <c r="AY793">
        <v>2.1922631578947365</v>
      </c>
      <c r="AZ793" t="s">
        <v>135</v>
      </c>
      <c r="BA793">
        <v>3.8077368421052635</v>
      </c>
      <c r="BB793">
        <v>39.948647156267263</v>
      </c>
      <c r="BC793" t="s">
        <v>133</v>
      </c>
      <c r="BD793">
        <v>0</v>
      </c>
      <c r="BE793" t="s">
        <v>133</v>
      </c>
      <c r="BF79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1.8109999999999999</v>
      </c>
    </row>
    <row r="794" spans="1:58" x14ac:dyDescent="0.25">
      <c r="A794" t="s">
        <v>1038</v>
      </c>
      <c r="B794" t="s">
        <v>19</v>
      </c>
      <c r="C794">
        <v>2</v>
      </c>
      <c r="D794">
        <v>178</v>
      </c>
      <c r="E794" t="s">
        <v>2110</v>
      </c>
      <c r="F794" t="s">
        <v>123</v>
      </c>
      <c r="G794" t="s">
        <v>124</v>
      </c>
      <c r="H794" t="s">
        <v>125</v>
      </c>
      <c r="I794" t="s">
        <v>126</v>
      </c>
      <c r="J794" t="s">
        <v>126</v>
      </c>
      <c r="K794" t="s">
        <v>127</v>
      </c>
      <c r="L794">
        <v>50</v>
      </c>
      <c r="M794">
        <v>1137471</v>
      </c>
      <c r="N794">
        <v>6</v>
      </c>
      <c r="O794">
        <v>3</v>
      </c>
      <c r="P794" t="s">
        <v>168</v>
      </c>
      <c r="Q794" t="s">
        <v>129</v>
      </c>
      <c r="R794">
        <v>16</v>
      </c>
      <c r="T794">
        <v>4</v>
      </c>
      <c r="U794">
        <v>9</v>
      </c>
      <c r="V794">
        <v>1</v>
      </c>
      <c r="W794">
        <v>0</v>
      </c>
      <c r="X794">
        <v>1</v>
      </c>
      <c r="Y794">
        <v>0</v>
      </c>
      <c r="Z794">
        <v>5</v>
      </c>
      <c r="AA794">
        <v>10</v>
      </c>
      <c r="AB794">
        <v>50</v>
      </c>
      <c r="AC794">
        <v>15</v>
      </c>
      <c r="AD794">
        <v>2</v>
      </c>
      <c r="AE794">
        <v>0</v>
      </c>
      <c r="AF794">
        <v>17</v>
      </c>
      <c r="AG794">
        <v>0</v>
      </c>
      <c r="AH794">
        <v>35</v>
      </c>
      <c r="AI794">
        <v>33</v>
      </c>
      <c r="AJ794">
        <v>35</v>
      </c>
      <c r="AK794">
        <v>35</v>
      </c>
      <c r="AL794">
        <v>0</v>
      </c>
      <c r="AM794">
        <v>0.12</v>
      </c>
      <c r="AN794">
        <v>3.1818181818181821</v>
      </c>
      <c r="AO794">
        <v>0</v>
      </c>
      <c r="AP794" t="s">
        <v>130</v>
      </c>
      <c r="AQ794" t="s">
        <v>131</v>
      </c>
      <c r="AR794" t="s">
        <v>523</v>
      </c>
      <c r="AS794">
        <v>686</v>
      </c>
      <c r="AT794">
        <v>726</v>
      </c>
      <c r="AU794">
        <v>0</v>
      </c>
      <c r="AV794">
        <v>0</v>
      </c>
      <c r="AW794">
        <v>1.4119999999999999</v>
      </c>
      <c r="AX794">
        <v>9.4133333333333333E-2</v>
      </c>
      <c r="AY794">
        <v>1.6002666666666667</v>
      </c>
      <c r="AZ794" t="s">
        <v>135</v>
      </c>
      <c r="BA794">
        <v>4.3997333333333337</v>
      </c>
      <c r="BB794">
        <v>46.73937677053825</v>
      </c>
      <c r="BC794" t="s">
        <v>144</v>
      </c>
      <c r="BD794">
        <v>0</v>
      </c>
      <c r="BE794" t="s">
        <v>133</v>
      </c>
      <c r="BF79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1.4119999999999999</v>
      </c>
    </row>
    <row r="795" spans="1:58" x14ac:dyDescent="0.25">
      <c r="A795" t="s">
        <v>1039</v>
      </c>
      <c r="B795" t="s">
        <v>19</v>
      </c>
      <c r="C795">
        <v>2</v>
      </c>
      <c r="D795">
        <v>179</v>
      </c>
      <c r="E795" t="s">
        <v>2108</v>
      </c>
      <c r="F795" t="s">
        <v>123</v>
      </c>
      <c r="G795" t="s">
        <v>124</v>
      </c>
      <c r="H795" t="s">
        <v>125</v>
      </c>
      <c r="I795" t="s">
        <v>148</v>
      </c>
      <c r="J795" t="s">
        <v>157</v>
      </c>
      <c r="K795" t="s">
        <v>127</v>
      </c>
      <c r="L795">
        <v>50</v>
      </c>
      <c r="M795">
        <v>1137473</v>
      </c>
      <c r="N795">
        <v>6</v>
      </c>
      <c r="O795">
        <v>3</v>
      </c>
      <c r="P795" t="s">
        <v>168</v>
      </c>
      <c r="Q795" t="s">
        <v>129</v>
      </c>
      <c r="R795">
        <v>17</v>
      </c>
      <c r="S795" t="s">
        <v>1040</v>
      </c>
      <c r="T795">
        <v>0</v>
      </c>
      <c r="U795">
        <v>8</v>
      </c>
      <c r="V795">
        <v>0</v>
      </c>
      <c r="W795">
        <v>0</v>
      </c>
      <c r="X795">
        <v>0</v>
      </c>
      <c r="Y795">
        <v>7</v>
      </c>
      <c r="Z795">
        <v>0</v>
      </c>
      <c r="AA795">
        <v>15</v>
      </c>
      <c r="AB795">
        <v>50</v>
      </c>
      <c r="AC795">
        <v>26</v>
      </c>
      <c r="AD795">
        <v>0</v>
      </c>
      <c r="AE795">
        <v>25</v>
      </c>
      <c r="AF795">
        <v>51</v>
      </c>
      <c r="AG795">
        <v>0</v>
      </c>
      <c r="AH795">
        <v>24</v>
      </c>
      <c r="AI795">
        <v>-1</v>
      </c>
      <c r="AJ795">
        <v>-1</v>
      </c>
      <c r="AK795">
        <v>24</v>
      </c>
      <c r="AL795">
        <v>0</v>
      </c>
      <c r="AM795">
        <v>0.12</v>
      </c>
      <c r="AN795">
        <v>-9.0909090909090912E-2</v>
      </c>
      <c r="AO795">
        <v>0</v>
      </c>
      <c r="AP795" t="s">
        <v>150</v>
      </c>
      <c r="AQ795" t="s">
        <v>131</v>
      </c>
      <c r="AR795" t="s">
        <v>194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0</v>
      </c>
      <c r="AZ795" t="s">
        <v>147</v>
      </c>
      <c r="BA795">
        <v>6</v>
      </c>
      <c r="BB795">
        <v>0</v>
      </c>
      <c r="BC795" t="s">
        <v>132</v>
      </c>
      <c r="BD795">
        <v>0</v>
      </c>
      <c r="BE795" t="s">
        <v>133</v>
      </c>
      <c r="BF79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96" spans="1:58" x14ac:dyDescent="0.25">
      <c r="A796" t="s">
        <v>1041</v>
      </c>
      <c r="B796" t="s">
        <v>19</v>
      </c>
      <c r="C796">
        <v>2</v>
      </c>
      <c r="D796">
        <v>180</v>
      </c>
      <c r="E796" t="s">
        <v>2108</v>
      </c>
      <c r="F796" t="s">
        <v>123</v>
      </c>
      <c r="G796" t="s">
        <v>124</v>
      </c>
      <c r="H796" t="s">
        <v>125</v>
      </c>
      <c r="I796" t="s">
        <v>148</v>
      </c>
      <c r="J796" t="s">
        <v>157</v>
      </c>
      <c r="K796" t="s">
        <v>127</v>
      </c>
      <c r="L796">
        <v>50</v>
      </c>
      <c r="M796">
        <v>1137475</v>
      </c>
      <c r="N796">
        <v>6</v>
      </c>
      <c r="O796">
        <v>3</v>
      </c>
      <c r="P796" t="s">
        <v>168</v>
      </c>
      <c r="Q796" t="s">
        <v>129</v>
      </c>
      <c r="R796">
        <v>17</v>
      </c>
      <c r="S796" t="s">
        <v>1040</v>
      </c>
      <c r="T796">
        <v>0</v>
      </c>
      <c r="U796">
        <v>3</v>
      </c>
      <c r="V796">
        <v>1</v>
      </c>
      <c r="W796">
        <v>0</v>
      </c>
      <c r="X796">
        <v>1</v>
      </c>
      <c r="Y796">
        <v>0</v>
      </c>
      <c r="Z796">
        <v>0</v>
      </c>
      <c r="AA796">
        <v>4</v>
      </c>
      <c r="AB796">
        <v>50</v>
      </c>
      <c r="AC796">
        <v>3</v>
      </c>
      <c r="AD796">
        <v>1</v>
      </c>
      <c r="AE796">
        <v>0</v>
      </c>
      <c r="AF796">
        <v>4</v>
      </c>
      <c r="AG796">
        <v>0</v>
      </c>
      <c r="AH796">
        <v>47</v>
      </c>
      <c r="AI796">
        <v>46</v>
      </c>
      <c r="AJ796">
        <v>47</v>
      </c>
      <c r="AK796">
        <v>47</v>
      </c>
      <c r="AL796">
        <v>0</v>
      </c>
      <c r="AM796">
        <v>0.12</v>
      </c>
      <c r="AN796">
        <v>4.2727272727272725</v>
      </c>
      <c r="AO796">
        <v>0</v>
      </c>
      <c r="AP796" t="s">
        <v>150</v>
      </c>
      <c r="AQ796" t="s">
        <v>131</v>
      </c>
      <c r="AR796" t="s">
        <v>194</v>
      </c>
      <c r="AS796">
        <v>0</v>
      </c>
      <c r="AT796">
        <v>0</v>
      </c>
      <c r="AU796">
        <v>0</v>
      </c>
      <c r="AV796">
        <v>0</v>
      </c>
      <c r="AW796">
        <v>0</v>
      </c>
      <c r="AX796">
        <v>0</v>
      </c>
      <c r="AY796">
        <v>0</v>
      </c>
      <c r="AZ796" t="s">
        <v>147</v>
      </c>
      <c r="BA796">
        <v>6</v>
      </c>
      <c r="BB796">
        <v>0</v>
      </c>
      <c r="BC796" t="s">
        <v>133</v>
      </c>
      <c r="BD796">
        <v>0</v>
      </c>
      <c r="BE796" t="s">
        <v>133</v>
      </c>
      <c r="BF79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97" spans="1:58" x14ac:dyDescent="0.25">
      <c r="A797" t="s">
        <v>1042</v>
      </c>
      <c r="B797" t="s">
        <v>19</v>
      </c>
      <c r="C797">
        <v>2</v>
      </c>
      <c r="D797">
        <v>181</v>
      </c>
      <c r="E797" t="s">
        <v>2108</v>
      </c>
      <c r="F797" t="s">
        <v>123</v>
      </c>
      <c r="G797" t="s">
        <v>124</v>
      </c>
      <c r="H797" t="s">
        <v>125</v>
      </c>
      <c r="I797" t="s">
        <v>140</v>
      </c>
      <c r="J797" t="s">
        <v>141</v>
      </c>
      <c r="K797" t="s">
        <v>170</v>
      </c>
      <c r="L797">
        <v>50</v>
      </c>
      <c r="M797">
        <v>1137477</v>
      </c>
      <c r="N797">
        <v>0</v>
      </c>
      <c r="O797">
        <v>3</v>
      </c>
      <c r="P797" t="s">
        <v>168</v>
      </c>
      <c r="Q797" t="s">
        <v>129</v>
      </c>
      <c r="R797">
        <v>17</v>
      </c>
      <c r="S797" t="s">
        <v>1043</v>
      </c>
      <c r="T797">
        <v>0</v>
      </c>
      <c r="U797">
        <v>1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1</v>
      </c>
      <c r="AB797">
        <v>50</v>
      </c>
      <c r="AC797">
        <v>1</v>
      </c>
      <c r="AD797">
        <v>0</v>
      </c>
      <c r="AE797">
        <v>0</v>
      </c>
      <c r="AF797">
        <v>1</v>
      </c>
      <c r="AG797">
        <v>0</v>
      </c>
      <c r="AH797">
        <v>0</v>
      </c>
      <c r="AI797">
        <v>49</v>
      </c>
      <c r="AJ797">
        <v>49</v>
      </c>
      <c r="AK797">
        <v>49</v>
      </c>
      <c r="AL797">
        <v>49</v>
      </c>
      <c r="AM797">
        <v>0</v>
      </c>
      <c r="AN797">
        <v>4.454545454545455</v>
      </c>
      <c r="AO797">
        <v>0</v>
      </c>
      <c r="AP797" t="s">
        <v>1044</v>
      </c>
      <c r="AQ797" t="s">
        <v>131</v>
      </c>
      <c r="AR797" t="s">
        <v>194</v>
      </c>
      <c r="AS797">
        <v>0</v>
      </c>
      <c r="AT797">
        <v>0</v>
      </c>
      <c r="AU797">
        <v>0</v>
      </c>
      <c r="AV797">
        <v>0</v>
      </c>
      <c r="AW797">
        <v>0</v>
      </c>
      <c r="AX797">
        <v>0</v>
      </c>
      <c r="AY797">
        <v>0</v>
      </c>
      <c r="AZ797" t="s">
        <v>147</v>
      </c>
      <c r="BA797">
        <v>0</v>
      </c>
      <c r="BB797">
        <v>0</v>
      </c>
      <c r="BC797" t="s">
        <v>133</v>
      </c>
      <c r="BD797">
        <v>1</v>
      </c>
      <c r="BE797" t="s">
        <v>133</v>
      </c>
      <c r="BF79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98" spans="1:58" x14ac:dyDescent="0.25">
      <c r="A798" t="s">
        <v>1045</v>
      </c>
      <c r="B798" t="s">
        <v>19</v>
      </c>
      <c r="C798">
        <v>2</v>
      </c>
      <c r="D798">
        <v>182</v>
      </c>
      <c r="E798" t="s">
        <v>2108</v>
      </c>
      <c r="F798" t="s">
        <v>123</v>
      </c>
      <c r="G798" t="s">
        <v>124</v>
      </c>
      <c r="H798" t="s">
        <v>125</v>
      </c>
      <c r="I798" t="s">
        <v>140</v>
      </c>
      <c r="J798" t="s">
        <v>141</v>
      </c>
      <c r="K798" t="s">
        <v>170</v>
      </c>
      <c r="L798">
        <v>50</v>
      </c>
      <c r="M798">
        <v>1137479</v>
      </c>
      <c r="N798">
        <v>0</v>
      </c>
      <c r="O798">
        <v>3</v>
      </c>
      <c r="P798" t="s">
        <v>168</v>
      </c>
      <c r="Q798" t="s">
        <v>129</v>
      </c>
      <c r="R798">
        <v>17</v>
      </c>
      <c r="S798" t="s">
        <v>1043</v>
      </c>
      <c r="T798">
        <v>0</v>
      </c>
      <c r="U798">
        <v>1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1</v>
      </c>
      <c r="AB798">
        <v>50</v>
      </c>
      <c r="AC798">
        <v>1</v>
      </c>
      <c r="AD798">
        <v>0</v>
      </c>
      <c r="AE798">
        <v>0</v>
      </c>
      <c r="AF798">
        <v>1</v>
      </c>
      <c r="AG798">
        <v>0</v>
      </c>
      <c r="AH798">
        <v>0</v>
      </c>
      <c r="AI798">
        <v>49</v>
      </c>
      <c r="AJ798">
        <v>49</v>
      </c>
      <c r="AK798">
        <v>49</v>
      </c>
      <c r="AL798">
        <v>49</v>
      </c>
      <c r="AM798">
        <v>0</v>
      </c>
      <c r="AN798">
        <v>4.454545454545455</v>
      </c>
      <c r="AO798">
        <v>0</v>
      </c>
      <c r="AP798" t="s">
        <v>1044</v>
      </c>
      <c r="AQ798" t="s">
        <v>131</v>
      </c>
      <c r="AR798" t="s">
        <v>194</v>
      </c>
      <c r="AS798">
        <v>0</v>
      </c>
      <c r="AT798">
        <v>0</v>
      </c>
      <c r="AU798">
        <v>0</v>
      </c>
      <c r="AV798">
        <v>0</v>
      </c>
      <c r="AW798">
        <v>0</v>
      </c>
      <c r="AX798">
        <v>0</v>
      </c>
      <c r="AY798">
        <v>0</v>
      </c>
      <c r="AZ798" t="s">
        <v>147</v>
      </c>
      <c r="BA798">
        <v>0</v>
      </c>
      <c r="BB798">
        <v>0</v>
      </c>
      <c r="BC798" t="s">
        <v>133</v>
      </c>
      <c r="BD798">
        <v>2</v>
      </c>
      <c r="BE798" t="s">
        <v>133</v>
      </c>
      <c r="BF79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799" spans="1:58" x14ac:dyDescent="0.25">
      <c r="A799" t="s">
        <v>1046</v>
      </c>
      <c r="B799" t="s">
        <v>19</v>
      </c>
      <c r="C799">
        <v>2</v>
      </c>
      <c r="D799">
        <v>183</v>
      </c>
      <c r="E799" t="s">
        <v>2108</v>
      </c>
      <c r="F799" t="s">
        <v>123</v>
      </c>
      <c r="G799" t="s">
        <v>124</v>
      </c>
      <c r="H799" t="s">
        <v>125</v>
      </c>
      <c r="I799" t="s">
        <v>140</v>
      </c>
      <c r="J799" t="s">
        <v>141</v>
      </c>
      <c r="K799" t="s">
        <v>170</v>
      </c>
      <c r="L799">
        <v>50</v>
      </c>
      <c r="M799">
        <v>1137481</v>
      </c>
      <c r="N799">
        <v>0</v>
      </c>
      <c r="O799">
        <v>3</v>
      </c>
      <c r="P799" t="s">
        <v>168</v>
      </c>
      <c r="Q799" t="s">
        <v>129</v>
      </c>
      <c r="R799">
        <v>17</v>
      </c>
      <c r="S799" t="s">
        <v>1043</v>
      </c>
      <c r="T799">
        <v>0</v>
      </c>
      <c r="U799">
        <v>3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3</v>
      </c>
      <c r="AB799">
        <v>50</v>
      </c>
      <c r="AC799">
        <v>3</v>
      </c>
      <c r="AD799">
        <v>0</v>
      </c>
      <c r="AE799">
        <v>0</v>
      </c>
      <c r="AF799">
        <v>3</v>
      </c>
      <c r="AG799">
        <v>0</v>
      </c>
      <c r="AH799">
        <v>0</v>
      </c>
      <c r="AI799">
        <v>47</v>
      </c>
      <c r="AJ799">
        <v>47</v>
      </c>
      <c r="AK799">
        <v>47</v>
      </c>
      <c r="AL799">
        <v>47</v>
      </c>
      <c r="AM799">
        <v>0</v>
      </c>
      <c r="AN799">
        <v>4.2727272727272725</v>
      </c>
      <c r="AO799">
        <v>0</v>
      </c>
      <c r="AP799" t="s">
        <v>1044</v>
      </c>
      <c r="AQ799" t="s">
        <v>131</v>
      </c>
      <c r="AR799" t="s">
        <v>194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0</v>
      </c>
      <c r="AY799">
        <v>0</v>
      </c>
      <c r="AZ799" t="s">
        <v>147</v>
      </c>
      <c r="BA799">
        <v>0</v>
      </c>
      <c r="BB799">
        <v>0</v>
      </c>
      <c r="BC799" t="s">
        <v>133</v>
      </c>
      <c r="BD799">
        <v>3</v>
      </c>
      <c r="BE799" t="s">
        <v>133</v>
      </c>
      <c r="BF79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00" spans="1:58" x14ac:dyDescent="0.25">
      <c r="A800" t="s">
        <v>1047</v>
      </c>
      <c r="B800" t="s">
        <v>19</v>
      </c>
      <c r="C800">
        <v>2</v>
      </c>
      <c r="D800">
        <v>184</v>
      </c>
      <c r="E800" t="s">
        <v>2108</v>
      </c>
      <c r="F800" t="s">
        <v>123</v>
      </c>
      <c r="G800" t="s">
        <v>124</v>
      </c>
      <c r="H800" t="s">
        <v>136</v>
      </c>
      <c r="I800" t="s">
        <v>137</v>
      </c>
      <c r="J800" t="s">
        <v>138</v>
      </c>
      <c r="K800" t="s">
        <v>170</v>
      </c>
      <c r="L800">
        <v>50</v>
      </c>
      <c r="M800">
        <v>1137483</v>
      </c>
      <c r="N800">
        <v>0</v>
      </c>
      <c r="O800">
        <v>3</v>
      </c>
      <c r="P800" t="s">
        <v>168</v>
      </c>
      <c r="Q800" t="s">
        <v>129</v>
      </c>
      <c r="R800">
        <v>17</v>
      </c>
      <c r="S800" t="s">
        <v>1043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50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50</v>
      </c>
      <c r="AJ800">
        <v>50</v>
      </c>
      <c r="AK800">
        <v>50</v>
      </c>
      <c r="AL800">
        <v>50</v>
      </c>
      <c r="AM800">
        <v>0</v>
      </c>
      <c r="AN800">
        <v>4.5454545454545459</v>
      </c>
      <c r="AO800">
        <v>0</v>
      </c>
      <c r="AP800" t="s">
        <v>177</v>
      </c>
      <c r="AQ800" t="s">
        <v>155</v>
      </c>
      <c r="AR800" t="s">
        <v>194</v>
      </c>
      <c r="AS800">
        <v>0</v>
      </c>
      <c r="AT800">
        <v>0</v>
      </c>
      <c r="AU800">
        <v>0</v>
      </c>
      <c r="AV800">
        <v>0</v>
      </c>
      <c r="AW800">
        <v>0</v>
      </c>
      <c r="AX800">
        <v>0</v>
      </c>
      <c r="AY800">
        <v>0</v>
      </c>
      <c r="AZ800" t="s">
        <v>147</v>
      </c>
      <c r="BA800">
        <v>0</v>
      </c>
      <c r="BB800">
        <v>0</v>
      </c>
      <c r="BC800" t="s">
        <v>133</v>
      </c>
      <c r="BD800">
        <v>1</v>
      </c>
      <c r="BE800" t="s">
        <v>133</v>
      </c>
      <c r="BF80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01" spans="1:58" x14ac:dyDescent="0.25">
      <c r="A801" t="s">
        <v>1048</v>
      </c>
      <c r="B801" t="s">
        <v>19</v>
      </c>
      <c r="C801">
        <v>2</v>
      </c>
      <c r="D801">
        <v>185</v>
      </c>
      <c r="E801" t="s">
        <v>2108</v>
      </c>
      <c r="F801" t="s">
        <v>123</v>
      </c>
      <c r="G801" t="s">
        <v>124</v>
      </c>
      <c r="H801" t="s">
        <v>125</v>
      </c>
      <c r="I801" t="s">
        <v>140</v>
      </c>
      <c r="J801" t="s">
        <v>141</v>
      </c>
      <c r="K801" t="s">
        <v>170</v>
      </c>
      <c r="L801">
        <v>50</v>
      </c>
      <c r="M801">
        <v>1137485</v>
      </c>
      <c r="N801">
        <v>0</v>
      </c>
      <c r="O801">
        <v>3</v>
      </c>
      <c r="P801" t="s">
        <v>168</v>
      </c>
      <c r="Q801" t="s">
        <v>129</v>
      </c>
      <c r="R801">
        <v>17</v>
      </c>
      <c r="S801" t="s">
        <v>1043</v>
      </c>
      <c r="T801">
        <v>0</v>
      </c>
      <c r="U801">
        <v>4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4</v>
      </c>
      <c r="AB801">
        <v>50</v>
      </c>
      <c r="AC801">
        <v>4</v>
      </c>
      <c r="AD801">
        <v>0</v>
      </c>
      <c r="AE801">
        <v>0</v>
      </c>
      <c r="AF801">
        <v>4</v>
      </c>
      <c r="AG801">
        <v>0</v>
      </c>
      <c r="AH801">
        <v>0</v>
      </c>
      <c r="AI801">
        <v>46</v>
      </c>
      <c r="AJ801">
        <v>46</v>
      </c>
      <c r="AK801">
        <v>46</v>
      </c>
      <c r="AL801">
        <v>46</v>
      </c>
      <c r="AM801">
        <v>0</v>
      </c>
      <c r="AN801">
        <v>4.1818181818181817</v>
      </c>
      <c r="AO801">
        <v>0</v>
      </c>
      <c r="AP801" t="s">
        <v>1044</v>
      </c>
      <c r="AQ801" t="s">
        <v>131</v>
      </c>
      <c r="AR801" t="s">
        <v>194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0</v>
      </c>
      <c r="AY801">
        <v>0</v>
      </c>
      <c r="AZ801" t="s">
        <v>147</v>
      </c>
      <c r="BA801">
        <v>0</v>
      </c>
      <c r="BB801">
        <v>0</v>
      </c>
      <c r="BC801" t="s">
        <v>133</v>
      </c>
      <c r="BD801">
        <v>2</v>
      </c>
      <c r="BE801" t="s">
        <v>133</v>
      </c>
      <c r="BF80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02" spans="1:58" x14ac:dyDescent="0.25">
      <c r="A802" t="s">
        <v>1049</v>
      </c>
      <c r="B802" t="s">
        <v>19</v>
      </c>
      <c r="C802">
        <v>2</v>
      </c>
      <c r="D802">
        <v>186</v>
      </c>
      <c r="E802" t="s">
        <v>2108</v>
      </c>
      <c r="F802" t="s">
        <v>123</v>
      </c>
      <c r="G802" t="s">
        <v>124</v>
      </c>
      <c r="H802" t="s">
        <v>125</v>
      </c>
      <c r="I802" t="s">
        <v>140</v>
      </c>
      <c r="J802" t="s">
        <v>141</v>
      </c>
      <c r="K802" t="s">
        <v>170</v>
      </c>
      <c r="L802">
        <v>50</v>
      </c>
      <c r="M802">
        <v>1137487</v>
      </c>
      <c r="N802">
        <v>0</v>
      </c>
      <c r="O802">
        <v>3</v>
      </c>
      <c r="P802" t="s">
        <v>168</v>
      </c>
      <c r="Q802" t="s">
        <v>129</v>
      </c>
      <c r="R802">
        <v>17</v>
      </c>
      <c r="S802" t="s">
        <v>1043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50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50</v>
      </c>
      <c r="AJ802">
        <v>50</v>
      </c>
      <c r="AK802">
        <v>50</v>
      </c>
      <c r="AL802">
        <v>50</v>
      </c>
      <c r="AM802">
        <v>0</v>
      </c>
      <c r="AN802">
        <v>4.5454545454545459</v>
      </c>
      <c r="AO802">
        <v>0</v>
      </c>
      <c r="AP802" t="s">
        <v>1044</v>
      </c>
      <c r="AQ802" t="s">
        <v>155</v>
      </c>
      <c r="AR802" t="s">
        <v>194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0</v>
      </c>
      <c r="AY802">
        <v>0</v>
      </c>
      <c r="AZ802" t="s">
        <v>147</v>
      </c>
      <c r="BA802">
        <v>0</v>
      </c>
      <c r="BB802">
        <v>0</v>
      </c>
      <c r="BC802" t="s">
        <v>133</v>
      </c>
      <c r="BD802">
        <v>3</v>
      </c>
      <c r="BE802" t="s">
        <v>133</v>
      </c>
      <c r="BF80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03" spans="1:58" x14ac:dyDescent="0.25">
      <c r="A803" t="s">
        <v>1050</v>
      </c>
      <c r="B803" t="s">
        <v>19</v>
      </c>
      <c r="C803">
        <v>2</v>
      </c>
      <c r="D803">
        <v>187</v>
      </c>
      <c r="E803" t="s">
        <v>2108</v>
      </c>
      <c r="F803" t="s">
        <v>123</v>
      </c>
      <c r="G803" t="s">
        <v>124</v>
      </c>
      <c r="H803" t="s">
        <v>125</v>
      </c>
      <c r="I803" t="s">
        <v>140</v>
      </c>
      <c r="J803" t="s">
        <v>141</v>
      </c>
      <c r="K803" t="s">
        <v>170</v>
      </c>
      <c r="L803">
        <v>50</v>
      </c>
      <c r="M803">
        <v>1137489</v>
      </c>
      <c r="N803">
        <v>0</v>
      </c>
      <c r="O803">
        <v>3</v>
      </c>
      <c r="P803" t="s">
        <v>168</v>
      </c>
      <c r="Q803" t="s">
        <v>129</v>
      </c>
      <c r="R803">
        <v>17</v>
      </c>
      <c r="S803" t="s">
        <v>1043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50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50</v>
      </c>
      <c r="AJ803">
        <v>50</v>
      </c>
      <c r="AK803">
        <v>50</v>
      </c>
      <c r="AL803">
        <v>50</v>
      </c>
      <c r="AM803">
        <v>0</v>
      </c>
      <c r="AN803">
        <v>4.5454545454545459</v>
      </c>
      <c r="AO803">
        <v>0</v>
      </c>
      <c r="AP803" t="s">
        <v>1044</v>
      </c>
      <c r="AQ803" t="s">
        <v>155</v>
      </c>
      <c r="AR803" t="s">
        <v>194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0</v>
      </c>
      <c r="AZ803" t="s">
        <v>147</v>
      </c>
      <c r="BA803">
        <v>0</v>
      </c>
      <c r="BB803">
        <v>0</v>
      </c>
      <c r="BC803" t="s">
        <v>133</v>
      </c>
      <c r="BD803">
        <v>4</v>
      </c>
      <c r="BE803" t="s">
        <v>133</v>
      </c>
      <c r="BF80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04" spans="1:58" x14ac:dyDescent="0.25">
      <c r="A804" t="s">
        <v>1051</v>
      </c>
      <c r="B804" t="s">
        <v>19</v>
      </c>
      <c r="C804">
        <v>2</v>
      </c>
      <c r="D804">
        <v>188</v>
      </c>
      <c r="E804" t="s">
        <v>2108</v>
      </c>
      <c r="F804" t="s">
        <v>123</v>
      </c>
      <c r="G804" t="s">
        <v>124</v>
      </c>
      <c r="H804" t="s">
        <v>125</v>
      </c>
      <c r="I804" t="s">
        <v>140</v>
      </c>
      <c r="J804" t="s">
        <v>141</v>
      </c>
      <c r="K804" t="s">
        <v>170</v>
      </c>
      <c r="L804">
        <v>50</v>
      </c>
      <c r="M804">
        <v>1137491</v>
      </c>
      <c r="N804">
        <v>0</v>
      </c>
      <c r="O804">
        <v>3</v>
      </c>
      <c r="P804" t="s">
        <v>168</v>
      </c>
      <c r="Q804" t="s">
        <v>129</v>
      </c>
      <c r="R804">
        <v>17</v>
      </c>
      <c r="S804" t="s">
        <v>1043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50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50</v>
      </c>
      <c r="AJ804">
        <v>50</v>
      </c>
      <c r="AK804">
        <v>50</v>
      </c>
      <c r="AL804">
        <v>50</v>
      </c>
      <c r="AM804">
        <v>0</v>
      </c>
      <c r="AN804">
        <v>4.5454545454545459</v>
      </c>
      <c r="AO804">
        <v>0</v>
      </c>
      <c r="AP804" t="s">
        <v>1044</v>
      </c>
      <c r="AQ804" t="s">
        <v>155</v>
      </c>
      <c r="AR804" t="s">
        <v>194</v>
      </c>
      <c r="AS804">
        <v>0</v>
      </c>
      <c r="AT804">
        <v>0</v>
      </c>
      <c r="AU804">
        <v>0</v>
      </c>
      <c r="AV804">
        <v>0</v>
      </c>
      <c r="AW804">
        <v>0</v>
      </c>
      <c r="AX804">
        <v>0</v>
      </c>
      <c r="AY804">
        <v>0</v>
      </c>
      <c r="AZ804" t="s">
        <v>147</v>
      </c>
      <c r="BA804">
        <v>0</v>
      </c>
      <c r="BB804">
        <v>0</v>
      </c>
      <c r="BC804" t="s">
        <v>133</v>
      </c>
      <c r="BD804">
        <v>5</v>
      </c>
      <c r="BE804" t="s">
        <v>133</v>
      </c>
      <c r="BF80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05" spans="1:58" x14ac:dyDescent="0.25">
      <c r="A805" t="s">
        <v>1052</v>
      </c>
      <c r="B805" t="s">
        <v>19</v>
      </c>
      <c r="C805">
        <v>2</v>
      </c>
      <c r="D805">
        <v>189</v>
      </c>
      <c r="E805" t="s">
        <v>2108</v>
      </c>
      <c r="F805" t="s">
        <v>123</v>
      </c>
      <c r="G805" t="s">
        <v>124</v>
      </c>
      <c r="H805" t="s">
        <v>125</v>
      </c>
      <c r="I805" t="s">
        <v>140</v>
      </c>
      <c r="J805" t="s">
        <v>141</v>
      </c>
      <c r="K805" t="s">
        <v>170</v>
      </c>
      <c r="L805">
        <v>50</v>
      </c>
      <c r="M805">
        <v>1137493</v>
      </c>
      <c r="N805">
        <v>0</v>
      </c>
      <c r="O805">
        <v>3</v>
      </c>
      <c r="P805" t="s">
        <v>168</v>
      </c>
      <c r="Q805" t="s">
        <v>129</v>
      </c>
      <c r="R805">
        <v>17</v>
      </c>
      <c r="S805" t="s">
        <v>1043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50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50</v>
      </c>
      <c r="AJ805">
        <v>50</v>
      </c>
      <c r="AK805">
        <v>50</v>
      </c>
      <c r="AL805">
        <v>50</v>
      </c>
      <c r="AM805">
        <v>0</v>
      </c>
      <c r="AN805">
        <v>4.5454545454545459</v>
      </c>
      <c r="AO805">
        <v>0</v>
      </c>
      <c r="AP805" t="s">
        <v>1044</v>
      </c>
      <c r="AQ805" t="s">
        <v>155</v>
      </c>
      <c r="AR805" t="s">
        <v>194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0</v>
      </c>
      <c r="AZ805" t="s">
        <v>143</v>
      </c>
      <c r="BA805">
        <v>0</v>
      </c>
      <c r="BB805">
        <v>0</v>
      </c>
      <c r="BC805" t="s">
        <v>144</v>
      </c>
      <c r="BD805">
        <v>6</v>
      </c>
      <c r="BE805" t="s">
        <v>133</v>
      </c>
      <c r="BF80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06" spans="1:58" x14ac:dyDescent="0.25">
      <c r="A806" t="s">
        <v>1053</v>
      </c>
      <c r="B806" t="s">
        <v>19</v>
      </c>
      <c r="C806">
        <v>2</v>
      </c>
      <c r="D806">
        <v>190</v>
      </c>
      <c r="E806" t="s">
        <v>2110</v>
      </c>
      <c r="F806" t="s">
        <v>123</v>
      </c>
      <c r="G806" t="s">
        <v>124</v>
      </c>
      <c r="H806" t="s">
        <v>125</v>
      </c>
      <c r="I806" t="s">
        <v>154</v>
      </c>
      <c r="J806" t="s">
        <v>154</v>
      </c>
      <c r="K806" t="s">
        <v>166</v>
      </c>
      <c r="L806">
        <v>50</v>
      </c>
      <c r="M806">
        <v>1137495</v>
      </c>
      <c r="N806">
        <v>0</v>
      </c>
      <c r="O806">
        <v>3</v>
      </c>
      <c r="P806" t="s">
        <v>168</v>
      </c>
      <c r="Q806" t="s">
        <v>129</v>
      </c>
      <c r="R806">
        <v>18</v>
      </c>
      <c r="S806" t="s">
        <v>1054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50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50</v>
      </c>
      <c r="AI806">
        <v>50</v>
      </c>
      <c r="AJ806">
        <v>50</v>
      </c>
      <c r="AK806">
        <v>50</v>
      </c>
      <c r="AL806">
        <v>0</v>
      </c>
      <c r="AM806">
        <v>0</v>
      </c>
      <c r="AN806">
        <v>4.5454545454545459</v>
      </c>
      <c r="AO806">
        <v>0</v>
      </c>
      <c r="AP806" t="s">
        <v>167</v>
      </c>
      <c r="AQ806" t="s">
        <v>155</v>
      </c>
      <c r="AR806" t="s">
        <v>523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 t="s">
        <v>135</v>
      </c>
      <c r="BA806">
        <v>0</v>
      </c>
      <c r="BB806">
        <v>0</v>
      </c>
      <c r="BC806" t="s">
        <v>132</v>
      </c>
      <c r="BD806">
        <v>1</v>
      </c>
      <c r="BE806" t="s">
        <v>133</v>
      </c>
      <c r="BF80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07" spans="1:58" x14ac:dyDescent="0.25">
      <c r="A807" t="s">
        <v>1055</v>
      </c>
      <c r="B807" t="s">
        <v>19</v>
      </c>
      <c r="C807">
        <v>2</v>
      </c>
      <c r="D807">
        <v>191</v>
      </c>
      <c r="E807" t="s">
        <v>2110</v>
      </c>
      <c r="F807" t="s">
        <v>123</v>
      </c>
      <c r="G807" t="s">
        <v>124</v>
      </c>
      <c r="H807" t="s">
        <v>125</v>
      </c>
      <c r="I807" t="s">
        <v>154</v>
      </c>
      <c r="J807" t="s">
        <v>154</v>
      </c>
      <c r="K807" t="s">
        <v>166</v>
      </c>
      <c r="L807">
        <v>50</v>
      </c>
      <c r="M807">
        <v>1137497</v>
      </c>
      <c r="N807">
        <v>0</v>
      </c>
      <c r="O807">
        <v>3</v>
      </c>
      <c r="P807" t="s">
        <v>168</v>
      </c>
      <c r="Q807" t="s">
        <v>129</v>
      </c>
      <c r="R807">
        <v>18</v>
      </c>
      <c r="S807" t="s">
        <v>1054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50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50</v>
      </c>
      <c r="AI807">
        <v>50</v>
      </c>
      <c r="AJ807">
        <v>50</v>
      </c>
      <c r="AK807">
        <v>50</v>
      </c>
      <c r="AL807">
        <v>0</v>
      </c>
      <c r="AM807">
        <v>0</v>
      </c>
      <c r="AN807">
        <v>4.5454545454545459</v>
      </c>
      <c r="AO807">
        <v>0</v>
      </c>
      <c r="AP807" t="s">
        <v>167</v>
      </c>
      <c r="AQ807" t="s">
        <v>155</v>
      </c>
      <c r="AR807" t="s">
        <v>523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 t="s">
        <v>135</v>
      </c>
      <c r="BA807">
        <v>0</v>
      </c>
      <c r="BB807">
        <v>0</v>
      </c>
      <c r="BC807" t="s">
        <v>133</v>
      </c>
      <c r="BD807">
        <v>2</v>
      </c>
      <c r="BE807" t="s">
        <v>133</v>
      </c>
      <c r="BF80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08" spans="1:58" x14ac:dyDescent="0.25">
      <c r="A808" t="s">
        <v>1056</v>
      </c>
      <c r="B808" t="s">
        <v>19</v>
      </c>
      <c r="C808">
        <v>2</v>
      </c>
      <c r="D808">
        <v>192</v>
      </c>
      <c r="E808" t="s">
        <v>2110</v>
      </c>
      <c r="F808" t="s">
        <v>123</v>
      </c>
      <c r="G808" t="s">
        <v>124</v>
      </c>
      <c r="H808" t="s">
        <v>125</v>
      </c>
      <c r="I808" t="s">
        <v>154</v>
      </c>
      <c r="J808" t="s">
        <v>154</v>
      </c>
      <c r="K808" t="s">
        <v>166</v>
      </c>
      <c r="L808">
        <v>50</v>
      </c>
      <c r="M808">
        <v>1137499</v>
      </c>
      <c r="N808">
        <v>0</v>
      </c>
      <c r="O808">
        <v>3</v>
      </c>
      <c r="P808" t="s">
        <v>168</v>
      </c>
      <c r="Q808" t="s">
        <v>129</v>
      </c>
      <c r="R808">
        <v>18</v>
      </c>
      <c r="S808" t="s">
        <v>1054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50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50</v>
      </c>
      <c r="AI808">
        <v>50</v>
      </c>
      <c r="AJ808">
        <v>50</v>
      </c>
      <c r="AK808">
        <v>50</v>
      </c>
      <c r="AL808">
        <v>0</v>
      </c>
      <c r="AM808">
        <v>0</v>
      </c>
      <c r="AN808">
        <v>4.5454545454545459</v>
      </c>
      <c r="AO808">
        <v>0</v>
      </c>
      <c r="AP808" t="s">
        <v>167</v>
      </c>
      <c r="AQ808" t="s">
        <v>155</v>
      </c>
      <c r="AR808" t="s">
        <v>523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 t="s">
        <v>135</v>
      </c>
      <c r="BA808">
        <v>0</v>
      </c>
      <c r="BB808">
        <v>0</v>
      </c>
      <c r="BC808" t="s">
        <v>133</v>
      </c>
      <c r="BD808">
        <v>3</v>
      </c>
      <c r="BE808" t="s">
        <v>133</v>
      </c>
      <c r="BF80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09" spans="1:58" x14ac:dyDescent="0.25">
      <c r="A809" t="s">
        <v>1057</v>
      </c>
      <c r="B809" t="s">
        <v>19</v>
      </c>
      <c r="C809">
        <v>2</v>
      </c>
      <c r="D809">
        <v>193</v>
      </c>
      <c r="E809" t="s">
        <v>2110</v>
      </c>
      <c r="F809" t="s">
        <v>123</v>
      </c>
      <c r="G809" t="s">
        <v>124</v>
      </c>
      <c r="H809" t="s">
        <v>125</v>
      </c>
      <c r="I809" t="s">
        <v>154</v>
      </c>
      <c r="J809" t="s">
        <v>154</v>
      </c>
      <c r="K809" t="s">
        <v>166</v>
      </c>
      <c r="L809">
        <v>50</v>
      </c>
      <c r="M809">
        <v>1137501</v>
      </c>
      <c r="N809">
        <v>0</v>
      </c>
      <c r="O809">
        <v>3</v>
      </c>
      <c r="P809" t="s">
        <v>168</v>
      </c>
      <c r="Q809" t="s">
        <v>129</v>
      </c>
      <c r="R809">
        <v>18</v>
      </c>
      <c r="S809" t="s">
        <v>1054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50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50</v>
      </c>
      <c r="AI809">
        <v>50</v>
      </c>
      <c r="AJ809">
        <v>50</v>
      </c>
      <c r="AK809">
        <v>50</v>
      </c>
      <c r="AL809">
        <v>0</v>
      </c>
      <c r="AM809">
        <v>0</v>
      </c>
      <c r="AN809">
        <v>4.5454545454545459</v>
      </c>
      <c r="AO809">
        <v>0</v>
      </c>
      <c r="AP809" t="s">
        <v>167</v>
      </c>
      <c r="AQ809" t="s">
        <v>155</v>
      </c>
      <c r="AR809" t="s">
        <v>523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0</v>
      </c>
      <c r="AZ809" t="s">
        <v>135</v>
      </c>
      <c r="BA809">
        <v>0</v>
      </c>
      <c r="BB809">
        <v>0</v>
      </c>
      <c r="BC809" t="s">
        <v>133</v>
      </c>
      <c r="BD809">
        <v>4</v>
      </c>
      <c r="BE809" t="s">
        <v>133</v>
      </c>
      <c r="BF80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10" spans="1:58" x14ac:dyDescent="0.25">
      <c r="A810" t="s">
        <v>1058</v>
      </c>
      <c r="B810" t="s">
        <v>19</v>
      </c>
      <c r="C810">
        <v>2</v>
      </c>
      <c r="D810">
        <v>194</v>
      </c>
      <c r="E810" t="s">
        <v>2110</v>
      </c>
      <c r="F810" t="s">
        <v>123</v>
      </c>
      <c r="G810" t="s">
        <v>124</v>
      </c>
      <c r="H810" t="s">
        <v>125</v>
      </c>
      <c r="I810" t="s">
        <v>154</v>
      </c>
      <c r="J810" t="s">
        <v>154</v>
      </c>
      <c r="K810" t="s">
        <v>166</v>
      </c>
      <c r="L810">
        <v>50</v>
      </c>
      <c r="M810">
        <v>1137503</v>
      </c>
      <c r="N810">
        <v>0</v>
      </c>
      <c r="O810">
        <v>3</v>
      </c>
      <c r="P810" t="s">
        <v>168</v>
      </c>
      <c r="Q810" t="s">
        <v>129</v>
      </c>
      <c r="R810">
        <v>18</v>
      </c>
      <c r="S810" t="s">
        <v>1054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50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50</v>
      </c>
      <c r="AI810">
        <v>50</v>
      </c>
      <c r="AJ810">
        <v>50</v>
      </c>
      <c r="AK810">
        <v>50</v>
      </c>
      <c r="AL810">
        <v>0</v>
      </c>
      <c r="AM810">
        <v>0</v>
      </c>
      <c r="AN810">
        <v>4.5454545454545459</v>
      </c>
      <c r="AO810">
        <v>0</v>
      </c>
      <c r="AP810" t="s">
        <v>167</v>
      </c>
      <c r="AQ810" t="s">
        <v>155</v>
      </c>
      <c r="AR810" t="s">
        <v>523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 t="s">
        <v>135</v>
      </c>
      <c r="BA810">
        <v>0</v>
      </c>
      <c r="BB810">
        <v>0</v>
      </c>
      <c r="BC810" t="s">
        <v>133</v>
      </c>
      <c r="BD810">
        <v>5</v>
      </c>
      <c r="BE810" t="s">
        <v>133</v>
      </c>
      <c r="BF81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11" spans="1:58" x14ac:dyDescent="0.25">
      <c r="A811" t="s">
        <v>1059</v>
      </c>
      <c r="B811" t="s">
        <v>19</v>
      </c>
      <c r="C811">
        <v>2</v>
      </c>
      <c r="D811">
        <v>195</v>
      </c>
      <c r="E811" t="s">
        <v>2110</v>
      </c>
      <c r="F811" t="s">
        <v>123</v>
      </c>
      <c r="G811" t="s">
        <v>124</v>
      </c>
      <c r="H811" t="s">
        <v>125</v>
      </c>
      <c r="I811" t="s">
        <v>154</v>
      </c>
      <c r="J811" t="s">
        <v>154</v>
      </c>
      <c r="K811" t="s">
        <v>166</v>
      </c>
      <c r="L811">
        <v>50</v>
      </c>
      <c r="M811">
        <v>1137505</v>
      </c>
      <c r="N811">
        <v>0</v>
      </c>
      <c r="O811">
        <v>3</v>
      </c>
      <c r="P811" t="s">
        <v>168</v>
      </c>
      <c r="Q811" t="s">
        <v>129</v>
      </c>
      <c r="R811">
        <v>18</v>
      </c>
      <c r="S811" t="s">
        <v>1054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50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50</v>
      </c>
      <c r="AI811">
        <v>50</v>
      </c>
      <c r="AJ811">
        <v>50</v>
      </c>
      <c r="AK811">
        <v>50</v>
      </c>
      <c r="AL811">
        <v>0</v>
      </c>
      <c r="AM811">
        <v>0</v>
      </c>
      <c r="AN811">
        <v>4.5454545454545459</v>
      </c>
      <c r="AO811">
        <v>0</v>
      </c>
      <c r="AP811" t="s">
        <v>167</v>
      </c>
      <c r="AQ811" t="s">
        <v>155</v>
      </c>
      <c r="AR811" t="s">
        <v>523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 t="s">
        <v>135</v>
      </c>
      <c r="BA811">
        <v>0</v>
      </c>
      <c r="BB811">
        <v>0</v>
      </c>
      <c r="BC811" t="s">
        <v>133</v>
      </c>
      <c r="BD811">
        <v>6</v>
      </c>
      <c r="BE811" t="s">
        <v>133</v>
      </c>
      <c r="BF81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12" spans="1:58" x14ac:dyDescent="0.25">
      <c r="A812" t="s">
        <v>1060</v>
      </c>
      <c r="B812" t="s">
        <v>19</v>
      </c>
      <c r="C812">
        <v>2</v>
      </c>
      <c r="D812">
        <v>196</v>
      </c>
      <c r="E812" t="s">
        <v>2110</v>
      </c>
      <c r="F812" t="s">
        <v>123</v>
      </c>
      <c r="G812" t="s">
        <v>124</v>
      </c>
      <c r="H812" t="s">
        <v>125</v>
      </c>
      <c r="I812" t="s">
        <v>154</v>
      </c>
      <c r="J812" t="s">
        <v>154</v>
      </c>
      <c r="K812" t="s">
        <v>166</v>
      </c>
      <c r="L812">
        <v>50</v>
      </c>
      <c r="M812">
        <v>1137507</v>
      </c>
      <c r="N812">
        <v>0</v>
      </c>
      <c r="O812">
        <v>3</v>
      </c>
      <c r="P812" t="s">
        <v>168</v>
      </c>
      <c r="Q812" t="s">
        <v>129</v>
      </c>
      <c r="R812">
        <v>18</v>
      </c>
      <c r="S812" t="s">
        <v>1054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50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50</v>
      </c>
      <c r="AI812">
        <v>50</v>
      </c>
      <c r="AJ812">
        <v>50</v>
      </c>
      <c r="AK812">
        <v>50</v>
      </c>
      <c r="AL812">
        <v>0</v>
      </c>
      <c r="AM812">
        <v>0</v>
      </c>
      <c r="AN812">
        <v>4.5454545454545459</v>
      </c>
      <c r="AO812">
        <v>0</v>
      </c>
      <c r="AP812" t="s">
        <v>167</v>
      </c>
      <c r="AQ812" t="s">
        <v>155</v>
      </c>
      <c r="AR812" t="s">
        <v>523</v>
      </c>
      <c r="AS812">
        <v>0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0</v>
      </c>
      <c r="AZ812" t="s">
        <v>135</v>
      </c>
      <c r="BA812">
        <v>0</v>
      </c>
      <c r="BB812">
        <v>0</v>
      </c>
      <c r="BC812" t="s">
        <v>133</v>
      </c>
      <c r="BD812">
        <v>7</v>
      </c>
      <c r="BE812" t="s">
        <v>133</v>
      </c>
      <c r="BF81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13" spans="1:58" x14ac:dyDescent="0.25">
      <c r="A813" t="s">
        <v>1061</v>
      </c>
      <c r="B813" t="s">
        <v>19</v>
      </c>
      <c r="C813">
        <v>2</v>
      </c>
      <c r="D813">
        <v>197</v>
      </c>
      <c r="E813" t="s">
        <v>2110</v>
      </c>
      <c r="F813" t="s">
        <v>123</v>
      </c>
      <c r="G813" t="s">
        <v>124</v>
      </c>
      <c r="H813" t="s">
        <v>125</v>
      </c>
      <c r="I813" t="s">
        <v>154</v>
      </c>
      <c r="J813" t="s">
        <v>154</v>
      </c>
      <c r="K813" t="s">
        <v>166</v>
      </c>
      <c r="L813">
        <v>50</v>
      </c>
      <c r="M813">
        <v>1137509</v>
      </c>
      <c r="N813">
        <v>0</v>
      </c>
      <c r="O813">
        <v>3</v>
      </c>
      <c r="P813" t="s">
        <v>168</v>
      </c>
      <c r="Q813" t="s">
        <v>129</v>
      </c>
      <c r="R813">
        <v>18</v>
      </c>
      <c r="S813" t="s">
        <v>1054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50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50</v>
      </c>
      <c r="AI813">
        <v>50</v>
      </c>
      <c r="AJ813">
        <v>50</v>
      </c>
      <c r="AK813">
        <v>50</v>
      </c>
      <c r="AL813">
        <v>0</v>
      </c>
      <c r="AM813">
        <v>0</v>
      </c>
      <c r="AN813">
        <v>4.5454545454545459</v>
      </c>
      <c r="AO813">
        <v>0</v>
      </c>
      <c r="AP813" t="s">
        <v>167</v>
      </c>
      <c r="AQ813" t="s">
        <v>155</v>
      </c>
      <c r="AR813" t="s">
        <v>523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 t="s">
        <v>135</v>
      </c>
      <c r="BA813">
        <v>0</v>
      </c>
      <c r="BB813">
        <v>0</v>
      </c>
      <c r="BC813" t="s">
        <v>133</v>
      </c>
      <c r="BD813">
        <v>8</v>
      </c>
      <c r="BE813" t="s">
        <v>133</v>
      </c>
      <c r="BF81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14" spans="1:58" x14ac:dyDescent="0.25">
      <c r="A814" t="s">
        <v>1062</v>
      </c>
      <c r="B814" t="s">
        <v>19</v>
      </c>
      <c r="C814">
        <v>2</v>
      </c>
      <c r="D814">
        <v>198</v>
      </c>
      <c r="E814" t="s">
        <v>2110</v>
      </c>
      <c r="F814" t="s">
        <v>123</v>
      </c>
      <c r="G814" t="s">
        <v>124</v>
      </c>
      <c r="H814" t="s">
        <v>125</v>
      </c>
      <c r="I814" t="s">
        <v>154</v>
      </c>
      <c r="J814" t="s">
        <v>154</v>
      </c>
      <c r="K814" t="s">
        <v>166</v>
      </c>
      <c r="L814">
        <v>50</v>
      </c>
      <c r="M814">
        <v>1137511</v>
      </c>
      <c r="N814">
        <v>0</v>
      </c>
      <c r="O814">
        <v>3</v>
      </c>
      <c r="P814" t="s">
        <v>168</v>
      </c>
      <c r="Q814" t="s">
        <v>129</v>
      </c>
      <c r="R814">
        <v>18</v>
      </c>
      <c r="S814" t="s">
        <v>1054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50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50</v>
      </c>
      <c r="AI814">
        <v>50</v>
      </c>
      <c r="AJ814">
        <v>50</v>
      </c>
      <c r="AK814">
        <v>50</v>
      </c>
      <c r="AL814">
        <v>0</v>
      </c>
      <c r="AM814">
        <v>0</v>
      </c>
      <c r="AN814">
        <v>4.5454545454545459</v>
      </c>
      <c r="AO814">
        <v>0</v>
      </c>
      <c r="AP814" t="s">
        <v>167</v>
      </c>
      <c r="AQ814" t="s">
        <v>155</v>
      </c>
      <c r="AR814" t="s">
        <v>523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0</v>
      </c>
      <c r="AZ814" t="s">
        <v>135</v>
      </c>
      <c r="BA814">
        <v>0</v>
      </c>
      <c r="BB814">
        <v>0</v>
      </c>
      <c r="BC814" t="s">
        <v>133</v>
      </c>
      <c r="BD814">
        <v>9</v>
      </c>
      <c r="BE814" t="s">
        <v>133</v>
      </c>
      <c r="BF81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15" spans="1:58" x14ac:dyDescent="0.25">
      <c r="A815" t="s">
        <v>1063</v>
      </c>
      <c r="B815" t="s">
        <v>19</v>
      </c>
      <c r="C815">
        <v>2</v>
      </c>
      <c r="D815">
        <v>199</v>
      </c>
      <c r="E815" t="s">
        <v>2110</v>
      </c>
      <c r="F815" t="s">
        <v>123</v>
      </c>
      <c r="G815" t="s">
        <v>124</v>
      </c>
      <c r="H815" t="s">
        <v>125</v>
      </c>
      <c r="I815" t="s">
        <v>154</v>
      </c>
      <c r="J815" t="s">
        <v>154</v>
      </c>
      <c r="K815" t="s">
        <v>166</v>
      </c>
      <c r="L815">
        <v>50</v>
      </c>
      <c r="M815">
        <v>1137513</v>
      </c>
      <c r="N815">
        <v>0</v>
      </c>
      <c r="O815">
        <v>3</v>
      </c>
      <c r="P815" t="s">
        <v>168</v>
      </c>
      <c r="Q815" t="s">
        <v>129</v>
      </c>
      <c r="R815">
        <v>18</v>
      </c>
      <c r="S815" t="s">
        <v>1054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50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50</v>
      </c>
      <c r="AI815">
        <v>50</v>
      </c>
      <c r="AJ815">
        <v>50</v>
      </c>
      <c r="AK815">
        <v>50</v>
      </c>
      <c r="AL815">
        <v>0</v>
      </c>
      <c r="AM815">
        <v>0</v>
      </c>
      <c r="AN815">
        <v>4.5454545454545459</v>
      </c>
      <c r="AO815">
        <v>0</v>
      </c>
      <c r="AP815" t="s">
        <v>167</v>
      </c>
      <c r="AQ815" t="s">
        <v>155</v>
      </c>
      <c r="AR815" t="s">
        <v>523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0</v>
      </c>
      <c r="AZ815" t="s">
        <v>135</v>
      </c>
      <c r="BA815">
        <v>0</v>
      </c>
      <c r="BB815">
        <v>0</v>
      </c>
      <c r="BC815" t="s">
        <v>133</v>
      </c>
      <c r="BD815">
        <v>10</v>
      </c>
      <c r="BE815" t="s">
        <v>133</v>
      </c>
      <c r="BF81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16" spans="1:58" x14ac:dyDescent="0.25">
      <c r="A816" t="s">
        <v>1064</v>
      </c>
      <c r="B816" t="s">
        <v>19</v>
      </c>
      <c r="C816">
        <v>2</v>
      </c>
      <c r="D816">
        <v>200</v>
      </c>
      <c r="E816" t="s">
        <v>2110</v>
      </c>
      <c r="F816" t="s">
        <v>123</v>
      </c>
      <c r="G816" t="s">
        <v>124</v>
      </c>
      <c r="H816" t="s">
        <v>125</v>
      </c>
      <c r="I816" t="s">
        <v>154</v>
      </c>
      <c r="J816" t="s">
        <v>154</v>
      </c>
      <c r="K816" t="s">
        <v>166</v>
      </c>
      <c r="L816">
        <v>50</v>
      </c>
      <c r="M816">
        <v>1137515</v>
      </c>
      <c r="N816">
        <v>0</v>
      </c>
      <c r="O816">
        <v>3</v>
      </c>
      <c r="P816" t="s">
        <v>168</v>
      </c>
      <c r="Q816" t="s">
        <v>129</v>
      </c>
      <c r="R816">
        <v>18</v>
      </c>
      <c r="S816" t="s">
        <v>1054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50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50</v>
      </c>
      <c r="AI816">
        <v>50</v>
      </c>
      <c r="AJ816">
        <v>50</v>
      </c>
      <c r="AK816">
        <v>50</v>
      </c>
      <c r="AL816">
        <v>0</v>
      </c>
      <c r="AM816">
        <v>0</v>
      </c>
      <c r="AN816">
        <v>4.5454545454545459</v>
      </c>
      <c r="AO816">
        <v>0</v>
      </c>
      <c r="AP816" t="s">
        <v>167</v>
      </c>
      <c r="AQ816" t="s">
        <v>155</v>
      </c>
      <c r="AR816" t="s">
        <v>523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0</v>
      </c>
      <c r="AY816">
        <v>0</v>
      </c>
      <c r="AZ816" t="s">
        <v>135</v>
      </c>
      <c r="BA816">
        <v>0</v>
      </c>
      <c r="BB816">
        <v>0</v>
      </c>
      <c r="BC816" t="s">
        <v>144</v>
      </c>
      <c r="BD816">
        <v>11</v>
      </c>
      <c r="BE816" t="s">
        <v>1065</v>
      </c>
      <c r="BF81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17" spans="1:58" x14ac:dyDescent="0.25">
      <c r="A817" t="s">
        <v>1066</v>
      </c>
      <c r="B817" t="s">
        <v>19</v>
      </c>
      <c r="C817">
        <v>2</v>
      </c>
      <c r="D817">
        <v>201</v>
      </c>
      <c r="E817" t="s">
        <v>2109</v>
      </c>
      <c r="F817" t="s">
        <v>123</v>
      </c>
      <c r="G817" t="s">
        <v>124</v>
      </c>
      <c r="H817" t="s">
        <v>125</v>
      </c>
      <c r="I817" t="s">
        <v>183</v>
      </c>
      <c r="J817" t="s">
        <v>140</v>
      </c>
      <c r="K817" t="s">
        <v>166</v>
      </c>
      <c r="L817">
        <v>50</v>
      </c>
      <c r="M817">
        <v>3499367</v>
      </c>
      <c r="N817">
        <v>20</v>
      </c>
      <c r="O817">
        <v>3</v>
      </c>
      <c r="P817" t="s">
        <v>168</v>
      </c>
      <c r="Q817" t="s">
        <v>129</v>
      </c>
      <c r="R817">
        <v>19</v>
      </c>
      <c r="S817" t="s">
        <v>1067</v>
      </c>
      <c r="T817">
        <v>22</v>
      </c>
      <c r="U817">
        <v>25</v>
      </c>
      <c r="V817">
        <v>0</v>
      </c>
      <c r="W817">
        <v>0</v>
      </c>
      <c r="X817">
        <v>0</v>
      </c>
      <c r="Y817">
        <v>0</v>
      </c>
      <c r="Z817">
        <v>22</v>
      </c>
      <c r="AA817">
        <v>25</v>
      </c>
      <c r="AB817">
        <v>50</v>
      </c>
      <c r="AC817">
        <v>49</v>
      </c>
      <c r="AD817">
        <v>0</v>
      </c>
      <c r="AE817">
        <v>0</v>
      </c>
      <c r="AF817">
        <v>49</v>
      </c>
      <c r="AG817">
        <v>0</v>
      </c>
      <c r="AH817">
        <v>1</v>
      </c>
      <c r="AI817">
        <v>1</v>
      </c>
      <c r="AJ817">
        <v>1</v>
      </c>
      <c r="AK817">
        <v>1</v>
      </c>
      <c r="AL817">
        <v>0</v>
      </c>
      <c r="AM817">
        <v>0.4</v>
      </c>
      <c r="AN817">
        <v>9.0909090909090912E-2</v>
      </c>
      <c r="AO817">
        <v>0</v>
      </c>
      <c r="AP817" t="s">
        <v>184</v>
      </c>
      <c r="AQ817" t="s">
        <v>131</v>
      </c>
      <c r="AR817" t="s">
        <v>229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0</v>
      </c>
      <c r="AZ817" t="s">
        <v>135</v>
      </c>
      <c r="BA817">
        <v>20</v>
      </c>
      <c r="BB817">
        <v>0</v>
      </c>
      <c r="BC817" t="s">
        <v>132</v>
      </c>
      <c r="BD817">
        <v>0</v>
      </c>
      <c r="BE817" t="s">
        <v>133</v>
      </c>
      <c r="BF81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18" spans="1:58" x14ac:dyDescent="0.25">
      <c r="A818" t="s">
        <v>1068</v>
      </c>
      <c r="B818" t="s">
        <v>19</v>
      </c>
      <c r="C818">
        <v>2</v>
      </c>
      <c r="D818">
        <v>202</v>
      </c>
      <c r="E818" t="s">
        <v>2109</v>
      </c>
      <c r="F818" t="s">
        <v>123</v>
      </c>
      <c r="G818" t="s">
        <v>124</v>
      </c>
      <c r="H818" t="s">
        <v>125</v>
      </c>
      <c r="I818" t="s">
        <v>183</v>
      </c>
      <c r="J818" t="s">
        <v>140</v>
      </c>
      <c r="K818" t="s">
        <v>166</v>
      </c>
      <c r="L818">
        <v>50</v>
      </c>
      <c r="M818">
        <v>3499393</v>
      </c>
      <c r="N818">
        <v>20</v>
      </c>
      <c r="O818">
        <v>3</v>
      </c>
      <c r="P818" t="s">
        <v>168</v>
      </c>
      <c r="Q818" t="s">
        <v>129</v>
      </c>
      <c r="R818">
        <v>19</v>
      </c>
      <c r="S818" t="s">
        <v>1007</v>
      </c>
      <c r="T818">
        <v>22</v>
      </c>
      <c r="U818">
        <v>25</v>
      </c>
      <c r="V818">
        <v>0</v>
      </c>
      <c r="W818">
        <v>0</v>
      </c>
      <c r="X818">
        <v>0</v>
      </c>
      <c r="Y818">
        <v>0</v>
      </c>
      <c r="Z818">
        <v>22</v>
      </c>
      <c r="AA818">
        <v>25</v>
      </c>
      <c r="AB818">
        <v>50</v>
      </c>
      <c r="AC818">
        <v>49</v>
      </c>
      <c r="AD818">
        <v>0</v>
      </c>
      <c r="AE818">
        <v>0</v>
      </c>
      <c r="AF818">
        <v>49</v>
      </c>
      <c r="AG818">
        <v>0</v>
      </c>
      <c r="AH818">
        <v>1</v>
      </c>
      <c r="AI818">
        <v>1</v>
      </c>
      <c r="AJ818">
        <v>1</v>
      </c>
      <c r="AK818">
        <v>1</v>
      </c>
      <c r="AL818">
        <v>0</v>
      </c>
      <c r="AM818">
        <v>0.4</v>
      </c>
      <c r="AN818">
        <v>9.0909090909090912E-2</v>
      </c>
      <c r="AO818">
        <v>0</v>
      </c>
      <c r="AP818" t="s">
        <v>184</v>
      </c>
      <c r="AQ818" t="s">
        <v>131</v>
      </c>
      <c r="AR818" t="s">
        <v>229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0</v>
      </c>
      <c r="AZ818" t="s">
        <v>135</v>
      </c>
      <c r="BA818">
        <v>20</v>
      </c>
      <c r="BB818">
        <v>0</v>
      </c>
      <c r="BC818" t="s">
        <v>133</v>
      </c>
      <c r="BD818">
        <v>0</v>
      </c>
      <c r="BE818" t="s">
        <v>133</v>
      </c>
      <c r="BF81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19" spans="1:58" x14ac:dyDescent="0.25">
      <c r="A819" t="s">
        <v>1069</v>
      </c>
      <c r="B819" t="s">
        <v>19</v>
      </c>
      <c r="C819">
        <v>2</v>
      </c>
      <c r="D819">
        <v>203</v>
      </c>
      <c r="E819" t="s">
        <v>2109</v>
      </c>
      <c r="F819" t="s">
        <v>123</v>
      </c>
      <c r="G819" t="s">
        <v>124</v>
      </c>
      <c r="H819" t="s">
        <v>125</v>
      </c>
      <c r="I819" t="s">
        <v>183</v>
      </c>
      <c r="J819" t="s">
        <v>140</v>
      </c>
      <c r="K819" t="s">
        <v>127</v>
      </c>
      <c r="L819">
        <v>0</v>
      </c>
      <c r="M819">
        <v>3423279</v>
      </c>
      <c r="N819">
        <v>20</v>
      </c>
      <c r="O819">
        <v>3</v>
      </c>
      <c r="P819" t="s">
        <v>168</v>
      </c>
      <c r="Q819" t="s">
        <v>129</v>
      </c>
      <c r="R819">
        <v>19</v>
      </c>
      <c r="S819" t="s">
        <v>1070</v>
      </c>
      <c r="T819">
        <v>22</v>
      </c>
      <c r="U819">
        <v>25</v>
      </c>
      <c r="V819">
        <v>0</v>
      </c>
      <c r="W819">
        <v>0</v>
      </c>
      <c r="X819">
        <v>0</v>
      </c>
      <c r="Y819">
        <v>0</v>
      </c>
      <c r="Z819">
        <v>22</v>
      </c>
      <c r="AA819">
        <v>25</v>
      </c>
      <c r="AB819">
        <v>50</v>
      </c>
      <c r="AC819">
        <v>49</v>
      </c>
      <c r="AD819">
        <v>0</v>
      </c>
      <c r="AE819">
        <v>0</v>
      </c>
      <c r="AF819">
        <v>49</v>
      </c>
      <c r="AG819">
        <v>0</v>
      </c>
      <c r="AH819">
        <v>1</v>
      </c>
      <c r="AI819">
        <v>1</v>
      </c>
      <c r="AJ819">
        <v>1</v>
      </c>
      <c r="AK819">
        <v>1</v>
      </c>
      <c r="AL819">
        <v>0</v>
      </c>
      <c r="AM819">
        <v>0.4</v>
      </c>
      <c r="AN819">
        <v>9.0909090909090912E-2</v>
      </c>
      <c r="AO819">
        <v>0</v>
      </c>
      <c r="AP819" t="s">
        <v>188</v>
      </c>
      <c r="AQ819" t="s">
        <v>131</v>
      </c>
      <c r="AR819" t="s">
        <v>229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0</v>
      </c>
      <c r="AZ819" t="s">
        <v>147</v>
      </c>
      <c r="BA819">
        <v>20</v>
      </c>
      <c r="BB819">
        <v>0</v>
      </c>
      <c r="BC819" t="s">
        <v>133</v>
      </c>
      <c r="BD819">
        <v>0</v>
      </c>
      <c r="BE819" t="s">
        <v>133</v>
      </c>
      <c r="BF81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20" spans="1:58" x14ac:dyDescent="0.25">
      <c r="A820" t="s">
        <v>1071</v>
      </c>
      <c r="B820" t="s">
        <v>19</v>
      </c>
      <c r="C820">
        <v>2</v>
      </c>
      <c r="D820">
        <v>204</v>
      </c>
      <c r="E820" t="s">
        <v>2109</v>
      </c>
      <c r="F820" t="s">
        <v>123</v>
      </c>
      <c r="G820" t="s">
        <v>124</v>
      </c>
      <c r="H820" t="s">
        <v>125</v>
      </c>
      <c r="I820" t="s">
        <v>183</v>
      </c>
      <c r="J820" t="s">
        <v>140</v>
      </c>
      <c r="K820" t="s">
        <v>127</v>
      </c>
      <c r="L820">
        <v>0</v>
      </c>
      <c r="M820">
        <v>3423281</v>
      </c>
      <c r="N820">
        <v>20</v>
      </c>
      <c r="O820">
        <v>3</v>
      </c>
      <c r="P820" t="s">
        <v>168</v>
      </c>
      <c r="Q820" t="s">
        <v>129</v>
      </c>
      <c r="R820">
        <v>19</v>
      </c>
      <c r="S820" t="s">
        <v>1070</v>
      </c>
      <c r="T820">
        <v>22</v>
      </c>
      <c r="U820">
        <v>25</v>
      </c>
      <c r="V820">
        <v>0</v>
      </c>
      <c r="W820">
        <v>0</v>
      </c>
      <c r="X820">
        <v>0</v>
      </c>
      <c r="Y820">
        <v>0</v>
      </c>
      <c r="Z820">
        <v>22</v>
      </c>
      <c r="AA820">
        <v>25</v>
      </c>
      <c r="AB820">
        <v>50</v>
      </c>
      <c r="AC820">
        <v>49</v>
      </c>
      <c r="AD820">
        <v>0</v>
      </c>
      <c r="AE820">
        <v>0</v>
      </c>
      <c r="AF820">
        <v>49</v>
      </c>
      <c r="AG820">
        <v>0</v>
      </c>
      <c r="AH820">
        <v>1</v>
      </c>
      <c r="AI820">
        <v>1</v>
      </c>
      <c r="AJ820">
        <v>1</v>
      </c>
      <c r="AK820">
        <v>1</v>
      </c>
      <c r="AL820">
        <v>0</v>
      </c>
      <c r="AM820">
        <v>0.4</v>
      </c>
      <c r="AN820">
        <v>9.0909090909090912E-2</v>
      </c>
      <c r="AO820">
        <v>0</v>
      </c>
      <c r="AP820" t="s">
        <v>188</v>
      </c>
      <c r="AQ820" t="s">
        <v>131</v>
      </c>
      <c r="AR820" t="s">
        <v>229</v>
      </c>
      <c r="AS820">
        <v>0</v>
      </c>
      <c r="AT820">
        <v>0</v>
      </c>
      <c r="AU820">
        <v>0</v>
      </c>
      <c r="AV820">
        <v>0</v>
      </c>
      <c r="AW820">
        <v>0</v>
      </c>
      <c r="AX820">
        <v>0</v>
      </c>
      <c r="AY820">
        <v>0</v>
      </c>
      <c r="AZ820" t="s">
        <v>147</v>
      </c>
      <c r="BA820">
        <v>20</v>
      </c>
      <c r="BB820">
        <v>0</v>
      </c>
      <c r="BC820" t="s">
        <v>133</v>
      </c>
      <c r="BD820">
        <v>0</v>
      </c>
      <c r="BE820" t="s">
        <v>133</v>
      </c>
      <c r="BF82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21" spans="1:58" x14ac:dyDescent="0.25">
      <c r="A821" t="s">
        <v>1072</v>
      </c>
      <c r="B821" t="s">
        <v>19</v>
      </c>
      <c r="C821">
        <v>2</v>
      </c>
      <c r="D821">
        <v>205</v>
      </c>
      <c r="E821" t="s">
        <v>2109</v>
      </c>
      <c r="F821" t="s">
        <v>123</v>
      </c>
      <c r="G821" t="s">
        <v>124</v>
      </c>
      <c r="H821" t="s">
        <v>125</v>
      </c>
      <c r="I821" t="s">
        <v>154</v>
      </c>
      <c r="J821" t="s">
        <v>154</v>
      </c>
      <c r="K821" t="s">
        <v>151</v>
      </c>
      <c r="L821">
        <v>50</v>
      </c>
      <c r="M821">
        <v>1137525</v>
      </c>
      <c r="N821">
        <v>0</v>
      </c>
      <c r="O821">
        <v>3</v>
      </c>
      <c r="P821" t="s">
        <v>168</v>
      </c>
      <c r="Q821" t="s">
        <v>129</v>
      </c>
      <c r="R821">
        <v>19</v>
      </c>
      <c r="S821" t="s">
        <v>189</v>
      </c>
      <c r="T821">
        <v>0</v>
      </c>
      <c r="U821">
        <v>0</v>
      </c>
      <c r="V821">
        <v>5</v>
      </c>
      <c r="W821">
        <v>0</v>
      </c>
      <c r="X821">
        <v>5</v>
      </c>
      <c r="Y821">
        <v>0</v>
      </c>
      <c r="Z821">
        <v>0</v>
      </c>
      <c r="AA821">
        <v>5</v>
      </c>
      <c r="AB821">
        <v>50</v>
      </c>
      <c r="AC821">
        <v>0</v>
      </c>
      <c r="AD821">
        <v>5</v>
      </c>
      <c r="AE821">
        <v>0</v>
      </c>
      <c r="AF821">
        <v>5</v>
      </c>
      <c r="AG821">
        <v>0</v>
      </c>
      <c r="AH821">
        <v>0</v>
      </c>
      <c r="AI821">
        <v>45</v>
      </c>
      <c r="AJ821">
        <v>50</v>
      </c>
      <c r="AK821">
        <v>50</v>
      </c>
      <c r="AL821">
        <v>50</v>
      </c>
      <c r="AM821">
        <v>0</v>
      </c>
      <c r="AN821">
        <v>4.5454545454545459</v>
      </c>
      <c r="AO821">
        <v>0</v>
      </c>
      <c r="AP821" t="s">
        <v>172</v>
      </c>
      <c r="AQ821" t="s">
        <v>131</v>
      </c>
      <c r="AR821" t="s">
        <v>229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0</v>
      </c>
      <c r="AZ821" t="s">
        <v>147</v>
      </c>
      <c r="BA821">
        <v>0</v>
      </c>
      <c r="BB821">
        <v>0</v>
      </c>
      <c r="BC821" t="s">
        <v>133</v>
      </c>
      <c r="BD821">
        <v>1</v>
      </c>
      <c r="BE821" t="s">
        <v>133</v>
      </c>
      <c r="BF82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22" spans="1:58" x14ac:dyDescent="0.25">
      <c r="A822" t="s">
        <v>1073</v>
      </c>
      <c r="B822" t="s">
        <v>19</v>
      </c>
      <c r="C822">
        <v>2</v>
      </c>
      <c r="D822">
        <v>206</v>
      </c>
      <c r="E822" t="s">
        <v>2109</v>
      </c>
      <c r="F822" t="s">
        <v>123</v>
      </c>
      <c r="G822" t="s">
        <v>124</v>
      </c>
      <c r="H822" t="s">
        <v>125</v>
      </c>
      <c r="I822" t="s">
        <v>154</v>
      </c>
      <c r="J822" t="s">
        <v>154</v>
      </c>
      <c r="K822" t="s">
        <v>151</v>
      </c>
      <c r="L822">
        <v>50</v>
      </c>
      <c r="M822">
        <v>1137527</v>
      </c>
      <c r="N822">
        <v>0</v>
      </c>
      <c r="O822">
        <v>3</v>
      </c>
      <c r="P822" t="s">
        <v>168</v>
      </c>
      <c r="Q822" t="s">
        <v>129</v>
      </c>
      <c r="R822">
        <v>19</v>
      </c>
      <c r="S822" t="s">
        <v>189</v>
      </c>
      <c r="T822">
        <v>0</v>
      </c>
      <c r="U822">
        <v>0</v>
      </c>
      <c r="V822">
        <v>4</v>
      </c>
      <c r="W822">
        <v>0</v>
      </c>
      <c r="X822">
        <v>4</v>
      </c>
      <c r="Y822">
        <v>0</v>
      </c>
      <c r="Z822">
        <v>0</v>
      </c>
      <c r="AA822">
        <v>4</v>
      </c>
      <c r="AB822">
        <v>50</v>
      </c>
      <c r="AC822">
        <v>0</v>
      </c>
      <c r="AD822">
        <v>4</v>
      </c>
      <c r="AE822">
        <v>0</v>
      </c>
      <c r="AF822">
        <v>4</v>
      </c>
      <c r="AG822">
        <v>0</v>
      </c>
      <c r="AH822">
        <v>0</v>
      </c>
      <c r="AI822">
        <v>46</v>
      </c>
      <c r="AJ822">
        <v>50</v>
      </c>
      <c r="AK822">
        <v>50</v>
      </c>
      <c r="AL822">
        <v>50</v>
      </c>
      <c r="AM822">
        <v>0</v>
      </c>
      <c r="AN822">
        <v>4.5454545454545459</v>
      </c>
      <c r="AO822">
        <v>0</v>
      </c>
      <c r="AP822" t="s">
        <v>172</v>
      </c>
      <c r="AQ822" t="s">
        <v>131</v>
      </c>
      <c r="AR822" t="s">
        <v>229</v>
      </c>
      <c r="AS822">
        <v>0</v>
      </c>
      <c r="AT822">
        <v>0</v>
      </c>
      <c r="AU822">
        <v>0</v>
      </c>
      <c r="AV822">
        <v>0</v>
      </c>
      <c r="AW822">
        <v>0</v>
      </c>
      <c r="AX822">
        <v>0</v>
      </c>
      <c r="AY822">
        <v>0</v>
      </c>
      <c r="AZ822" t="s">
        <v>147</v>
      </c>
      <c r="BA822">
        <v>0</v>
      </c>
      <c r="BB822">
        <v>0</v>
      </c>
      <c r="BC822" t="s">
        <v>133</v>
      </c>
      <c r="BD822">
        <v>2</v>
      </c>
      <c r="BE822" t="s">
        <v>133</v>
      </c>
      <c r="BF82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23" spans="1:58" x14ac:dyDescent="0.25">
      <c r="A823" t="s">
        <v>1074</v>
      </c>
      <c r="B823" t="s">
        <v>19</v>
      </c>
      <c r="C823">
        <v>2</v>
      </c>
      <c r="D823">
        <v>207</v>
      </c>
      <c r="E823" t="s">
        <v>2109</v>
      </c>
      <c r="F823" t="s">
        <v>123</v>
      </c>
      <c r="G823" t="s">
        <v>124</v>
      </c>
      <c r="H823" t="s">
        <v>125</v>
      </c>
      <c r="I823" t="s">
        <v>154</v>
      </c>
      <c r="J823" t="s">
        <v>154</v>
      </c>
      <c r="K823" t="s">
        <v>151</v>
      </c>
      <c r="L823">
        <v>50</v>
      </c>
      <c r="M823">
        <v>1137529</v>
      </c>
      <c r="N823">
        <v>0</v>
      </c>
      <c r="O823">
        <v>3</v>
      </c>
      <c r="P823" t="s">
        <v>168</v>
      </c>
      <c r="Q823" t="s">
        <v>129</v>
      </c>
      <c r="R823">
        <v>19</v>
      </c>
      <c r="S823" t="s">
        <v>189</v>
      </c>
      <c r="T823">
        <v>0</v>
      </c>
      <c r="U823">
        <v>0</v>
      </c>
      <c r="V823">
        <v>5</v>
      </c>
      <c r="W823">
        <v>0</v>
      </c>
      <c r="X823">
        <v>5</v>
      </c>
      <c r="Y823">
        <v>0</v>
      </c>
      <c r="Z823">
        <v>0</v>
      </c>
      <c r="AA823">
        <v>5</v>
      </c>
      <c r="AB823">
        <v>50</v>
      </c>
      <c r="AC823">
        <v>0</v>
      </c>
      <c r="AD823">
        <v>5</v>
      </c>
      <c r="AE823">
        <v>0</v>
      </c>
      <c r="AF823">
        <v>5</v>
      </c>
      <c r="AG823">
        <v>0</v>
      </c>
      <c r="AH823">
        <v>0</v>
      </c>
      <c r="AI823">
        <v>45</v>
      </c>
      <c r="AJ823">
        <v>50</v>
      </c>
      <c r="AK823">
        <v>50</v>
      </c>
      <c r="AL823">
        <v>50</v>
      </c>
      <c r="AM823">
        <v>0</v>
      </c>
      <c r="AN823">
        <v>4.5454545454545459</v>
      </c>
      <c r="AO823">
        <v>0</v>
      </c>
      <c r="AP823" t="s">
        <v>172</v>
      </c>
      <c r="AQ823" t="s">
        <v>131</v>
      </c>
      <c r="AR823" t="s">
        <v>229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 t="s">
        <v>147</v>
      </c>
      <c r="BA823">
        <v>0</v>
      </c>
      <c r="BB823">
        <v>0</v>
      </c>
      <c r="BC823" t="s">
        <v>133</v>
      </c>
      <c r="BD823">
        <v>3</v>
      </c>
      <c r="BE823" t="s">
        <v>133</v>
      </c>
      <c r="BF82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24" spans="1:58" x14ac:dyDescent="0.25">
      <c r="A824" t="s">
        <v>1075</v>
      </c>
      <c r="B824" t="s">
        <v>19</v>
      </c>
      <c r="C824">
        <v>2</v>
      </c>
      <c r="D824">
        <v>208</v>
      </c>
      <c r="E824" t="s">
        <v>2109</v>
      </c>
      <c r="F824" t="s">
        <v>123</v>
      </c>
      <c r="G824" t="s">
        <v>124</v>
      </c>
      <c r="H824" t="s">
        <v>125</v>
      </c>
      <c r="I824" t="s">
        <v>154</v>
      </c>
      <c r="J824" t="s">
        <v>154</v>
      </c>
      <c r="K824" t="s">
        <v>151</v>
      </c>
      <c r="L824">
        <v>50</v>
      </c>
      <c r="M824">
        <v>1137531</v>
      </c>
      <c r="N824">
        <v>0</v>
      </c>
      <c r="O824">
        <v>3</v>
      </c>
      <c r="P824" t="s">
        <v>168</v>
      </c>
      <c r="Q824" t="s">
        <v>129</v>
      </c>
      <c r="R824">
        <v>19</v>
      </c>
      <c r="S824" t="s">
        <v>189</v>
      </c>
      <c r="T824">
        <v>0</v>
      </c>
      <c r="U824">
        <v>0</v>
      </c>
      <c r="V824">
        <v>5</v>
      </c>
      <c r="W824">
        <v>0</v>
      </c>
      <c r="X824">
        <v>5</v>
      </c>
      <c r="Y824">
        <v>0</v>
      </c>
      <c r="Z824">
        <v>0</v>
      </c>
      <c r="AA824">
        <v>5</v>
      </c>
      <c r="AB824">
        <v>50</v>
      </c>
      <c r="AC824">
        <v>0</v>
      </c>
      <c r="AD824">
        <v>5</v>
      </c>
      <c r="AE824">
        <v>0</v>
      </c>
      <c r="AF824">
        <v>5</v>
      </c>
      <c r="AG824">
        <v>0</v>
      </c>
      <c r="AH824">
        <v>0</v>
      </c>
      <c r="AI824">
        <v>45</v>
      </c>
      <c r="AJ824">
        <v>50</v>
      </c>
      <c r="AK824">
        <v>50</v>
      </c>
      <c r="AL824">
        <v>50</v>
      </c>
      <c r="AM824">
        <v>0</v>
      </c>
      <c r="AN824">
        <v>4.5454545454545459</v>
      </c>
      <c r="AO824">
        <v>0</v>
      </c>
      <c r="AP824" t="s">
        <v>172</v>
      </c>
      <c r="AQ824" t="s">
        <v>131</v>
      </c>
      <c r="AR824" t="s">
        <v>229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0</v>
      </c>
      <c r="AZ824" t="s">
        <v>147</v>
      </c>
      <c r="BA824">
        <v>0</v>
      </c>
      <c r="BB824">
        <v>0</v>
      </c>
      <c r="BC824" t="s">
        <v>133</v>
      </c>
      <c r="BD824">
        <v>4</v>
      </c>
      <c r="BE824" t="s">
        <v>133</v>
      </c>
      <c r="BF82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25" spans="1:58" x14ac:dyDescent="0.25">
      <c r="A825" t="s">
        <v>1076</v>
      </c>
      <c r="B825" t="s">
        <v>19</v>
      </c>
      <c r="C825">
        <v>2</v>
      </c>
      <c r="D825">
        <v>209</v>
      </c>
      <c r="E825" t="s">
        <v>2109</v>
      </c>
      <c r="F825" t="s">
        <v>123</v>
      </c>
      <c r="G825" t="s">
        <v>124</v>
      </c>
      <c r="H825" t="s">
        <v>125</v>
      </c>
      <c r="I825" t="s">
        <v>154</v>
      </c>
      <c r="J825" t="s">
        <v>154</v>
      </c>
      <c r="K825" t="s">
        <v>151</v>
      </c>
      <c r="L825">
        <v>50</v>
      </c>
      <c r="M825">
        <v>1137533</v>
      </c>
      <c r="N825">
        <v>0</v>
      </c>
      <c r="O825">
        <v>3</v>
      </c>
      <c r="P825" t="s">
        <v>168</v>
      </c>
      <c r="Q825" t="s">
        <v>129</v>
      </c>
      <c r="R825">
        <v>19</v>
      </c>
      <c r="S825" t="s">
        <v>189</v>
      </c>
      <c r="T825">
        <v>0</v>
      </c>
      <c r="U825">
        <v>0</v>
      </c>
      <c r="V825">
        <v>5</v>
      </c>
      <c r="W825">
        <v>0</v>
      </c>
      <c r="X825">
        <v>5</v>
      </c>
      <c r="Y825">
        <v>0</v>
      </c>
      <c r="Z825">
        <v>0</v>
      </c>
      <c r="AA825">
        <v>5</v>
      </c>
      <c r="AB825">
        <v>50</v>
      </c>
      <c r="AC825">
        <v>0</v>
      </c>
      <c r="AD825">
        <v>5</v>
      </c>
      <c r="AE825">
        <v>0</v>
      </c>
      <c r="AF825">
        <v>5</v>
      </c>
      <c r="AG825">
        <v>0</v>
      </c>
      <c r="AH825">
        <v>0</v>
      </c>
      <c r="AI825">
        <v>45</v>
      </c>
      <c r="AJ825">
        <v>50</v>
      </c>
      <c r="AK825">
        <v>50</v>
      </c>
      <c r="AL825">
        <v>50</v>
      </c>
      <c r="AM825">
        <v>0</v>
      </c>
      <c r="AN825">
        <v>4.5454545454545459</v>
      </c>
      <c r="AO825">
        <v>0</v>
      </c>
      <c r="AP825" t="s">
        <v>172</v>
      </c>
      <c r="AQ825" t="s">
        <v>131</v>
      </c>
      <c r="AR825" t="s">
        <v>229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0</v>
      </c>
      <c r="AY825">
        <v>0</v>
      </c>
      <c r="AZ825" t="s">
        <v>147</v>
      </c>
      <c r="BA825">
        <v>0</v>
      </c>
      <c r="BB825">
        <v>0</v>
      </c>
      <c r="BC825" t="s">
        <v>133</v>
      </c>
      <c r="BD825">
        <v>5</v>
      </c>
      <c r="BE825" t="s">
        <v>133</v>
      </c>
      <c r="BF82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26" spans="1:58" x14ac:dyDescent="0.25">
      <c r="A826" t="s">
        <v>1077</v>
      </c>
      <c r="B826" t="s">
        <v>19</v>
      </c>
      <c r="C826">
        <v>2</v>
      </c>
      <c r="D826">
        <v>210</v>
      </c>
      <c r="E826" t="s">
        <v>2109</v>
      </c>
      <c r="F826" t="s">
        <v>123</v>
      </c>
      <c r="G826" t="s">
        <v>124</v>
      </c>
      <c r="H826" t="s">
        <v>125</v>
      </c>
      <c r="I826" t="s">
        <v>154</v>
      </c>
      <c r="J826" t="s">
        <v>154</v>
      </c>
      <c r="K826" t="s">
        <v>151</v>
      </c>
      <c r="L826">
        <v>50</v>
      </c>
      <c r="M826">
        <v>1137535</v>
      </c>
      <c r="N826">
        <v>0</v>
      </c>
      <c r="O826">
        <v>3</v>
      </c>
      <c r="P826" t="s">
        <v>168</v>
      </c>
      <c r="Q826" t="s">
        <v>129</v>
      </c>
      <c r="R826">
        <v>19</v>
      </c>
      <c r="S826" t="s">
        <v>189</v>
      </c>
      <c r="T826">
        <v>0</v>
      </c>
      <c r="U826">
        <v>0</v>
      </c>
      <c r="V826">
        <v>5</v>
      </c>
      <c r="W826">
        <v>0</v>
      </c>
      <c r="X826">
        <v>5</v>
      </c>
      <c r="Y826">
        <v>0</v>
      </c>
      <c r="Z826">
        <v>0</v>
      </c>
      <c r="AA826">
        <v>5</v>
      </c>
      <c r="AB826">
        <v>50</v>
      </c>
      <c r="AC826">
        <v>0</v>
      </c>
      <c r="AD826">
        <v>5</v>
      </c>
      <c r="AE826">
        <v>0</v>
      </c>
      <c r="AF826">
        <v>5</v>
      </c>
      <c r="AG826">
        <v>0</v>
      </c>
      <c r="AH826">
        <v>0</v>
      </c>
      <c r="AI826">
        <v>45</v>
      </c>
      <c r="AJ826">
        <v>50</v>
      </c>
      <c r="AK826">
        <v>50</v>
      </c>
      <c r="AL826">
        <v>50</v>
      </c>
      <c r="AM826">
        <v>0</v>
      </c>
      <c r="AN826">
        <v>4.5454545454545459</v>
      </c>
      <c r="AO826">
        <v>0</v>
      </c>
      <c r="AP826" t="s">
        <v>172</v>
      </c>
      <c r="AQ826" t="s">
        <v>131</v>
      </c>
      <c r="AR826" t="s">
        <v>229</v>
      </c>
      <c r="AS826">
        <v>0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0</v>
      </c>
      <c r="AZ826" t="s">
        <v>147</v>
      </c>
      <c r="BA826">
        <v>0</v>
      </c>
      <c r="BB826">
        <v>0</v>
      </c>
      <c r="BC826" t="s">
        <v>133</v>
      </c>
      <c r="BD826">
        <v>6</v>
      </c>
      <c r="BE826" t="s">
        <v>133</v>
      </c>
      <c r="BF82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27" spans="1:58" x14ac:dyDescent="0.25">
      <c r="A827" t="s">
        <v>1078</v>
      </c>
      <c r="B827" t="s">
        <v>19</v>
      </c>
      <c r="C827">
        <v>2</v>
      </c>
      <c r="D827">
        <v>211</v>
      </c>
      <c r="E827" t="s">
        <v>2109</v>
      </c>
      <c r="F827" t="s">
        <v>123</v>
      </c>
      <c r="G827" t="s">
        <v>124</v>
      </c>
      <c r="H827" t="s">
        <v>125</v>
      </c>
      <c r="I827" t="s">
        <v>154</v>
      </c>
      <c r="J827" t="s">
        <v>154</v>
      </c>
      <c r="K827" t="s">
        <v>151</v>
      </c>
      <c r="L827">
        <v>50</v>
      </c>
      <c r="M827">
        <v>1137537</v>
      </c>
      <c r="N827">
        <v>0</v>
      </c>
      <c r="O827">
        <v>3</v>
      </c>
      <c r="P827" t="s">
        <v>168</v>
      </c>
      <c r="Q827" t="s">
        <v>129</v>
      </c>
      <c r="R827">
        <v>19</v>
      </c>
      <c r="S827" t="s">
        <v>189</v>
      </c>
      <c r="T827">
        <v>0</v>
      </c>
      <c r="U827">
        <v>0</v>
      </c>
      <c r="V827">
        <v>5</v>
      </c>
      <c r="W827">
        <v>0</v>
      </c>
      <c r="X827">
        <v>5</v>
      </c>
      <c r="Y827">
        <v>0</v>
      </c>
      <c r="Z827">
        <v>0</v>
      </c>
      <c r="AA827">
        <v>5</v>
      </c>
      <c r="AB827">
        <v>50</v>
      </c>
      <c r="AC827">
        <v>0</v>
      </c>
      <c r="AD827">
        <v>5</v>
      </c>
      <c r="AE827">
        <v>0</v>
      </c>
      <c r="AF827">
        <v>5</v>
      </c>
      <c r="AG827">
        <v>0</v>
      </c>
      <c r="AH827">
        <v>0</v>
      </c>
      <c r="AI827">
        <v>45</v>
      </c>
      <c r="AJ827">
        <v>50</v>
      </c>
      <c r="AK827">
        <v>50</v>
      </c>
      <c r="AL827">
        <v>50</v>
      </c>
      <c r="AM827">
        <v>0</v>
      </c>
      <c r="AN827">
        <v>4.5454545454545459</v>
      </c>
      <c r="AO827">
        <v>0</v>
      </c>
      <c r="AP827" t="s">
        <v>172</v>
      </c>
      <c r="AQ827" t="s">
        <v>131</v>
      </c>
      <c r="AR827" t="s">
        <v>229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 t="s">
        <v>147</v>
      </c>
      <c r="BA827">
        <v>0</v>
      </c>
      <c r="BB827">
        <v>0</v>
      </c>
      <c r="BC827" t="s">
        <v>144</v>
      </c>
      <c r="BD827">
        <v>7</v>
      </c>
      <c r="BE827" t="s">
        <v>133</v>
      </c>
      <c r="BF82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28" spans="1:58" x14ac:dyDescent="0.25">
      <c r="A828" t="s">
        <v>1079</v>
      </c>
      <c r="B828" t="s">
        <v>19</v>
      </c>
      <c r="C828">
        <v>2</v>
      </c>
      <c r="D828">
        <v>212</v>
      </c>
      <c r="E828" t="s">
        <v>2109</v>
      </c>
      <c r="F828" t="s">
        <v>123</v>
      </c>
      <c r="G828" t="s">
        <v>124</v>
      </c>
      <c r="H828" t="s">
        <v>125</v>
      </c>
      <c r="I828" t="s">
        <v>183</v>
      </c>
      <c r="J828" t="s">
        <v>140</v>
      </c>
      <c r="K828" t="s">
        <v>166</v>
      </c>
      <c r="L828">
        <v>50</v>
      </c>
      <c r="M828">
        <v>3499395</v>
      </c>
      <c r="N828">
        <v>20</v>
      </c>
      <c r="O828">
        <v>3</v>
      </c>
      <c r="P828" t="s">
        <v>168</v>
      </c>
      <c r="Q828" t="s">
        <v>129</v>
      </c>
      <c r="R828">
        <v>20</v>
      </c>
      <c r="S828" t="s">
        <v>1080</v>
      </c>
      <c r="T828">
        <v>22</v>
      </c>
      <c r="U828">
        <v>25</v>
      </c>
      <c r="V828">
        <v>0</v>
      </c>
      <c r="W828">
        <v>0</v>
      </c>
      <c r="X828">
        <v>0</v>
      </c>
      <c r="Y828">
        <v>0</v>
      </c>
      <c r="Z828">
        <v>22</v>
      </c>
      <c r="AA828">
        <v>25</v>
      </c>
      <c r="AB828">
        <v>50</v>
      </c>
      <c r="AC828">
        <v>49</v>
      </c>
      <c r="AD828">
        <v>0</v>
      </c>
      <c r="AE828">
        <v>0</v>
      </c>
      <c r="AF828">
        <v>49</v>
      </c>
      <c r="AG828">
        <v>0</v>
      </c>
      <c r="AH828">
        <v>1</v>
      </c>
      <c r="AI828">
        <v>1</v>
      </c>
      <c r="AJ828">
        <v>1</v>
      </c>
      <c r="AK828">
        <v>1</v>
      </c>
      <c r="AL828">
        <v>0</v>
      </c>
      <c r="AM828">
        <v>0.4</v>
      </c>
      <c r="AN828">
        <v>9.0909090909090912E-2</v>
      </c>
      <c r="AO828">
        <v>0</v>
      </c>
      <c r="AP828" t="s">
        <v>184</v>
      </c>
      <c r="AQ828" t="s">
        <v>131</v>
      </c>
      <c r="AR828" t="s">
        <v>229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 t="s">
        <v>135</v>
      </c>
      <c r="BA828">
        <v>20</v>
      </c>
      <c r="BB828">
        <v>0</v>
      </c>
      <c r="BC828" t="s">
        <v>132</v>
      </c>
      <c r="BD828">
        <v>0</v>
      </c>
      <c r="BE828" t="s">
        <v>133</v>
      </c>
      <c r="BF82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29" spans="1:58" x14ac:dyDescent="0.25">
      <c r="A829" t="s">
        <v>1081</v>
      </c>
      <c r="B829" t="s">
        <v>19</v>
      </c>
      <c r="C829">
        <v>2</v>
      </c>
      <c r="D829">
        <v>213</v>
      </c>
      <c r="E829" t="s">
        <v>2109</v>
      </c>
      <c r="F829" t="s">
        <v>123</v>
      </c>
      <c r="G829" t="s">
        <v>124</v>
      </c>
      <c r="H829" t="s">
        <v>125</v>
      </c>
      <c r="I829" t="s">
        <v>183</v>
      </c>
      <c r="J829" t="s">
        <v>140</v>
      </c>
      <c r="K829" t="s">
        <v>127</v>
      </c>
      <c r="L829">
        <v>50</v>
      </c>
      <c r="M829">
        <v>3485049</v>
      </c>
      <c r="N829">
        <v>20</v>
      </c>
      <c r="O829">
        <v>3</v>
      </c>
      <c r="P829" t="s">
        <v>168</v>
      </c>
      <c r="Q829" t="s">
        <v>129</v>
      </c>
      <c r="R829">
        <v>20</v>
      </c>
      <c r="S829" t="s">
        <v>1082</v>
      </c>
      <c r="T829">
        <v>21</v>
      </c>
      <c r="U829">
        <v>24</v>
      </c>
      <c r="V829">
        <v>1</v>
      </c>
      <c r="W829">
        <v>0</v>
      </c>
      <c r="X829">
        <v>1</v>
      </c>
      <c r="Y829">
        <v>0</v>
      </c>
      <c r="Z829">
        <v>22</v>
      </c>
      <c r="AA829">
        <v>25</v>
      </c>
      <c r="AB829">
        <v>50</v>
      </c>
      <c r="AC829">
        <v>47</v>
      </c>
      <c r="AD829">
        <v>2</v>
      </c>
      <c r="AE829">
        <v>0</v>
      </c>
      <c r="AF829">
        <v>49</v>
      </c>
      <c r="AG829">
        <v>0</v>
      </c>
      <c r="AH829">
        <v>3</v>
      </c>
      <c r="AI829">
        <v>1</v>
      </c>
      <c r="AJ829">
        <v>3</v>
      </c>
      <c r="AK829">
        <v>3</v>
      </c>
      <c r="AL829">
        <v>0</v>
      </c>
      <c r="AM829">
        <v>0.4</v>
      </c>
      <c r="AN829">
        <v>0.27272727272727271</v>
      </c>
      <c r="AO829">
        <v>0</v>
      </c>
      <c r="AP829" t="s">
        <v>188</v>
      </c>
      <c r="AQ829" t="s">
        <v>131</v>
      </c>
      <c r="AR829" t="s">
        <v>229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 t="s">
        <v>147</v>
      </c>
      <c r="BA829">
        <v>20</v>
      </c>
      <c r="BB829">
        <v>0</v>
      </c>
      <c r="BC829" t="s">
        <v>133</v>
      </c>
      <c r="BD829">
        <v>0</v>
      </c>
      <c r="BE829" t="s">
        <v>133</v>
      </c>
      <c r="BF82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30" spans="1:58" x14ac:dyDescent="0.25">
      <c r="A830" t="s">
        <v>1083</v>
      </c>
      <c r="B830" t="s">
        <v>19</v>
      </c>
      <c r="C830">
        <v>2</v>
      </c>
      <c r="D830">
        <v>214</v>
      </c>
      <c r="E830" t="s">
        <v>2109</v>
      </c>
      <c r="F830" t="s">
        <v>123</v>
      </c>
      <c r="G830" t="s">
        <v>124</v>
      </c>
      <c r="H830" t="s">
        <v>125</v>
      </c>
      <c r="I830" t="s">
        <v>183</v>
      </c>
      <c r="J830" t="s">
        <v>140</v>
      </c>
      <c r="K830" t="s">
        <v>127</v>
      </c>
      <c r="L830">
        <v>50</v>
      </c>
      <c r="M830">
        <v>3485353</v>
      </c>
      <c r="N830">
        <v>20</v>
      </c>
      <c r="O830">
        <v>3</v>
      </c>
      <c r="P830" t="s">
        <v>168</v>
      </c>
      <c r="Q830" t="s">
        <v>129</v>
      </c>
      <c r="R830">
        <v>20</v>
      </c>
      <c r="S830" t="s">
        <v>1082</v>
      </c>
      <c r="T830">
        <v>22</v>
      </c>
      <c r="U830">
        <v>25</v>
      </c>
      <c r="V830">
        <v>0</v>
      </c>
      <c r="W830">
        <v>0</v>
      </c>
      <c r="X830">
        <v>0</v>
      </c>
      <c r="Y830">
        <v>0</v>
      </c>
      <c r="Z830">
        <v>22</v>
      </c>
      <c r="AA830">
        <v>25</v>
      </c>
      <c r="AB830">
        <v>50</v>
      </c>
      <c r="AC830">
        <v>49</v>
      </c>
      <c r="AD830">
        <v>0</v>
      </c>
      <c r="AE830">
        <v>0</v>
      </c>
      <c r="AF830">
        <v>49</v>
      </c>
      <c r="AG830">
        <v>0</v>
      </c>
      <c r="AH830">
        <v>1</v>
      </c>
      <c r="AI830">
        <v>1</v>
      </c>
      <c r="AJ830">
        <v>1</v>
      </c>
      <c r="AK830">
        <v>1</v>
      </c>
      <c r="AL830">
        <v>0</v>
      </c>
      <c r="AM830">
        <v>0.4</v>
      </c>
      <c r="AN830">
        <v>9.0909090909090912E-2</v>
      </c>
      <c r="AO830">
        <v>0</v>
      </c>
      <c r="AP830" t="s">
        <v>188</v>
      </c>
      <c r="AQ830" t="s">
        <v>131</v>
      </c>
      <c r="AR830" t="s">
        <v>229</v>
      </c>
      <c r="AS830">
        <v>0</v>
      </c>
      <c r="AT830">
        <v>0</v>
      </c>
      <c r="AU830">
        <v>0</v>
      </c>
      <c r="AV830">
        <v>0</v>
      </c>
      <c r="AW830">
        <v>0</v>
      </c>
      <c r="AX830">
        <v>0</v>
      </c>
      <c r="AY830">
        <v>0</v>
      </c>
      <c r="AZ830" t="s">
        <v>147</v>
      </c>
      <c r="BA830">
        <v>20</v>
      </c>
      <c r="BB830">
        <v>0</v>
      </c>
      <c r="BC830" t="s">
        <v>133</v>
      </c>
      <c r="BD830">
        <v>0</v>
      </c>
      <c r="BE830" t="s">
        <v>133</v>
      </c>
      <c r="BF83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31" spans="1:58" x14ac:dyDescent="0.25">
      <c r="A831" t="s">
        <v>1084</v>
      </c>
      <c r="B831" t="s">
        <v>19</v>
      </c>
      <c r="C831">
        <v>2</v>
      </c>
      <c r="D831">
        <v>215</v>
      </c>
      <c r="E831" t="s">
        <v>2109</v>
      </c>
      <c r="F831" t="s">
        <v>123</v>
      </c>
      <c r="G831" t="s">
        <v>124</v>
      </c>
      <c r="H831" t="s">
        <v>125</v>
      </c>
      <c r="I831" t="s">
        <v>183</v>
      </c>
      <c r="J831" t="s">
        <v>140</v>
      </c>
      <c r="K831" t="s">
        <v>127</v>
      </c>
      <c r="L831">
        <v>50</v>
      </c>
      <c r="M831">
        <v>3485147</v>
      </c>
      <c r="N831">
        <v>20</v>
      </c>
      <c r="O831">
        <v>3</v>
      </c>
      <c r="P831" t="s">
        <v>168</v>
      </c>
      <c r="Q831" t="s">
        <v>129</v>
      </c>
      <c r="R831">
        <v>20</v>
      </c>
      <c r="S831" t="s">
        <v>1082</v>
      </c>
      <c r="T831">
        <v>22</v>
      </c>
      <c r="U831">
        <v>25</v>
      </c>
      <c r="V831">
        <v>0</v>
      </c>
      <c r="W831">
        <v>0</v>
      </c>
      <c r="X831">
        <v>0</v>
      </c>
      <c r="Y831">
        <v>0</v>
      </c>
      <c r="Z831">
        <v>22</v>
      </c>
      <c r="AA831">
        <v>25</v>
      </c>
      <c r="AB831">
        <v>50</v>
      </c>
      <c r="AC831">
        <v>49</v>
      </c>
      <c r="AD831">
        <v>0</v>
      </c>
      <c r="AE831">
        <v>0</v>
      </c>
      <c r="AF831">
        <v>49</v>
      </c>
      <c r="AG831">
        <v>0</v>
      </c>
      <c r="AH831">
        <v>1</v>
      </c>
      <c r="AI831">
        <v>1</v>
      </c>
      <c r="AJ831">
        <v>1</v>
      </c>
      <c r="AK831">
        <v>1</v>
      </c>
      <c r="AL831">
        <v>0</v>
      </c>
      <c r="AM831">
        <v>0.4</v>
      </c>
      <c r="AN831">
        <v>9.0909090909090912E-2</v>
      </c>
      <c r="AO831">
        <v>0</v>
      </c>
      <c r="AP831" t="s">
        <v>188</v>
      </c>
      <c r="AQ831" t="s">
        <v>131</v>
      </c>
      <c r="AR831" t="s">
        <v>229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 t="s">
        <v>147</v>
      </c>
      <c r="BA831">
        <v>20</v>
      </c>
      <c r="BB831">
        <v>0</v>
      </c>
      <c r="BC831" t="s">
        <v>133</v>
      </c>
      <c r="BD831">
        <v>0</v>
      </c>
      <c r="BE831" t="s">
        <v>133</v>
      </c>
      <c r="BF83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32" spans="1:58" x14ac:dyDescent="0.25">
      <c r="A832" t="s">
        <v>1085</v>
      </c>
      <c r="B832" t="s">
        <v>19</v>
      </c>
      <c r="C832">
        <v>2</v>
      </c>
      <c r="D832">
        <v>216</v>
      </c>
      <c r="E832" t="s">
        <v>2109</v>
      </c>
      <c r="F832" t="s">
        <v>123</v>
      </c>
      <c r="G832" t="s">
        <v>124</v>
      </c>
      <c r="H832" t="s">
        <v>125</v>
      </c>
      <c r="I832" t="s">
        <v>154</v>
      </c>
      <c r="J832" t="s">
        <v>154</v>
      </c>
      <c r="K832" t="s">
        <v>151</v>
      </c>
      <c r="L832">
        <v>50</v>
      </c>
      <c r="M832">
        <v>1137547</v>
      </c>
      <c r="N832">
        <v>0</v>
      </c>
      <c r="O832">
        <v>3</v>
      </c>
      <c r="P832" t="s">
        <v>168</v>
      </c>
      <c r="Q832" t="s">
        <v>129</v>
      </c>
      <c r="R832">
        <v>20</v>
      </c>
      <c r="S832" t="s">
        <v>189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50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50</v>
      </c>
      <c r="AJ832">
        <v>50</v>
      </c>
      <c r="AK832">
        <v>50</v>
      </c>
      <c r="AL832">
        <v>50</v>
      </c>
      <c r="AM832">
        <v>0</v>
      </c>
      <c r="AN832">
        <v>4.5454545454545459</v>
      </c>
      <c r="AO832">
        <v>0</v>
      </c>
      <c r="AP832" t="s">
        <v>172</v>
      </c>
      <c r="AQ832" t="s">
        <v>155</v>
      </c>
      <c r="AR832" t="s">
        <v>229</v>
      </c>
      <c r="AS832">
        <v>0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0</v>
      </c>
      <c r="AZ832" t="s">
        <v>147</v>
      </c>
      <c r="BA832">
        <v>0</v>
      </c>
      <c r="BB832">
        <v>0</v>
      </c>
      <c r="BC832" t="s">
        <v>133</v>
      </c>
      <c r="BD832">
        <v>1</v>
      </c>
      <c r="BE832" t="s">
        <v>133</v>
      </c>
      <c r="BF83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33" spans="1:58" x14ac:dyDescent="0.25">
      <c r="A833" t="s">
        <v>1086</v>
      </c>
      <c r="B833" t="s">
        <v>19</v>
      </c>
      <c r="C833">
        <v>2</v>
      </c>
      <c r="D833">
        <v>217</v>
      </c>
      <c r="E833" t="s">
        <v>2109</v>
      </c>
      <c r="F833" t="s">
        <v>123</v>
      </c>
      <c r="G833" t="s">
        <v>124</v>
      </c>
      <c r="H833" t="s">
        <v>125</v>
      </c>
      <c r="I833" t="s">
        <v>154</v>
      </c>
      <c r="J833" t="s">
        <v>154</v>
      </c>
      <c r="K833" t="s">
        <v>151</v>
      </c>
      <c r="L833">
        <v>50</v>
      </c>
      <c r="M833">
        <v>1137549</v>
      </c>
      <c r="N833">
        <v>0</v>
      </c>
      <c r="O833">
        <v>3</v>
      </c>
      <c r="P833" t="s">
        <v>168</v>
      </c>
      <c r="Q833" t="s">
        <v>129</v>
      </c>
      <c r="R833">
        <v>20</v>
      </c>
      <c r="S833" t="s">
        <v>189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50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50</v>
      </c>
      <c r="AJ833">
        <v>50</v>
      </c>
      <c r="AK833">
        <v>50</v>
      </c>
      <c r="AL833">
        <v>50</v>
      </c>
      <c r="AM833">
        <v>0</v>
      </c>
      <c r="AN833">
        <v>4.5454545454545459</v>
      </c>
      <c r="AO833">
        <v>0</v>
      </c>
      <c r="AP833" t="s">
        <v>172</v>
      </c>
      <c r="AQ833" t="s">
        <v>155</v>
      </c>
      <c r="AR833" t="s">
        <v>229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0</v>
      </c>
      <c r="AZ833" t="s">
        <v>147</v>
      </c>
      <c r="BA833">
        <v>0</v>
      </c>
      <c r="BB833">
        <v>0</v>
      </c>
      <c r="BC833" t="s">
        <v>133</v>
      </c>
      <c r="BD833">
        <v>2</v>
      </c>
      <c r="BE833" t="s">
        <v>133</v>
      </c>
      <c r="BF83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34" spans="1:58" x14ac:dyDescent="0.25">
      <c r="A834" t="s">
        <v>1087</v>
      </c>
      <c r="B834" t="s">
        <v>19</v>
      </c>
      <c r="C834">
        <v>2</v>
      </c>
      <c r="D834">
        <v>218</v>
      </c>
      <c r="E834" t="s">
        <v>2109</v>
      </c>
      <c r="F834" t="s">
        <v>123</v>
      </c>
      <c r="G834" t="s">
        <v>124</v>
      </c>
      <c r="H834" t="s">
        <v>125</v>
      </c>
      <c r="I834" t="s">
        <v>154</v>
      </c>
      <c r="J834" t="s">
        <v>154</v>
      </c>
      <c r="K834" t="s">
        <v>151</v>
      </c>
      <c r="L834">
        <v>50</v>
      </c>
      <c r="M834">
        <v>1137551</v>
      </c>
      <c r="N834">
        <v>0</v>
      </c>
      <c r="O834">
        <v>3</v>
      </c>
      <c r="P834" t="s">
        <v>168</v>
      </c>
      <c r="Q834" t="s">
        <v>129</v>
      </c>
      <c r="R834">
        <v>20</v>
      </c>
      <c r="S834" t="s">
        <v>189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50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50</v>
      </c>
      <c r="AJ834">
        <v>50</v>
      </c>
      <c r="AK834">
        <v>50</v>
      </c>
      <c r="AL834">
        <v>50</v>
      </c>
      <c r="AM834">
        <v>0</v>
      </c>
      <c r="AN834">
        <v>4.5454545454545459</v>
      </c>
      <c r="AO834">
        <v>0</v>
      </c>
      <c r="AP834" t="s">
        <v>172</v>
      </c>
      <c r="AQ834" t="s">
        <v>155</v>
      </c>
      <c r="AR834" t="s">
        <v>229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0</v>
      </c>
      <c r="AY834">
        <v>0</v>
      </c>
      <c r="AZ834" t="s">
        <v>147</v>
      </c>
      <c r="BA834">
        <v>0</v>
      </c>
      <c r="BB834">
        <v>0</v>
      </c>
      <c r="BC834" t="s">
        <v>133</v>
      </c>
      <c r="BD834">
        <v>3</v>
      </c>
      <c r="BE834" t="s">
        <v>133</v>
      </c>
      <c r="BF83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35" spans="1:58" x14ac:dyDescent="0.25">
      <c r="A835" t="s">
        <v>1088</v>
      </c>
      <c r="B835" t="s">
        <v>19</v>
      </c>
      <c r="C835">
        <v>2</v>
      </c>
      <c r="D835">
        <v>219</v>
      </c>
      <c r="E835" t="s">
        <v>2109</v>
      </c>
      <c r="F835" t="s">
        <v>123</v>
      </c>
      <c r="G835" t="s">
        <v>124</v>
      </c>
      <c r="H835" t="s">
        <v>125</v>
      </c>
      <c r="I835" t="s">
        <v>154</v>
      </c>
      <c r="J835" t="s">
        <v>154</v>
      </c>
      <c r="K835" t="s">
        <v>151</v>
      </c>
      <c r="L835">
        <v>50</v>
      </c>
      <c r="M835">
        <v>1137553</v>
      </c>
      <c r="N835">
        <v>0</v>
      </c>
      <c r="O835">
        <v>3</v>
      </c>
      <c r="P835" t="s">
        <v>168</v>
      </c>
      <c r="Q835" t="s">
        <v>129</v>
      </c>
      <c r="R835">
        <v>20</v>
      </c>
      <c r="S835" t="s">
        <v>189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50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50</v>
      </c>
      <c r="AJ835">
        <v>50</v>
      </c>
      <c r="AK835">
        <v>50</v>
      </c>
      <c r="AL835">
        <v>50</v>
      </c>
      <c r="AM835">
        <v>0</v>
      </c>
      <c r="AN835">
        <v>4.5454545454545459</v>
      </c>
      <c r="AO835">
        <v>0</v>
      </c>
      <c r="AP835" t="s">
        <v>172</v>
      </c>
      <c r="AQ835" t="s">
        <v>155</v>
      </c>
      <c r="AR835" t="s">
        <v>229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0</v>
      </c>
      <c r="AZ835" t="s">
        <v>147</v>
      </c>
      <c r="BA835">
        <v>0</v>
      </c>
      <c r="BB835">
        <v>0</v>
      </c>
      <c r="BC835" t="s">
        <v>133</v>
      </c>
      <c r="BD835">
        <v>4</v>
      </c>
      <c r="BE835" t="s">
        <v>133</v>
      </c>
      <c r="BF83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36" spans="1:58" x14ac:dyDescent="0.25">
      <c r="A836" t="s">
        <v>1089</v>
      </c>
      <c r="B836" t="s">
        <v>19</v>
      </c>
      <c r="C836">
        <v>2</v>
      </c>
      <c r="D836">
        <v>220</v>
      </c>
      <c r="E836" t="s">
        <v>2109</v>
      </c>
      <c r="F836" t="s">
        <v>123</v>
      </c>
      <c r="G836" t="s">
        <v>124</v>
      </c>
      <c r="H836" t="s">
        <v>125</v>
      </c>
      <c r="I836" t="s">
        <v>154</v>
      </c>
      <c r="J836" t="s">
        <v>154</v>
      </c>
      <c r="K836" t="s">
        <v>151</v>
      </c>
      <c r="L836">
        <v>50</v>
      </c>
      <c r="M836">
        <v>1137555</v>
      </c>
      <c r="N836">
        <v>0</v>
      </c>
      <c r="O836">
        <v>3</v>
      </c>
      <c r="P836" t="s">
        <v>168</v>
      </c>
      <c r="Q836" t="s">
        <v>129</v>
      </c>
      <c r="R836">
        <v>20</v>
      </c>
      <c r="S836" t="s">
        <v>189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50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50</v>
      </c>
      <c r="AJ836">
        <v>50</v>
      </c>
      <c r="AK836">
        <v>50</v>
      </c>
      <c r="AL836">
        <v>50</v>
      </c>
      <c r="AM836">
        <v>0</v>
      </c>
      <c r="AN836">
        <v>4.5454545454545459</v>
      </c>
      <c r="AO836">
        <v>0</v>
      </c>
      <c r="AP836" t="s">
        <v>172</v>
      </c>
      <c r="AQ836" t="s">
        <v>155</v>
      </c>
      <c r="AR836" t="s">
        <v>229</v>
      </c>
      <c r="AS836">
        <v>0</v>
      </c>
      <c r="AT836">
        <v>0</v>
      </c>
      <c r="AU836">
        <v>0</v>
      </c>
      <c r="AV836">
        <v>0</v>
      </c>
      <c r="AW836">
        <v>0</v>
      </c>
      <c r="AX836">
        <v>0</v>
      </c>
      <c r="AY836">
        <v>0</v>
      </c>
      <c r="AZ836" t="s">
        <v>147</v>
      </c>
      <c r="BA836">
        <v>0</v>
      </c>
      <c r="BB836">
        <v>0</v>
      </c>
      <c r="BC836" t="s">
        <v>133</v>
      </c>
      <c r="BD836">
        <v>5</v>
      </c>
      <c r="BE836" t="s">
        <v>133</v>
      </c>
      <c r="BF83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37" spans="1:58" x14ac:dyDescent="0.25">
      <c r="A837" t="s">
        <v>1090</v>
      </c>
      <c r="B837" t="s">
        <v>19</v>
      </c>
      <c r="C837">
        <v>2</v>
      </c>
      <c r="D837">
        <v>221</v>
      </c>
      <c r="E837" t="s">
        <v>2109</v>
      </c>
      <c r="F837" t="s">
        <v>123</v>
      </c>
      <c r="G837" t="s">
        <v>124</v>
      </c>
      <c r="H837" t="s">
        <v>125</v>
      </c>
      <c r="I837" t="s">
        <v>154</v>
      </c>
      <c r="J837" t="s">
        <v>154</v>
      </c>
      <c r="K837" t="s">
        <v>151</v>
      </c>
      <c r="L837">
        <v>50</v>
      </c>
      <c r="M837">
        <v>1137557</v>
      </c>
      <c r="N837">
        <v>0</v>
      </c>
      <c r="O837">
        <v>3</v>
      </c>
      <c r="P837" t="s">
        <v>168</v>
      </c>
      <c r="Q837" t="s">
        <v>129</v>
      </c>
      <c r="R837">
        <v>20</v>
      </c>
      <c r="S837" t="s">
        <v>189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50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50</v>
      </c>
      <c r="AJ837">
        <v>50</v>
      </c>
      <c r="AK837">
        <v>50</v>
      </c>
      <c r="AL837">
        <v>50</v>
      </c>
      <c r="AM837">
        <v>0</v>
      </c>
      <c r="AN837">
        <v>4.5454545454545459</v>
      </c>
      <c r="AO837">
        <v>0</v>
      </c>
      <c r="AP837" t="s">
        <v>172</v>
      </c>
      <c r="AQ837" t="s">
        <v>155</v>
      </c>
      <c r="AR837" t="s">
        <v>229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0</v>
      </c>
      <c r="AY837">
        <v>0</v>
      </c>
      <c r="AZ837" t="s">
        <v>147</v>
      </c>
      <c r="BA837">
        <v>0</v>
      </c>
      <c r="BB837">
        <v>0</v>
      </c>
      <c r="BC837" t="s">
        <v>133</v>
      </c>
      <c r="BD837">
        <v>6</v>
      </c>
      <c r="BE837" t="s">
        <v>133</v>
      </c>
      <c r="BF83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38" spans="1:58" x14ac:dyDescent="0.25">
      <c r="A838" t="s">
        <v>1091</v>
      </c>
      <c r="B838" t="s">
        <v>19</v>
      </c>
      <c r="C838">
        <v>2</v>
      </c>
      <c r="D838">
        <v>222</v>
      </c>
      <c r="E838" t="s">
        <v>2109</v>
      </c>
      <c r="F838" t="s">
        <v>123</v>
      </c>
      <c r="G838" t="s">
        <v>124</v>
      </c>
      <c r="H838" t="s">
        <v>125</v>
      </c>
      <c r="I838" t="s">
        <v>154</v>
      </c>
      <c r="J838" t="s">
        <v>154</v>
      </c>
      <c r="K838" t="s">
        <v>151</v>
      </c>
      <c r="L838">
        <v>50</v>
      </c>
      <c r="M838">
        <v>1137559</v>
      </c>
      <c r="N838">
        <v>0</v>
      </c>
      <c r="O838">
        <v>3</v>
      </c>
      <c r="P838" t="s">
        <v>168</v>
      </c>
      <c r="Q838" t="s">
        <v>129</v>
      </c>
      <c r="R838">
        <v>20</v>
      </c>
      <c r="S838" t="s">
        <v>189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50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50</v>
      </c>
      <c r="AJ838">
        <v>50</v>
      </c>
      <c r="AK838">
        <v>50</v>
      </c>
      <c r="AL838">
        <v>50</v>
      </c>
      <c r="AM838">
        <v>0</v>
      </c>
      <c r="AN838">
        <v>4.5454545454545459</v>
      </c>
      <c r="AO838">
        <v>0</v>
      </c>
      <c r="AP838" t="s">
        <v>172</v>
      </c>
      <c r="AQ838" t="s">
        <v>155</v>
      </c>
      <c r="AR838" t="s">
        <v>229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0</v>
      </c>
      <c r="AY838">
        <v>0</v>
      </c>
      <c r="AZ838" t="s">
        <v>147</v>
      </c>
      <c r="BA838">
        <v>0</v>
      </c>
      <c r="BB838">
        <v>0</v>
      </c>
      <c r="BC838" t="s">
        <v>144</v>
      </c>
      <c r="BD838">
        <v>7</v>
      </c>
      <c r="BE838" t="s">
        <v>133</v>
      </c>
      <c r="BF83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39" spans="1:58" x14ac:dyDescent="0.25">
      <c r="A839" t="s">
        <v>1092</v>
      </c>
      <c r="B839" t="s">
        <v>19</v>
      </c>
      <c r="C839">
        <v>2</v>
      </c>
      <c r="D839">
        <v>223</v>
      </c>
      <c r="E839" t="s">
        <v>2108</v>
      </c>
      <c r="F839" t="s">
        <v>123</v>
      </c>
      <c r="G839" t="s">
        <v>124</v>
      </c>
      <c r="H839" t="s">
        <v>136</v>
      </c>
      <c r="I839" t="s">
        <v>158</v>
      </c>
      <c r="J839" t="s">
        <v>156</v>
      </c>
      <c r="K839" t="s">
        <v>127</v>
      </c>
      <c r="L839">
        <v>50</v>
      </c>
      <c r="M839">
        <v>1137271</v>
      </c>
      <c r="N839">
        <v>4.5999999999999996</v>
      </c>
      <c r="O839">
        <v>3</v>
      </c>
      <c r="P839" t="s">
        <v>168</v>
      </c>
      <c r="Q839" t="s">
        <v>129</v>
      </c>
      <c r="R839">
        <v>21</v>
      </c>
      <c r="T839">
        <v>20</v>
      </c>
      <c r="U839">
        <v>24</v>
      </c>
      <c r="V839">
        <v>1</v>
      </c>
      <c r="W839">
        <v>0</v>
      </c>
      <c r="X839">
        <v>1</v>
      </c>
      <c r="Y839">
        <v>0</v>
      </c>
      <c r="Z839">
        <v>20</v>
      </c>
      <c r="AA839">
        <v>25</v>
      </c>
      <c r="AB839">
        <v>50</v>
      </c>
      <c r="AC839">
        <v>32</v>
      </c>
      <c r="AD839">
        <v>1</v>
      </c>
      <c r="AE839">
        <v>0</v>
      </c>
      <c r="AF839">
        <v>33</v>
      </c>
      <c r="AG839">
        <v>0</v>
      </c>
      <c r="AH839">
        <v>18</v>
      </c>
      <c r="AI839">
        <v>17</v>
      </c>
      <c r="AJ839">
        <v>18</v>
      </c>
      <c r="AK839">
        <v>18</v>
      </c>
      <c r="AL839">
        <v>0</v>
      </c>
      <c r="AM839">
        <v>9.1999999999999998E-2</v>
      </c>
      <c r="AN839">
        <v>1.6363636363636365</v>
      </c>
      <c r="AO839">
        <v>0</v>
      </c>
      <c r="AP839" t="s">
        <v>160</v>
      </c>
      <c r="AQ839" t="s">
        <v>131</v>
      </c>
      <c r="AR839" t="s">
        <v>194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0</v>
      </c>
      <c r="AZ839" t="s">
        <v>135</v>
      </c>
      <c r="BA839">
        <v>4.5999999999999996</v>
      </c>
      <c r="BB839">
        <v>0</v>
      </c>
      <c r="BC839" t="s">
        <v>132</v>
      </c>
      <c r="BD839">
        <v>0</v>
      </c>
      <c r="BE839" t="s">
        <v>133</v>
      </c>
      <c r="BF83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40" spans="1:58" x14ac:dyDescent="0.25">
      <c r="A840" t="s">
        <v>1093</v>
      </c>
      <c r="B840" t="s">
        <v>19</v>
      </c>
      <c r="C840">
        <v>2</v>
      </c>
      <c r="D840">
        <v>224</v>
      </c>
      <c r="E840" t="s">
        <v>2108</v>
      </c>
      <c r="F840" t="s">
        <v>123</v>
      </c>
      <c r="G840" t="s">
        <v>124</v>
      </c>
      <c r="H840" t="s">
        <v>136</v>
      </c>
      <c r="I840" t="s">
        <v>158</v>
      </c>
      <c r="J840" t="s">
        <v>156</v>
      </c>
      <c r="K840" t="s">
        <v>127</v>
      </c>
      <c r="L840">
        <v>50</v>
      </c>
      <c r="M840">
        <v>1137273</v>
      </c>
      <c r="N840">
        <v>4.5999999999999996</v>
      </c>
      <c r="O840">
        <v>3</v>
      </c>
      <c r="P840" t="s">
        <v>168</v>
      </c>
      <c r="Q840" t="s">
        <v>129</v>
      </c>
      <c r="R840">
        <v>21</v>
      </c>
      <c r="T840">
        <v>18</v>
      </c>
      <c r="U840">
        <v>29</v>
      </c>
      <c r="V840">
        <v>2</v>
      </c>
      <c r="W840">
        <v>0</v>
      </c>
      <c r="X840">
        <v>2</v>
      </c>
      <c r="Y840">
        <v>0</v>
      </c>
      <c r="Z840">
        <v>18</v>
      </c>
      <c r="AA840">
        <v>31</v>
      </c>
      <c r="AB840">
        <v>50</v>
      </c>
      <c r="AC840">
        <v>35</v>
      </c>
      <c r="AD840">
        <v>2</v>
      </c>
      <c r="AE840">
        <v>0</v>
      </c>
      <c r="AF840">
        <v>37</v>
      </c>
      <c r="AG840">
        <v>0</v>
      </c>
      <c r="AH840">
        <v>15</v>
      </c>
      <c r="AI840">
        <v>13</v>
      </c>
      <c r="AJ840">
        <v>15</v>
      </c>
      <c r="AK840">
        <v>15</v>
      </c>
      <c r="AL840">
        <v>0</v>
      </c>
      <c r="AM840">
        <v>9.1999999999999998E-2</v>
      </c>
      <c r="AN840">
        <v>1.3636363636363638</v>
      </c>
      <c r="AO840">
        <v>0</v>
      </c>
      <c r="AP840" t="s">
        <v>160</v>
      </c>
      <c r="AQ840" t="s">
        <v>131</v>
      </c>
      <c r="AR840" t="s">
        <v>194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0</v>
      </c>
      <c r="AZ840" t="s">
        <v>135</v>
      </c>
      <c r="BA840">
        <v>4.5999999999999996</v>
      </c>
      <c r="BB840">
        <v>0</v>
      </c>
      <c r="BC840" t="s">
        <v>133</v>
      </c>
      <c r="BD840">
        <v>0</v>
      </c>
      <c r="BE840" t="s">
        <v>133</v>
      </c>
      <c r="BF84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41" spans="1:58" x14ac:dyDescent="0.25">
      <c r="A841" t="s">
        <v>1094</v>
      </c>
      <c r="B841" t="s">
        <v>19</v>
      </c>
      <c r="C841">
        <v>2</v>
      </c>
      <c r="D841">
        <v>225</v>
      </c>
      <c r="E841" t="s">
        <v>2108</v>
      </c>
      <c r="F841" t="s">
        <v>123</v>
      </c>
      <c r="G841" t="s">
        <v>124</v>
      </c>
      <c r="H841" t="s">
        <v>136</v>
      </c>
      <c r="I841" t="s">
        <v>158</v>
      </c>
      <c r="J841" t="s">
        <v>156</v>
      </c>
      <c r="K841" t="s">
        <v>127</v>
      </c>
      <c r="L841">
        <v>50</v>
      </c>
      <c r="M841">
        <v>1137275</v>
      </c>
      <c r="N841">
        <v>4.5999999999999996</v>
      </c>
      <c r="O841">
        <v>3</v>
      </c>
      <c r="P841" t="s">
        <v>168</v>
      </c>
      <c r="Q841" t="s">
        <v>129</v>
      </c>
      <c r="R841">
        <v>21</v>
      </c>
      <c r="T841">
        <v>17</v>
      </c>
      <c r="U841">
        <v>24</v>
      </c>
      <c r="V841">
        <v>1</v>
      </c>
      <c r="W841">
        <v>0</v>
      </c>
      <c r="X841">
        <v>1</v>
      </c>
      <c r="Y841">
        <v>0</v>
      </c>
      <c r="Z841">
        <v>17</v>
      </c>
      <c r="AA841">
        <v>25</v>
      </c>
      <c r="AB841">
        <v>50</v>
      </c>
      <c r="AC841">
        <v>32</v>
      </c>
      <c r="AD841">
        <v>1</v>
      </c>
      <c r="AE841">
        <v>0</v>
      </c>
      <c r="AF841">
        <v>33</v>
      </c>
      <c r="AG841">
        <v>0</v>
      </c>
      <c r="AH841">
        <v>18</v>
      </c>
      <c r="AI841">
        <v>17</v>
      </c>
      <c r="AJ841">
        <v>18</v>
      </c>
      <c r="AK841">
        <v>18</v>
      </c>
      <c r="AL841">
        <v>0</v>
      </c>
      <c r="AM841">
        <v>9.1999999999999998E-2</v>
      </c>
      <c r="AN841">
        <v>1.6363636363636365</v>
      </c>
      <c r="AO841">
        <v>0</v>
      </c>
      <c r="AP841" t="s">
        <v>160</v>
      </c>
      <c r="AQ841" t="s">
        <v>131</v>
      </c>
      <c r="AR841" t="s">
        <v>194</v>
      </c>
      <c r="AS841">
        <v>0</v>
      </c>
      <c r="AT841">
        <v>0</v>
      </c>
      <c r="AU841">
        <v>0</v>
      </c>
      <c r="AV841">
        <v>0</v>
      </c>
      <c r="AW841">
        <v>0</v>
      </c>
      <c r="AX841">
        <v>0</v>
      </c>
      <c r="AY841">
        <v>0</v>
      </c>
      <c r="AZ841" t="s">
        <v>135</v>
      </c>
      <c r="BA841">
        <v>4.5999999999999996</v>
      </c>
      <c r="BB841">
        <v>0</v>
      </c>
      <c r="BC841" t="s">
        <v>133</v>
      </c>
      <c r="BD841">
        <v>0</v>
      </c>
      <c r="BE841" t="s">
        <v>133</v>
      </c>
      <c r="BF84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42" spans="1:58" x14ac:dyDescent="0.25">
      <c r="A842" t="s">
        <v>1095</v>
      </c>
      <c r="B842" t="s">
        <v>19</v>
      </c>
      <c r="C842">
        <v>2</v>
      </c>
      <c r="D842">
        <v>226</v>
      </c>
      <c r="E842" t="s">
        <v>2108</v>
      </c>
      <c r="F842" t="s">
        <v>123</v>
      </c>
      <c r="G842" t="s">
        <v>124</v>
      </c>
      <c r="H842" t="s">
        <v>136</v>
      </c>
      <c r="I842" t="s">
        <v>158</v>
      </c>
      <c r="J842" t="s">
        <v>156</v>
      </c>
      <c r="K842" t="s">
        <v>127</v>
      </c>
      <c r="L842">
        <v>50</v>
      </c>
      <c r="M842">
        <v>1137277</v>
      </c>
      <c r="N842">
        <v>4.5999999999999996</v>
      </c>
      <c r="O842">
        <v>3</v>
      </c>
      <c r="P842" t="s">
        <v>168</v>
      </c>
      <c r="Q842" t="s">
        <v>129</v>
      </c>
      <c r="R842">
        <v>21</v>
      </c>
      <c r="T842">
        <v>18</v>
      </c>
      <c r="U842">
        <v>23</v>
      </c>
      <c r="V842">
        <v>0</v>
      </c>
      <c r="W842">
        <v>0</v>
      </c>
      <c r="X842">
        <v>0</v>
      </c>
      <c r="Y842">
        <v>0</v>
      </c>
      <c r="Z842">
        <v>18</v>
      </c>
      <c r="AA842">
        <v>23</v>
      </c>
      <c r="AB842">
        <v>50</v>
      </c>
      <c r="AC842">
        <v>29</v>
      </c>
      <c r="AD842">
        <v>0</v>
      </c>
      <c r="AE842">
        <v>0</v>
      </c>
      <c r="AF842">
        <v>29</v>
      </c>
      <c r="AG842">
        <v>0</v>
      </c>
      <c r="AH842">
        <v>21</v>
      </c>
      <c r="AI842">
        <v>21</v>
      </c>
      <c r="AJ842">
        <v>21</v>
      </c>
      <c r="AK842">
        <v>21</v>
      </c>
      <c r="AL842">
        <v>0</v>
      </c>
      <c r="AM842">
        <v>9.1999999999999998E-2</v>
      </c>
      <c r="AN842">
        <v>1.9090909090909092</v>
      </c>
      <c r="AO842">
        <v>0</v>
      </c>
      <c r="AP842" t="s">
        <v>160</v>
      </c>
      <c r="AQ842" t="s">
        <v>131</v>
      </c>
      <c r="AR842" t="s">
        <v>194</v>
      </c>
      <c r="AS842">
        <v>0</v>
      </c>
      <c r="AT842">
        <v>0</v>
      </c>
      <c r="AU842">
        <v>0</v>
      </c>
      <c r="AV842">
        <v>0</v>
      </c>
      <c r="AW842">
        <v>0</v>
      </c>
      <c r="AX842">
        <v>0</v>
      </c>
      <c r="AY842">
        <v>0</v>
      </c>
      <c r="AZ842" t="s">
        <v>135</v>
      </c>
      <c r="BA842">
        <v>4.5999999999999996</v>
      </c>
      <c r="BB842">
        <v>0</v>
      </c>
      <c r="BC842" t="s">
        <v>133</v>
      </c>
      <c r="BD842">
        <v>0</v>
      </c>
      <c r="BE842" t="s">
        <v>133</v>
      </c>
      <c r="BF84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43" spans="1:58" x14ac:dyDescent="0.25">
      <c r="A843" t="s">
        <v>1096</v>
      </c>
      <c r="B843" t="s">
        <v>19</v>
      </c>
      <c r="C843">
        <v>2</v>
      </c>
      <c r="D843">
        <v>227</v>
      </c>
      <c r="E843" t="s">
        <v>2108</v>
      </c>
      <c r="F843" t="s">
        <v>123</v>
      </c>
      <c r="G843" t="s">
        <v>124</v>
      </c>
      <c r="H843" t="s">
        <v>136</v>
      </c>
      <c r="I843" t="s">
        <v>158</v>
      </c>
      <c r="J843" t="s">
        <v>156</v>
      </c>
      <c r="K843" t="s">
        <v>127</v>
      </c>
      <c r="L843">
        <v>50</v>
      </c>
      <c r="M843">
        <v>1137279</v>
      </c>
      <c r="N843">
        <v>4.5999999999999996</v>
      </c>
      <c r="O843">
        <v>3</v>
      </c>
      <c r="P843" t="s">
        <v>168</v>
      </c>
      <c r="Q843" t="s">
        <v>129</v>
      </c>
      <c r="R843">
        <v>21</v>
      </c>
      <c r="T843">
        <v>3</v>
      </c>
      <c r="U843">
        <v>10</v>
      </c>
      <c r="V843">
        <v>5</v>
      </c>
      <c r="W843">
        <v>0</v>
      </c>
      <c r="X843">
        <v>5</v>
      </c>
      <c r="Y843">
        <v>0</v>
      </c>
      <c r="Z843">
        <v>7</v>
      </c>
      <c r="AA843">
        <v>15</v>
      </c>
      <c r="AB843">
        <v>50</v>
      </c>
      <c r="AC843">
        <v>14</v>
      </c>
      <c r="AD843">
        <v>9</v>
      </c>
      <c r="AE843">
        <v>0</v>
      </c>
      <c r="AF843">
        <v>23</v>
      </c>
      <c r="AG843">
        <v>0</v>
      </c>
      <c r="AH843">
        <v>36</v>
      </c>
      <c r="AI843">
        <v>27</v>
      </c>
      <c r="AJ843">
        <v>36</v>
      </c>
      <c r="AK843">
        <v>36</v>
      </c>
      <c r="AL843">
        <v>0</v>
      </c>
      <c r="AM843">
        <v>9.1999999999999998E-2</v>
      </c>
      <c r="AN843">
        <v>3.2727272727272729</v>
      </c>
      <c r="AO843">
        <v>0</v>
      </c>
      <c r="AP843" t="s">
        <v>160</v>
      </c>
      <c r="AQ843" t="s">
        <v>131</v>
      </c>
      <c r="AR843" t="s">
        <v>194</v>
      </c>
      <c r="AS843">
        <v>0</v>
      </c>
      <c r="AT843">
        <v>0</v>
      </c>
      <c r="AU843">
        <v>0</v>
      </c>
      <c r="AV843">
        <v>0</v>
      </c>
      <c r="AW843">
        <v>0</v>
      </c>
      <c r="AX843">
        <v>0</v>
      </c>
      <c r="AY843">
        <v>0</v>
      </c>
      <c r="AZ843" t="s">
        <v>135</v>
      </c>
      <c r="BA843">
        <v>4.5999999999999996</v>
      </c>
      <c r="BB843">
        <v>0</v>
      </c>
      <c r="BC843" t="s">
        <v>133</v>
      </c>
      <c r="BD843">
        <v>0</v>
      </c>
      <c r="BE843" t="s">
        <v>133</v>
      </c>
      <c r="BF84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44" spans="1:58" x14ac:dyDescent="0.25">
      <c r="A844" t="s">
        <v>1097</v>
      </c>
      <c r="B844" t="s">
        <v>19</v>
      </c>
      <c r="C844">
        <v>2</v>
      </c>
      <c r="D844">
        <v>228</v>
      </c>
      <c r="E844" t="s">
        <v>2108</v>
      </c>
      <c r="F844" t="s">
        <v>123</v>
      </c>
      <c r="G844" t="s">
        <v>124</v>
      </c>
      <c r="H844" t="s">
        <v>136</v>
      </c>
      <c r="I844" t="s">
        <v>158</v>
      </c>
      <c r="J844" t="s">
        <v>156</v>
      </c>
      <c r="K844" t="s">
        <v>127</v>
      </c>
      <c r="L844">
        <v>50</v>
      </c>
      <c r="M844">
        <v>1137281</v>
      </c>
      <c r="N844">
        <v>4.5999999999999996</v>
      </c>
      <c r="O844">
        <v>3</v>
      </c>
      <c r="P844" t="s">
        <v>168</v>
      </c>
      <c r="Q844" t="s">
        <v>129</v>
      </c>
      <c r="R844">
        <v>21</v>
      </c>
      <c r="T844">
        <v>7</v>
      </c>
      <c r="U844">
        <v>12</v>
      </c>
      <c r="V844">
        <v>1</v>
      </c>
      <c r="W844">
        <v>0</v>
      </c>
      <c r="X844">
        <v>1</v>
      </c>
      <c r="Y844">
        <v>0</v>
      </c>
      <c r="Z844">
        <v>7</v>
      </c>
      <c r="AA844">
        <v>13</v>
      </c>
      <c r="AB844">
        <v>50</v>
      </c>
      <c r="AC844">
        <v>20</v>
      </c>
      <c r="AD844">
        <v>1</v>
      </c>
      <c r="AE844">
        <v>0</v>
      </c>
      <c r="AF844">
        <v>21</v>
      </c>
      <c r="AG844">
        <v>0</v>
      </c>
      <c r="AH844">
        <v>30</v>
      </c>
      <c r="AI844">
        <v>29</v>
      </c>
      <c r="AJ844">
        <v>30</v>
      </c>
      <c r="AK844">
        <v>30</v>
      </c>
      <c r="AL844">
        <v>0</v>
      </c>
      <c r="AM844">
        <v>9.1999999999999998E-2</v>
      </c>
      <c r="AN844">
        <v>2.7272727272727275</v>
      </c>
      <c r="AO844">
        <v>0</v>
      </c>
      <c r="AP844" t="s">
        <v>160</v>
      </c>
      <c r="AQ844" t="s">
        <v>131</v>
      </c>
      <c r="AR844" t="s">
        <v>194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0</v>
      </c>
      <c r="AY844">
        <v>0</v>
      </c>
      <c r="AZ844" t="s">
        <v>135</v>
      </c>
      <c r="BA844">
        <v>4.5999999999999996</v>
      </c>
      <c r="BB844">
        <v>0</v>
      </c>
      <c r="BC844" t="s">
        <v>133</v>
      </c>
      <c r="BD844">
        <v>0</v>
      </c>
      <c r="BE844" t="s">
        <v>133</v>
      </c>
      <c r="BF84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45" spans="1:58" x14ac:dyDescent="0.25">
      <c r="A845" t="s">
        <v>1098</v>
      </c>
      <c r="B845" t="s">
        <v>19</v>
      </c>
      <c r="C845">
        <v>2</v>
      </c>
      <c r="D845">
        <v>229</v>
      </c>
      <c r="E845" t="s">
        <v>2108</v>
      </c>
      <c r="F845" t="s">
        <v>123</v>
      </c>
      <c r="G845" t="s">
        <v>124</v>
      </c>
      <c r="H845" t="s">
        <v>136</v>
      </c>
      <c r="I845" t="s">
        <v>158</v>
      </c>
      <c r="J845" t="s">
        <v>156</v>
      </c>
      <c r="K845" t="s">
        <v>127</v>
      </c>
      <c r="L845">
        <v>50</v>
      </c>
      <c r="M845">
        <v>1137283</v>
      </c>
      <c r="N845">
        <v>4.5999999999999996</v>
      </c>
      <c r="O845">
        <v>3</v>
      </c>
      <c r="P845" t="s">
        <v>168</v>
      </c>
      <c r="Q845" t="s">
        <v>129</v>
      </c>
      <c r="R845">
        <v>21</v>
      </c>
      <c r="T845">
        <v>3</v>
      </c>
      <c r="U845">
        <v>8</v>
      </c>
      <c r="V845">
        <v>1</v>
      </c>
      <c r="W845">
        <v>0</v>
      </c>
      <c r="X845">
        <v>1</v>
      </c>
      <c r="Y845">
        <v>0</v>
      </c>
      <c r="Z845">
        <v>4</v>
      </c>
      <c r="AA845">
        <v>9</v>
      </c>
      <c r="AB845">
        <v>50</v>
      </c>
      <c r="AC845">
        <v>9</v>
      </c>
      <c r="AD845">
        <v>1</v>
      </c>
      <c r="AE845">
        <v>0</v>
      </c>
      <c r="AF845">
        <v>10</v>
      </c>
      <c r="AG845">
        <v>0</v>
      </c>
      <c r="AH845">
        <v>41</v>
      </c>
      <c r="AI845">
        <v>40</v>
      </c>
      <c r="AJ845">
        <v>41</v>
      </c>
      <c r="AK845">
        <v>41</v>
      </c>
      <c r="AL845">
        <v>0</v>
      </c>
      <c r="AM845">
        <v>9.1999999999999998E-2</v>
      </c>
      <c r="AN845">
        <v>3.7272727272727275</v>
      </c>
      <c r="AO845">
        <v>0</v>
      </c>
      <c r="AP845" t="s">
        <v>160</v>
      </c>
      <c r="AQ845" t="s">
        <v>131</v>
      </c>
      <c r="AR845" t="s">
        <v>194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 t="s">
        <v>135</v>
      </c>
      <c r="BA845">
        <v>4.5999999999999996</v>
      </c>
      <c r="BB845">
        <v>0</v>
      </c>
      <c r="BC845" t="s">
        <v>133</v>
      </c>
      <c r="BD845">
        <v>0</v>
      </c>
      <c r="BE845" t="s">
        <v>133</v>
      </c>
      <c r="BF84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46" spans="1:58" x14ac:dyDescent="0.25">
      <c r="A846" t="s">
        <v>1099</v>
      </c>
      <c r="B846" t="s">
        <v>19</v>
      </c>
      <c r="C846">
        <v>2</v>
      </c>
      <c r="D846">
        <v>230</v>
      </c>
      <c r="E846" t="s">
        <v>2108</v>
      </c>
      <c r="F846" t="s">
        <v>123</v>
      </c>
      <c r="G846" t="s">
        <v>124</v>
      </c>
      <c r="H846" t="s">
        <v>136</v>
      </c>
      <c r="I846" t="s">
        <v>158</v>
      </c>
      <c r="J846" t="s">
        <v>156</v>
      </c>
      <c r="K846" t="s">
        <v>127</v>
      </c>
      <c r="L846">
        <v>50</v>
      </c>
      <c r="M846">
        <v>1137285</v>
      </c>
      <c r="N846">
        <v>4.5999999999999996</v>
      </c>
      <c r="O846">
        <v>3</v>
      </c>
      <c r="P846" t="s">
        <v>168</v>
      </c>
      <c r="Q846" t="s">
        <v>129</v>
      </c>
      <c r="R846">
        <v>21</v>
      </c>
      <c r="T846">
        <v>2</v>
      </c>
      <c r="U846">
        <v>6</v>
      </c>
      <c r="V846">
        <v>1</v>
      </c>
      <c r="W846">
        <v>0</v>
      </c>
      <c r="X846">
        <v>1</v>
      </c>
      <c r="Y846">
        <v>0</v>
      </c>
      <c r="Z846">
        <v>3</v>
      </c>
      <c r="AA846">
        <v>7</v>
      </c>
      <c r="AB846">
        <v>50</v>
      </c>
      <c r="AC846">
        <v>6</v>
      </c>
      <c r="AD846">
        <v>1</v>
      </c>
      <c r="AE846">
        <v>0</v>
      </c>
      <c r="AF846">
        <v>7</v>
      </c>
      <c r="AG846">
        <v>0</v>
      </c>
      <c r="AH846">
        <v>44</v>
      </c>
      <c r="AI846">
        <v>43</v>
      </c>
      <c r="AJ846">
        <v>44</v>
      </c>
      <c r="AK846">
        <v>44</v>
      </c>
      <c r="AL846">
        <v>0</v>
      </c>
      <c r="AM846">
        <v>9.1999999999999998E-2</v>
      </c>
      <c r="AN846">
        <v>4</v>
      </c>
      <c r="AO846">
        <v>0</v>
      </c>
      <c r="AP846" t="s">
        <v>160</v>
      </c>
      <c r="AQ846" t="s">
        <v>131</v>
      </c>
      <c r="AR846" t="s">
        <v>194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0</v>
      </c>
      <c r="AY846">
        <v>0</v>
      </c>
      <c r="AZ846" t="s">
        <v>135</v>
      </c>
      <c r="BA846">
        <v>4.5999999999999996</v>
      </c>
      <c r="BB846">
        <v>0</v>
      </c>
      <c r="BC846" t="s">
        <v>133</v>
      </c>
      <c r="BD846">
        <v>0</v>
      </c>
      <c r="BE846" t="s">
        <v>133</v>
      </c>
      <c r="BF84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47" spans="1:58" x14ac:dyDescent="0.25">
      <c r="A847" t="s">
        <v>1100</v>
      </c>
      <c r="B847" t="s">
        <v>19</v>
      </c>
      <c r="C847">
        <v>2</v>
      </c>
      <c r="D847">
        <v>231</v>
      </c>
      <c r="E847" t="s">
        <v>2108</v>
      </c>
      <c r="F847" t="s">
        <v>123</v>
      </c>
      <c r="G847" t="s">
        <v>124</v>
      </c>
      <c r="H847" t="s">
        <v>136</v>
      </c>
      <c r="I847" t="s">
        <v>158</v>
      </c>
      <c r="J847" t="s">
        <v>156</v>
      </c>
      <c r="K847" t="s">
        <v>127</v>
      </c>
      <c r="L847">
        <v>50</v>
      </c>
      <c r="M847">
        <v>1137287</v>
      </c>
      <c r="N847">
        <v>4.5999999999999996</v>
      </c>
      <c r="O847">
        <v>3</v>
      </c>
      <c r="P847" t="s">
        <v>168</v>
      </c>
      <c r="Q847" t="s">
        <v>129</v>
      </c>
      <c r="R847">
        <v>21</v>
      </c>
      <c r="T847">
        <v>2</v>
      </c>
      <c r="U847">
        <v>6</v>
      </c>
      <c r="V847">
        <v>1</v>
      </c>
      <c r="W847">
        <v>0</v>
      </c>
      <c r="X847">
        <v>1</v>
      </c>
      <c r="Y847">
        <v>0</v>
      </c>
      <c r="Z847">
        <v>3</v>
      </c>
      <c r="AA847">
        <v>7</v>
      </c>
      <c r="AB847">
        <v>50</v>
      </c>
      <c r="AC847">
        <v>7</v>
      </c>
      <c r="AD847">
        <v>1</v>
      </c>
      <c r="AE847">
        <v>0</v>
      </c>
      <c r="AF847">
        <v>8</v>
      </c>
      <c r="AG847">
        <v>0</v>
      </c>
      <c r="AH847">
        <v>43</v>
      </c>
      <c r="AI847">
        <v>42</v>
      </c>
      <c r="AJ847">
        <v>43</v>
      </c>
      <c r="AK847">
        <v>43</v>
      </c>
      <c r="AL847">
        <v>0</v>
      </c>
      <c r="AM847">
        <v>9.1999999999999998E-2</v>
      </c>
      <c r="AN847">
        <v>3.9090909090909092</v>
      </c>
      <c r="AO847">
        <v>0</v>
      </c>
      <c r="AP847" t="s">
        <v>160</v>
      </c>
      <c r="AQ847" t="s">
        <v>131</v>
      </c>
      <c r="AR847" t="s">
        <v>194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0</v>
      </c>
      <c r="AZ847" t="s">
        <v>135</v>
      </c>
      <c r="BA847">
        <v>4.5999999999999996</v>
      </c>
      <c r="BB847">
        <v>0</v>
      </c>
      <c r="BC847" t="s">
        <v>133</v>
      </c>
      <c r="BD847">
        <v>0</v>
      </c>
      <c r="BE847" t="s">
        <v>133</v>
      </c>
      <c r="BF84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48" spans="1:58" x14ac:dyDescent="0.25">
      <c r="A848" t="s">
        <v>1101</v>
      </c>
      <c r="B848" t="s">
        <v>19</v>
      </c>
      <c r="C848">
        <v>2</v>
      </c>
      <c r="D848">
        <v>232</v>
      </c>
      <c r="E848" t="s">
        <v>2108</v>
      </c>
      <c r="F848" t="s">
        <v>123</v>
      </c>
      <c r="G848" t="s">
        <v>124</v>
      </c>
      <c r="H848" t="s">
        <v>136</v>
      </c>
      <c r="I848" t="s">
        <v>158</v>
      </c>
      <c r="J848" t="s">
        <v>156</v>
      </c>
      <c r="K848" t="s">
        <v>127</v>
      </c>
      <c r="L848">
        <v>50</v>
      </c>
      <c r="M848">
        <v>1137289</v>
      </c>
      <c r="N848">
        <v>4.5999999999999996</v>
      </c>
      <c r="O848">
        <v>3</v>
      </c>
      <c r="P848" t="s">
        <v>168</v>
      </c>
      <c r="Q848" t="s">
        <v>129</v>
      </c>
      <c r="R848">
        <v>21</v>
      </c>
      <c r="T848">
        <v>0</v>
      </c>
      <c r="U848">
        <v>2</v>
      </c>
      <c r="V848">
        <v>2</v>
      </c>
      <c r="W848">
        <v>0</v>
      </c>
      <c r="X848">
        <v>2</v>
      </c>
      <c r="Y848">
        <v>0</v>
      </c>
      <c r="Z848">
        <v>0</v>
      </c>
      <c r="AA848">
        <v>4</v>
      </c>
      <c r="AB848">
        <v>50</v>
      </c>
      <c r="AC848">
        <v>2</v>
      </c>
      <c r="AD848">
        <v>2</v>
      </c>
      <c r="AE848">
        <v>0</v>
      </c>
      <c r="AF848">
        <v>4</v>
      </c>
      <c r="AG848">
        <v>0</v>
      </c>
      <c r="AH848">
        <v>48</v>
      </c>
      <c r="AI848">
        <v>46</v>
      </c>
      <c r="AJ848">
        <v>48</v>
      </c>
      <c r="AK848">
        <v>48</v>
      </c>
      <c r="AL848">
        <v>0</v>
      </c>
      <c r="AM848">
        <v>9.1999999999999998E-2</v>
      </c>
      <c r="AN848">
        <v>4.3636363636363633</v>
      </c>
      <c r="AO848">
        <v>0</v>
      </c>
      <c r="AP848" t="s">
        <v>160</v>
      </c>
      <c r="AQ848" t="s">
        <v>131</v>
      </c>
      <c r="AR848" t="s">
        <v>194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0</v>
      </c>
      <c r="AZ848" t="s">
        <v>135</v>
      </c>
      <c r="BA848">
        <v>4.5999999999999996</v>
      </c>
      <c r="BB848">
        <v>0</v>
      </c>
      <c r="BC848" t="s">
        <v>133</v>
      </c>
      <c r="BD848">
        <v>0</v>
      </c>
      <c r="BE848" t="s">
        <v>133</v>
      </c>
      <c r="BF84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49" spans="1:58" x14ac:dyDescent="0.25">
      <c r="A849" t="s">
        <v>1102</v>
      </c>
      <c r="B849" t="s">
        <v>19</v>
      </c>
      <c r="C849">
        <v>2</v>
      </c>
      <c r="D849">
        <v>233</v>
      </c>
      <c r="E849" t="s">
        <v>2108</v>
      </c>
      <c r="F849" t="s">
        <v>123</v>
      </c>
      <c r="G849" t="s">
        <v>124</v>
      </c>
      <c r="H849" t="s">
        <v>136</v>
      </c>
      <c r="I849" t="s">
        <v>158</v>
      </c>
      <c r="J849" t="s">
        <v>156</v>
      </c>
      <c r="K849" t="s">
        <v>127</v>
      </c>
      <c r="L849">
        <v>50</v>
      </c>
      <c r="M849">
        <v>1137291</v>
      </c>
      <c r="N849">
        <v>4.5999999999999996</v>
      </c>
      <c r="O849">
        <v>3</v>
      </c>
      <c r="P849" t="s">
        <v>168</v>
      </c>
      <c r="Q849" t="s">
        <v>129</v>
      </c>
      <c r="R849">
        <v>21</v>
      </c>
      <c r="T849">
        <v>0</v>
      </c>
      <c r="U849">
        <v>2</v>
      </c>
      <c r="V849">
        <v>2</v>
      </c>
      <c r="W849">
        <v>0</v>
      </c>
      <c r="X849">
        <v>2</v>
      </c>
      <c r="Y849">
        <v>0</v>
      </c>
      <c r="Z849">
        <v>0</v>
      </c>
      <c r="AA849">
        <v>4</v>
      </c>
      <c r="AB849">
        <v>50</v>
      </c>
      <c r="AC849">
        <v>2</v>
      </c>
      <c r="AD849">
        <v>2</v>
      </c>
      <c r="AE849">
        <v>0</v>
      </c>
      <c r="AF849">
        <v>4</v>
      </c>
      <c r="AG849">
        <v>0</v>
      </c>
      <c r="AH849">
        <v>48</v>
      </c>
      <c r="AI849">
        <v>46</v>
      </c>
      <c r="AJ849">
        <v>48</v>
      </c>
      <c r="AK849">
        <v>48</v>
      </c>
      <c r="AL849">
        <v>0</v>
      </c>
      <c r="AM849">
        <v>9.1999999999999998E-2</v>
      </c>
      <c r="AN849">
        <v>4.3636363636363633</v>
      </c>
      <c r="AO849">
        <v>0</v>
      </c>
      <c r="AP849" t="s">
        <v>160</v>
      </c>
      <c r="AQ849" t="s">
        <v>131</v>
      </c>
      <c r="AR849" t="s">
        <v>194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0</v>
      </c>
      <c r="AY849">
        <v>0</v>
      </c>
      <c r="AZ849" t="s">
        <v>135</v>
      </c>
      <c r="BA849">
        <v>4.5999999999999996</v>
      </c>
      <c r="BB849">
        <v>0</v>
      </c>
      <c r="BC849" t="s">
        <v>144</v>
      </c>
      <c r="BD849">
        <v>0</v>
      </c>
      <c r="BE849" t="s">
        <v>133</v>
      </c>
      <c r="BF84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50" spans="1:58" x14ac:dyDescent="0.25">
      <c r="A850" t="s">
        <v>1103</v>
      </c>
      <c r="B850" t="s">
        <v>19</v>
      </c>
      <c r="C850">
        <v>2</v>
      </c>
      <c r="D850">
        <v>234</v>
      </c>
      <c r="E850" t="s">
        <v>2109</v>
      </c>
      <c r="F850" t="s">
        <v>123</v>
      </c>
      <c r="G850" t="s">
        <v>124</v>
      </c>
      <c r="H850" t="s">
        <v>125</v>
      </c>
      <c r="I850" t="s">
        <v>183</v>
      </c>
      <c r="J850" t="s">
        <v>140</v>
      </c>
      <c r="K850" t="s">
        <v>127</v>
      </c>
      <c r="L850">
        <v>50</v>
      </c>
      <c r="M850">
        <v>3485497</v>
      </c>
      <c r="N850">
        <v>20</v>
      </c>
      <c r="O850">
        <v>3</v>
      </c>
      <c r="P850" t="s">
        <v>168</v>
      </c>
      <c r="Q850" t="s">
        <v>129</v>
      </c>
      <c r="R850">
        <v>22</v>
      </c>
      <c r="S850" t="s">
        <v>1104</v>
      </c>
      <c r="T850">
        <v>22</v>
      </c>
      <c r="U850">
        <v>25</v>
      </c>
      <c r="V850">
        <v>0</v>
      </c>
      <c r="W850">
        <v>0</v>
      </c>
      <c r="X850">
        <v>0</v>
      </c>
      <c r="Y850">
        <v>0</v>
      </c>
      <c r="Z850">
        <v>22</v>
      </c>
      <c r="AA850">
        <v>25</v>
      </c>
      <c r="AB850">
        <v>50</v>
      </c>
      <c r="AC850">
        <v>49</v>
      </c>
      <c r="AD850">
        <v>0</v>
      </c>
      <c r="AE850">
        <v>0</v>
      </c>
      <c r="AF850">
        <v>49</v>
      </c>
      <c r="AG850">
        <v>0</v>
      </c>
      <c r="AH850">
        <v>1</v>
      </c>
      <c r="AI850">
        <v>1</v>
      </c>
      <c r="AJ850">
        <v>1</v>
      </c>
      <c r="AK850">
        <v>1</v>
      </c>
      <c r="AL850">
        <v>0</v>
      </c>
      <c r="AM850">
        <v>0.4</v>
      </c>
      <c r="AN850">
        <v>9.0909090909090912E-2</v>
      </c>
      <c r="AO850">
        <v>0</v>
      </c>
      <c r="AP850" t="s">
        <v>188</v>
      </c>
      <c r="AQ850" t="s">
        <v>131</v>
      </c>
      <c r="AR850" t="s">
        <v>229</v>
      </c>
      <c r="AS850">
        <v>0</v>
      </c>
      <c r="AT850">
        <v>0</v>
      </c>
      <c r="AU850">
        <v>0</v>
      </c>
      <c r="AV850">
        <v>0</v>
      </c>
      <c r="AW850">
        <v>0</v>
      </c>
      <c r="AX850">
        <v>0</v>
      </c>
      <c r="AY850">
        <v>0</v>
      </c>
      <c r="AZ850" t="s">
        <v>147</v>
      </c>
      <c r="BA850">
        <v>20</v>
      </c>
      <c r="BB850">
        <v>0</v>
      </c>
      <c r="BC850" t="s">
        <v>132</v>
      </c>
      <c r="BD850">
        <v>0</v>
      </c>
      <c r="BE850" t="s">
        <v>133</v>
      </c>
      <c r="BF85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51" spans="1:58" x14ac:dyDescent="0.25">
      <c r="A851" t="s">
        <v>1105</v>
      </c>
      <c r="B851" t="s">
        <v>19</v>
      </c>
      <c r="C851">
        <v>2</v>
      </c>
      <c r="D851">
        <v>235</v>
      </c>
      <c r="E851" t="s">
        <v>2109</v>
      </c>
      <c r="F851" t="s">
        <v>123</v>
      </c>
      <c r="G851" t="s">
        <v>124</v>
      </c>
      <c r="H851" t="s">
        <v>125</v>
      </c>
      <c r="I851" t="s">
        <v>183</v>
      </c>
      <c r="J851" t="s">
        <v>140</v>
      </c>
      <c r="K851" t="s">
        <v>127</v>
      </c>
      <c r="L851">
        <v>50</v>
      </c>
      <c r="M851">
        <v>3485293</v>
      </c>
      <c r="N851">
        <v>20</v>
      </c>
      <c r="O851">
        <v>3</v>
      </c>
      <c r="P851" t="s">
        <v>168</v>
      </c>
      <c r="Q851" t="s">
        <v>129</v>
      </c>
      <c r="R851">
        <v>22</v>
      </c>
      <c r="S851" t="s">
        <v>1104</v>
      </c>
      <c r="T851">
        <v>22</v>
      </c>
      <c r="U851">
        <v>25</v>
      </c>
      <c r="V851">
        <v>0</v>
      </c>
      <c r="W851">
        <v>0</v>
      </c>
      <c r="X851">
        <v>0</v>
      </c>
      <c r="Y851">
        <v>0</v>
      </c>
      <c r="Z851">
        <v>22</v>
      </c>
      <c r="AA851">
        <v>25</v>
      </c>
      <c r="AB851">
        <v>50</v>
      </c>
      <c r="AC851">
        <v>49</v>
      </c>
      <c r="AD851">
        <v>0</v>
      </c>
      <c r="AE851">
        <v>0</v>
      </c>
      <c r="AF851">
        <v>49</v>
      </c>
      <c r="AG851">
        <v>0</v>
      </c>
      <c r="AH851">
        <v>1</v>
      </c>
      <c r="AI851">
        <v>1</v>
      </c>
      <c r="AJ851">
        <v>1</v>
      </c>
      <c r="AK851">
        <v>1</v>
      </c>
      <c r="AL851">
        <v>0</v>
      </c>
      <c r="AM851">
        <v>0.4</v>
      </c>
      <c r="AN851">
        <v>9.0909090909090912E-2</v>
      </c>
      <c r="AO851">
        <v>0</v>
      </c>
      <c r="AP851" t="s">
        <v>188</v>
      </c>
      <c r="AQ851" t="s">
        <v>131</v>
      </c>
      <c r="AR851" t="s">
        <v>229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 t="s">
        <v>147</v>
      </c>
      <c r="BA851">
        <v>20</v>
      </c>
      <c r="BB851">
        <v>0</v>
      </c>
      <c r="BC851" t="s">
        <v>133</v>
      </c>
      <c r="BD851">
        <v>0</v>
      </c>
      <c r="BE851" t="s">
        <v>133</v>
      </c>
      <c r="BF85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52" spans="1:58" x14ac:dyDescent="0.25">
      <c r="A852" t="s">
        <v>1106</v>
      </c>
      <c r="B852" t="s">
        <v>19</v>
      </c>
      <c r="C852">
        <v>2</v>
      </c>
      <c r="D852">
        <v>236</v>
      </c>
      <c r="E852" t="s">
        <v>2109</v>
      </c>
      <c r="F852" t="s">
        <v>123</v>
      </c>
      <c r="G852" t="s">
        <v>124</v>
      </c>
      <c r="H852" t="s">
        <v>125</v>
      </c>
      <c r="I852" t="s">
        <v>183</v>
      </c>
      <c r="J852" t="s">
        <v>140</v>
      </c>
      <c r="K852" t="s">
        <v>127</v>
      </c>
      <c r="L852">
        <v>50</v>
      </c>
      <c r="M852">
        <v>3485355</v>
      </c>
      <c r="N852">
        <v>20</v>
      </c>
      <c r="O852">
        <v>3</v>
      </c>
      <c r="P852" t="s">
        <v>168</v>
      </c>
      <c r="Q852" t="s">
        <v>129</v>
      </c>
      <c r="R852">
        <v>22</v>
      </c>
      <c r="S852" t="s">
        <v>1104</v>
      </c>
      <c r="T852">
        <v>22</v>
      </c>
      <c r="U852">
        <v>25</v>
      </c>
      <c r="V852">
        <v>0</v>
      </c>
      <c r="W852">
        <v>0</v>
      </c>
      <c r="X852">
        <v>0</v>
      </c>
      <c r="Y852">
        <v>0</v>
      </c>
      <c r="Z852">
        <v>22</v>
      </c>
      <c r="AA852">
        <v>25</v>
      </c>
      <c r="AB852">
        <v>50</v>
      </c>
      <c r="AC852">
        <v>49</v>
      </c>
      <c r="AD852">
        <v>0</v>
      </c>
      <c r="AE852">
        <v>0</v>
      </c>
      <c r="AF852">
        <v>49</v>
      </c>
      <c r="AG852">
        <v>0</v>
      </c>
      <c r="AH852">
        <v>1</v>
      </c>
      <c r="AI852">
        <v>1</v>
      </c>
      <c r="AJ852">
        <v>1</v>
      </c>
      <c r="AK852">
        <v>1</v>
      </c>
      <c r="AL852">
        <v>0</v>
      </c>
      <c r="AM852">
        <v>0.4</v>
      </c>
      <c r="AN852">
        <v>9.0909090909090912E-2</v>
      </c>
      <c r="AO852">
        <v>0</v>
      </c>
      <c r="AP852" t="s">
        <v>188</v>
      </c>
      <c r="AQ852" t="s">
        <v>131</v>
      </c>
      <c r="AR852" t="s">
        <v>229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0</v>
      </c>
      <c r="AZ852" t="s">
        <v>147</v>
      </c>
      <c r="BA852">
        <v>20</v>
      </c>
      <c r="BB852">
        <v>0</v>
      </c>
      <c r="BC852" t="s">
        <v>133</v>
      </c>
      <c r="BD852">
        <v>0</v>
      </c>
      <c r="BE852" t="s">
        <v>133</v>
      </c>
      <c r="BF85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53" spans="1:58" x14ac:dyDescent="0.25">
      <c r="A853" t="s">
        <v>1107</v>
      </c>
      <c r="B853" t="s">
        <v>19</v>
      </c>
      <c r="C853">
        <v>2</v>
      </c>
      <c r="D853">
        <v>237</v>
      </c>
      <c r="E853" t="s">
        <v>2109</v>
      </c>
      <c r="F853" t="s">
        <v>123</v>
      </c>
      <c r="G853" t="s">
        <v>124</v>
      </c>
      <c r="H853" t="s">
        <v>125</v>
      </c>
      <c r="I853" t="s">
        <v>183</v>
      </c>
      <c r="J853" t="s">
        <v>140</v>
      </c>
      <c r="K853" t="s">
        <v>127</v>
      </c>
      <c r="L853">
        <v>50</v>
      </c>
      <c r="M853">
        <v>3485149</v>
      </c>
      <c r="N853">
        <v>20</v>
      </c>
      <c r="O853">
        <v>3</v>
      </c>
      <c r="P853" t="s">
        <v>168</v>
      </c>
      <c r="Q853" t="s">
        <v>129</v>
      </c>
      <c r="R853">
        <v>22</v>
      </c>
      <c r="S853" t="s">
        <v>1104</v>
      </c>
      <c r="T853">
        <v>22</v>
      </c>
      <c r="U853">
        <v>25</v>
      </c>
      <c r="V853">
        <v>0</v>
      </c>
      <c r="W853">
        <v>0</v>
      </c>
      <c r="X853">
        <v>0</v>
      </c>
      <c r="Y853">
        <v>0</v>
      </c>
      <c r="Z853">
        <v>22</v>
      </c>
      <c r="AA853">
        <v>25</v>
      </c>
      <c r="AB853">
        <v>50</v>
      </c>
      <c r="AC853">
        <v>49</v>
      </c>
      <c r="AD853">
        <v>0</v>
      </c>
      <c r="AE853">
        <v>0</v>
      </c>
      <c r="AF853">
        <v>49</v>
      </c>
      <c r="AG853">
        <v>0</v>
      </c>
      <c r="AH853">
        <v>1</v>
      </c>
      <c r="AI853">
        <v>1</v>
      </c>
      <c r="AJ853">
        <v>1</v>
      </c>
      <c r="AK853">
        <v>1</v>
      </c>
      <c r="AL853">
        <v>0</v>
      </c>
      <c r="AM853">
        <v>0.4</v>
      </c>
      <c r="AN853">
        <v>9.0909090909090912E-2</v>
      </c>
      <c r="AO853">
        <v>0</v>
      </c>
      <c r="AP853" t="s">
        <v>188</v>
      </c>
      <c r="AQ853" t="s">
        <v>131</v>
      </c>
      <c r="AR853" t="s">
        <v>229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0</v>
      </c>
      <c r="AY853">
        <v>0</v>
      </c>
      <c r="AZ853" t="s">
        <v>147</v>
      </c>
      <c r="BA853">
        <v>20</v>
      </c>
      <c r="BB853">
        <v>0</v>
      </c>
      <c r="BC853" t="s">
        <v>133</v>
      </c>
      <c r="BD853">
        <v>0</v>
      </c>
      <c r="BE853" t="s">
        <v>133</v>
      </c>
      <c r="BF85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54" spans="1:58" x14ac:dyDescent="0.25">
      <c r="A854" t="s">
        <v>1108</v>
      </c>
      <c r="B854" t="s">
        <v>19</v>
      </c>
      <c r="C854">
        <v>2</v>
      </c>
      <c r="D854">
        <v>238</v>
      </c>
      <c r="E854" t="s">
        <v>2109</v>
      </c>
      <c r="F854" t="s">
        <v>123</v>
      </c>
      <c r="G854" t="s">
        <v>124</v>
      </c>
      <c r="H854" t="s">
        <v>125</v>
      </c>
      <c r="I854" t="s">
        <v>154</v>
      </c>
      <c r="J854" t="s">
        <v>154</v>
      </c>
      <c r="K854" t="s">
        <v>151</v>
      </c>
      <c r="L854">
        <v>50</v>
      </c>
      <c r="M854">
        <v>1137601</v>
      </c>
      <c r="N854">
        <v>0</v>
      </c>
      <c r="O854">
        <v>3</v>
      </c>
      <c r="P854" t="s">
        <v>168</v>
      </c>
      <c r="Q854" t="s">
        <v>129</v>
      </c>
      <c r="R854">
        <v>22</v>
      </c>
      <c r="S854" t="s">
        <v>189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50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50</v>
      </c>
      <c r="AJ854">
        <v>50</v>
      </c>
      <c r="AK854">
        <v>50</v>
      </c>
      <c r="AL854">
        <v>50</v>
      </c>
      <c r="AM854">
        <v>0</v>
      </c>
      <c r="AN854">
        <v>4.5454545454545459</v>
      </c>
      <c r="AO854">
        <v>0</v>
      </c>
      <c r="AP854" t="s">
        <v>172</v>
      </c>
      <c r="AQ854" t="s">
        <v>155</v>
      </c>
      <c r="AR854" t="s">
        <v>229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0</v>
      </c>
      <c r="AZ854" t="s">
        <v>147</v>
      </c>
      <c r="BA854">
        <v>0</v>
      </c>
      <c r="BB854">
        <v>0</v>
      </c>
      <c r="BC854" t="s">
        <v>133</v>
      </c>
      <c r="BD854">
        <v>1</v>
      </c>
      <c r="BE854" t="s">
        <v>133</v>
      </c>
      <c r="BF85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55" spans="1:58" x14ac:dyDescent="0.25">
      <c r="A855" t="s">
        <v>1109</v>
      </c>
      <c r="B855" t="s">
        <v>19</v>
      </c>
      <c r="C855">
        <v>2</v>
      </c>
      <c r="D855">
        <v>239</v>
      </c>
      <c r="E855" t="s">
        <v>2109</v>
      </c>
      <c r="F855" t="s">
        <v>123</v>
      </c>
      <c r="G855" t="s">
        <v>124</v>
      </c>
      <c r="H855" t="s">
        <v>125</v>
      </c>
      <c r="I855" t="s">
        <v>154</v>
      </c>
      <c r="J855" t="s">
        <v>154</v>
      </c>
      <c r="K855" t="s">
        <v>151</v>
      </c>
      <c r="L855">
        <v>50</v>
      </c>
      <c r="M855">
        <v>1137603</v>
      </c>
      <c r="N855">
        <v>0</v>
      </c>
      <c r="O855">
        <v>3</v>
      </c>
      <c r="P855" t="s">
        <v>168</v>
      </c>
      <c r="Q855" t="s">
        <v>129</v>
      </c>
      <c r="R855">
        <v>22</v>
      </c>
      <c r="S855" t="s">
        <v>189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50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50</v>
      </c>
      <c r="AJ855">
        <v>50</v>
      </c>
      <c r="AK855">
        <v>50</v>
      </c>
      <c r="AL855">
        <v>50</v>
      </c>
      <c r="AM855">
        <v>0</v>
      </c>
      <c r="AN855">
        <v>4.5454545454545459</v>
      </c>
      <c r="AO855">
        <v>0</v>
      </c>
      <c r="AP855" t="s">
        <v>172</v>
      </c>
      <c r="AQ855" t="s">
        <v>155</v>
      </c>
      <c r="AR855" t="s">
        <v>229</v>
      </c>
      <c r="AS855">
        <v>0</v>
      </c>
      <c r="AT855">
        <v>0</v>
      </c>
      <c r="AU855">
        <v>0</v>
      </c>
      <c r="AV855">
        <v>0</v>
      </c>
      <c r="AW855">
        <v>0</v>
      </c>
      <c r="AX855">
        <v>0</v>
      </c>
      <c r="AY855">
        <v>0</v>
      </c>
      <c r="AZ855" t="s">
        <v>147</v>
      </c>
      <c r="BA855">
        <v>0</v>
      </c>
      <c r="BB855">
        <v>0</v>
      </c>
      <c r="BC855" t="s">
        <v>133</v>
      </c>
      <c r="BD855">
        <v>2</v>
      </c>
      <c r="BE855" t="s">
        <v>133</v>
      </c>
      <c r="BF85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56" spans="1:58" x14ac:dyDescent="0.25">
      <c r="A856" t="s">
        <v>1110</v>
      </c>
      <c r="B856" t="s">
        <v>19</v>
      </c>
      <c r="C856">
        <v>2</v>
      </c>
      <c r="D856">
        <v>240</v>
      </c>
      <c r="E856" t="s">
        <v>2109</v>
      </c>
      <c r="F856" t="s">
        <v>123</v>
      </c>
      <c r="G856" t="s">
        <v>124</v>
      </c>
      <c r="H856" t="s">
        <v>125</v>
      </c>
      <c r="I856" t="s">
        <v>154</v>
      </c>
      <c r="J856" t="s">
        <v>154</v>
      </c>
      <c r="K856" t="s">
        <v>151</v>
      </c>
      <c r="L856">
        <v>50</v>
      </c>
      <c r="M856">
        <v>1137605</v>
      </c>
      <c r="N856">
        <v>0</v>
      </c>
      <c r="O856">
        <v>3</v>
      </c>
      <c r="P856" t="s">
        <v>168</v>
      </c>
      <c r="Q856" t="s">
        <v>129</v>
      </c>
      <c r="R856">
        <v>22</v>
      </c>
      <c r="S856" t="s">
        <v>189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50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50</v>
      </c>
      <c r="AJ856">
        <v>50</v>
      </c>
      <c r="AK856">
        <v>50</v>
      </c>
      <c r="AL856">
        <v>50</v>
      </c>
      <c r="AM856">
        <v>0</v>
      </c>
      <c r="AN856">
        <v>4.5454545454545459</v>
      </c>
      <c r="AO856">
        <v>0</v>
      </c>
      <c r="AP856" t="s">
        <v>172</v>
      </c>
      <c r="AQ856" t="s">
        <v>155</v>
      </c>
      <c r="AR856" t="s">
        <v>229</v>
      </c>
      <c r="AS856">
        <v>0</v>
      </c>
      <c r="AT856">
        <v>0</v>
      </c>
      <c r="AU856">
        <v>0</v>
      </c>
      <c r="AV856">
        <v>0</v>
      </c>
      <c r="AW856">
        <v>0</v>
      </c>
      <c r="AX856">
        <v>0</v>
      </c>
      <c r="AY856">
        <v>0</v>
      </c>
      <c r="AZ856" t="s">
        <v>147</v>
      </c>
      <c r="BA856">
        <v>0</v>
      </c>
      <c r="BB856">
        <v>0</v>
      </c>
      <c r="BC856" t="s">
        <v>133</v>
      </c>
      <c r="BD856">
        <v>3</v>
      </c>
      <c r="BE856" t="s">
        <v>133</v>
      </c>
      <c r="BF85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57" spans="1:58" x14ac:dyDescent="0.25">
      <c r="A857" t="s">
        <v>1111</v>
      </c>
      <c r="B857" t="s">
        <v>19</v>
      </c>
      <c r="C857">
        <v>2</v>
      </c>
      <c r="D857">
        <v>241</v>
      </c>
      <c r="E857" t="s">
        <v>2109</v>
      </c>
      <c r="F857" t="s">
        <v>123</v>
      </c>
      <c r="G857" t="s">
        <v>124</v>
      </c>
      <c r="H857" t="s">
        <v>125</v>
      </c>
      <c r="I857" t="s">
        <v>154</v>
      </c>
      <c r="J857" t="s">
        <v>154</v>
      </c>
      <c r="K857" t="s">
        <v>151</v>
      </c>
      <c r="L857">
        <v>50</v>
      </c>
      <c r="M857">
        <v>1137607</v>
      </c>
      <c r="N857">
        <v>0</v>
      </c>
      <c r="O857">
        <v>3</v>
      </c>
      <c r="P857" t="s">
        <v>168</v>
      </c>
      <c r="Q857" t="s">
        <v>129</v>
      </c>
      <c r="R857">
        <v>22</v>
      </c>
      <c r="S857" t="s">
        <v>189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50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50</v>
      </c>
      <c r="AJ857">
        <v>50</v>
      </c>
      <c r="AK857">
        <v>50</v>
      </c>
      <c r="AL857">
        <v>50</v>
      </c>
      <c r="AM857">
        <v>0</v>
      </c>
      <c r="AN857">
        <v>4.5454545454545459</v>
      </c>
      <c r="AO857">
        <v>0</v>
      </c>
      <c r="AP857" t="s">
        <v>172</v>
      </c>
      <c r="AQ857" t="s">
        <v>155</v>
      </c>
      <c r="AR857" t="s">
        <v>229</v>
      </c>
      <c r="AS857">
        <v>0</v>
      </c>
      <c r="AT857">
        <v>0</v>
      </c>
      <c r="AU857">
        <v>0</v>
      </c>
      <c r="AV857">
        <v>0</v>
      </c>
      <c r="AW857">
        <v>0</v>
      </c>
      <c r="AX857">
        <v>0</v>
      </c>
      <c r="AY857">
        <v>0</v>
      </c>
      <c r="AZ857" t="s">
        <v>147</v>
      </c>
      <c r="BA857">
        <v>0</v>
      </c>
      <c r="BB857">
        <v>0</v>
      </c>
      <c r="BC857" t="s">
        <v>133</v>
      </c>
      <c r="BD857">
        <v>4</v>
      </c>
      <c r="BE857" t="s">
        <v>133</v>
      </c>
      <c r="BF85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58" spans="1:58" x14ac:dyDescent="0.25">
      <c r="A858" t="s">
        <v>1112</v>
      </c>
      <c r="B858" t="s">
        <v>19</v>
      </c>
      <c r="C858">
        <v>2</v>
      </c>
      <c r="D858">
        <v>242</v>
      </c>
      <c r="E858" t="s">
        <v>2109</v>
      </c>
      <c r="F858" t="s">
        <v>123</v>
      </c>
      <c r="G858" t="s">
        <v>124</v>
      </c>
      <c r="H858" t="s">
        <v>125</v>
      </c>
      <c r="I858" t="s">
        <v>154</v>
      </c>
      <c r="J858" t="s">
        <v>154</v>
      </c>
      <c r="K858" t="s">
        <v>151</v>
      </c>
      <c r="L858">
        <v>50</v>
      </c>
      <c r="M858">
        <v>1137609</v>
      </c>
      <c r="N858">
        <v>0</v>
      </c>
      <c r="O858">
        <v>3</v>
      </c>
      <c r="P858" t="s">
        <v>168</v>
      </c>
      <c r="Q858" t="s">
        <v>129</v>
      </c>
      <c r="R858">
        <v>22</v>
      </c>
      <c r="S858" t="s">
        <v>189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50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50</v>
      </c>
      <c r="AJ858">
        <v>50</v>
      </c>
      <c r="AK858">
        <v>50</v>
      </c>
      <c r="AL858">
        <v>50</v>
      </c>
      <c r="AM858">
        <v>0</v>
      </c>
      <c r="AN858">
        <v>4.5454545454545459</v>
      </c>
      <c r="AO858">
        <v>0</v>
      </c>
      <c r="AP858" t="s">
        <v>172</v>
      </c>
      <c r="AQ858" t="s">
        <v>155</v>
      </c>
      <c r="AR858" t="s">
        <v>229</v>
      </c>
      <c r="AS858">
        <v>0</v>
      </c>
      <c r="AT858">
        <v>0</v>
      </c>
      <c r="AU858">
        <v>0</v>
      </c>
      <c r="AV858">
        <v>0</v>
      </c>
      <c r="AW858">
        <v>0</v>
      </c>
      <c r="AX858">
        <v>0</v>
      </c>
      <c r="AY858">
        <v>0</v>
      </c>
      <c r="AZ858" t="s">
        <v>147</v>
      </c>
      <c r="BA858">
        <v>0</v>
      </c>
      <c r="BB858">
        <v>0</v>
      </c>
      <c r="BC858" t="s">
        <v>133</v>
      </c>
      <c r="BD858">
        <v>5</v>
      </c>
      <c r="BE858" t="s">
        <v>133</v>
      </c>
      <c r="BF85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59" spans="1:58" x14ac:dyDescent="0.25">
      <c r="A859" t="s">
        <v>1113</v>
      </c>
      <c r="B859" t="s">
        <v>19</v>
      </c>
      <c r="C859">
        <v>2</v>
      </c>
      <c r="D859">
        <v>243</v>
      </c>
      <c r="E859" t="s">
        <v>2109</v>
      </c>
      <c r="F859" t="s">
        <v>123</v>
      </c>
      <c r="G859" t="s">
        <v>124</v>
      </c>
      <c r="H859" t="s">
        <v>125</v>
      </c>
      <c r="I859" t="s">
        <v>154</v>
      </c>
      <c r="J859" t="s">
        <v>154</v>
      </c>
      <c r="K859" t="s">
        <v>151</v>
      </c>
      <c r="L859">
        <v>50</v>
      </c>
      <c r="M859">
        <v>1137611</v>
      </c>
      <c r="N859">
        <v>0</v>
      </c>
      <c r="O859">
        <v>3</v>
      </c>
      <c r="P859" t="s">
        <v>168</v>
      </c>
      <c r="Q859" t="s">
        <v>129</v>
      </c>
      <c r="R859">
        <v>22</v>
      </c>
      <c r="S859" t="s">
        <v>189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50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50</v>
      </c>
      <c r="AJ859">
        <v>50</v>
      </c>
      <c r="AK859">
        <v>50</v>
      </c>
      <c r="AL859">
        <v>50</v>
      </c>
      <c r="AM859">
        <v>0</v>
      </c>
      <c r="AN859">
        <v>4.5454545454545459</v>
      </c>
      <c r="AO859">
        <v>0</v>
      </c>
      <c r="AP859" t="s">
        <v>172</v>
      </c>
      <c r="AQ859" t="s">
        <v>155</v>
      </c>
      <c r="AR859" t="s">
        <v>229</v>
      </c>
      <c r="AS859">
        <v>0</v>
      </c>
      <c r="AT859">
        <v>0</v>
      </c>
      <c r="AU859">
        <v>0</v>
      </c>
      <c r="AV859">
        <v>0</v>
      </c>
      <c r="AW859">
        <v>0</v>
      </c>
      <c r="AX859">
        <v>0</v>
      </c>
      <c r="AY859">
        <v>0</v>
      </c>
      <c r="AZ859" t="s">
        <v>147</v>
      </c>
      <c r="BA859">
        <v>0</v>
      </c>
      <c r="BB859">
        <v>0</v>
      </c>
      <c r="BC859" t="s">
        <v>133</v>
      </c>
      <c r="BD859">
        <v>6</v>
      </c>
      <c r="BE859" t="s">
        <v>133</v>
      </c>
      <c r="BF85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60" spans="1:58" x14ac:dyDescent="0.25">
      <c r="A860" t="s">
        <v>1114</v>
      </c>
      <c r="B860" t="s">
        <v>19</v>
      </c>
      <c r="C860">
        <v>2</v>
      </c>
      <c r="D860">
        <v>244</v>
      </c>
      <c r="E860" t="s">
        <v>2109</v>
      </c>
      <c r="F860" t="s">
        <v>123</v>
      </c>
      <c r="G860" t="s">
        <v>124</v>
      </c>
      <c r="H860" t="s">
        <v>125</v>
      </c>
      <c r="I860" t="s">
        <v>154</v>
      </c>
      <c r="J860" t="s">
        <v>154</v>
      </c>
      <c r="K860" t="s">
        <v>151</v>
      </c>
      <c r="L860">
        <v>50</v>
      </c>
      <c r="M860">
        <v>1137613</v>
      </c>
      <c r="N860">
        <v>0</v>
      </c>
      <c r="O860">
        <v>3</v>
      </c>
      <c r="P860" t="s">
        <v>168</v>
      </c>
      <c r="Q860" t="s">
        <v>129</v>
      </c>
      <c r="R860">
        <v>22</v>
      </c>
      <c r="S860" t="s">
        <v>189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50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50</v>
      </c>
      <c r="AJ860">
        <v>50</v>
      </c>
      <c r="AK860">
        <v>50</v>
      </c>
      <c r="AL860">
        <v>50</v>
      </c>
      <c r="AM860">
        <v>0</v>
      </c>
      <c r="AN860">
        <v>4.5454545454545459</v>
      </c>
      <c r="AO860">
        <v>0</v>
      </c>
      <c r="AP860" t="s">
        <v>172</v>
      </c>
      <c r="AQ860" t="s">
        <v>155</v>
      </c>
      <c r="AR860" t="s">
        <v>229</v>
      </c>
      <c r="AS860">
        <v>0</v>
      </c>
      <c r="AT860">
        <v>0</v>
      </c>
      <c r="AU860">
        <v>0</v>
      </c>
      <c r="AV860">
        <v>0</v>
      </c>
      <c r="AW860">
        <v>0</v>
      </c>
      <c r="AX860">
        <v>0</v>
      </c>
      <c r="AY860">
        <v>0</v>
      </c>
      <c r="AZ860" t="s">
        <v>147</v>
      </c>
      <c r="BA860">
        <v>0</v>
      </c>
      <c r="BB860">
        <v>0</v>
      </c>
      <c r="BC860" t="s">
        <v>144</v>
      </c>
      <c r="BD860">
        <v>7</v>
      </c>
      <c r="BE860" t="s">
        <v>133</v>
      </c>
      <c r="BF86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61" spans="1:58" x14ac:dyDescent="0.25">
      <c r="A861" t="s">
        <v>1115</v>
      </c>
      <c r="B861" t="s">
        <v>19</v>
      </c>
      <c r="C861">
        <v>2</v>
      </c>
      <c r="D861">
        <v>245</v>
      </c>
      <c r="E861" t="s">
        <v>2108</v>
      </c>
      <c r="F861" t="s">
        <v>123</v>
      </c>
      <c r="G861" t="s">
        <v>124</v>
      </c>
      <c r="H861" t="s">
        <v>125</v>
      </c>
      <c r="I861" t="s">
        <v>126</v>
      </c>
      <c r="J861" t="s">
        <v>126</v>
      </c>
      <c r="K861" t="s">
        <v>127</v>
      </c>
      <c r="L861">
        <v>50</v>
      </c>
      <c r="M861">
        <v>1137615</v>
      </c>
      <c r="N861">
        <v>6</v>
      </c>
      <c r="O861">
        <v>3</v>
      </c>
      <c r="P861" t="s">
        <v>168</v>
      </c>
      <c r="Q861" t="s">
        <v>129</v>
      </c>
      <c r="R861">
        <v>23</v>
      </c>
      <c r="T861">
        <v>18</v>
      </c>
      <c r="U861">
        <v>23</v>
      </c>
      <c r="V861">
        <v>0</v>
      </c>
      <c r="W861">
        <v>0</v>
      </c>
      <c r="X861">
        <v>0</v>
      </c>
      <c r="Y861">
        <v>0</v>
      </c>
      <c r="Z861">
        <v>18</v>
      </c>
      <c r="AA861">
        <v>23</v>
      </c>
      <c r="AB861">
        <v>50</v>
      </c>
      <c r="AC861">
        <v>28</v>
      </c>
      <c r="AD861">
        <v>0</v>
      </c>
      <c r="AE861">
        <v>0</v>
      </c>
      <c r="AF861">
        <v>28</v>
      </c>
      <c r="AG861">
        <v>0</v>
      </c>
      <c r="AH861">
        <v>22</v>
      </c>
      <c r="AI861">
        <v>22</v>
      </c>
      <c r="AJ861">
        <v>22</v>
      </c>
      <c r="AK861">
        <v>22</v>
      </c>
      <c r="AL861">
        <v>0</v>
      </c>
      <c r="AM861">
        <v>0.12</v>
      </c>
      <c r="AN861">
        <v>2</v>
      </c>
      <c r="AO861">
        <v>0</v>
      </c>
      <c r="AP861" t="s">
        <v>130</v>
      </c>
      <c r="AQ861" t="s">
        <v>131</v>
      </c>
      <c r="AR861" t="s">
        <v>194</v>
      </c>
      <c r="AS861">
        <v>2160</v>
      </c>
      <c r="AT861">
        <v>2205</v>
      </c>
      <c r="AU861">
        <v>0</v>
      </c>
      <c r="AV861">
        <v>0</v>
      </c>
      <c r="AW861">
        <v>4.3650000000000002</v>
      </c>
      <c r="AX861">
        <v>0.15589285714285714</v>
      </c>
      <c r="AY861">
        <v>4.3650000000000002</v>
      </c>
      <c r="AZ861" t="s">
        <v>135</v>
      </c>
      <c r="BA861">
        <v>1.6349999999999998</v>
      </c>
      <c r="BB861">
        <v>10.487972508591064</v>
      </c>
      <c r="BC861" t="s">
        <v>132</v>
      </c>
      <c r="BD861">
        <v>0</v>
      </c>
      <c r="BE861" t="s">
        <v>133</v>
      </c>
      <c r="BF86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4.3650000000000002</v>
      </c>
    </row>
    <row r="862" spans="1:58" x14ac:dyDescent="0.25">
      <c r="A862" t="s">
        <v>1116</v>
      </c>
      <c r="B862" t="s">
        <v>19</v>
      </c>
      <c r="C862">
        <v>2</v>
      </c>
      <c r="D862">
        <v>246</v>
      </c>
      <c r="E862" t="s">
        <v>2108</v>
      </c>
      <c r="F862" t="s">
        <v>123</v>
      </c>
      <c r="G862" t="s">
        <v>124</v>
      </c>
      <c r="H862" t="s">
        <v>125</v>
      </c>
      <c r="I862" t="s">
        <v>126</v>
      </c>
      <c r="J862" t="s">
        <v>126</v>
      </c>
      <c r="K862" t="s">
        <v>127</v>
      </c>
      <c r="L862">
        <v>50</v>
      </c>
      <c r="M862">
        <v>1137617</v>
      </c>
      <c r="N862">
        <v>6</v>
      </c>
      <c r="O862">
        <v>3</v>
      </c>
      <c r="P862" t="s">
        <v>168</v>
      </c>
      <c r="Q862" t="s">
        <v>129</v>
      </c>
      <c r="R862">
        <v>23</v>
      </c>
      <c r="T862">
        <v>19</v>
      </c>
      <c r="U862">
        <v>24</v>
      </c>
      <c r="V862">
        <v>3</v>
      </c>
      <c r="W862">
        <v>0</v>
      </c>
      <c r="X862">
        <v>3</v>
      </c>
      <c r="Y862">
        <v>4</v>
      </c>
      <c r="Z862">
        <v>26</v>
      </c>
      <c r="AA862">
        <v>31</v>
      </c>
      <c r="AB862">
        <v>50</v>
      </c>
      <c r="AC862">
        <v>28</v>
      </c>
      <c r="AD862">
        <v>4</v>
      </c>
      <c r="AE862">
        <v>5</v>
      </c>
      <c r="AF862">
        <v>37</v>
      </c>
      <c r="AG862">
        <v>0</v>
      </c>
      <c r="AH862">
        <v>22</v>
      </c>
      <c r="AI862">
        <v>13</v>
      </c>
      <c r="AJ862">
        <v>17</v>
      </c>
      <c r="AK862">
        <v>22</v>
      </c>
      <c r="AL862">
        <v>0</v>
      </c>
      <c r="AM862">
        <v>0.12</v>
      </c>
      <c r="AN862">
        <v>1.5454545454545454</v>
      </c>
      <c r="AO862">
        <v>0</v>
      </c>
      <c r="AP862" t="s">
        <v>130</v>
      </c>
      <c r="AQ862" t="s">
        <v>131</v>
      </c>
      <c r="AR862" t="s">
        <v>194</v>
      </c>
      <c r="AS862">
        <v>2488</v>
      </c>
      <c r="AT862">
        <v>2489</v>
      </c>
      <c r="AU862">
        <v>0</v>
      </c>
      <c r="AV862">
        <v>0</v>
      </c>
      <c r="AW862">
        <v>4.9770000000000003</v>
      </c>
      <c r="AX862">
        <v>0.17775000000000002</v>
      </c>
      <c r="AY862">
        <v>6.5767500000000005</v>
      </c>
      <c r="AZ862" t="s">
        <v>135</v>
      </c>
      <c r="BA862">
        <v>-0.57675000000000054</v>
      </c>
      <c r="BB862">
        <v>-3.2447257383966273</v>
      </c>
      <c r="BC862" t="s">
        <v>133</v>
      </c>
      <c r="BD862">
        <v>0</v>
      </c>
      <c r="BE862" t="s">
        <v>133</v>
      </c>
      <c r="BF86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4.9770000000000003</v>
      </c>
    </row>
    <row r="863" spans="1:58" x14ac:dyDescent="0.25">
      <c r="A863" t="s">
        <v>1117</v>
      </c>
      <c r="B863" t="s">
        <v>19</v>
      </c>
      <c r="C863">
        <v>2</v>
      </c>
      <c r="D863">
        <v>247</v>
      </c>
      <c r="E863" t="s">
        <v>2108</v>
      </c>
      <c r="F863" t="s">
        <v>123</v>
      </c>
      <c r="G863" t="s">
        <v>124</v>
      </c>
      <c r="H863" t="s">
        <v>125</v>
      </c>
      <c r="I863" t="s">
        <v>126</v>
      </c>
      <c r="J863" t="s">
        <v>126</v>
      </c>
      <c r="K863" t="s">
        <v>127</v>
      </c>
      <c r="L863">
        <v>50</v>
      </c>
      <c r="M863">
        <v>1137619</v>
      </c>
      <c r="N863">
        <v>6</v>
      </c>
      <c r="O863">
        <v>3</v>
      </c>
      <c r="P863" t="s">
        <v>168</v>
      </c>
      <c r="Q863" t="s">
        <v>129</v>
      </c>
      <c r="R863">
        <v>23</v>
      </c>
      <c r="T863">
        <v>17</v>
      </c>
      <c r="U863">
        <v>22</v>
      </c>
      <c r="V863">
        <v>5</v>
      </c>
      <c r="W863">
        <v>0</v>
      </c>
      <c r="X863">
        <v>5</v>
      </c>
      <c r="Y863">
        <v>3</v>
      </c>
      <c r="Z863">
        <v>25</v>
      </c>
      <c r="AA863">
        <v>30</v>
      </c>
      <c r="AB863">
        <v>50</v>
      </c>
      <c r="AC863">
        <v>24</v>
      </c>
      <c r="AD863">
        <v>5</v>
      </c>
      <c r="AE863">
        <v>4</v>
      </c>
      <c r="AF863">
        <v>33</v>
      </c>
      <c r="AG863">
        <v>0</v>
      </c>
      <c r="AH863">
        <v>26</v>
      </c>
      <c r="AI863">
        <v>17</v>
      </c>
      <c r="AJ863">
        <v>22</v>
      </c>
      <c r="AK863">
        <v>26</v>
      </c>
      <c r="AL863">
        <v>0</v>
      </c>
      <c r="AM863">
        <v>0.12</v>
      </c>
      <c r="AN863">
        <v>2</v>
      </c>
      <c r="AO863">
        <v>0</v>
      </c>
      <c r="AP863" t="s">
        <v>130</v>
      </c>
      <c r="AQ863" t="s">
        <v>131</v>
      </c>
      <c r="AR863" t="s">
        <v>194</v>
      </c>
      <c r="AS863">
        <v>1770</v>
      </c>
      <c r="AT863">
        <v>1769</v>
      </c>
      <c r="AU863">
        <v>0</v>
      </c>
      <c r="AV863">
        <v>0</v>
      </c>
      <c r="AW863">
        <v>3.5390000000000001</v>
      </c>
      <c r="AX863">
        <v>0.14745833333333333</v>
      </c>
      <c r="AY863">
        <v>4.8661250000000003</v>
      </c>
      <c r="AZ863" t="s">
        <v>135</v>
      </c>
      <c r="BA863">
        <v>1.1338749999999997</v>
      </c>
      <c r="BB863">
        <v>7.6894602995196371</v>
      </c>
      <c r="BC863" t="s">
        <v>133</v>
      </c>
      <c r="BD863">
        <v>0</v>
      </c>
      <c r="BE863" t="s">
        <v>133</v>
      </c>
      <c r="BF86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3.5390000000000001</v>
      </c>
    </row>
    <row r="864" spans="1:58" x14ac:dyDescent="0.25">
      <c r="A864" t="s">
        <v>1118</v>
      </c>
      <c r="B864" t="s">
        <v>19</v>
      </c>
      <c r="C864">
        <v>2</v>
      </c>
      <c r="D864">
        <v>248</v>
      </c>
      <c r="E864" t="s">
        <v>2108</v>
      </c>
      <c r="F864" t="s">
        <v>123</v>
      </c>
      <c r="G864" t="s">
        <v>124</v>
      </c>
      <c r="H864" t="s">
        <v>125</v>
      </c>
      <c r="I864" t="s">
        <v>126</v>
      </c>
      <c r="J864" t="s">
        <v>126</v>
      </c>
      <c r="K864" t="s">
        <v>127</v>
      </c>
      <c r="L864">
        <v>50</v>
      </c>
      <c r="M864">
        <v>1137621</v>
      </c>
      <c r="N864">
        <v>6</v>
      </c>
      <c r="O864">
        <v>3</v>
      </c>
      <c r="P864" t="s">
        <v>168</v>
      </c>
      <c r="Q864" t="s">
        <v>129</v>
      </c>
      <c r="R864">
        <v>23</v>
      </c>
      <c r="T864">
        <v>18</v>
      </c>
      <c r="U864">
        <v>23</v>
      </c>
      <c r="V864">
        <v>5</v>
      </c>
      <c r="W864">
        <v>0</v>
      </c>
      <c r="X864">
        <v>5</v>
      </c>
      <c r="Y864">
        <v>2</v>
      </c>
      <c r="Z864">
        <v>25</v>
      </c>
      <c r="AA864">
        <v>30</v>
      </c>
      <c r="AB864">
        <v>50</v>
      </c>
      <c r="AC864">
        <v>25</v>
      </c>
      <c r="AD864">
        <v>5</v>
      </c>
      <c r="AE864">
        <v>2</v>
      </c>
      <c r="AF864">
        <v>32</v>
      </c>
      <c r="AG864">
        <v>0</v>
      </c>
      <c r="AH864">
        <v>25</v>
      </c>
      <c r="AI864">
        <v>18</v>
      </c>
      <c r="AJ864">
        <v>23</v>
      </c>
      <c r="AK864">
        <v>25</v>
      </c>
      <c r="AL864">
        <v>0</v>
      </c>
      <c r="AM864">
        <v>0.12</v>
      </c>
      <c r="AN864">
        <v>2.0909090909090908</v>
      </c>
      <c r="AO864">
        <v>0</v>
      </c>
      <c r="AP864" t="s">
        <v>130</v>
      </c>
      <c r="AQ864" t="s">
        <v>131</v>
      </c>
      <c r="AR864" t="s">
        <v>194</v>
      </c>
      <c r="AS864">
        <v>2606</v>
      </c>
      <c r="AT864">
        <v>2357</v>
      </c>
      <c r="AU864">
        <v>0</v>
      </c>
      <c r="AV864">
        <v>0</v>
      </c>
      <c r="AW864">
        <v>4.9630000000000001</v>
      </c>
      <c r="AX864">
        <v>0.19852</v>
      </c>
      <c r="AY864">
        <v>6.3526400000000001</v>
      </c>
      <c r="AZ864" t="s">
        <v>135</v>
      </c>
      <c r="BA864">
        <v>-0.35264000000000006</v>
      </c>
      <c r="BB864">
        <v>-1.7763449526496073</v>
      </c>
      <c r="BC864" t="s">
        <v>133</v>
      </c>
      <c r="BD864">
        <v>0</v>
      </c>
      <c r="BE864" t="s">
        <v>133</v>
      </c>
      <c r="BF86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4.9630000000000001</v>
      </c>
    </row>
    <row r="865" spans="1:58" x14ac:dyDescent="0.25">
      <c r="A865" t="s">
        <v>1119</v>
      </c>
      <c r="B865" t="s">
        <v>19</v>
      </c>
      <c r="C865">
        <v>2</v>
      </c>
      <c r="D865">
        <v>249</v>
      </c>
      <c r="E865" t="s">
        <v>2108</v>
      </c>
      <c r="F865" t="s">
        <v>123</v>
      </c>
      <c r="G865" t="s">
        <v>124</v>
      </c>
      <c r="H865" t="s">
        <v>125</v>
      </c>
      <c r="I865" t="s">
        <v>126</v>
      </c>
      <c r="J865" t="s">
        <v>126</v>
      </c>
      <c r="K865" t="s">
        <v>127</v>
      </c>
      <c r="L865">
        <v>50</v>
      </c>
      <c r="M865">
        <v>1137623</v>
      </c>
      <c r="N865">
        <v>6</v>
      </c>
      <c r="O865">
        <v>3</v>
      </c>
      <c r="P865" t="s">
        <v>168</v>
      </c>
      <c r="Q865" t="s">
        <v>129</v>
      </c>
      <c r="R865">
        <v>23</v>
      </c>
      <c r="T865">
        <v>19</v>
      </c>
      <c r="U865">
        <v>24</v>
      </c>
      <c r="V865">
        <v>2</v>
      </c>
      <c r="W865">
        <v>0</v>
      </c>
      <c r="X865">
        <v>2</v>
      </c>
      <c r="Y865">
        <v>0</v>
      </c>
      <c r="Z865">
        <v>21</v>
      </c>
      <c r="AA865">
        <v>26</v>
      </c>
      <c r="AB865">
        <v>50</v>
      </c>
      <c r="AC865">
        <v>36</v>
      </c>
      <c r="AD865">
        <v>2</v>
      </c>
      <c r="AE865">
        <v>0</v>
      </c>
      <c r="AF865">
        <v>38</v>
      </c>
      <c r="AG865">
        <v>0</v>
      </c>
      <c r="AH865">
        <v>14</v>
      </c>
      <c r="AI865">
        <v>12</v>
      </c>
      <c r="AJ865">
        <v>14</v>
      </c>
      <c r="AK865">
        <v>14</v>
      </c>
      <c r="AL865">
        <v>0</v>
      </c>
      <c r="AM865">
        <v>0.12</v>
      </c>
      <c r="AN865">
        <v>1.2727272727272727</v>
      </c>
      <c r="AO865">
        <v>0</v>
      </c>
      <c r="AP865" t="s">
        <v>130</v>
      </c>
      <c r="AQ865" t="s">
        <v>131</v>
      </c>
      <c r="AR865" t="s">
        <v>194</v>
      </c>
      <c r="AS865">
        <v>2630</v>
      </c>
      <c r="AT865">
        <v>2563</v>
      </c>
      <c r="AU865">
        <v>0</v>
      </c>
      <c r="AV865">
        <v>0</v>
      </c>
      <c r="AW865">
        <v>5.1929999999999996</v>
      </c>
      <c r="AX865">
        <v>0.14424999999999999</v>
      </c>
      <c r="AY865">
        <v>5.4814999999999996</v>
      </c>
      <c r="AZ865" t="s">
        <v>135</v>
      </c>
      <c r="BA865">
        <v>0.51850000000000041</v>
      </c>
      <c r="BB865">
        <v>3.5944540727902976</v>
      </c>
      <c r="BC865" t="s">
        <v>133</v>
      </c>
      <c r="BD865">
        <v>0</v>
      </c>
      <c r="BE865" t="s">
        <v>133</v>
      </c>
      <c r="BF86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5.1929999999999996</v>
      </c>
    </row>
    <row r="866" spans="1:58" x14ac:dyDescent="0.25">
      <c r="A866" t="s">
        <v>1120</v>
      </c>
      <c r="B866" t="s">
        <v>19</v>
      </c>
      <c r="C866">
        <v>2</v>
      </c>
      <c r="D866">
        <v>250</v>
      </c>
      <c r="E866" t="s">
        <v>2108</v>
      </c>
      <c r="F866" t="s">
        <v>123</v>
      </c>
      <c r="G866" t="s">
        <v>124</v>
      </c>
      <c r="H866" t="s">
        <v>136</v>
      </c>
      <c r="I866" t="s">
        <v>137</v>
      </c>
      <c r="J866" t="s">
        <v>138</v>
      </c>
      <c r="K866" t="s">
        <v>127</v>
      </c>
      <c r="L866">
        <v>50</v>
      </c>
      <c r="M866">
        <v>1137625</v>
      </c>
      <c r="N866">
        <v>5</v>
      </c>
      <c r="O866">
        <v>3</v>
      </c>
      <c r="P866" t="s">
        <v>168</v>
      </c>
      <c r="Q866" t="s">
        <v>129</v>
      </c>
      <c r="R866">
        <v>23</v>
      </c>
      <c r="T866">
        <v>0</v>
      </c>
      <c r="U866">
        <v>4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4</v>
      </c>
      <c r="AB866">
        <v>50</v>
      </c>
      <c r="AC866">
        <v>4</v>
      </c>
      <c r="AD866">
        <v>0</v>
      </c>
      <c r="AE866">
        <v>0</v>
      </c>
      <c r="AF866">
        <v>4</v>
      </c>
      <c r="AG866">
        <v>0</v>
      </c>
      <c r="AH866">
        <v>46</v>
      </c>
      <c r="AI866">
        <v>46</v>
      </c>
      <c r="AJ866">
        <v>46</v>
      </c>
      <c r="AK866">
        <v>46</v>
      </c>
      <c r="AL866">
        <v>0</v>
      </c>
      <c r="AM866">
        <v>0.1</v>
      </c>
      <c r="AN866">
        <v>4.1818181818181817</v>
      </c>
      <c r="AO866">
        <v>0</v>
      </c>
      <c r="AP866" t="s">
        <v>139</v>
      </c>
      <c r="AQ866" t="s">
        <v>131</v>
      </c>
      <c r="AR866" t="s">
        <v>194</v>
      </c>
      <c r="AS866">
        <v>0</v>
      </c>
      <c r="AT866">
        <v>0</v>
      </c>
      <c r="AU866">
        <v>0</v>
      </c>
      <c r="AV866">
        <v>0</v>
      </c>
      <c r="AW866">
        <v>0</v>
      </c>
      <c r="AX866">
        <v>0</v>
      </c>
      <c r="AY866">
        <v>0</v>
      </c>
      <c r="AZ866" t="s">
        <v>134</v>
      </c>
      <c r="BA866">
        <v>5</v>
      </c>
      <c r="BB866">
        <v>0</v>
      </c>
      <c r="BC866" t="s">
        <v>133</v>
      </c>
      <c r="BD866">
        <v>0</v>
      </c>
      <c r="BE866" t="s">
        <v>133</v>
      </c>
      <c r="BF86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67" spans="1:58" x14ac:dyDescent="0.25">
      <c r="A867" t="s">
        <v>1121</v>
      </c>
      <c r="B867" t="s">
        <v>19</v>
      </c>
      <c r="C867">
        <v>2</v>
      </c>
      <c r="D867">
        <v>251</v>
      </c>
      <c r="E867" t="s">
        <v>2108</v>
      </c>
      <c r="F867" t="s">
        <v>123</v>
      </c>
      <c r="G867" t="s">
        <v>124</v>
      </c>
      <c r="H867" t="s">
        <v>125</v>
      </c>
      <c r="I867" t="s">
        <v>126</v>
      </c>
      <c r="J867" t="s">
        <v>126</v>
      </c>
      <c r="K867" t="s">
        <v>127</v>
      </c>
      <c r="L867">
        <v>50</v>
      </c>
      <c r="M867">
        <v>1137627</v>
      </c>
      <c r="N867">
        <v>6</v>
      </c>
      <c r="O867">
        <v>3</v>
      </c>
      <c r="P867" t="s">
        <v>168</v>
      </c>
      <c r="Q867" t="s">
        <v>129</v>
      </c>
      <c r="R867">
        <v>23</v>
      </c>
      <c r="T867">
        <v>22</v>
      </c>
      <c r="U867">
        <v>27</v>
      </c>
      <c r="V867">
        <v>3</v>
      </c>
      <c r="W867">
        <v>0</v>
      </c>
      <c r="X867">
        <v>3</v>
      </c>
      <c r="Y867">
        <v>3</v>
      </c>
      <c r="Z867">
        <v>28</v>
      </c>
      <c r="AA867">
        <v>33</v>
      </c>
      <c r="AB867">
        <v>50</v>
      </c>
      <c r="AC867">
        <v>33</v>
      </c>
      <c r="AD867">
        <v>4</v>
      </c>
      <c r="AE867">
        <v>4</v>
      </c>
      <c r="AF867">
        <v>41</v>
      </c>
      <c r="AG867">
        <v>0</v>
      </c>
      <c r="AH867">
        <v>17</v>
      </c>
      <c r="AI867">
        <v>9</v>
      </c>
      <c r="AJ867">
        <v>13</v>
      </c>
      <c r="AK867">
        <v>17</v>
      </c>
      <c r="AL867">
        <v>0</v>
      </c>
      <c r="AM867">
        <v>0.12</v>
      </c>
      <c r="AN867">
        <v>1.1818181818181819</v>
      </c>
      <c r="AO867">
        <v>0</v>
      </c>
      <c r="AP867" t="s">
        <v>130</v>
      </c>
      <c r="AQ867" t="s">
        <v>131</v>
      </c>
      <c r="AR867" t="s">
        <v>194</v>
      </c>
      <c r="AS867">
        <v>3302</v>
      </c>
      <c r="AT867">
        <v>3460</v>
      </c>
      <c r="AU867">
        <v>0</v>
      </c>
      <c r="AV867">
        <v>0</v>
      </c>
      <c r="AW867">
        <v>6.7619999999999996</v>
      </c>
      <c r="AX867">
        <v>0.2049090909090909</v>
      </c>
      <c r="AY867">
        <v>8.4012727272727261</v>
      </c>
      <c r="AZ867" t="s">
        <v>135</v>
      </c>
      <c r="BA867">
        <v>-2.4012727272727261</v>
      </c>
      <c r="BB867">
        <v>-11.718722271517297</v>
      </c>
      <c r="BC867" t="s">
        <v>133</v>
      </c>
      <c r="BD867">
        <v>0</v>
      </c>
      <c r="BE867" t="s">
        <v>133</v>
      </c>
      <c r="BF86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6.7619999999999996</v>
      </c>
    </row>
    <row r="868" spans="1:58" x14ac:dyDescent="0.25">
      <c r="A868" t="s">
        <v>1122</v>
      </c>
      <c r="B868" t="s">
        <v>19</v>
      </c>
      <c r="C868">
        <v>2</v>
      </c>
      <c r="D868">
        <v>252</v>
      </c>
      <c r="E868" t="s">
        <v>2108</v>
      </c>
      <c r="F868" t="s">
        <v>123</v>
      </c>
      <c r="G868" t="s">
        <v>124</v>
      </c>
      <c r="H868" t="s">
        <v>125</v>
      </c>
      <c r="I868" t="s">
        <v>126</v>
      </c>
      <c r="J868" t="s">
        <v>126</v>
      </c>
      <c r="K868" t="s">
        <v>127</v>
      </c>
      <c r="L868">
        <v>50</v>
      </c>
      <c r="M868">
        <v>1137629</v>
      </c>
      <c r="N868">
        <v>6</v>
      </c>
      <c r="O868">
        <v>3</v>
      </c>
      <c r="P868" t="s">
        <v>168</v>
      </c>
      <c r="Q868" t="s">
        <v>129</v>
      </c>
      <c r="R868">
        <v>23</v>
      </c>
      <c r="T868">
        <v>10</v>
      </c>
      <c r="U868">
        <v>15</v>
      </c>
      <c r="V868">
        <v>3</v>
      </c>
      <c r="W868">
        <v>0</v>
      </c>
      <c r="X868">
        <v>3</v>
      </c>
      <c r="Y868">
        <v>6</v>
      </c>
      <c r="Z868">
        <v>19</v>
      </c>
      <c r="AA868">
        <v>24</v>
      </c>
      <c r="AB868">
        <v>50</v>
      </c>
      <c r="AC868">
        <v>20</v>
      </c>
      <c r="AD868">
        <v>4</v>
      </c>
      <c r="AE868">
        <v>7</v>
      </c>
      <c r="AF868">
        <v>31</v>
      </c>
      <c r="AG868">
        <v>0</v>
      </c>
      <c r="AH868">
        <v>30</v>
      </c>
      <c r="AI868">
        <v>19</v>
      </c>
      <c r="AJ868">
        <v>23</v>
      </c>
      <c r="AK868">
        <v>30</v>
      </c>
      <c r="AL868">
        <v>0</v>
      </c>
      <c r="AM868">
        <v>0.12</v>
      </c>
      <c r="AN868">
        <v>2.0909090909090908</v>
      </c>
      <c r="AO868">
        <v>0</v>
      </c>
      <c r="AP868" t="s">
        <v>130</v>
      </c>
      <c r="AQ868" t="s">
        <v>131</v>
      </c>
      <c r="AR868" t="s">
        <v>194</v>
      </c>
      <c r="AS868">
        <v>1890</v>
      </c>
      <c r="AT868">
        <v>1895</v>
      </c>
      <c r="AU868">
        <v>0</v>
      </c>
      <c r="AV868">
        <v>0</v>
      </c>
      <c r="AW868">
        <v>3.7850000000000001</v>
      </c>
      <c r="AX868">
        <v>0.18925</v>
      </c>
      <c r="AY868">
        <v>5.8667499999999997</v>
      </c>
      <c r="AZ868" t="s">
        <v>135</v>
      </c>
      <c r="BA868">
        <v>0.13325000000000031</v>
      </c>
      <c r="BB868">
        <v>0.7040951122853385</v>
      </c>
      <c r="BC868" t="s">
        <v>133</v>
      </c>
      <c r="BD868">
        <v>0</v>
      </c>
      <c r="BE868" t="s">
        <v>133</v>
      </c>
      <c r="BF86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3.7850000000000001</v>
      </c>
    </row>
    <row r="869" spans="1:58" x14ac:dyDescent="0.25">
      <c r="A869" t="s">
        <v>1123</v>
      </c>
      <c r="B869" t="s">
        <v>19</v>
      </c>
      <c r="C869">
        <v>2</v>
      </c>
      <c r="D869">
        <v>253</v>
      </c>
      <c r="E869" t="s">
        <v>2108</v>
      </c>
      <c r="F869" t="s">
        <v>123</v>
      </c>
      <c r="G869" t="s">
        <v>124</v>
      </c>
      <c r="H869" t="s">
        <v>125</v>
      </c>
      <c r="I869" t="s">
        <v>126</v>
      </c>
      <c r="J869" t="s">
        <v>126</v>
      </c>
      <c r="K869" t="s">
        <v>127</v>
      </c>
      <c r="L869">
        <v>50</v>
      </c>
      <c r="M869">
        <v>1137631</v>
      </c>
      <c r="N869">
        <v>6</v>
      </c>
      <c r="O869">
        <v>3</v>
      </c>
      <c r="P869" t="s">
        <v>168</v>
      </c>
      <c r="Q869" t="s">
        <v>129</v>
      </c>
      <c r="R869">
        <v>23</v>
      </c>
      <c r="T869">
        <v>35</v>
      </c>
      <c r="U869">
        <v>40</v>
      </c>
      <c r="V869">
        <v>1</v>
      </c>
      <c r="W869">
        <v>0</v>
      </c>
      <c r="X869">
        <v>1</v>
      </c>
      <c r="Y869">
        <v>0</v>
      </c>
      <c r="Z869">
        <v>36</v>
      </c>
      <c r="AA869">
        <v>41</v>
      </c>
      <c r="AB869">
        <v>50</v>
      </c>
      <c r="AC869">
        <v>43</v>
      </c>
      <c r="AD869">
        <v>1</v>
      </c>
      <c r="AE869">
        <v>0</v>
      </c>
      <c r="AF869">
        <v>44</v>
      </c>
      <c r="AG869">
        <v>0</v>
      </c>
      <c r="AH869">
        <v>7</v>
      </c>
      <c r="AI869">
        <v>6</v>
      </c>
      <c r="AJ869">
        <v>7</v>
      </c>
      <c r="AK869">
        <v>7</v>
      </c>
      <c r="AL869">
        <v>0</v>
      </c>
      <c r="AM869">
        <v>0.12</v>
      </c>
      <c r="AN869">
        <v>0.63636363636363635</v>
      </c>
      <c r="AO869">
        <v>0</v>
      </c>
      <c r="AP869" t="s">
        <v>130</v>
      </c>
      <c r="AQ869" t="s">
        <v>131</v>
      </c>
      <c r="AR869" t="s">
        <v>194</v>
      </c>
      <c r="AS869">
        <v>6004</v>
      </c>
      <c r="AT869">
        <v>5987</v>
      </c>
      <c r="AU869">
        <v>0</v>
      </c>
      <c r="AV869">
        <v>0</v>
      </c>
      <c r="AW869">
        <v>11.991</v>
      </c>
      <c r="AX869">
        <v>0.27886046511627904</v>
      </c>
      <c r="AY869">
        <v>12.269860465116277</v>
      </c>
      <c r="AZ869" t="s">
        <v>135</v>
      </c>
      <c r="BA869">
        <v>-6.2698604651162775</v>
      </c>
      <c r="BB869">
        <v>-22.483862897172877</v>
      </c>
      <c r="BC869" t="s">
        <v>133</v>
      </c>
      <c r="BD869">
        <v>0</v>
      </c>
      <c r="BE869" t="s">
        <v>133</v>
      </c>
      <c r="BF86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11.991</v>
      </c>
    </row>
    <row r="870" spans="1:58" x14ac:dyDescent="0.25">
      <c r="A870" t="s">
        <v>1124</v>
      </c>
      <c r="B870" t="s">
        <v>19</v>
      </c>
      <c r="C870">
        <v>2</v>
      </c>
      <c r="D870">
        <v>254</v>
      </c>
      <c r="E870" t="s">
        <v>2108</v>
      </c>
      <c r="F870" t="s">
        <v>123</v>
      </c>
      <c r="G870" t="s">
        <v>124</v>
      </c>
      <c r="H870" t="s">
        <v>125</v>
      </c>
      <c r="I870" t="s">
        <v>126</v>
      </c>
      <c r="J870" t="s">
        <v>180</v>
      </c>
      <c r="K870" t="s">
        <v>127</v>
      </c>
      <c r="L870">
        <v>50</v>
      </c>
      <c r="M870">
        <v>1137633</v>
      </c>
      <c r="N870">
        <v>6</v>
      </c>
      <c r="O870">
        <v>3</v>
      </c>
      <c r="P870" t="s">
        <v>168</v>
      </c>
      <c r="Q870" t="s">
        <v>129</v>
      </c>
      <c r="R870">
        <v>23</v>
      </c>
      <c r="T870">
        <v>17</v>
      </c>
      <c r="U870">
        <v>22</v>
      </c>
      <c r="V870">
        <v>0</v>
      </c>
      <c r="W870">
        <v>0</v>
      </c>
      <c r="X870">
        <v>0</v>
      </c>
      <c r="Y870">
        <v>0</v>
      </c>
      <c r="Z870">
        <v>17</v>
      </c>
      <c r="AA870">
        <v>22</v>
      </c>
      <c r="AB870">
        <v>50</v>
      </c>
      <c r="AC870">
        <v>37</v>
      </c>
      <c r="AD870">
        <v>0</v>
      </c>
      <c r="AE870">
        <v>0</v>
      </c>
      <c r="AF870">
        <v>37</v>
      </c>
      <c r="AG870">
        <v>0</v>
      </c>
      <c r="AH870">
        <v>13</v>
      </c>
      <c r="AI870">
        <v>13</v>
      </c>
      <c r="AJ870">
        <v>13</v>
      </c>
      <c r="AK870">
        <v>13</v>
      </c>
      <c r="AL870">
        <v>0</v>
      </c>
      <c r="AM870">
        <v>0.12</v>
      </c>
      <c r="AN870">
        <v>1.1818181818181819</v>
      </c>
      <c r="AO870">
        <v>0</v>
      </c>
      <c r="AP870" t="s">
        <v>130</v>
      </c>
      <c r="AQ870" t="s">
        <v>131</v>
      </c>
      <c r="AR870" t="s">
        <v>194</v>
      </c>
      <c r="AS870">
        <v>5232</v>
      </c>
      <c r="AT870">
        <v>4969</v>
      </c>
      <c r="AU870">
        <v>0</v>
      </c>
      <c r="AV870">
        <v>0</v>
      </c>
      <c r="AW870">
        <v>10.201000000000001</v>
      </c>
      <c r="AX870">
        <v>0.2757027027027027</v>
      </c>
      <c r="AY870">
        <v>10.201000000000001</v>
      </c>
      <c r="AZ870" t="s">
        <v>135</v>
      </c>
      <c r="BA870">
        <v>-4.2010000000000005</v>
      </c>
      <c r="BB870">
        <v>-15.237427703166359</v>
      </c>
      <c r="BC870" t="s">
        <v>133</v>
      </c>
      <c r="BD870">
        <v>0</v>
      </c>
      <c r="BE870" t="s">
        <v>133</v>
      </c>
      <c r="BF87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10.201000000000001</v>
      </c>
    </row>
    <row r="871" spans="1:58" x14ac:dyDescent="0.25">
      <c r="A871" t="s">
        <v>1125</v>
      </c>
      <c r="B871" t="s">
        <v>19</v>
      </c>
      <c r="C871">
        <v>2</v>
      </c>
      <c r="D871">
        <v>255</v>
      </c>
      <c r="E871" t="s">
        <v>2108</v>
      </c>
      <c r="F871" t="s">
        <v>123</v>
      </c>
      <c r="G871" t="s">
        <v>124</v>
      </c>
      <c r="H871" t="s">
        <v>125</v>
      </c>
      <c r="I871" t="s">
        <v>126</v>
      </c>
      <c r="J871" t="s">
        <v>126</v>
      </c>
      <c r="K871" t="s">
        <v>127</v>
      </c>
      <c r="L871">
        <v>50</v>
      </c>
      <c r="M871">
        <v>1137635</v>
      </c>
      <c r="N871">
        <v>6</v>
      </c>
      <c r="O871">
        <v>3</v>
      </c>
      <c r="P871" t="s">
        <v>168</v>
      </c>
      <c r="Q871" t="s">
        <v>129</v>
      </c>
      <c r="R871">
        <v>23</v>
      </c>
      <c r="T871">
        <v>41</v>
      </c>
      <c r="U871">
        <v>46</v>
      </c>
      <c r="V871">
        <v>0</v>
      </c>
      <c r="W871">
        <v>0</v>
      </c>
      <c r="X871">
        <v>0</v>
      </c>
      <c r="Y871">
        <v>0</v>
      </c>
      <c r="Z871">
        <v>41</v>
      </c>
      <c r="AA871">
        <v>46</v>
      </c>
      <c r="AB871">
        <v>50</v>
      </c>
      <c r="AC871">
        <v>46</v>
      </c>
      <c r="AD871">
        <v>0</v>
      </c>
      <c r="AE871">
        <v>0</v>
      </c>
      <c r="AF871">
        <v>46</v>
      </c>
      <c r="AG871">
        <v>0</v>
      </c>
      <c r="AH871">
        <v>4</v>
      </c>
      <c r="AI871">
        <v>4</v>
      </c>
      <c r="AJ871">
        <v>4</v>
      </c>
      <c r="AK871">
        <v>4</v>
      </c>
      <c r="AL871">
        <v>0</v>
      </c>
      <c r="AM871">
        <v>0.12</v>
      </c>
      <c r="AN871">
        <v>0.36363636363636365</v>
      </c>
      <c r="AO871">
        <v>0</v>
      </c>
      <c r="AP871" t="s">
        <v>130</v>
      </c>
      <c r="AQ871" t="s">
        <v>131</v>
      </c>
      <c r="AR871" t="s">
        <v>194</v>
      </c>
      <c r="AS871">
        <v>6981</v>
      </c>
      <c r="AT871">
        <v>6925</v>
      </c>
      <c r="AU871">
        <v>0</v>
      </c>
      <c r="AV871">
        <v>0</v>
      </c>
      <c r="AW871">
        <v>13.906000000000001</v>
      </c>
      <c r="AX871">
        <v>0.30230434782608695</v>
      </c>
      <c r="AY871">
        <v>13.905999999999999</v>
      </c>
      <c r="AZ871" t="s">
        <v>135</v>
      </c>
      <c r="BA871">
        <v>-7.9059999999999988</v>
      </c>
      <c r="BB871">
        <v>-26.152452178915574</v>
      </c>
      <c r="BC871" t="s">
        <v>144</v>
      </c>
      <c r="BD871">
        <v>0</v>
      </c>
      <c r="BE871" t="s">
        <v>133</v>
      </c>
      <c r="BF87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13.906000000000001</v>
      </c>
    </row>
    <row r="872" spans="1:58" x14ac:dyDescent="0.25">
      <c r="A872" t="s">
        <v>1126</v>
      </c>
      <c r="B872" t="s">
        <v>19</v>
      </c>
      <c r="C872">
        <v>2</v>
      </c>
      <c r="D872">
        <v>256</v>
      </c>
      <c r="E872" t="s">
        <v>2109</v>
      </c>
      <c r="F872" t="s">
        <v>123</v>
      </c>
      <c r="G872" t="s">
        <v>124</v>
      </c>
      <c r="H872" t="s">
        <v>125</v>
      </c>
      <c r="I872" t="s">
        <v>183</v>
      </c>
      <c r="J872" t="s">
        <v>140</v>
      </c>
      <c r="K872" t="s">
        <v>166</v>
      </c>
      <c r="L872">
        <v>50</v>
      </c>
      <c r="M872">
        <v>3502867</v>
      </c>
      <c r="N872">
        <v>20</v>
      </c>
      <c r="O872">
        <v>3</v>
      </c>
      <c r="P872" t="s">
        <v>168</v>
      </c>
      <c r="Q872" t="s">
        <v>129</v>
      </c>
      <c r="R872">
        <v>24</v>
      </c>
      <c r="S872" t="s">
        <v>1080</v>
      </c>
      <c r="T872">
        <v>12</v>
      </c>
      <c r="U872">
        <v>15</v>
      </c>
      <c r="V872">
        <v>0</v>
      </c>
      <c r="W872">
        <v>0</v>
      </c>
      <c r="X872">
        <v>0</v>
      </c>
      <c r="Y872">
        <v>0</v>
      </c>
      <c r="Z872">
        <v>12</v>
      </c>
      <c r="AA872">
        <v>15</v>
      </c>
      <c r="AB872">
        <v>50</v>
      </c>
      <c r="AC872">
        <v>29</v>
      </c>
      <c r="AD872">
        <v>0</v>
      </c>
      <c r="AE872">
        <v>0</v>
      </c>
      <c r="AF872">
        <v>29</v>
      </c>
      <c r="AG872">
        <v>0</v>
      </c>
      <c r="AH872">
        <v>21</v>
      </c>
      <c r="AI872">
        <v>21</v>
      </c>
      <c r="AJ872">
        <v>21</v>
      </c>
      <c r="AK872">
        <v>21</v>
      </c>
      <c r="AL872">
        <v>0</v>
      </c>
      <c r="AM872">
        <v>0.4</v>
      </c>
      <c r="AN872">
        <v>1.9090909090909092</v>
      </c>
      <c r="AO872">
        <v>0</v>
      </c>
      <c r="AP872" t="s">
        <v>184</v>
      </c>
      <c r="AQ872" t="s">
        <v>131</v>
      </c>
      <c r="AR872" t="s">
        <v>229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0</v>
      </c>
      <c r="AY872">
        <v>0</v>
      </c>
      <c r="AZ872" t="s">
        <v>135</v>
      </c>
      <c r="BA872">
        <v>20</v>
      </c>
      <c r="BB872">
        <v>0</v>
      </c>
      <c r="BC872" t="s">
        <v>132</v>
      </c>
      <c r="BD872">
        <v>0</v>
      </c>
      <c r="BE872" t="s">
        <v>133</v>
      </c>
      <c r="BF87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73" spans="1:58" x14ac:dyDescent="0.25">
      <c r="A873" t="s">
        <v>1127</v>
      </c>
      <c r="B873" t="s">
        <v>19</v>
      </c>
      <c r="C873">
        <v>2</v>
      </c>
      <c r="D873">
        <v>257</v>
      </c>
      <c r="E873" t="s">
        <v>2109</v>
      </c>
      <c r="F873" t="s">
        <v>123</v>
      </c>
      <c r="G873" t="s">
        <v>124</v>
      </c>
      <c r="H873" t="s">
        <v>125</v>
      </c>
      <c r="I873" t="s">
        <v>183</v>
      </c>
      <c r="J873" t="s">
        <v>140</v>
      </c>
      <c r="K873" t="s">
        <v>166</v>
      </c>
      <c r="L873">
        <v>50</v>
      </c>
      <c r="M873">
        <v>3502869</v>
      </c>
      <c r="N873">
        <v>20</v>
      </c>
      <c r="O873">
        <v>3</v>
      </c>
      <c r="P873" t="s">
        <v>168</v>
      </c>
      <c r="Q873" t="s">
        <v>129</v>
      </c>
      <c r="R873">
        <v>24</v>
      </c>
      <c r="S873" t="s">
        <v>1080</v>
      </c>
      <c r="T873">
        <v>12</v>
      </c>
      <c r="U873">
        <v>15</v>
      </c>
      <c r="V873">
        <v>0</v>
      </c>
      <c r="W873">
        <v>0</v>
      </c>
      <c r="X873">
        <v>0</v>
      </c>
      <c r="Y873">
        <v>0</v>
      </c>
      <c r="Z873">
        <v>12</v>
      </c>
      <c r="AA873">
        <v>15</v>
      </c>
      <c r="AB873">
        <v>50</v>
      </c>
      <c r="AC873">
        <v>29</v>
      </c>
      <c r="AD873">
        <v>0</v>
      </c>
      <c r="AE873">
        <v>0</v>
      </c>
      <c r="AF873">
        <v>29</v>
      </c>
      <c r="AG873">
        <v>0</v>
      </c>
      <c r="AH873">
        <v>21</v>
      </c>
      <c r="AI873">
        <v>21</v>
      </c>
      <c r="AJ873">
        <v>21</v>
      </c>
      <c r="AK873">
        <v>21</v>
      </c>
      <c r="AL873">
        <v>0</v>
      </c>
      <c r="AM873">
        <v>0.4</v>
      </c>
      <c r="AN873">
        <v>1.9090909090909092</v>
      </c>
      <c r="AO873">
        <v>0</v>
      </c>
      <c r="AP873" t="s">
        <v>184</v>
      </c>
      <c r="AQ873" t="s">
        <v>131</v>
      </c>
      <c r="AR873" t="s">
        <v>229</v>
      </c>
      <c r="AS873">
        <v>0</v>
      </c>
      <c r="AT873">
        <v>0</v>
      </c>
      <c r="AU873">
        <v>0</v>
      </c>
      <c r="AV873">
        <v>0</v>
      </c>
      <c r="AW873">
        <v>0</v>
      </c>
      <c r="AX873">
        <v>0</v>
      </c>
      <c r="AY873">
        <v>0</v>
      </c>
      <c r="AZ873" t="s">
        <v>135</v>
      </c>
      <c r="BA873">
        <v>20</v>
      </c>
      <c r="BB873">
        <v>0</v>
      </c>
      <c r="BC873" t="s">
        <v>133</v>
      </c>
      <c r="BD873">
        <v>0</v>
      </c>
      <c r="BE873" t="s">
        <v>133</v>
      </c>
      <c r="BF87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74" spans="1:58" x14ac:dyDescent="0.25">
      <c r="A874" t="s">
        <v>1128</v>
      </c>
      <c r="B874" t="s">
        <v>19</v>
      </c>
      <c r="C874">
        <v>2</v>
      </c>
      <c r="D874">
        <v>258</v>
      </c>
      <c r="E874" t="s">
        <v>2109</v>
      </c>
      <c r="F874" t="s">
        <v>123</v>
      </c>
      <c r="G874" t="s">
        <v>124</v>
      </c>
      <c r="H874" t="s">
        <v>125</v>
      </c>
      <c r="I874" t="s">
        <v>183</v>
      </c>
      <c r="J874" t="s">
        <v>140</v>
      </c>
      <c r="K874" t="s">
        <v>166</v>
      </c>
      <c r="L874">
        <v>50</v>
      </c>
      <c r="M874">
        <v>1137641</v>
      </c>
      <c r="N874">
        <v>20</v>
      </c>
      <c r="O874">
        <v>3</v>
      </c>
      <c r="P874" t="s">
        <v>168</v>
      </c>
      <c r="Q874" t="s">
        <v>129</v>
      </c>
      <c r="R874">
        <v>24</v>
      </c>
      <c r="S874" t="s">
        <v>1129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50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50</v>
      </c>
      <c r="AI874">
        <v>50</v>
      </c>
      <c r="AJ874">
        <v>50</v>
      </c>
      <c r="AK874">
        <v>50</v>
      </c>
      <c r="AL874">
        <v>0</v>
      </c>
      <c r="AM874">
        <v>0.4</v>
      </c>
      <c r="AN874">
        <v>4.5454545454545459</v>
      </c>
      <c r="AO874">
        <v>0</v>
      </c>
      <c r="AP874" t="s">
        <v>184</v>
      </c>
      <c r="AQ874" t="s">
        <v>155</v>
      </c>
      <c r="AR874" t="s">
        <v>229</v>
      </c>
      <c r="AS874">
        <v>0</v>
      </c>
      <c r="AT874">
        <v>0</v>
      </c>
      <c r="AU874">
        <v>0</v>
      </c>
      <c r="AV874">
        <v>0</v>
      </c>
      <c r="AW874">
        <v>0</v>
      </c>
      <c r="AX874">
        <v>0</v>
      </c>
      <c r="AY874">
        <v>0</v>
      </c>
      <c r="AZ874" t="s">
        <v>135</v>
      </c>
      <c r="BA874">
        <v>20</v>
      </c>
      <c r="BB874">
        <v>0</v>
      </c>
      <c r="BC874" t="s">
        <v>133</v>
      </c>
      <c r="BD874">
        <v>0</v>
      </c>
      <c r="BE874" t="s">
        <v>133</v>
      </c>
      <c r="BF87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75" spans="1:58" x14ac:dyDescent="0.25">
      <c r="A875" t="s">
        <v>1130</v>
      </c>
      <c r="B875" t="s">
        <v>19</v>
      </c>
      <c r="C875">
        <v>2</v>
      </c>
      <c r="D875">
        <v>259</v>
      </c>
      <c r="E875" t="s">
        <v>2109</v>
      </c>
      <c r="F875" t="s">
        <v>123</v>
      </c>
      <c r="G875" t="s">
        <v>124</v>
      </c>
      <c r="H875" t="s">
        <v>125</v>
      </c>
      <c r="I875" t="s">
        <v>183</v>
      </c>
      <c r="J875" t="s">
        <v>140</v>
      </c>
      <c r="K875" t="s">
        <v>166</v>
      </c>
      <c r="L875">
        <v>50</v>
      </c>
      <c r="M875">
        <v>1137643</v>
      </c>
      <c r="N875">
        <v>20</v>
      </c>
      <c r="O875">
        <v>3</v>
      </c>
      <c r="P875" t="s">
        <v>168</v>
      </c>
      <c r="Q875" t="s">
        <v>129</v>
      </c>
      <c r="R875">
        <v>24</v>
      </c>
      <c r="S875" t="s">
        <v>1129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50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50</v>
      </c>
      <c r="AI875">
        <v>50</v>
      </c>
      <c r="AJ875">
        <v>50</v>
      </c>
      <c r="AK875">
        <v>50</v>
      </c>
      <c r="AL875">
        <v>0</v>
      </c>
      <c r="AM875">
        <v>0.4</v>
      </c>
      <c r="AN875">
        <v>4.5454545454545459</v>
      </c>
      <c r="AO875">
        <v>0</v>
      </c>
      <c r="AP875" t="s">
        <v>184</v>
      </c>
      <c r="AQ875" t="s">
        <v>155</v>
      </c>
      <c r="AR875" t="s">
        <v>229</v>
      </c>
      <c r="AS875">
        <v>0</v>
      </c>
      <c r="AT875">
        <v>0</v>
      </c>
      <c r="AU875">
        <v>0</v>
      </c>
      <c r="AV875">
        <v>0</v>
      </c>
      <c r="AW875">
        <v>0</v>
      </c>
      <c r="AX875">
        <v>0</v>
      </c>
      <c r="AY875">
        <v>0</v>
      </c>
      <c r="AZ875" t="s">
        <v>135</v>
      </c>
      <c r="BA875">
        <v>20</v>
      </c>
      <c r="BB875">
        <v>0</v>
      </c>
      <c r="BC875" t="s">
        <v>133</v>
      </c>
      <c r="BD875">
        <v>0</v>
      </c>
      <c r="BE875" t="s">
        <v>133</v>
      </c>
      <c r="BF87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76" spans="1:58" x14ac:dyDescent="0.25">
      <c r="A876" t="s">
        <v>1131</v>
      </c>
      <c r="B876" t="s">
        <v>19</v>
      </c>
      <c r="C876">
        <v>2</v>
      </c>
      <c r="D876">
        <v>260</v>
      </c>
      <c r="E876" t="s">
        <v>2109</v>
      </c>
      <c r="F876" t="s">
        <v>123</v>
      </c>
      <c r="G876" t="s">
        <v>124</v>
      </c>
      <c r="H876" t="s">
        <v>125</v>
      </c>
      <c r="I876" t="s">
        <v>154</v>
      </c>
      <c r="J876" t="s">
        <v>154</v>
      </c>
      <c r="K876" t="s">
        <v>151</v>
      </c>
      <c r="L876">
        <v>50</v>
      </c>
      <c r="M876">
        <v>1137645</v>
      </c>
      <c r="N876">
        <v>0</v>
      </c>
      <c r="O876">
        <v>3</v>
      </c>
      <c r="P876" t="s">
        <v>168</v>
      </c>
      <c r="Q876" t="s">
        <v>129</v>
      </c>
      <c r="R876">
        <v>24</v>
      </c>
      <c r="S876" t="s">
        <v>189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50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50</v>
      </c>
      <c r="AJ876">
        <v>50</v>
      </c>
      <c r="AK876">
        <v>50</v>
      </c>
      <c r="AL876">
        <v>50</v>
      </c>
      <c r="AM876">
        <v>0</v>
      </c>
      <c r="AN876">
        <v>4.5454545454545459</v>
      </c>
      <c r="AO876">
        <v>0</v>
      </c>
      <c r="AP876" t="s">
        <v>172</v>
      </c>
      <c r="AQ876" t="s">
        <v>155</v>
      </c>
      <c r="AR876" t="s">
        <v>229</v>
      </c>
      <c r="AS876">
        <v>0</v>
      </c>
      <c r="AT876">
        <v>0</v>
      </c>
      <c r="AU876">
        <v>0</v>
      </c>
      <c r="AV876">
        <v>0</v>
      </c>
      <c r="AW876">
        <v>0</v>
      </c>
      <c r="AX876">
        <v>0</v>
      </c>
      <c r="AY876">
        <v>0</v>
      </c>
      <c r="AZ876" t="s">
        <v>147</v>
      </c>
      <c r="BA876">
        <v>0</v>
      </c>
      <c r="BB876">
        <v>0</v>
      </c>
      <c r="BC876" t="s">
        <v>133</v>
      </c>
      <c r="BD876">
        <v>1</v>
      </c>
      <c r="BE876" t="s">
        <v>133</v>
      </c>
      <c r="BF87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77" spans="1:58" x14ac:dyDescent="0.25">
      <c r="A877" t="s">
        <v>1132</v>
      </c>
      <c r="B877" t="s">
        <v>19</v>
      </c>
      <c r="C877">
        <v>2</v>
      </c>
      <c r="D877">
        <v>261</v>
      </c>
      <c r="E877" t="s">
        <v>2109</v>
      </c>
      <c r="F877" t="s">
        <v>123</v>
      </c>
      <c r="G877" t="s">
        <v>124</v>
      </c>
      <c r="H877" t="s">
        <v>125</v>
      </c>
      <c r="I877" t="s">
        <v>154</v>
      </c>
      <c r="J877" t="s">
        <v>154</v>
      </c>
      <c r="K877" t="s">
        <v>151</v>
      </c>
      <c r="L877">
        <v>50</v>
      </c>
      <c r="M877">
        <v>1137647</v>
      </c>
      <c r="N877">
        <v>0</v>
      </c>
      <c r="O877">
        <v>3</v>
      </c>
      <c r="P877" t="s">
        <v>168</v>
      </c>
      <c r="Q877" t="s">
        <v>129</v>
      </c>
      <c r="R877">
        <v>24</v>
      </c>
      <c r="S877" t="s">
        <v>189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50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50</v>
      </c>
      <c r="AJ877">
        <v>50</v>
      </c>
      <c r="AK877">
        <v>50</v>
      </c>
      <c r="AL877">
        <v>50</v>
      </c>
      <c r="AM877">
        <v>0</v>
      </c>
      <c r="AN877">
        <v>4.5454545454545459</v>
      </c>
      <c r="AO877">
        <v>0</v>
      </c>
      <c r="AP877" t="s">
        <v>172</v>
      </c>
      <c r="AQ877" t="s">
        <v>155</v>
      </c>
      <c r="AR877" t="s">
        <v>229</v>
      </c>
      <c r="AS877">
        <v>0</v>
      </c>
      <c r="AT877">
        <v>0</v>
      </c>
      <c r="AU877">
        <v>0</v>
      </c>
      <c r="AV877">
        <v>0</v>
      </c>
      <c r="AW877">
        <v>0</v>
      </c>
      <c r="AX877">
        <v>0</v>
      </c>
      <c r="AY877">
        <v>0</v>
      </c>
      <c r="AZ877" t="s">
        <v>147</v>
      </c>
      <c r="BA877">
        <v>0</v>
      </c>
      <c r="BB877">
        <v>0</v>
      </c>
      <c r="BC877" t="s">
        <v>133</v>
      </c>
      <c r="BD877">
        <v>2</v>
      </c>
      <c r="BE877" t="s">
        <v>133</v>
      </c>
      <c r="BF87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78" spans="1:58" x14ac:dyDescent="0.25">
      <c r="A878" t="s">
        <v>1133</v>
      </c>
      <c r="B878" t="s">
        <v>19</v>
      </c>
      <c r="C878">
        <v>2</v>
      </c>
      <c r="D878">
        <v>262</v>
      </c>
      <c r="E878" t="s">
        <v>2109</v>
      </c>
      <c r="F878" t="s">
        <v>123</v>
      </c>
      <c r="G878" t="s">
        <v>124</v>
      </c>
      <c r="H878" t="s">
        <v>125</v>
      </c>
      <c r="I878" t="s">
        <v>154</v>
      </c>
      <c r="J878" t="s">
        <v>154</v>
      </c>
      <c r="K878" t="s">
        <v>151</v>
      </c>
      <c r="L878">
        <v>50</v>
      </c>
      <c r="M878">
        <v>1137649</v>
      </c>
      <c r="N878">
        <v>0</v>
      </c>
      <c r="O878">
        <v>3</v>
      </c>
      <c r="P878" t="s">
        <v>168</v>
      </c>
      <c r="Q878" t="s">
        <v>129</v>
      </c>
      <c r="R878">
        <v>24</v>
      </c>
      <c r="S878" t="s">
        <v>189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50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50</v>
      </c>
      <c r="AJ878">
        <v>50</v>
      </c>
      <c r="AK878">
        <v>50</v>
      </c>
      <c r="AL878">
        <v>50</v>
      </c>
      <c r="AM878">
        <v>0</v>
      </c>
      <c r="AN878">
        <v>4.5454545454545459</v>
      </c>
      <c r="AO878">
        <v>0</v>
      </c>
      <c r="AP878" t="s">
        <v>172</v>
      </c>
      <c r="AQ878" t="s">
        <v>155</v>
      </c>
      <c r="AR878" t="s">
        <v>229</v>
      </c>
      <c r="AS878">
        <v>0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 t="s">
        <v>147</v>
      </c>
      <c r="BA878">
        <v>0</v>
      </c>
      <c r="BB878">
        <v>0</v>
      </c>
      <c r="BC878" t="s">
        <v>133</v>
      </c>
      <c r="BD878">
        <v>3</v>
      </c>
      <c r="BE878" t="s">
        <v>133</v>
      </c>
      <c r="BF87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79" spans="1:58" x14ac:dyDescent="0.25">
      <c r="A879" t="s">
        <v>1134</v>
      </c>
      <c r="B879" t="s">
        <v>19</v>
      </c>
      <c r="C879">
        <v>2</v>
      </c>
      <c r="D879">
        <v>263</v>
      </c>
      <c r="E879" t="s">
        <v>2109</v>
      </c>
      <c r="F879" t="s">
        <v>123</v>
      </c>
      <c r="G879" t="s">
        <v>124</v>
      </c>
      <c r="H879" t="s">
        <v>125</v>
      </c>
      <c r="I879" t="s">
        <v>154</v>
      </c>
      <c r="J879" t="s">
        <v>154</v>
      </c>
      <c r="K879" t="s">
        <v>151</v>
      </c>
      <c r="L879">
        <v>50</v>
      </c>
      <c r="M879">
        <v>1137651</v>
      </c>
      <c r="N879">
        <v>0</v>
      </c>
      <c r="O879">
        <v>3</v>
      </c>
      <c r="P879" t="s">
        <v>168</v>
      </c>
      <c r="Q879" t="s">
        <v>129</v>
      </c>
      <c r="R879">
        <v>24</v>
      </c>
      <c r="S879" t="s">
        <v>189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50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50</v>
      </c>
      <c r="AJ879">
        <v>50</v>
      </c>
      <c r="AK879">
        <v>50</v>
      </c>
      <c r="AL879">
        <v>50</v>
      </c>
      <c r="AM879">
        <v>0</v>
      </c>
      <c r="AN879">
        <v>4.5454545454545459</v>
      </c>
      <c r="AO879">
        <v>0</v>
      </c>
      <c r="AP879" t="s">
        <v>172</v>
      </c>
      <c r="AQ879" t="s">
        <v>155</v>
      </c>
      <c r="AR879" t="s">
        <v>229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 t="s">
        <v>147</v>
      </c>
      <c r="BA879">
        <v>0</v>
      </c>
      <c r="BB879">
        <v>0</v>
      </c>
      <c r="BC879" t="s">
        <v>133</v>
      </c>
      <c r="BD879">
        <v>4</v>
      </c>
      <c r="BE879" t="s">
        <v>133</v>
      </c>
      <c r="BF87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80" spans="1:58" x14ac:dyDescent="0.25">
      <c r="A880" t="s">
        <v>1135</v>
      </c>
      <c r="B880" t="s">
        <v>19</v>
      </c>
      <c r="C880">
        <v>2</v>
      </c>
      <c r="D880">
        <v>264</v>
      </c>
      <c r="E880" t="s">
        <v>2109</v>
      </c>
      <c r="F880" t="s">
        <v>123</v>
      </c>
      <c r="G880" t="s">
        <v>124</v>
      </c>
      <c r="H880" t="s">
        <v>125</v>
      </c>
      <c r="I880" t="s">
        <v>154</v>
      </c>
      <c r="J880" t="s">
        <v>154</v>
      </c>
      <c r="K880" t="s">
        <v>151</v>
      </c>
      <c r="L880">
        <v>50</v>
      </c>
      <c r="M880">
        <v>1137653</v>
      </c>
      <c r="N880">
        <v>0</v>
      </c>
      <c r="O880">
        <v>3</v>
      </c>
      <c r="P880" t="s">
        <v>168</v>
      </c>
      <c r="Q880" t="s">
        <v>129</v>
      </c>
      <c r="R880">
        <v>24</v>
      </c>
      <c r="S880" t="s">
        <v>189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50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50</v>
      </c>
      <c r="AJ880">
        <v>50</v>
      </c>
      <c r="AK880">
        <v>50</v>
      </c>
      <c r="AL880">
        <v>50</v>
      </c>
      <c r="AM880">
        <v>0</v>
      </c>
      <c r="AN880">
        <v>4.5454545454545459</v>
      </c>
      <c r="AO880">
        <v>0</v>
      </c>
      <c r="AP880" t="s">
        <v>172</v>
      </c>
      <c r="AQ880" t="s">
        <v>155</v>
      </c>
      <c r="AR880" t="s">
        <v>229</v>
      </c>
      <c r="AS880">
        <v>0</v>
      </c>
      <c r="AT880">
        <v>0</v>
      </c>
      <c r="AU880">
        <v>0</v>
      </c>
      <c r="AV880">
        <v>0</v>
      </c>
      <c r="AW880">
        <v>0</v>
      </c>
      <c r="AX880">
        <v>0</v>
      </c>
      <c r="AY880">
        <v>0</v>
      </c>
      <c r="AZ880" t="s">
        <v>147</v>
      </c>
      <c r="BA880">
        <v>0</v>
      </c>
      <c r="BB880">
        <v>0</v>
      </c>
      <c r="BC880" t="s">
        <v>133</v>
      </c>
      <c r="BD880">
        <v>5</v>
      </c>
      <c r="BE880" t="s">
        <v>133</v>
      </c>
      <c r="BF88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81" spans="1:58" x14ac:dyDescent="0.25">
      <c r="A881" t="s">
        <v>1136</v>
      </c>
      <c r="B881" t="s">
        <v>19</v>
      </c>
      <c r="C881">
        <v>2</v>
      </c>
      <c r="D881">
        <v>265</v>
      </c>
      <c r="E881" t="s">
        <v>2109</v>
      </c>
      <c r="F881" t="s">
        <v>123</v>
      </c>
      <c r="G881" t="s">
        <v>124</v>
      </c>
      <c r="H881" t="s">
        <v>125</v>
      </c>
      <c r="I881" t="s">
        <v>154</v>
      </c>
      <c r="J881" t="s">
        <v>154</v>
      </c>
      <c r="K881" t="s">
        <v>151</v>
      </c>
      <c r="L881">
        <v>50</v>
      </c>
      <c r="M881">
        <v>1137655</v>
      </c>
      <c r="N881">
        <v>0</v>
      </c>
      <c r="O881">
        <v>3</v>
      </c>
      <c r="P881" t="s">
        <v>168</v>
      </c>
      <c r="Q881" t="s">
        <v>129</v>
      </c>
      <c r="R881">
        <v>24</v>
      </c>
      <c r="S881" t="s">
        <v>189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50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50</v>
      </c>
      <c r="AJ881">
        <v>50</v>
      </c>
      <c r="AK881">
        <v>50</v>
      </c>
      <c r="AL881">
        <v>50</v>
      </c>
      <c r="AM881">
        <v>0</v>
      </c>
      <c r="AN881">
        <v>4.5454545454545459</v>
      </c>
      <c r="AO881">
        <v>0</v>
      </c>
      <c r="AP881" t="s">
        <v>172</v>
      </c>
      <c r="AQ881" t="s">
        <v>155</v>
      </c>
      <c r="AR881" t="s">
        <v>229</v>
      </c>
      <c r="AS881">
        <v>0</v>
      </c>
      <c r="AT881">
        <v>0</v>
      </c>
      <c r="AU881">
        <v>0</v>
      </c>
      <c r="AV881">
        <v>0</v>
      </c>
      <c r="AW881">
        <v>0</v>
      </c>
      <c r="AX881">
        <v>0</v>
      </c>
      <c r="AY881">
        <v>0</v>
      </c>
      <c r="AZ881" t="s">
        <v>147</v>
      </c>
      <c r="BA881">
        <v>0</v>
      </c>
      <c r="BB881">
        <v>0</v>
      </c>
      <c r="BC881" t="s">
        <v>133</v>
      </c>
      <c r="BD881">
        <v>6</v>
      </c>
      <c r="BE881" t="s">
        <v>133</v>
      </c>
      <c r="BF88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82" spans="1:58" x14ac:dyDescent="0.25">
      <c r="A882" t="s">
        <v>1137</v>
      </c>
      <c r="B882" t="s">
        <v>19</v>
      </c>
      <c r="C882">
        <v>2</v>
      </c>
      <c r="D882">
        <v>266</v>
      </c>
      <c r="E882" t="s">
        <v>2109</v>
      </c>
      <c r="F882" t="s">
        <v>123</v>
      </c>
      <c r="G882" t="s">
        <v>124</v>
      </c>
      <c r="H882" t="s">
        <v>125</v>
      </c>
      <c r="I882" t="s">
        <v>154</v>
      </c>
      <c r="J882" t="s">
        <v>154</v>
      </c>
      <c r="K882" t="s">
        <v>151</v>
      </c>
      <c r="L882">
        <v>50</v>
      </c>
      <c r="M882">
        <v>1137657</v>
      </c>
      <c r="N882">
        <v>0</v>
      </c>
      <c r="O882">
        <v>3</v>
      </c>
      <c r="P882" t="s">
        <v>168</v>
      </c>
      <c r="Q882" t="s">
        <v>129</v>
      </c>
      <c r="R882">
        <v>24</v>
      </c>
      <c r="S882" t="s">
        <v>189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50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50</v>
      </c>
      <c r="AJ882">
        <v>50</v>
      </c>
      <c r="AK882">
        <v>50</v>
      </c>
      <c r="AL882">
        <v>50</v>
      </c>
      <c r="AM882">
        <v>0</v>
      </c>
      <c r="AN882">
        <v>4.5454545454545459</v>
      </c>
      <c r="AO882">
        <v>0</v>
      </c>
      <c r="AP882" t="s">
        <v>172</v>
      </c>
      <c r="AQ882" t="s">
        <v>155</v>
      </c>
      <c r="AR882" t="s">
        <v>229</v>
      </c>
      <c r="AS882">
        <v>0</v>
      </c>
      <c r="AT882">
        <v>0</v>
      </c>
      <c r="AU882">
        <v>0</v>
      </c>
      <c r="AV882">
        <v>0</v>
      </c>
      <c r="AW882">
        <v>0</v>
      </c>
      <c r="AX882">
        <v>0</v>
      </c>
      <c r="AY882">
        <v>0</v>
      </c>
      <c r="AZ882" t="s">
        <v>147</v>
      </c>
      <c r="BA882">
        <v>0</v>
      </c>
      <c r="BB882">
        <v>0</v>
      </c>
      <c r="BC882" t="s">
        <v>144</v>
      </c>
      <c r="BD882">
        <v>7</v>
      </c>
      <c r="BE882" t="s">
        <v>133</v>
      </c>
      <c r="BF88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83" spans="1:58" x14ac:dyDescent="0.25">
      <c r="A883" t="s">
        <v>1138</v>
      </c>
      <c r="B883" t="s">
        <v>19</v>
      </c>
      <c r="C883">
        <v>2</v>
      </c>
      <c r="D883">
        <v>267</v>
      </c>
      <c r="E883" t="s">
        <v>2108</v>
      </c>
      <c r="F883" t="s">
        <v>123</v>
      </c>
      <c r="G883" t="s">
        <v>124</v>
      </c>
      <c r="H883" t="s">
        <v>125</v>
      </c>
      <c r="I883" t="s">
        <v>126</v>
      </c>
      <c r="J883" t="s">
        <v>126</v>
      </c>
      <c r="K883" t="s">
        <v>127</v>
      </c>
      <c r="L883">
        <v>50</v>
      </c>
      <c r="M883">
        <v>1137659</v>
      </c>
      <c r="N883">
        <v>6</v>
      </c>
      <c r="O883">
        <v>3</v>
      </c>
      <c r="P883" t="s">
        <v>168</v>
      </c>
      <c r="Q883" t="s">
        <v>129</v>
      </c>
      <c r="R883">
        <v>25</v>
      </c>
      <c r="T883">
        <v>26</v>
      </c>
      <c r="U883">
        <v>31</v>
      </c>
      <c r="V883">
        <v>1</v>
      </c>
      <c r="W883">
        <v>0</v>
      </c>
      <c r="X883">
        <v>1</v>
      </c>
      <c r="Y883">
        <v>1</v>
      </c>
      <c r="Z883">
        <v>28</v>
      </c>
      <c r="AA883">
        <v>33</v>
      </c>
      <c r="AB883">
        <v>50</v>
      </c>
      <c r="AC883">
        <v>35</v>
      </c>
      <c r="AD883">
        <v>1</v>
      </c>
      <c r="AE883">
        <v>1</v>
      </c>
      <c r="AF883">
        <v>37</v>
      </c>
      <c r="AG883">
        <v>0</v>
      </c>
      <c r="AH883">
        <v>15</v>
      </c>
      <c r="AI883">
        <v>13</v>
      </c>
      <c r="AJ883">
        <v>14</v>
      </c>
      <c r="AK883">
        <v>15</v>
      </c>
      <c r="AL883">
        <v>0</v>
      </c>
      <c r="AM883">
        <v>0.12</v>
      </c>
      <c r="AN883">
        <v>1.2727272727272727</v>
      </c>
      <c r="AO883">
        <v>0</v>
      </c>
      <c r="AP883" t="s">
        <v>130</v>
      </c>
      <c r="AQ883" t="s">
        <v>131</v>
      </c>
      <c r="AR883" t="s">
        <v>194</v>
      </c>
      <c r="AS883">
        <v>4554</v>
      </c>
      <c r="AT883">
        <v>4576</v>
      </c>
      <c r="AU883">
        <v>0</v>
      </c>
      <c r="AV883">
        <v>0</v>
      </c>
      <c r="AW883">
        <v>9.1300000000000008</v>
      </c>
      <c r="AX883">
        <v>0.2608571428571429</v>
      </c>
      <c r="AY883">
        <v>9.6517142857142879</v>
      </c>
      <c r="AZ883" t="s">
        <v>135</v>
      </c>
      <c r="BA883">
        <v>-3.6517142857142879</v>
      </c>
      <c r="BB883">
        <v>-13.998904709748089</v>
      </c>
      <c r="BC883" t="s">
        <v>132</v>
      </c>
      <c r="BD883">
        <v>0</v>
      </c>
      <c r="BE883" t="s">
        <v>133</v>
      </c>
      <c r="BF88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9.1300000000000008</v>
      </c>
    </row>
    <row r="884" spans="1:58" x14ac:dyDescent="0.25">
      <c r="A884" t="s">
        <v>1139</v>
      </c>
      <c r="B884" t="s">
        <v>19</v>
      </c>
      <c r="C884">
        <v>2</v>
      </c>
      <c r="D884">
        <v>268</v>
      </c>
      <c r="E884" t="s">
        <v>2108</v>
      </c>
      <c r="F884" t="s">
        <v>123</v>
      </c>
      <c r="G884" t="s">
        <v>124</v>
      </c>
      <c r="H884" t="s">
        <v>125</v>
      </c>
      <c r="I884" t="s">
        <v>126</v>
      </c>
      <c r="J884" t="s">
        <v>126</v>
      </c>
      <c r="K884" t="s">
        <v>127</v>
      </c>
      <c r="L884">
        <v>50</v>
      </c>
      <c r="M884">
        <v>1137661</v>
      </c>
      <c r="N884">
        <v>6</v>
      </c>
      <c r="O884">
        <v>3</v>
      </c>
      <c r="P884" t="s">
        <v>168</v>
      </c>
      <c r="Q884" t="s">
        <v>129</v>
      </c>
      <c r="R884">
        <v>25</v>
      </c>
      <c r="T884">
        <v>21</v>
      </c>
      <c r="U884">
        <v>26</v>
      </c>
      <c r="V884">
        <v>1</v>
      </c>
      <c r="W884">
        <v>0</v>
      </c>
      <c r="X884">
        <v>1</v>
      </c>
      <c r="Y884">
        <v>0</v>
      </c>
      <c r="Z884">
        <v>22</v>
      </c>
      <c r="AA884">
        <v>27</v>
      </c>
      <c r="AB884">
        <v>50</v>
      </c>
      <c r="AC884">
        <v>36</v>
      </c>
      <c r="AD884">
        <v>1</v>
      </c>
      <c r="AE884">
        <v>0</v>
      </c>
      <c r="AF884">
        <v>37</v>
      </c>
      <c r="AG884">
        <v>0</v>
      </c>
      <c r="AH884">
        <v>14</v>
      </c>
      <c r="AI884">
        <v>13</v>
      </c>
      <c r="AJ884">
        <v>14</v>
      </c>
      <c r="AK884">
        <v>14</v>
      </c>
      <c r="AL884">
        <v>0</v>
      </c>
      <c r="AM884">
        <v>0.12</v>
      </c>
      <c r="AN884">
        <v>1.2727272727272727</v>
      </c>
      <c r="AO884">
        <v>0</v>
      </c>
      <c r="AP884" t="s">
        <v>130</v>
      </c>
      <c r="AQ884" t="s">
        <v>131</v>
      </c>
      <c r="AR884" t="s">
        <v>194</v>
      </c>
      <c r="AS884">
        <v>3694</v>
      </c>
      <c r="AT884">
        <v>3672</v>
      </c>
      <c r="AU884">
        <v>0</v>
      </c>
      <c r="AV884">
        <v>0</v>
      </c>
      <c r="AW884">
        <v>7.3659999999999997</v>
      </c>
      <c r="AX884">
        <v>0.2046111111111111</v>
      </c>
      <c r="AY884">
        <v>7.570611111111111</v>
      </c>
      <c r="AZ884" t="s">
        <v>135</v>
      </c>
      <c r="BA884">
        <v>-1.570611111111111</v>
      </c>
      <c r="BB884">
        <v>-7.6760792831930482</v>
      </c>
      <c r="BC884" t="s">
        <v>133</v>
      </c>
      <c r="BD884">
        <v>0</v>
      </c>
      <c r="BE884" t="s">
        <v>133</v>
      </c>
      <c r="BF88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7.3659999999999997</v>
      </c>
    </row>
    <row r="885" spans="1:58" x14ac:dyDescent="0.25">
      <c r="A885" t="s">
        <v>1140</v>
      </c>
      <c r="B885" t="s">
        <v>19</v>
      </c>
      <c r="C885">
        <v>2</v>
      </c>
      <c r="D885">
        <v>269</v>
      </c>
      <c r="E885" t="s">
        <v>2108</v>
      </c>
      <c r="F885" t="s">
        <v>123</v>
      </c>
      <c r="G885" t="s">
        <v>124</v>
      </c>
      <c r="H885" t="s">
        <v>125</v>
      </c>
      <c r="I885" t="s">
        <v>126</v>
      </c>
      <c r="J885" t="s">
        <v>126</v>
      </c>
      <c r="K885" t="s">
        <v>127</v>
      </c>
      <c r="L885">
        <v>50</v>
      </c>
      <c r="M885">
        <v>1137663</v>
      </c>
      <c r="N885">
        <v>6</v>
      </c>
      <c r="O885">
        <v>3</v>
      </c>
      <c r="P885" t="s">
        <v>168</v>
      </c>
      <c r="Q885" t="s">
        <v>129</v>
      </c>
      <c r="R885">
        <v>25</v>
      </c>
      <c r="T885">
        <v>13</v>
      </c>
      <c r="U885">
        <v>18</v>
      </c>
      <c r="V885">
        <v>5</v>
      </c>
      <c r="W885">
        <v>0</v>
      </c>
      <c r="X885">
        <v>5</v>
      </c>
      <c r="Y885">
        <v>1</v>
      </c>
      <c r="Z885">
        <v>19</v>
      </c>
      <c r="AA885">
        <v>24</v>
      </c>
      <c r="AB885">
        <v>50</v>
      </c>
      <c r="AC885">
        <v>19</v>
      </c>
      <c r="AD885">
        <v>6</v>
      </c>
      <c r="AE885">
        <v>2</v>
      </c>
      <c r="AF885">
        <v>27</v>
      </c>
      <c r="AG885">
        <v>0</v>
      </c>
      <c r="AH885">
        <v>31</v>
      </c>
      <c r="AI885">
        <v>23</v>
      </c>
      <c r="AJ885">
        <v>29</v>
      </c>
      <c r="AK885">
        <v>31</v>
      </c>
      <c r="AL885">
        <v>0</v>
      </c>
      <c r="AM885">
        <v>0.12</v>
      </c>
      <c r="AN885">
        <v>2.6363636363636362</v>
      </c>
      <c r="AO885">
        <v>0</v>
      </c>
      <c r="AP885" t="s">
        <v>130</v>
      </c>
      <c r="AQ885" t="s">
        <v>131</v>
      </c>
      <c r="AR885" t="s">
        <v>194</v>
      </c>
      <c r="AS885">
        <v>2748</v>
      </c>
      <c r="AT885">
        <v>2720</v>
      </c>
      <c r="AU885">
        <v>0</v>
      </c>
      <c r="AV885">
        <v>0</v>
      </c>
      <c r="AW885">
        <v>5.468</v>
      </c>
      <c r="AX885">
        <v>0.28778947368421054</v>
      </c>
      <c r="AY885">
        <v>7.7703157894736847</v>
      </c>
      <c r="AZ885" t="s">
        <v>135</v>
      </c>
      <c r="BA885">
        <v>-1.7703157894736847</v>
      </c>
      <c r="BB885">
        <v>-6.1514264813460144</v>
      </c>
      <c r="BC885" t="s">
        <v>133</v>
      </c>
      <c r="BD885">
        <v>0</v>
      </c>
      <c r="BE885" t="s">
        <v>133</v>
      </c>
      <c r="BF88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5.468</v>
      </c>
    </row>
    <row r="886" spans="1:58" x14ac:dyDescent="0.25">
      <c r="A886" t="s">
        <v>1141</v>
      </c>
      <c r="B886" t="s">
        <v>19</v>
      </c>
      <c r="C886">
        <v>2</v>
      </c>
      <c r="D886">
        <v>270</v>
      </c>
      <c r="E886" t="s">
        <v>2108</v>
      </c>
      <c r="F886" t="s">
        <v>123</v>
      </c>
      <c r="G886" t="s">
        <v>124</v>
      </c>
      <c r="H886" t="s">
        <v>125</v>
      </c>
      <c r="I886" t="s">
        <v>126</v>
      </c>
      <c r="J886" t="s">
        <v>126</v>
      </c>
      <c r="K886" t="s">
        <v>127</v>
      </c>
      <c r="L886">
        <v>50</v>
      </c>
      <c r="M886">
        <v>1137665</v>
      </c>
      <c r="N886">
        <v>6</v>
      </c>
      <c r="O886">
        <v>3</v>
      </c>
      <c r="P886" t="s">
        <v>168</v>
      </c>
      <c r="Q886" t="s">
        <v>129</v>
      </c>
      <c r="R886">
        <v>25</v>
      </c>
      <c r="T886">
        <v>14</v>
      </c>
      <c r="U886">
        <v>19</v>
      </c>
      <c r="V886">
        <v>6</v>
      </c>
      <c r="W886">
        <v>0</v>
      </c>
      <c r="X886">
        <v>6</v>
      </c>
      <c r="Y886">
        <v>2</v>
      </c>
      <c r="Z886">
        <v>22</v>
      </c>
      <c r="AA886">
        <v>27</v>
      </c>
      <c r="AB886">
        <v>50</v>
      </c>
      <c r="AC886">
        <v>22</v>
      </c>
      <c r="AD886">
        <v>6</v>
      </c>
      <c r="AE886">
        <v>9</v>
      </c>
      <c r="AF886">
        <v>37</v>
      </c>
      <c r="AG886">
        <v>0</v>
      </c>
      <c r="AH886">
        <v>28</v>
      </c>
      <c r="AI886">
        <v>13</v>
      </c>
      <c r="AJ886">
        <v>19</v>
      </c>
      <c r="AK886">
        <v>28</v>
      </c>
      <c r="AL886">
        <v>0</v>
      </c>
      <c r="AM886">
        <v>0.12</v>
      </c>
      <c r="AN886">
        <v>1.7272727272727273</v>
      </c>
      <c r="AO886">
        <v>0</v>
      </c>
      <c r="AP886" t="s">
        <v>130</v>
      </c>
      <c r="AQ886" t="s">
        <v>131</v>
      </c>
      <c r="AR886" t="s">
        <v>194</v>
      </c>
      <c r="AS886">
        <v>2539</v>
      </c>
      <c r="AT886">
        <v>2486</v>
      </c>
      <c r="AU886">
        <v>0</v>
      </c>
      <c r="AV886">
        <v>0</v>
      </c>
      <c r="AW886">
        <v>5.0250000000000004</v>
      </c>
      <c r="AX886">
        <v>0.22840909090909092</v>
      </c>
      <c r="AY886">
        <v>8.4511363636363637</v>
      </c>
      <c r="AZ886" t="s">
        <v>135</v>
      </c>
      <c r="BA886">
        <v>-2.4511363636363637</v>
      </c>
      <c r="BB886">
        <v>-10.731343283582088</v>
      </c>
      <c r="BC886" t="s">
        <v>133</v>
      </c>
      <c r="BD886">
        <v>0</v>
      </c>
      <c r="BE886" t="s">
        <v>133</v>
      </c>
      <c r="BF88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5.0250000000000004</v>
      </c>
    </row>
    <row r="887" spans="1:58" x14ac:dyDescent="0.25">
      <c r="A887" t="s">
        <v>1142</v>
      </c>
      <c r="B887" t="s">
        <v>19</v>
      </c>
      <c r="C887">
        <v>2</v>
      </c>
      <c r="D887">
        <v>271</v>
      </c>
      <c r="E887" t="s">
        <v>2108</v>
      </c>
      <c r="F887" t="s">
        <v>123</v>
      </c>
      <c r="G887" t="s">
        <v>124</v>
      </c>
      <c r="H887" t="s">
        <v>125</v>
      </c>
      <c r="I887" t="s">
        <v>126</v>
      </c>
      <c r="J887" t="s">
        <v>126</v>
      </c>
      <c r="K887" t="s">
        <v>127</v>
      </c>
      <c r="L887">
        <v>50</v>
      </c>
      <c r="M887">
        <v>1137667</v>
      </c>
      <c r="N887">
        <v>6</v>
      </c>
      <c r="O887">
        <v>3</v>
      </c>
      <c r="P887" t="s">
        <v>168</v>
      </c>
      <c r="Q887" t="s">
        <v>129</v>
      </c>
      <c r="R887">
        <v>25</v>
      </c>
      <c r="T887">
        <v>16</v>
      </c>
      <c r="U887">
        <v>21</v>
      </c>
      <c r="V887">
        <v>4</v>
      </c>
      <c r="W887">
        <v>0</v>
      </c>
      <c r="X887">
        <v>4</v>
      </c>
      <c r="Y887">
        <v>1</v>
      </c>
      <c r="Z887">
        <v>21</v>
      </c>
      <c r="AA887">
        <v>26</v>
      </c>
      <c r="AB887">
        <v>50</v>
      </c>
      <c r="AC887">
        <v>26</v>
      </c>
      <c r="AD887">
        <v>5</v>
      </c>
      <c r="AE887">
        <v>1</v>
      </c>
      <c r="AF887">
        <v>32</v>
      </c>
      <c r="AG887">
        <v>0</v>
      </c>
      <c r="AH887">
        <v>24</v>
      </c>
      <c r="AI887">
        <v>18</v>
      </c>
      <c r="AJ887">
        <v>23</v>
      </c>
      <c r="AK887">
        <v>24</v>
      </c>
      <c r="AL887">
        <v>0</v>
      </c>
      <c r="AM887">
        <v>0.12</v>
      </c>
      <c r="AN887">
        <v>2.0909090909090908</v>
      </c>
      <c r="AO887">
        <v>0</v>
      </c>
      <c r="AP887" t="s">
        <v>130</v>
      </c>
      <c r="AQ887" t="s">
        <v>131</v>
      </c>
      <c r="AR887" t="s">
        <v>194</v>
      </c>
      <c r="AS887">
        <v>2876</v>
      </c>
      <c r="AT887">
        <v>2585</v>
      </c>
      <c r="AU887">
        <v>0</v>
      </c>
      <c r="AV887">
        <v>0</v>
      </c>
      <c r="AW887">
        <v>5.4610000000000003</v>
      </c>
      <c r="AX887">
        <v>0.21003846153846156</v>
      </c>
      <c r="AY887">
        <v>6.72123076923077</v>
      </c>
      <c r="AZ887" t="s">
        <v>135</v>
      </c>
      <c r="BA887">
        <v>-0.72123076923077001</v>
      </c>
      <c r="BB887">
        <v>-3.433803332722948</v>
      </c>
      <c r="BC887" t="s">
        <v>133</v>
      </c>
      <c r="BD887">
        <v>0</v>
      </c>
      <c r="BE887" t="s">
        <v>133</v>
      </c>
      <c r="BF88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5.4610000000000003</v>
      </c>
    </row>
    <row r="888" spans="1:58" x14ac:dyDescent="0.25">
      <c r="A888" t="s">
        <v>1143</v>
      </c>
      <c r="B888" t="s">
        <v>19</v>
      </c>
      <c r="C888">
        <v>2</v>
      </c>
      <c r="D888">
        <v>272</v>
      </c>
      <c r="E888" t="s">
        <v>2108</v>
      </c>
      <c r="F888" t="s">
        <v>123</v>
      </c>
      <c r="G888" t="s">
        <v>124</v>
      </c>
      <c r="H888" t="s">
        <v>136</v>
      </c>
      <c r="I888" t="s">
        <v>137</v>
      </c>
      <c r="J888" t="s">
        <v>138</v>
      </c>
      <c r="K888" t="s">
        <v>127</v>
      </c>
      <c r="L888">
        <v>50</v>
      </c>
      <c r="M888">
        <v>1137669</v>
      </c>
      <c r="N888">
        <v>5</v>
      </c>
      <c r="O888">
        <v>3</v>
      </c>
      <c r="P888" t="s">
        <v>168</v>
      </c>
      <c r="Q888" t="s">
        <v>129</v>
      </c>
      <c r="R888">
        <v>25</v>
      </c>
      <c r="T888">
        <v>0</v>
      </c>
      <c r="U888">
        <v>4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4</v>
      </c>
      <c r="AB888">
        <v>50</v>
      </c>
      <c r="AC888">
        <v>4</v>
      </c>
      <c r="AD888">
        <v>0</v>
      </c>
      <c r="AE888">
        <v>0</v>
      </c>
      <c r="AF888">
        <v>4</v>
      </c>
      <c r="AG888">
        <v>0</v>
      </c>
      <c r="AH888">
        <v>46</v>
      </c>
      <c r="AI888">
        <v>46</v>
      </c>
      <c r="AJ888">
        <v>46</v>
      </c>
      <c r="AK888">
        <v>46</v>
      </c>
      <c r="AL888">
        <v>0</v>
      </c>
      <c r="AM888">
        <v>0.1</v>
      </c>
      <c r="AN888">
        <v>4.1818181818181817</v>
      </c>
      <c r="AO888">
        <v>0</v>
      </c>
      <c r="AP888" t="s">
        <v>139</v>
      </c>
      <c r="AQ888" t="s">
        <v>131</v>
      </c>
      <c r="AR888" t="s">
        <v>194</v>
      </c>
      <c r="AS888">
        <v>0</v>
      </c>
      <c r="AT888">
        <v>0</v>
      </c>
      <c r="AU888">
        <v>0</v>
      </c>
      <c r="AV888">
        <v>0</v>
      </c>
      <c r="AW888">
        <v>0</v>
      </c>
      <c r="AX888">
        <v>0</v>
      </c>
      <c r="AY888">
        <v>0</v>
      </c>
      <c r="AZ888" t="s">
        <v>134</v>
      </c>
      <c r="BA888">
        <v>5</v>
      </c>
      <c r="BB888">
        <v>0</v>
      </c>
      <c r="BC888" t="s">
        <v>133</v>
      </c>
      <c r="BD888">
        <v>0</v>
      </c>
      <c r="BE888" t="s">
        <v>133</v>
      </c>
      <c r="BF88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889" spans="1:58" x14ac:dyDescent="0.25">
      <c r="A889" t="s">
        <v>1144</v>
      </c>
      <c r="B889" t="s">
        <v>19</v>
      </c>
      <c r="C889">
        <v>2</v>
      </c>
      <c r="D889">
        <v>273</v>
      </c>
      <c r="E889" t="s">
        <v>2108</v>
      </c>
      <c r="F889" t="s">
        <v>123</v>
      </c>
      <c r="G889" t="s">
        <v>124</v>
      </c>
      <c r="H889" t="s">
        <v>125</v>
      </c>
      <c r="I889" t="s">
        <v>126</v>
      </c>
      <c r="J889" t="s">
        <v>126</v>
      </c>
      <c r="K889" t="s">
        <v>127</v>
      </c>
      <c r="L889">
        <v>50</v>
      </c>
      <c r="M889">
        <v>1137671</v>
      </c>
      <c r="N889">
        <v>6</v>
      </c>
      <c r="O889">
        <v>3</v>
      </c>
      <c r="P889" t="s">
        <v>168</v>
      </c>
      <c r="Q889" t="s">
        <v>129</v>
      </c>
      <c r="R889">
        <v>25</v>
      </c>
      <c r="T889">
        <v>15</v>
      </c>
      <c r="U889">
        <v>20</v>
      </c>
      <c r="V889">
        <v>1</v>
      </c>
      <c r="W889">
        <v>0</v>
      </c>
      <c r="X889">
        <v>1</v>
      </c>
      <c r="Y889">
        <v>0</v>
      </c>
      <c r="Z889">
        <v>16</v>
      </c>
      <c r="AA889">
        <v>21</v>
      </c>
      <c r="AB889">
        <v>50</v>
      </c>
      <c r="AC889">
        <v>24</v>
      </c>
      <c r="AD889">
        <v>8</v>
      </c>
      <c r="AE889">
        <v>0</v>
      </c>
      <c r="AF889">
        <v>32</v>
      </c>
      <c r="AG889">
        <v>0</v>
      </c>
      <c r="AH889">
        <v>26</v>
      </c>
      <c r="AI889">
        <v>18</v>
      </c>
      <c r="AJ889">
        <v>26</v>
      </c>
      <c r="AK889">
        <v>26</v>
      </c>
      <c r="AL889">
        <v>0</v>
      </c>
      <c r="AM889">
        <v>0.12</v>
      </c>
      <c r="AN889">
        <v>2.3636363636363638</v>
      </c>
      <c r="AO889">
        <v>0</v>
      </c>
      <c r="AP889" t="s">
        <v>130</v>
      </c>
      <c r="AQ889" t="s">
        <v>131</v>
      </c>
      <c r="AR889" t="s">
        <v>194</v>
      </c>
      <c r="AS889">
        <v>3122</v>
      </c>
      <c r="AT889">
        <v>3090</v>
      </c>
      <c r="AU889">
        <v>0</v>
      </c>
      <c r="AV889">
        <v>0</v>
      </c>
      <c r="AW889">
        <v>6.2119999999999997</v>
      </c>
      <c r="AX889">
        <v>0.2588333333333333</v>
      </c>
      <c r="AY889">
        <v>8.2826666666666657</v>
      </c>
      <c r="AZ889" t="s">
        <v>135</v>
      </c>
      <c r="BA889">
        <v>-2.2826666666666657</v>
      </c>
      <c r="BB889">
        <v>-8.8190598840952976</v>
      </c>
      <c r="BC889" t="s">
        <v>133</v>
      </c>
      <c r="BD889">
        <v>0</v>
      </c>
      <c r="BE889" t="s">
        <v>133</v>
      </c>
      <c r="BF88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6.2119999999999997</v>
      </c>
    </row>
    <row r="890" spans="1:58" x14ac:dyDescent="0.25">
      <c r="A890" t="s">
        <v>1145</v>
      </c>
      <c r="B890" t="s">
        <v>19</v>
      </c>
      <c r="C890">
        <v>2</v>
      </c>
      <c r="D890">
        <v>274</v>
      </c>
      <c r="E890" t="s">
        <v>2108</v>
      </c>
      <c r="F890" t="s">
        <v>123</v>
      </c>
      <c r="G890" t="s">
        <v>124</v>
      </c>
      <c r="H890" t="s">
        <v>125</v>
      </c>
      <c r="I890" t="s">
        <v>126</v>
      </c>
      <c r="J890" t="s">
        <v>126</v>
      </c>
      <c r="K890" t="s">
        <v>127</v>
      </c>
      <c r="L890">
        <v>50</v>
      </c>
      <c r="M890">
        <v>1137673</v>
      </c>
      <c r="N890">
        <v>6</v>
      </c>
      <c r="O890">
        <v>3</v>
      </c>
      <c r="P890" t="s">
        <v>168</v>
      </c>
      <c r="Q890" t="s">
        <v>129</v>
      </c>
      <c r="R890">
        <v>25</v>
      </c>
      <c r="T890">
        <v>14</v>
      </c>
      <c r="U890">
        <v>19</v>
      </c>
      <c r="V890">
        <v>0</v>
      </c>
      <c r="W890">
        <v>0</v>
      </c>
      <c r="X890">
        <v>0</v>
      </c>
      <c r="Y890">
        <v>2</v>
      </c>
      <c r="Z890">
        <v>16</v>
      </c>
      <c r="AA890">
        <v>21</v>
      </c>
      <c r="AB890">
        <v>50</v>
      </c>
      <c r="AC890">
        <v>21</v>
      </c>
      <c r="AD890">
        <v>0</v>
      </c>
      <c r="AE890">
        <v>9</v>
      </c>
      <c r="AF890">
        <v>30</v>
      </c>
      <c r="AG890">
        <v>0</v>
      </c>
      <c r="AH890">
        <v>29</v>
      </c>
      <c r="AI890">
        <v>20</v>
      </c>
      <c r="AJ890">
        <v>20</v>
      </c>
      <c r="AK890">
        <v>29</v>
      </c>
      <c r="AL890">
        <v>0</v>
      </c>
      <c r="AM890">
        <v>0.12</v>
      </c>
      <c r="AN890">
        <v>1.8181818181818183</v>
      </c>
      <c r="AO890">
        <v>0</v>
      </c>
      <c r="AP890" t="s">
        <v>130</v>
      </c>
      <c r="AQ890" t="s">
        <v>131</v>
      </c>
      <c r="AR890" t="s">
        <v>194</v>
      </c>
      <c r="AS890">
        <v>2575</v>
      </c>
      <c r="AT890">
        <v>2561</v>
      </c>
      <c r="AU890">
        <v>0</v>
      </c>
      <c r="AV890">
        <v>0</v>
      </c>
      <c r="AW890">
        <v>5.1360000000000001</v>
      </c>
      <c r="AX890">
        <v>0.24457142857142858</v>
      </c>
      <c r="AY890">
        <v>7.3371428571428572</v>
      </c>
      <c r="AZ890" t="s">
        <v>135</v>
      </c>
      <c r="BA890">
        <v>-1.3371428571428572</v>
      </c>
      <c r="BB890">
        <v>-5.4672897196261685</v>
      </c>
      <c r="BC890" t="s">
        <v>133</v>
      </c>
      <c r="BD890">
        <v>0</v>
      </c>
      <c r="BE890" t="s">
        <v>133</v>
      </c>
      <c r="BF89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5.1360000000000001</v>
      </c>
    </row>
    <row r="891" spans="1:58" x14ac:dyDescent="0.25">
      <c r="A891" t="s">
        <v>1146</v>
      </c>
      <c r="B891" t="s">
        <v>19</v>
      </c>
      <c r="C891">
        <v>2</v>
      </c>
      <c r="D891">
        <v>275</v>
      </c>
      <c r="E891" t="s">
        <v>2108</v>
      </c>
      <c r="F891" t="s">
        <v>123</v>
      </c>
      <c r="G891" t="s">
        <v>124</v>
      </c>
      <c r="H891" t="s">
        <v>125</v>
      </c>
      <c r="I891" t="s">
        <v>126</v>
      </c>
      <c r="J891" t="s">
        <v>126</v>
      </c>
      <c r="K891" t="s">
        <v>127</v>
      </c>
      <c r="L891">
        <v>50</v>
      </c>
      <c r="M891">
        <v>1137675</v>
      </c>
      <c r="N891">
        <v>6</v>
      </c>
      <c r="O891">
        <v>3</v>
      </c>
      <c r="P891" t="s">
        <v>168</v>
      </c>
      <c r="Q891" t="s">
        <v>129</v>
      </c>
      <c r="R891">
        <v>25</v>
      </c>
      <c r="T891">
        <v>19</v>
      </c>
      <c r="U891">
        <v>24</v>
      </c>
      <c r="V891">
        <v>0</v>
      </c>
      <c r="W891">
        <v>0</v>
      </c>
      <c r="X891">
        <v>0</v>
      </c>
      <c r="Y891">
        <v>1</v>
      </c>
      <c r="Z891">
        <v>20</v>
      </c>
      <c r="AA891">
        <v>25</v>
      </c>
      <c r="AB891">
        <v>50</v>
      </c>
      <c r="AC891">
        <v>29</v>
      </c>
      <c r="AD891">
        <v>0</v>
      </c>
      <c r="AE891">
        <v>8</v>
      </c>
      <c r="AF891">
        <v>37</v>
      </c>
      <c r="AG891">
        <v>0</v>
      </c>
      <c r="AH891">
        <v>21</v>
      </c>
      <c r="AI891">
        <v>13</v>
      </c>
      <c r="AJ891">
        <v>13</v>
      </c>
      <c r="AK891">
        <v>21</v>
      </c>
      <c r="AL891">
        <v>0</v>
      </c>
      <c r="AM891">
        <v>0.12</v>
      </c>
      <c r="AN891">
        <v>1.1818181818181819</v>
      </c>
      <c r="AO891">
        <v>0</v>
      </c>
      <c r="AP891" t="s">
        <v>130</v>
      </c>
      <c r="AQ891" t="s">
        <v>131</v>
      </c>
      <c r="AR891" t="s">
        <v>194</v>
      </c>
      <c r="AS891">
        <v>3397</v>
      </c>
      <c r="AT891">
        <v>3387</v>
      </c>
      <c r="AU891">
        <v>0</v>
      </c>
      <c r="AV891">
        <v>0</v>
      </c>
      <c r="AW891">
        <v>6.7839999999999998</v>
      </c>
      <c r="AX891">
        <v>0.23393103448275862</v>
      </c>
      <c r="AY891">
        <v>8.655448275862069</v>
      </c>
      <c r="AZ891" t="s">
        <v>135</v>
      </c>
      <c r="BA891">
        <v>-2.655448275862069</v>
      </c>
      <c r="BB891">
        <v>-11.351415094339623</v>
      </c>
      <c r="BC891" t="s">
        <v>133</v>
      </c>
      <c r="BD891">
        <v>0</v>
      </c>
      <c r="BE891" t="s">
        <v>133</v>
      </c>
      <c r="BF89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6.7839999999999998</v>
      </c>
    </row>
    <row r="892" spans="1:58" x14ac:dyDescent="0.25">
      <c r="A892" t="s">
        <v>1147</v>
      </c>
      <c r="B892" t="s">
        <v>19</v>
      </c>
      <c r="C892">
        <v>2</v>
      </c>
      <c r="D892">
        <v>276</v>
      </c>
      <c r="E892" t="s">
        <v>2108</v>
      </c>
      <c r="F892" t="s">
        <v>123</v>
      </c>
      <c r="G892" t="s">
        <v>124</v>
      </c>
      <c r="H892" t="s">
        <v>125</v>
      </c>
      <c r="I892" t="s">
        <v>126</v>
      </c>
      <c r="J892" t="s">
        <v>126</v>
      </c>
      <c r="K892" t="s">
        <v>127</v>
      </c>
      <c r="L892">
        <v>50</v>
      </c>
      <c r="M892">
        <v>1137677</v>
      </c>
      <c r="N892">
        <v>6</v>
      </c>
      <c r="O892">
        <v>3</v>
      </c>
      <c r="P892" t="s">
        <v>168</v>
      </c>
      <c r="Q892" t="s">
        <v>129</v>
      </c>
      <c r="R892">
        <v>25</v>
      </c>
      <c r="T892">
        <v>17</v>
      </c>
      <c r="U892">
        <v>22</v>
      </c>
      <c r="V892">
        <v>2</v>
      </c>
      <c r="W892">
        <v>0</v>
      </c>
      <c r="X892">
        <v>2</v>
      </c>
      <c r="Y892">
        <v>3</v>
      </c>
      <c r="Z892">
        <v>22</v>
      </c>
      <c r="AA892">
        <v>27</v>
      </c>
      <c r="AB892">
        <v>50</v>
      </c>
      <c r="AC892">
        <v>26</v>
      </c>
      <c r="AD892">
        <v>3</v>
      </c>
      <c r="AE892">
        <v>5</v>
      </c>
      <c r="AF892">
        <v>34</v>
      </c>
      <c r="AG892">
        <v>0</v>
      </c>
      <c r="AH892">
        <v>24</v>
      </c>
      <c r="AI892">
        <v>16</v>
      </c>
      <c r="AJ892">
        <v>19</v>
      </c>
      <c r="AK892">
        <v>24</v>
      </c>
      <c r="AL892">
        <v>0</v>
      </c>
      <c r="AM892">
        <v>0.12</v>
      </c>
      <c r="AN892">
        <v>1.7272727272727273</v>
      </c>
      <c r="AO892">
        <v>0</v>
      </c>
      <c r="AP892" t="s">
        <v>130</v>
      </c>
      <c r="AQ892" t="s">
        <v>131</v>
      </c>
      <c r="AR892" t="s">
        <v>194</v>
      </c>
      <c r="AS892">
        <v>2944</v>
      </c>
      <c r="AT892">
        <v>2921</v>
      </c>
      <c r="AU892">
        <v>0</v>
      </c>
      <c r="AV892">
        <v>0</v>
      </c>
      <c r="AW892">
        <v>5.8650000000000002</v>
      </c>
      <c r="AX892">
        <v>0.22557692307692309</v>
      </c>
      <c r="AY892">
        <v>7.6696153846153852</v>
      </c>
      <c r="AZ892" t="s">
        <v>135</v>
      </c>
      <c r="BA892">
        <v>-1.6696153846153852</v>
      </c>
      <c r="BB892">
        <v>-7.4015345268542223</v>
      </c>
      <c r="BC892" t="s">
        <v>133</v>
      </c>
      <c r="BD892">
        <v>0</v>
      </c>
      <c r="BE892" t="s">
        <v>133</v>
      </c>
      <c r="BF89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5.8650000000000002</v>
      </c>
    </row>
    <row r="893" spans="1:58" x14ac:dyDescent="0.25">
      <c r="A893" t="s">
        <v>1148</v>
      </c>
      <c r="B893" t="s">
        <v>19</v>
      </c>
      <c r="C893">
        <v>2</v>
      </c>
      <c r="D893">
        <v>277</v>
      </c>
      <c r="E893" t="s">
        <v>2108</v>
      </c>
      <c r="F893" t="s">
        <v>123</v>
      </c>
      <c r="G893" t="s">
        <v>124</v>
      </c>
      <c r="H893" t="s">
        <v>125</v>
      </c>
      <c r="I893" t="s">
        <v>126</v>
      </c>
      <c r="J893" t="s">
        <v>126</v>
      </c>
      <c r="K893" t="s">
        <v>127</v>
      </c>
      <c r="L893">
        <v>50</v>
      </c>
      <c r="M893">
        <v>1137679</v>
      </c>
      <c r="N893">
        <v>6</v>
      </c>
      <c r="O893">
        <v>3</v>
      </c>
      <c r="P893" t="s">
        <v>168</v>
      </c>
      <c r="Q893" t="s">
        <v>129</v>
      </c>
      <c r="R893">
        <v>25</v>
      </c>
      <c r="T893">
        <v>20</v>
      </c>
      <c r="U893">
        <v>25</v>
      </c>
      <c r="V893">
        <v>0</v>
      </c>
      <c r="W893">
        <v>0</v>
      </c>
      <c r="X893">
        <v>0</v>
      </c>
      <c r="Y893">
        <v>1</v>
      </c>
      <c r="Z893">
        <v>21</v>
      </c>
      <c r="AA893">
        <v>26</v>
      </c>
      <c r="AB893">
        <v>50</v>
      </c>
      <c r="AC893">
        <v>29</v>
      </c>
      <c r="AD893">
        <v>0</v>
      </c>
      <c r="AE893">
        <v>2</v>
      </c>
      <c r="AF893">
        <v>31</v>
      </c>
      <c r="AG893">
        <v>0</v>
      </c>
      <c r="AH893">
        <v>21</v>
      </c>
      <c r="AI893">
        <v>19</v>
      </c>
      <c r="AJ893">
        <v>19</v>
      </c>
      <c r="AK893">
        <v>21</v>
      </c>
      <c r="AL893">
        <v>0</v>
      </c>
      <c r="AM893">
        <v>0.12</v>
      </c>
      <c r="AN893">
        <v>1.7272727272727273</v>
      </c>
      <c r="AO893">
        <v>0</v>
      </c>
      <c r="AP893" t="s">
        <v>130</v>
      </c>
      <c r="AQ893" t="s">
        <v>131</v>
      </c>
      <c r="AR893" t="s">
        <v>194</v>
      </c>
      <c r="AS893">
        <v>3821</v>
      </c>
      <c r="AT893">
        <v>3827</v>
      </c>
      <c r="AU893">
        <v>0</v>
      </c>
      <c r="AV893">
        <v>0</v>
      </c>
      <c r="AW893">
        <v>7.6479999999999997</v>
      </c>
      <c r="AX893">
        <v>0.2637241379310345</v>
      </c>
      <c r="AY893">
        <v>8.1754482758620686</v>
      </c>
      <c r="AZ893" t="s">
        <v>135</v>
      </c>
      <c r="BA893">
        <v>-2.1754482758620686</v>
      </c>
      <c r="BB893">
        <v>-8.2489539748953948</v>
      </c>
      <c r="BC893" t="s">
        <v>144</v>
      </c>
      <c r="BD893">
        <v>0</v>
      </c>
      <c r="BE893" t="s">
        <v>133</v>
      </c>
      <c r="BF89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7.6479999999999997</v>
      </c>
    </row>
    <row r="894" spans="1:58" x14ac:dyDescent="0.25">
      <c r="A894" t="s">
        <v>1149</v>
      </c>
      <c r="B894" t="s">
        <v>19</v>
      </c>
      <c r="C894">
        <v>2</v>
      </c>
      <c r="D894">
        <v>278</v>
      </c>
      <c r="E894" t="s">
        <v>2110</v>
      </c>
      <c r="F894" t="s">
        <v>123</v>
      </c>
      <c r="G894" t="s">
        <v>124</v>
      </c>
      <c r="H894" t="s">
        <v>125</v>
      </c>
      <c r="I894" t="s">
        <v>126</v>
      </c>
      <c r="J894" t="s">
        <v>126</v>
      </c>
      <c r="K894" t="s">
        <v>127</v>
      </c>
      <c r="L894">
        <v>50</v>
      </c>
      <c r="M894">
        <v>1137681</v>
      </c>
      <c r="N894">
        <v>6</v>
      </c>
      <c r="O894">
        <v>3</v>
      </c>
      <c r="P894" t="s">
        <v>168</v>
      </c>
      <c r="Q894" t="s">
        <v>129</v>
      </c>
      <c r="R894">
        <v>26</v>
      </c>
      <c r="T894">
        <v>13</v>
      </c>
      <c r="U894">
        <v>18</v>
      </c>
      <c r="V894">
        <v>10</v>
      </c>
      <c r="W894">
        <v>3</v>
      </c>
      <c r="X894">
        <v>7</v>
      </c>
      <c r="Y894">
        <v>1</v>
      </c>
      <c r="Z894">
        <v>24</v>
      </c>
      <c r="AA894">
        <v>29</v>
      </c>
      <c r="AB894">
        <v>50</v>
      </c>
      <c r="AC894">
        <v>21</v>
      </c>
      <c r="AD894">
        <v>7</v>
      </c>
      <c r="AE894">
        <v>1</v>
      </c>
      <c r="AF894">
        <v>32</v>
      </c>
      <c r="AG894">
        <v>3</v>
      </c>
      <c r="AH894">
        <v>29</v>
      </c>
      <c r="AI894">
        <v>18</v>
      </c>
      <c r="AJ894">
        <v>25</v>
      </c>
      <c r="AK894">
        <v>26</v>
      </c>
      <c r="AL894">
        <v>0</v>
      </c>
      <c r="AM894">
        <v>0.12</v>
      </c>
      <c r="AN894">
        <v>2.2727272727272729</v>
      </c>
      <c r="AO894">
        <v>0.40909090909090906</v>
      </c>
      <c r="AP894" t="s">
        <v>130</v>
      </c>
      <c r="AQ894" t="s">
        <v>131</v>
      </c>
      <c r="AR894" t="s">
        <v>523</v>
      </c>
      <c r="AS894">
        <v>1571</v>
      </c>
      <c r="AT894">
        <v>1518</v>
      </c>
      <c r="AU894">
        <v>0</v>
      </c>
      <c r="AV894">
        <v>0</v>
      </c>
      <c r="AW894">
        <v>3.089</v>
      </c>
      <c r="AX894">
        <v>0.14709523809523808</v>
      </c>
      <c r="AY894">
        <v>4.7070476190476187</v>
      </c>
      <c r="AZ894" t="s">
        <v>135</v>
      </c>
      <c r="BA894">
        <v>1.2929523809523813</v>
      </c>
      <c r="BB894">
        <v>8.7898996438977051</v>
      </c>
      <c r="BC894" t="s">
        <v>132</v>
      </c>
      <c r="BD894">
        <v>0</v>
      </c>
      <c r="BE894" t="s">
        <v>133</v>
      </c>
      <c r="BF89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3.089</v>
      </c>
    </row>
    <row r="895" spans="1:58" x14ac:dyDescent="0.25">
      <c r="A895" t="s">
        <v>1150</v>
      </c>
      <c r="B895" t="s">
        <v>19</v>
      </c>
      <c r="C895">
        <v>2</v>
      </c>
      <c r="D895">
        <v>279</v>
      </c>
      <c r="E895" t="s">
        <v>2110</v>
      </c>
      <c r="F895" t="s">
        <v>123</v>
      </c>
      <c r="G895" t="s">
        <v>124</v>
      </c>
      <c r="H895" t="s">
        <v>125</v>
      </c>
      <c r="I895" t="s">
        <v>126</v>
      </c>
      <c r="J895" t="s">
        <v>126</v>
      </c>
      <c r="K895" t="s">
        <v>127</v>
      </c>
      <c r="L895">
        <v>50</v>
      </c>
      <c r="M895">
        <v>1137683</v>
      </c>
      <c r="N895">
        <v>6</v>
      </c>
      <c r="O895">
        <v>3</v>
      </c>
      <c r="P895" t="s">
        <v>168</v>
      </c>
      <c r="Q895" t="s">
        <v>129</v>
      </c>
      <c r="R895">
        <v>26</v>
      </c>
      <c r="T895">
        <v>10</v>
      </c>
      <c r="U895">
        <v>15</v>
      </c>
      <c r="V895">
        <v>6</v>
      </c>
      <c r="W895">
        <v>0</v>
      </c>
      <c r="X895">
        <v>6</v>
      </c>
      <c r="Y895">
        <v>2</v>
      </c>
      <c r="Z895">
        <v>18</v>
      </c>
      <c r="AA895">
        <v>23</v>
      </c>
      <c r="AB895">
        <v>50</v>
      </c>
      <c r="AC895">
        <v>16</v>
      </c>
      <c r="AD895">
        <v>7</v>
      </c>
      <c r="AE895">
        <v>2</v>
      </c>
      <c r="AF895">
        <v>25</v>
      </c>
      <c r="AG895">
        <v>0</v>
      </c>
      <c r="AH895">
        <v>34</v>
      </c>
      <c r="AI895">
        <v>25</v>
      </c>
      <c r="AJ895">
        <v>32</v>
      </c>
      <c r="AK895">
        <v>34</v>
      </c>
      <c r="AL895">
        <v>0</v>
      </c>
      <c r="AM895">
        <v>0.12</v>
      </c>
      <c r="AN895">
        <v>2.9090909090909092</v>
      </c>
      <c r="AO895">
        <v>0</v>
      </c>
      <c r="AP895" t="s">
        <v>130</v>
      </c>
      <c r="AQ895" t="s">
        <v>131</v>
      </c>
      <c r="AR895" t="s">
        <v>523</v>
      </c>
      <c r="AS895">
        <v>1294</v>
      </c>
      <c r="AT895">
        <v>1276</v>
      </c>
      <c r="AU895">
        <v>0</v>
      </c>
      <c r="AV895">
        <v>0</v>
      </c>
      <c r="AW895">
        <v>2.57</v>
      </c>
      <c r="AX895">
        <v>0.16062499999999999</v>
      </c>
      <c r="AY895">
        <v>4.015625</v>
      </c>
      <c r="AZ895" t="s">
        <v>135</v>
      </c>
      <c r="BA895">
        <v>1.984375</v>
      </c>
      <c r="BB895">
        <v>12.354085603112841</v>
      </c>
      <c r="BC895" t="s">
        <v>133</v>
      </c>
      <c r="BD895">
        <v>0</v>
      </c>
      <c r="BE895" t="s">
        <v>133</v>
      </c>
      <c r="BF89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2.57</v>
      </c>
    </row>
    <row r="896" spans="1:58" x14ac:dyDescent="0.25">
      <c r="A896" t="s">
        <v>1151</v>
      </c>
      <c r="B896" t="s">
        <v>19</v>
      </c>
      <c r="C896">
        <v>2</v>
      </c>
      <c r="D896">
        <v>280</v>
      </c>
      <c r="E896" t="s">
        <v>2110</v>
      </c>
      <c r="F896" t="s">
        <v>123</v>
      </c>
      <c r="G896" t="s">
        <v>124</v>
      </c>
      <c r="H896" t="s">
        <v>125</v>
      </c>
      <c r="I896" t="s">
        <v>126</v>
      </c>
      <c r="J896" t="s">
        <v>126</v>
      </c>
      <c r="K896" t="s">
        <v>127</v>
      </c>
      <c r="L896">
        <v>50</v>
      </c>
      <c r="M896">
        <v>1137685</v>
      </c>
      <c r="N896">
        <v>6</v>
      </c>
      <c r="O896">
        <v>3</v>
      </c>
      <c r="P896" t="s">
        <v>168</v>
      </c>
      <c r="Q896" t="s">
        <v>129</v>
      </c>
      <c r="R896">
        <v>26</v>
      </c>
      <c r="S896" t="s">
        <v>1152</v>
      </c>
      <c r="T896">
        <v>12</v>
      </c>
      <c r="U896">
        <v>17</v>
      </c>
      <c r="V896">
        <v>5</v>
      </c>
      <c r="W896">
        <v>3</v>
      </c>
      <c r="X896">
        <v>2</v>
      </c>
      <c r="Y896">
        <v>0</v>
      </c>
      <c r="Z896">
        <v>17</v>
      </c>
      <c r="AA896">
        <v>22</v>
      </c>
      <c r="AB896">
        <v>50</v>
      </c>
      <c r="AC896">
        <v>17</v>
      </c>
      <c r="AD896">
        <v>2</v>
      </c>
      <c r="AE896">
        <v>0</v>
      </c>
      <c r="AF896">
        <v>22</v>
      </c>
      <c r="AG896">
        <v>3</v>
      </c>
      <c r="AH896">
        <v>33</v>
      </c>
      <c r="AI896">
        <v>28</v>
      </c>
      <c r="AJ896">
        <v>30</v>
      </c>
      <c r="AK896">
        <v>30</v>
      </c>
      <c r="AL896">
        <v>0</v>
      </c>
      <c r="AM896">
        <v>0.12</v>
      </c>
      <c r="AN896">
        <v>2.7272727272727275</v>
      </c>
      <c r="AO896">
        <v>0.40909090909090906</v>
      </c>
      <c r="AP896" t="s">
        <v>130</v>
      </c>
      <c r="AQ896" t="s">
        <v>131</v>
      </c>
      <c r="AR896" t="s">
        <v>523</v>
      </c>
      <c r="AS896">
        <v>1516</v>
      </c>
      <c r="AT896">
        <v>1318</v>
      </c>
      <c r="AU896">
        <v>0</v>
      </c>
      <c r="AV896">
        <v>0</v>
      </c>
      <c r="AW896">
        <v>2.8340000000000001</v>
      </c>
      <c r="AX896">
        <v>0.16670588235294118</v>
      </c>
      <c r="AY896">
        <v>3.6675294117647059</v>
      </c>
      <c r="AZ896" t="s">
        <v>135</v>
      </c>
      <c r="BA896">
        <v>2.3324705882352941</v>
      </c>
      <c r="BB896">
        <v>13.99153140437544</v>
      </c>
      <c r="BC896" t="s">
        <v>133</v>
      </c>
      <c r="BD896">
        <v>0</v>
      </c>
      <c r="BE896" t="s">
        <v>133</v>
      </c>
      <c r="BF89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2.8340000000000001</v>
      </c>
    </row>
    <row r="897" spans="1:58" x14ac:dyDescent="0.25">
      <c r="A897" t="s">
        <v>1153</v>
      </c>
      <c r="B897" t="s">
        <v>19</v>
      </c>
      <c r="C897">
        <v>2</v>
      </c>
      <c r="D897">
        <v>281</v>
      </c>
      <c r="E897" t="s">
        <v>2110</v>
      </c>
      <c r="F897" t="s">
        <v>123</v>
      </c>
      <c r="G897" t="s">
        <v>124</v>
      </c>
      <c r="H897" t="s">
        <v>125</v>
      </c>
      <c r="I897" t="s">
        <v>126</v>
      </c>
      <c r="J897" t="s">
        <v>126</v>
      </c>
      <c r="K897" t="s">
        <v>127</v>
      </c>
      <c r="L897">
        <v>50</v>
      </c>
      <c r="M897">
        <v>1137687</v>
      </c>
      <c r="N897">
        <v>6</v>
      </c>
      <c r="O897">
        <v>3</v>
      </c>
      <c r="P897" t="s">
        <v>168</v>
      </c>
      <c r="Q897" t="s">
        <v>129</v>
      </c>
      <c r="R897">
        <v>26</v>
      </c>
      <c r="S897" t="s">
        <v>1152</v>
      </c>
      <c r="T897">
        <v>16</v>
      </c>
      <c r="U897">
        <v>21</v>
      </c>
      <c r="V897">
        <v>3</v>
      </c>
      <c r="W897">
        <v>2</v>
      </c>
      <c r="X897">
        <v>1</v>
      </c>
      <c r="Y897">
        <v>1</v>
      </c>
      <c r="Z897">
        <v>20</v>
      </c>
      <c r="AA897">
        <v>25</v>
      </c>
      <c r="AB897">
        <v>50</v>
      </c>
      <c r="AC897">
        <v>27</v>
      </c>
      <c r="AD897">
        <v>1</v>
      </c>
      <c r="AE897">
        <v>1</v>
      </c>
      <c r="AF897">
        <v>31</v>
      </c>
      <c r="AG897">
        <v>2</v>
      </c>
      <c r="AH897">
        <v>23</v>
      </c>
      <c r="AI897">
        <v>19</v>
      </c>
      <c r="AJ897">
        <v>20</v>
      </c>
      <c r="AK897">
        <v>21</v>
      </c>
      <c r="AL897">
        <v>0</v>
      </c>
      <c r="AM897">
        <v>0.12</v>
      </c>
      <c r="AN897">
        <v>1.8181818181818183</v>
      </c>
      <c r="AO897">
        <v>0.27272727272727271</v>
      </c>
      <c r="AP897" t="s">
        <v>130</v>
      </c>
      <c r="AQ897" t="s">
        <v>131</v>
      </c>
      <c r="AR897" t="s">
        <v>523</v>
      </c>
      <c r="AS897">
        <v>2154</v>
      </c>
      <c r="AT897">
        <v>2085</v>
      </c>
      <c r="AU897">
        <v>0</v>
      </c>
      <c r="AV897">
        <v>0</v>
      </c>
      <c r="AW897">
        <v>4.2389999999999999</v>
      </c>
      <c r="AX897">
        <v>0.157</v>
      </c>
      <c r="AY897">
        <v>4.867</v>
      </c>
      <c r="AZ897" t="s">
        <v>135</v>
      </c>
      <c r="BA897">
        <v>1.133</v>
      </c>
      <c r="BB897">
        <v>7.2165605095541405</v>
      </c>
      <c r="BC897" t="s">
        <v>133</v>
      </c>
      <c r="BD897">
        <v>0</v>
      </c>
      <c r="BE897" t="s">
        <v>133</v>
      </c>
      <c r="BF89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4.2389999999999999</v>
      </c>
    </row>
    <row r="898" spans="1:58" x14ac:dyDescent="0.25">
      <c r="A898" t="s">
        <v>1154</v>
      </c>
      <c r="B898" t="s">
        <v>19</v>
      </c>
      <c r="C898">
        <v>2</v>
      </c>
      <c r="D898">
        <v>282</v>
      </c>
      <c r="E898" t="s">
        <v>2110</v>
      </c>
      <c r="F898" t="s">
        <v>123</v>
      </c>
      <c r="G898" t="s">
        <v>124</v>
      </c>
      <c r="H898" t="s">
        <v>125</v>
      </c>
      <c r="I898" t="s">
        <v>126</v>
      </c>
      <c r="J898" t="s">
        <v>126</v>
      </c>
      <c r="K898" t="s">
        <v>127</v>
      </c>
      <c r="L898">
        <v>50</v>
      </c>
      <c r="M898">
        <v>1137689</v>
      </c>
      <c r="N898">
        <v>6</v>
      </c>
      <c r="O898">
        <v>3</v>
      </c>
      <c r="P898" t="s">
        <v>168</v>
      </c>
      <c r="Q898" t="s">
        <v>129</v>
      </c>
      <c r="R898">
        <v>26</v>
      </c>
      <c r="S898" t="s">
        <v>1152</v>
      </c>
      <c r="T898">
        <v>13</v>
      </c>
      <c r="U898">
        <v>18</v>
      </c>
      <c r="V898">
        <v>2</v>
      </c>
      <c r="W898">
        <v>0</v>
      </c>
      <c r="X898">
        <v>2</v>
      </c>
      <c r="Y898">
        <v>1</v>
      </c>
      <c r="Z898">
        <v>16</v>
      </c>
      <c r="AA898">
        <v>21</v>
      </c>
      <c r="AB898">
        <v>50</v>
      </c>
      <c r="AC898">
        <v>20</v>
      </c>
      <c r="AD898">
        <v>2</v>
      </c>
      <c r="AE898">
        <v>1</v>
      </c>
      <c r="AF898">
        <v>23</v>
      </c>
      <c r="AG898">
        <v>0</v>
      </c>
      <c r="AH898">
        <v>30</v>
      </c>
      <c r="AI898">
        <v>27</v>
      </c>
      <c r="AJ898">
        <v>29</v>
      </c>
      <c r="AK898">
        <v>30</v>
      </c>
      <c r="AL898">
        <v>0</v>
      </c>
      <c r="AM898">
        <v>0.12</v>
      </c>
      <c r="AN898">
        <v>2.6363636363636362</v>
      </c>
      <c r="AO898">
        <v>0</v>
      </c>
      <c r="AP898" t="s">
        <v>130</v>
      </c>
      <c r="AQ898" t="s">
        <v>131</v>
      </c>
      <c r="AR898" t="s">
        <v>523</v>
      </c>
      <c r="AS898">
        <v>1747</v>
      </c>
      <c r="AT898">
        <v>1802</v>
      </c>
      <c r="AU898">
        <v>0</v>
      </c>
      <c r="AV898">
        <v>0</v>
      </c>
      <c r="AW898">
        <v>3.5489999999999999</v>
      </c>
      <c r="AX898">
        <v>0.17745</v>
      </c>
      <c r="AY898">
        <v>4.0813499999999996</v>
      </c>
      <c r="AZ898" t="s">
        <v>135</v>
      </c>
      <c r="BA898">
        <v>1.9186500000000004</v>
      </c>
      <c r="BB898">
        <v>10.812341504649199</v>
      </c>
      <c r="BC898" t="s">
        <v>133</v>
      </c>
      <c r="BD898">
        <v>0</v>
      </c>
      <c r="BE898" t="s">
        <v>133</v>
      </c>
      <c r="BF89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3.5489999999999999</v>
      </c>
    </row>
    <row r="899" spans="1:58" x14ac:dyDescent="0.25">
      <c r="A899" t="s">
        <v>1155</v>
      </c>
      <c r="B899" t="s">
        <v>19</v>
      </c>
      <c r="C899">
        <v>2</v>
      </c>
      <c r="D899">
        <v>283</v>
      </c>
      <c r="E899" t="s">
        <v>2110</v>
      </c>
      <c r="F899" t="s">
        <v>123</v>
      </c>
      <c r="G899" t="s">
        <v>124</v>
      </c>
      <c r="H899" t="s">
        <v>136</v>
      </c>
      <c r="I899" t="s">
        <v>137</v>
      </c>
      <c r="J899" t="s">
        <v>138</v>
      </c>
      <c r="K899" t="s">
        <v>127</v>
      </c>
      <c r="L899">
        <v>50</v>
      </c>
      <c r="M899">
        <v>1137691</v>
      </c>
      <c r="N899">
        <v>5</v>
      </c>
      <c r="O899">
        <v>3</v>
      </c>
      <c r="P899" t="s">
        <v>168</v>
      </c>
      <c r="Q899" t="s">
        <v>129</v>
      </c>
      <c r="R899">
        <v>26</v>
      </c>
      <c r="S899" t="s">
        <v>1152</v>
      </c>
      <c r="T899">
        <v>0</v>
      </c>
      <c r="U899">
        <v>4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4</v>
      </c>
      <c r="AB899">
        <v>50</v>
      </c>
      <c r="AC899">
        <v>4</v>
      </c>
      <c r="AD899">
        <v>0</v>
      </c>
      <c r="AE899">
        <v>0</v>
      </c>
      <c r="AF899">
        <v>4</v>
      </c>
      <c r="AG899">
        <v>0</v>
      </c>
      <c r="AH899">
        <v>46</v>
      </c>
      <c r="AI899">
        <v>46</v>
      </c>
      <c r="AJ899">
        <v>46</v>
      </c>
      <c r="AK899">
        <v>46</v>
      </c>
      <c r="AL899">
        <v>0</v>
      </c>
      <c r="AM899">
        <v>0.1</v>
      </c>
      <c r="AN899">
        <v>4.1818181818181817</v>
      </c>
      <c r="AO899">
        <v>0</v>
      </c>
      <c r="AP899" t="s">
        <v>139</v>
      </c>
      <c r="AQ899" t="s">
        <v>131</v>
      </c>
      <c r="AR899" t="s">
        <v>523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 t="s">
        <v>134</v>
      </c>
      <c r="BA899">
        <v>5</v>
      </c>
      <c r="BB899">
        <v>0</v>
      </c>
      <c r="BC899" t="s">
        <v>133</v>
      </c>
      <c r="BD899">
        <v>0</v>
      </c>
      <c r="BE899" t="s">
        <v>133</v>
      </c>
      <c r="BF89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900" spans="1:58" x14ac:dyDescent="0.25">
      <c r="A900" t="s">
        <v>1156</v>
      </c>
      <c r="B900" t="s">
        <v>19</v>
      </c>
      <c r="C900">
        <v>2</v>
      </c>
      <c r="D900">
        <v>284</v>
      </c>
      <c r="E900" t="s">
        <v>2110</v>
      </c>
      <c r="F900" t="s">
        <v>123</v>
      </c>
      <c r="G900" t="s">
        <v>124</v>
      </c>
      <c r="H900" t="s">
        <v>125</v>
      </c>
      <c r="I900" t="s">
        <v>126</v>
      </c>
      <c r="J900" t="s">
        <v>126</v>
      </c>
      <c r="K900" t="s">
        <v>127</v>
      </c>
      <c r="L900">
        <v>50</v>
      </c>
      <c r="M900">
        <v>1137693</v>
      </c>
      <c r="N900">
        <v>6</v>
      </c>
      <c r="O900">
        <v>3</v>
      </c>
      <c r="P900" t="s">
        <v>168</v>
      </c>
      <c r="Q900" t="s">
        <v>129</v>
      </c>
      <c r="R900">
        <v>26</v>
      </c>
      <c r="S900" t="s">
        <v>1152</v>
      </c>
      <c r="T900">
        <v>6</v>
      </c>
      <c r="U900">
        <v>11</v>
      </c>
      <c r="V900">
        <v>2</v>
      </c>
      <c r="W900">
        <v>1</v>
      </c>
      <c r="X900">
        <v>1</v>
      </c>
      <c r="Y900">
        <v>1</v>
      </c>
      <c r="Z900">
        <v>9</v>
      </c>
      <c r="AA900">
        <v>14</v>
      </c>
      <c r="AB900">
        <v>50</v>
      </c>
      <c r="AC900">
        <v>17</v>
      </c>
      <c r="AD900">
        <v>1</v>
      </c>
      <c r="AE900">
        <v>1</v>
      </c>
      <c r="AF900">
        <v>20</v>
      </c>
      <c r="AG900">
        <v>1</v>
      </c>
      <c r="AH900">
        <v>33</v>
      </c>
      <c r="AI900">
        <v>30</v>
      </c>
      <c r="AJ900">
        <v>31</v>
      </c>
      <c r="AK900">
        <v>32</v>
      </c>
      <c r="AL900">
        <v>0</v>
      </c>
      <c r="AM900">
        <v>0.12</v>
      </c>
      <c r="AN900">
        <v>2.8181818181818183</v>
      </c>
      <c r="AO900">
        <v>0.13636363636363635</v>
      </c>
      <c r="AP900" t="s">
        <v>130</v>
      </c>
      <c r="AQ900" t="s">
        <v>131</v>
      </c>
      <c r="AR900" t="s">
        <v>523</v>
      </c>
      <c r="AS900">
        <v>661</v>
      </c>
      <c r="AT900">
        <v>652</v>
      </c>
      <c r="AU900">
        <v>0</v>
      </c>
      <c r="AV900">
        <v>0</v>
      </c>
      <c r="AW900">
        <v>1.3129999999999999</v>
      </c>
      <c r="AX900">
        <v>7.7235294117647055E-2</v>
      </c>
      <c r="AY900">
        <v>1.5447058823529412</v>
      </c>
      <c r="AZ900" t="s">
        <v>135</v>
      </c>
      <c r="BA900">
        <v>4.4552941176470586</v>
      </c>
      <c r="BB900">
        <v>57.684691546077687</v>
      </c>
      <c r="BC900" t="s">
        <v>133</v>
      </c>
      <c r="BD900">
        <v>0</v>
      </c>
      <c r="BE900" t="s">
        <v>133</v>
      </c>
      <c r="BF90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1.3129999999999999</v>
      </c>
    </row>
    <row r="901" spans="1:58" x14ac:dyDescent="0.25">
      <c r="A901" t="s">
        <v>1157</v>
      </c>
      <c r="B901" t="s">
        <v>19</v>
      </c>
      <c r="C901">
        <v>2</v>
      </c>
      <c r="D901">
        <v>285</v>
      </c>
      <c r="E901" t="s">
        <v>2110</v>
      </c>
      <c r="F901" t="s">
        <v>123</v>
      </c>
      <c r="G901" t="s">
        <v>124</v>
      </c>
      <c r="H901" t="s">
        <v>125</v>
      </c>
      <c r="I901" t="s">
        <v>126</v>
      </c>
      <c r="J901" t="s">
        <v>126</v>
      </c>
      <c r="K901" t="s">
        <v>127</v>
      </c>
      <c r="L901">
        <v>50</v>
      </c>
      <c r="M901">
        <v>1137695</v>
      </c>
      <c r="N901">
        <v>6</v>
      </c>
      <c r="O901">
        <v>3</v>
      </c>
      <c r="P901" t="s">
        <v>168</v>
      </c>
      <c r="Q901" t="s">
        <v>129</v>
      </c>
      <c r="R901">
        <v>26</v>
      </c>
      <c r="S901" t="s">
        <v>1152</v>
      </c>
      <c r="T901">
        <v>12</v>
      </c>
      <c r="U901">
        <v>17</v>
      </c>
      <c r="V901">
        <v>6</v>
      </c>
      <c r="W901">
        <v>0</v>
      </c>
      <c r="X901">
        <v>6</v>
      </c>
      <c r="Y901">
        <v>2</v>
      </c>
      <c r="Z901">
        <v>20</v>
      </c>
      <c r="AA901">
        <v>25</v>
      </c>
      <c r="AB901">
        <v>50</v>
      </c>
      <c r="AC901">
        <v>24</v>
      </c>
      <c r="AD901">
        <v>6</v>
      </c>
      <c r="AE901">
        <v>2</v>
      </c>
      <c r="AF901">
        <v>32</v>
      </c>
      <c r="AG901">
        <v>0</v>
      </c>
      <c r="AH901">
        <v>26</v>
      </c>
      <c r="AI901">
        <v>18</v>
      </c>
      <c r="AJ901">
        <v>24</v>
      </c>
      <c r="AK901">
        <v>26</v>
      </c>
      <c r="AL901">
        <v>0</v>
      </c>
      <c r="AM901">
        <v>0.12</v>
      </c>
      <c r="AN901">
        <v>2.1818181818181817</v>
      </c>
      <c r="AO901">
        <v>0</v>
      </c>
      <c r="AP901" t="s">
        <v>130</v>
      </c>
      <c r="AQ901" t="s">
        <v>131</v>
      </c>
      <c r="AR901" t="s">
        <v>523</v>
      </c>
      <c r="AS901">
        <v>3157</v>
      </c>
      <c r="AT901">
        <v>2954</v>
      </c>
      <c r="AU901">
        <v>0</v>
      </c>
      <c r="AV901">
        <v>0</v>
      </c>
      <c r="AW901">
        <v>6.1109999999999998</v>
      </c>
      <c r="AX901">
        <v>0.25462499999999999</v>
      </c>
      <c r="AY901">
        <v>8.1479999999999997</v>
      </c>
      <c r="AZ901" t="s">
        <v>135</v>
      </c>
      <c r="BA901">
        <v>-2.1479999999999997</v>
      </c>
      <c r="BB901">
        <v>-8.4359351988217952</v>
      </c>
      <c r="BC901" t="s">
        <v>133</v>
      </c>
      <c r="BD901">
        <v>0</v>
      </c>
      <c r="BE901" t="s">
        <v>133</v>
      </c>
      <c r="BF90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6.1109999999999998</v>
      </c>
    </row>
    <row r="902" spans="1:58" x14ac:dyDescent="0.25">
      <c r="A902" t="s">
        <v>1158</v>
      </c>
      <c r="B902" t="s">
        <v>19</v>
      </c>
      <c r="C902">
        <v>2</v>
      </c>
      <c r="D902">
        <v>286</v>
      </c>
      <c r="E902" t="s">
        <v>2110</v>
      </c>
      <c r="F902" t="s">
        <v>123</v>
      </c>
      <c r="G902" t="s">
        <v>124</v>
      </c>
      <c r="H902" t="s">
        <v>125</v>
      </c>
      <c r="I902" t="s">
        <v>126</v>
      </c>
      <c r="J902" t="s">
        <v>126</v>
      </c>
      <c r="K902" t="s">
        <v>127</v>
      </c>
      <c r="L902">
        <v>50</v>
      </c>
      <c r="M902">
        <v>1137697</v>
      </c>
      <c r="N902">
        <v>6</v>
      </c>
      <c r="O902">
        <v>3</v>
      </c>
      <c r="P902" t="s">
        <v>168</v>
      </c>
      <c r="Q902" t="s">
        <v>129</v>
      </c>
      <c r="R902">
        <v>26</v>
      </c>
      <c r="S902" t="s">
        <v>1152</v>
      </c>
      <c r="T902">
        <v>11</v>
      </c>
      <c r="U902">
        <v>16</v>
      </c>
      <c r="V902">
        <v>4</v>
      </c>
      <c r="W902">
        <v>0</v>
      </c>
      <c r="X902">
        <v>4</v>
      </c>
      <c r="Y902">
        <v>1</v>
      </c>
      <c r="Z902">
        <v>16</v>
      </c>
      <c r="AA902">
        <v>21</v>
      </c>
      <c r="AB902">
        <v>50</v>
      </c>
      <c r="AC902">
        <v>25</v>
      </c>
      <c r="AD902">
        <v>4</v>
      </c>
      <c r="AE902">
        <v>1</v>
      </c>
      <c r="AF902">
        <v>30</v>
      </c>
      <c r="AG902">
        <v>0</v>
      </c>
      <c r="AH902">
        <v>25</v>
      </c>
      <c r="AI902">
        <v>20</v>
      </c>
      <c r="AJ902">
        <v>24</v>
      </c>
      <c r="AK902">
        <v>25</v>
      </c>
      <c r="AL902">
        <v>0</v>
      </c>
      <c r="AM902">
        <v>0.12</v>
      </c>
      <c r="AN902">
        <v>2.1818181818181817</v>
      </c>
      <c r="AO902">
        <v>0</v>
      </c>
      <c r="AP902" t="s">
        <v>130</v>
      </c>
      <c r="AQ902" t="s">
        <v>131</v>
      </c>
      <c r="AR902" t="s">
        <v>523</v>
      </c>
      <c r="AS902">
        <v>1590</v>
      </c>
      <c r="AT902">
        <v>1494</v>
      </c>
      <c r="AU902">
        <v>0</v>
      </c>
      <c r="AV902">
        <v>0</v>
      </c>
      <c r="AW902">
        <v>3.0840000000000001</v>
      </c>
      <c r="AX902">
        <v>0.12336</v>
      </c>
      <c r="AY902">
        <v>3.7008000000000001</v>
      </c>
      <c r="AZ902" t="s">
        <v>135</v>
      </c>
      <c r="BA902">
        <v>2.2991999999999999</v>
      </c>
      <c r="BB902">
        <v>18.638132295719846</v>
      </c>
      <c r="BC902" t="s">
        <v>133</v>
      </c>
      <c r="BD902">
        <v>0</v>
      </c>
      <c r="BE902" t="s">
        <v>133</v>
      </c>
      <c r="BF90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3.0840000000000001</v>
      </c>
    </row>
    <row r="903" spans="1:58" x14ac:dyDescent="0.25">
      <c r="A903" t="s">
        <v>1159</v>
      </c>
      <c r="B903" t="s">
        <v>19</v>
      </c>
      <c r="C903">
        <v>2</v>
      </c>
      <c r="D903">
        <v>287</v>
      </c>
      <c r="E903" t="s">
        <v>2110</v>
      </c>
      <c r="F903" t="s">
        <v>123</v>
      </c>
      <c r="G903" t="s">
        <v>124</v>
      </c>
      <c r="H903" t="s">
        <v>125</v>
      </c>
      <c r="I903" t="s">
        <v>126</v>
      </c>
      <c r="J903" t="s">
        <v>126</v>
      </c>
      <c r="K903" t="s">
        <v>127</v>
      </c>
      <c r="L903">
        <v>50</v>
      </c>
      <c r="M903">
        <v>1137699</v>
      </c>
      <c r="N903">
        <v>6</v>
      </c>
      <c r="O903">
        <v>3</v>
      </c>
      <c r="P903" t="s">
        <v>168</v>
      </c>
      <c r="Q903" t="s">
        <v>129</v>
      </c>
      <c r="R903">
        <v>26</v>
      </c>
      <c r="S903" t="s">
        <v>1152</v>
      </c>
      <c r="T903">
        <v>19</v>
      </c>
      <c r="U903">
        <v>24</v>
      </c>
      <c r="V903">
        <v>4</v>
      </c>
      <c r="W903">
        <v>1</v>
      </c>
      <c r="X903">
        <v>3</v>
      </c>
      <c r="Y903">
        <v>1</v>
      </c>
      <c r="Z903">
        <v>24</v>
      </c>
      <c r="AA903">
        <v>29</v>
      </c>
      <c r="AB903">
        <v>50</v>
      </c>
      <c r="AC903">
        <v>26</v>
      </c>
      <c r="AD903">
        <v>4</v>
      </c>
      <c r="AE903">
        <v>2</v>
      </c>
      <c r="AF903">
        <v>33</v>
      </c>
      <c r="AG903">
        <v>1</v>
      </c>
      <c r="AH903">
        <v>24</v>
      </c>
      <c r="AI903">
        <v>17</v>
      </c>
      <c r="AJ903">
        <v>21</v>
      </c>
      <c r="AK903">
        <v>23</v>
      </c>
      <c r="AL903">
        <v>0</v>
      </c>
      <c r="AM903">
        <v>0.12</v>
      </c>
      <c r="AN903">
        <v>1.9090909090909092</v>
      </c>
      <c r="AO903">
        <v>0.13636363636363635</v>
      </c>
      <c r="AP903" t="s">
        <v>130</v>
      </c>
      <c r="AQ903" t="s">
        <v>131</v>
      </c>
      <c r="AR903" t="s">
        <v>523</v>
      </c>
      <c r="AS903">
        <v>3135</v>
      </c>
      <c r="AT903">
        <v>2861</v>
      </c>
      <c r="AU903">
        <v>0</v>
      </c>
      <c r="AV903">
        <v>0</v>
      </c>
      <c r="AW903">
        <v>5.9960000000000004</v>
      </c>
      <c r="AX903">
        <v>0.23061538461538464</v>
      </c>
      <c r="AY903">
        <v>7.6103076923076927</v>
      </c>
      <c r="AZ903" t="s">
        <v>135</v>
      </c>
      <c r="BA903">
        <v>-1.6103076923076927</v>
      </c>
      <c r="BB903">
        <v>-6.9826551034022692</v>
      </c>
      <c r="BC903" t="s">
        <v>133</v>
      </c>
      <c r="BD903">
        <v>0</v>
      </c>
      <c r="BE903" t="s">
        <v>133</v>
      </c>
      <c r="BF90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5.9960000000000004</v>
      </c>
    </row>
    <row r="904" spans="1:58" x14ac:dyDescent="0.25">
      <c r="A904" t="s">
        <v>1160</v>
      </c>
      <c r="B904" t="s">
        <v>19</v>
      </c>
      <c r="C904">
        <v>2</v>
      </c>
      <c r="D904">
        <v>288</v>
      </c>
      <c r="E904" t="s">
        <v>2110</v>
      </c>
      <c r="F904" t="s">
        <v>123</v>
      </c>
      <c r="G904" t="s">
        <v>124</v>
      </c>
      <c r="H904" t="s">
        <v>125</v>
      </c>
      <c r="I904" t="s">
        <v>126</v>
      </c>
      <c r="J904" t="s">
        <v>126</v>
      </c>
      <c r="K904" t="s">
        <v>127</v>
      </c>
      <c r="L904">
        <v>50</v>
      </c>
      <c r="M904">
        <v>1137701</v>
      </c>
      <c r="N904">
        <v>6</v>
      </c>
      <c r="O904">
        <v>3</v>
      </c>
      <c r="P904" t="s">
        <v>168</v>
      </c>
      <c r="Q904" t="s">
        <v>129</v>
      </c>
      <c r="R904">
        <v>26</v>
      </c>
      <c r="S904" t="s">
        <v>1152</v>
      </c>
      <c r="T904">
        <v>32</v>
      </c>
      <c r="U904">
        <v>38</v>
      </c>
      <c r="V904">
        <v>0</v>
      </c>
      <c r="W904">
        <v>0</v>
      </c>
      <c r="X904">
        <v>0</v>
      </c>
      <c r="Y904">
        <v>0</v>
      </c>
      <c r="Z904">
        <v>32</v>
      </c>
      <c r="AA904">
        <v>38</v>
      </c>
      <c r="AB904">
        <v>50</v>
      </c>
      <c r="AC904">
        <v>45</v>
      </c>
      <c r="AD904">
        <v>0</v>
      </c>
      <c r="AE904">
        <v>0</v>
      </c>
      <c r="AF904">
        <v>45</v>
      </c>
      <c r="AG904">
        <v>0</v>
      </c>
      <c r="AH904">
        <v>5</v>
      </c>
      <c r="AI904">
        <v>5</v>
      </c>
      <c r="AJ904">
        <v>5</v>
      </c>
      <c r="AK904">
        <v>5</v>
      </c>
      <c r="AL904">
        <v>0</v>
      </c>
      <c r="AM904">
        <v>0.12</v>
      </c>
      <c r="AN904">
        <v>0.45454545454545459</v>
      </c>
      <c r="AO904">
        <v>0</v>
      </c>
      <c r="AP904" t="s">
        <v>130</v>
      </c>
      <c r="AQ904" t="s">
        <v>131</v>
      </c>
      <c r="AR904" t="s">
        <v>523</v>
      </c>
      <c r="AS904">
        <v>3098</v>
      </c>
      <c r="AT904">
        <v>3387</v>
      </c>
      <c r="AU904">
        <v>0</v>
      </c>
      <c r="AV904">
        <v>0</v>
      </c>
      <c r="AW904">
        <v>6.4850000000000003</v>
      </c>
      <c r="AX904">
        <v>0.14411111111111111</v>
      </c>
      <c r="AY904">
        <v>6.4849999999999994</v>
      </c>
      <c r="AZ904" t="s">
        <v>135</v>
      </c>
      <c r="BA904">
        <v>-0.48499999999999943</v>
      </c>
      <c r="BB904">
        <v>-3.3654587509637586</v>
      </c>
      <c r="BC904" t="s">
        <v>144</v>
      </c>
      <c r="BD904">
        <v>0</v>
      </c>
      <c r="BE904" t="s">
        <v>133</v>
      </c>
      <c r="BF90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6.4850000000000003</v>
      </c>
    </row>
    <row r="905" spans="1:58" x14ac:dyDescent="0.25">
      <c r="A905" t="s">
        <v>1161</v>
      </c>
      <c r="B905" t="s">
        <v>19</v>
      </c>
      <c r="C905">
        <v>2</v>
      </c>
      <c r="D905">
        <v>289</v>
      </c>
      <c r="E905" t="s">
        <v>2108</v>
      </c>
      <c r="F905" t="s">
        <v>123</v>
      </c>
      <c r="G905" t="s">
        <v>124</v>
      </c>
      <c r="H905" t="s">
        <v>125</v>
      </c>
      <c r="I905" t="s">
        <v>140</v>
      </c>
      <c r="J905" t="s">
        <v>141</v>
      </c>
      <c r="K905" t="s">
        <v>127</v>
      </c>
      <c r="L905">
        <v>50</v>
      </c>
      <c r="M905">
        <v>1137703</v>
      </c>
      <c r="N905">
        <v>10</v>
      </c>
      <c r="O905">
        <v>3</v>
      </c>
      <c r="P905" t="s">
        <v>168</v>
      </c>
      <c r="Q905" t="s">
        <v>129</v>
      </c>
      <c r="R905">
        <v>27</v>
      </c>
      <c r="T905">
        <v>41</v>
      </c>
      <c r="U905">
        <v>46</v>
      </c>
      <c r="V905">
        <v>0</v>
      </c>
      <c r="W905">
        <v>0</v>
      </c>
      <c r="X905">
        <v>0</v>
      </c>
      <c r="Y905">
        <v>1</v>
      </c>
      <c r="Z905">
        <v>42</v>
      </c>
      <c r="AA905">
        <v>47</v>
      </c>
      <c r="AB905">
        <v>50</v>
      </c>
      <c r="AC905">
        <v>46</v>
      </c>
      <c r="AD905">
        <v>0</v>
      </c>
      <c r="AE905">
        <v>1</v>
      </c>
      <c r="AF905">
        <v>47</v>
      </c>
      <c r="AG905">
        <v>0</v>
      </c>
      <c r="AH905">
        <v>4</v>
      </c>
      <c r="AI905">
        <v>3</v>
      </c>
      <c r="AJ905">
        <v>3</v>
      </c>
      <c r="AK905">
        <v>4</v>
      </c>
      <c r="AL905">
        <v>0</v>
      </c>
      <c r="AM905">
        <v>0.2</v>
      </c>
      <c r="AN905">
        <v>0.27272727272727271</v>
      </c>
      <c r="AO905">
        <v>0</v>
      </c>
      <c r="AP905" t="s">
        <v>142</v>
      </c>
      <c r="AQ905" t="s">
        <v>131</v>
      </c>
      <c r="AR905" t="s">
        <v>194</v>
      </c>
      <c r="AS905">
        <v>5321</v>
      </c>
      <c r="AT905">
        <v>4886</v>
      </c>
      <c r="AU905">
        <v>0</v>
      </c>
      <c r="AV905">
        <v>0</v>
      </c>
      <c r="AW905">
        <v>10.207000000000001</v>
      </c>
      <c r="AX905">
        <v>0.22189130434782611</v>
      </c>
      <c r="AY905">
        <v>10.428891304347827</v>
      </c>
      <c r="AZ905" t="s">
        <v>135</v>
      </c>
      <c r="BA905">
        <v>-0.42889130434782707</v>
      </c>
      <c r="BB905">
        <v>-1.9328891936906087</v>
      </c>
      <c r="BC905" t="s">
        <v>132</v>
      </c>
      <c r="BD905">
        <v>0</v>
      </c>
      <c r="BE905" t="s">
        <v>133</v>
      </c>
      <c r="BF90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10.207000000000001</v>
      </c>
    </row>
    <row r="906" spans="1:58" x14ac:dyDescent="0.25">
      <c r="A906" t="s">
        <v>1162</v>
      </c>
      <c r="B906" t="s">
        <v>19</v>
      </c>
      <c r="C906">
        <v>2</v>
      </c>
      <c r="D906">
        <v>290</v>
      </c>
      <c r="E906" t="s">
        <v>2108</v>
      </c>
      <c r="F906" t="s">
        <v>123</v>
      </c>
      <c r="G906" t="s">
        <v>124</v>
      </c>
      <c r="H906" t="s">
        <v>125</v>
      </c>
      <c r="I906" t="s">
        <v>140</v>
      </c>
      <c r="J906" t="s">
        <v>141</v>
      </c>
      <c r="K906" t="s">
        <v>127</v>
      </c>
      <c r="L906">
        <v>50</v>
      </c>
      <c r="M906">
        <v>1137705</v>
      </c>
      <c r="N906">
        <v>10</v>
      </c>
      <c r="O906">
        <v>3</v>
      </c>
      <c r="P906" t="s">
        <v>168</v>
      </c>
      <c r="Q906" t="s">
        <v>129</v>
      </c>
      <c r="R906">
        <v>27</v>
      </c>
      <c r="T906">
        <v>29</v>
      </c>
      <c r="U906">
        <v>34</v>
      </c>
      <c r="V906">
        <v>4</v>
      </c>
      <c r="W906">
        <v>0</v>
      </c>
      <c r="X906">
        <v>4</v>
      </c>
      <c r="Y906">
        <v>5</v>
      </c>
      <c r="Z906">
        <v>38</v>
      </c>
      <c r="AA906">
        <v>43</v>
      </c>
      <c r="AB906">
        <v>50</v>
      </c>
      <c r="AC906">
        <v>34</v>
      </c>
      <c r="AD906">
        <v>4</v>
      </c>
      <c r="AE906">
        <v>5</v>
      </c>
      <c r="AF906">
        <v>43</v>
      </c>
      <c r="AG906">
        <v>0</v>
      </c>
      <c r="AH906">
        <v>16</v>
      </c>
      <c r="AI906">
        <v>7</v>
      </c>
      <c r="AJ906">
        <v>11</v>
      </c>
      <c r="AK906">
        <v>16</v>
      </c>
      <c r="AL906">
        <v>0</v>
      </c>
      <c r="AM906">
        <v>0.2</v>
      </c>
      <c r="AN906">
        <v>1</v>
      </c>
      <c r="AO906">
        <v>0</v>
      </c>
      <c r="AP906" t="s">
        <v>142</v>
      </c>
      <c r="AQ906" t="s">
        <v>131</v>
      </c>
      <c r="AR906" t="s">
        <v>194</v>
      </c>
      <c r="AS906">
        <v>4755</v>
      </c>
      <c r="AT906">
        <v>4324</v>
      </c>
      <c r="AU906">
        <v>0</v>
      </c>
      <c r="AV906">
        <v>0</v>
      </c>
      <c r="AW906">
        <v>9.0790000000000006</v>
      </c>
      <c r="AX906">
        <v>0.2670294117647059</v>
      </c>
      <c r="AY906">
        <v>11.482264705882354</v>
      </c>
      <c r="AZ906" t="s">
        <v>135</v>
      </c>
      <c r="BA906">
        <v>-1.4822647058823541</v>
      </c>
      <c r="BB906">
        <v>-5.5509417336711131</v>
      </c>
      <c r="BC906" t="s">
        <v>133</v>
      </c>
      <c r="BD906">
        <v>0</v>
      </c>
      <c r="BE906" t="s">
        <v>133</v>
      </c>
      <c r="BF90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9.0790000000000006</v>
      </c>
    </row>
    <row r="907" spans="1:58" x14ac:dyDescent="0.25">
      <c r="A907" t="s">
        <v>1163</v>
      </c>
      <c r="B907" t="s">
        <v>19</v>
      </c>
      <c r="C907">
        <v>2</v>
      </c>
      <c r="D907">
        <v>291</v>
      </c>
      <c r="E907" t="s">
        <v>2108</v>
      </c>
      <c r="F907" t="s">
        <v>123</v>
      </c>
      <c r="G907" t="s">
        <v>124</v>
      </c>
      <c r="H907" t="s">
        <v>125</v>
      </c>
      <c r="I907" t="s">
        <v>140</v>
      </c>
      <c r="J907" t="s">
        <v>141</v>
      </c>
      <c r="K907" t="s">
        <v>127</v>
      </c>
      <c r="L907">
        <v>50</v>
      </c>
      <c r="M907">
        <v>1137707</v>
      </c>
      <c r="N907">
        <v>10</v>
      </c>
      <c r="O907">
        <v>3</v>
      </c>
      <c r="P907" t="s">
        <v>168</v>
      </c>
      <c r="Q907" t="s">
        <v>129</v>
      </c>
      <c r="R907">
        <v>27</v>
      </c>
      <c r="T907">
        <v>33</v>
      </c>
      <c r="U907">
        <v>38</v>
      </c>
      <c r="V907">
        <v>7</v>
      </c>
      <c r="W907">
        <v>0</v>
      </c>
      <c r="X907">
        <v>7</v>
      </c>
      <c r="Y907">
        <v>2</v>
      </c>
      <c r="Z907">
        <v>42</v>
      </c>
      <c r="AA907">
        <v>47</v>
      </c>
      <c r="AB907">
        <v>50</v>
      </c>
      <c r="AC907">
        <v>38</v>
      </c>
      <c r="AD907">
        <v>7</v>
      </c>
      <c r="AE907">
        <v>2</v>
      </c>
      <c r="AF907">
        <v>47</v>
      </c>
      <c r="AG907">
        <v>0</v>
      </c>
      <c r="AH907">
        <v>12</v>
      </c>
      <c r="AI907">
        <v>3</v>
      </c>
      <c r="AJ907">
        <v>10</v>
      </c>
      <c r="AK907">
        <v>12</v>
      </c>
      <c r="AL907">
        <v>0</v>
      </c>
      <c r="AM907">
        <v>0.2</v>
      </c>
      <c r="AN907">
        <v>0.90909090909090917</v>
      </c>
      <c r="AO907">
        <v>0</v>
      </c>
      <c r="AP907" t="s">
        <v>142</v>
      </c>
      <c r="AQ907" t="s">
        <v>131</v>
      </c>
      <c r="AR907" t="s">
        <v>194</v>
      </c>
      <c r="AS907">
        <v>7269</v>
      </c>
      <c r="AT907">
        <v>7194</v>
      </c>
      <c r="AU907">
        <v>0</v>
      </c>
      <c r="AV907">
        <v>0</v>
      </c>
      <c r="AW907">
        <v>14.462999999999999</v>
      </c>
      <c r="AX907">
        <v>0.38060526315789472</v>
      </c>
      <c r="AY907">
        <v>17.888447368421051</v>
      </c>
      <c r="AZ907" t="s">
        <v>135</v>
      </c>
      <c r="BA907">
        <v>-7.8884473684210512</v>
      </c>
      <c r="BB907">
        <v>-20.726059600359534</v>
      </c>
      <c r="BC907" t="s">
        <v>133</v>
      </c>
      <c r="BD907">
        <v>0</v>
      </c>
      <c r="BE907" t="s">
        <v>133</v>
      </c>
      <c r="BF90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14.462999999999999</v>
      </c>
    </row>
    <row r="908" spans="1:58" x14ac:dyDescent="0.25">
      <c r="A908" t="s">
        <v>1164</v>
      </c>
      <c r="B908" t="s">
        <v>19</v>
      </c>
      <c r="C908">
        <v>2</v>
      </c>
      <c r="D908">
        <v>292</v>
      </c>
      <c r="E908" t="s">
        <v>2108</v>
      </c>
      <c r="F908" t="s">
        <v>123</v>
      </c>
      <c r="G908" t="s">
        <v>124</v>
      </c>
      <c r="H908" t="s">
        <v>125</v>
      </c>
      <c r="I908" t="s">
        <v>140</v>
      </c>
      <c r="J908" t="s">
        <v>141</v>
      </c>
      <c r="K908" t="s">
        <v>127</v>
      </c>
      <c r="L908">
        <v>50</v>
      </c>
      <c r="M908">
        <v>1137709</v>
      </c>
      <c r="N908">
        <v>10</v>
      </c>
      <c r="O908">
        <v>3</v>
      </c>
      <c r="P908" t="s">
        <v>168</v>
      </c>
      <c r="Q908" t="s">
        <v>129</v>
      </c>
      <c r="R908">
        <v>27</v>
      </c>
      <c r="T908">
        <v>38</v>
      </c>
      <c r="U908">
        <v>43</v>
      </c>
      <c r="V908">
        <v>1</v>
      </c>
      <c r="W908">
        <v>0</v>
      </c>
      <c r="X908">
        <v>1</v>
      </c>
      <c r="Y908">
        <v>0</v>
      </c>
      <c r="Z908">
        <v>39</v>
      </c>
      <c r="AA908">
        <v>44</v>
      </c>
      <c r="AB908">
        <v>50</v>
      </c>
      <c r="AC908">
        <v>43</v>
      </c>
      <c r="AD908">
        <v>1</v>
      </c>
      <c r="AE908">
        <v>0</v>
      </c>
      <c r="AF908">
        <v>44</v>
      </c>
      <c r="AG908">
        <v>0</v>
      </c>
      <c r="AH908">
        <v>7</v>
      </c>
      <c r="AI908">
        <v>6</v>
      </c>
      <c r="AJ908">
        <v>7</v>
      </c>
      <c r="AK908">
        <v>7</v>
      </c>
      <c r="AL908">
        <v>0</v>
      </c>
      <c r="AM908">
        <v>0.2</v>
      </c>
      <c r="AN908">
        <v>0.63636363636363635</v>
      </c>
      <c r="AO908">
        <v>0</v>
      </c>
      <c r="AP908" t="s">
        <v>142</v>
      </c>
      <c r="AQ908" t="s">
        <v>131</v>
      </c>
      <c r="AR908" t="s">
        <v>194</v>
      </c>
      <c r="AS908">
        <v>6489</v>
      </c>
      <c r="AT908">
        <v>6133</v>
      </c>
      <c r="AU908">
        <v>0</v>
      </c>
      <c r="AV908">
        <v>0</v>
      </c>
      <c r="AW908">
        <v>12.622</v>
      </c>
      <c r="AX908">
        <v>0.29353488372093023</v>
      </c>
      <c r="AY908">
        <v>12.91553488372093</v>
      </c>
      <c r="AZ908" t="s">
        <v>135</v>
      </c>
      <c r="BA908">
        <v>-2.9155348837209303</v>
      </c>
      <c r="BB908">
        <v>-9.932498811598796</v>
      </c>
      <c r="BC908" t="s">
        <v>133</v>
      </c>
      <c r="BD908">
        <v>0</v>
      </c>
      <c r="BE908" t="s">
        <v>133</v>
      </c>
      <c r="BF90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12.622</v>
      </c>
    </row>
    <row r="909" spans="1:58" x14ac:dyDescent="0.25">
      <c r="A909" t="s">
        <v>1165</v>
      </c>
      <c r="B909" t="s">
        <v>19</v>
      </c>
      <c r="C909">
        <v>2</v>
      </c>
      <c r="D909">
        <v>293</v>
      </c>
      <c r="E909" t="s">
        <v>2108</v>
      </c>
      <c r="F909" t="s">
        <v>123</v>
      </c>
      <c r="G909" t="s">
        <v>124</v>
      </c>
      <c r="H909" t="s">
        <v>125</v>
      </c>
      <c r="I909" t="s">
        <v>140</v>
      </c>
      <c r="J909" t="s">
        <v>141</v>
      </c>
      <c r="K909" t="s">
        <v>127</v>
      </c>
      <c r="L909">
        <v>50</v>
      </c>
      <c r="M909">
        <v>1137711</v>
      </c>
      <c r="N909">
        <v>10</v>
      </c>
      <c r="O909">
        <v>3</v>
      </c>
      <c r="P909" t="s">
        <v>168</v>
      </c>
      <c r="Q909" t="s">
        <v>129</v>
      </c>
      <c r="R909">
        <v>27</v>
      </c>
      <c r="T909">
        <v>31</v>
      </c>
      <c r="U909">
        <v>36</v>
      </c>
      <c r="V909">
        <v>8</v>
      </c>
      <c r="W909">
        <v>0</v>
      </c>
      <c r="X909">
        <v>8</v>
      </c>
      <c r="Y909">
        <v>0</v>
      </c>
      <c r="Z909">
        <v>39</v>
      </c>
      <c r="AA909">
        <v>44</v>
      </c>
      <c r="AB909">
        <v>50</v>
      </c>
      <c r="AC909">
        <v>36</v>
      </c>
      <c r="AD909">
        <v>8</v>
      </c>
      <c r="AE909">
        <v>0</v>
      </c>
      <c r="AF909">
        <v>44</v>
      </c>
      <c r="AG909">
        <v>0</v>
      </c>
      <c r="AH909">
        <v>14</v>
      </c>
      <c r="AI909">
        <v>6</v>
      </c>
      <c r="AJ909">
        <v>14</v>
      </c>
      <c r="AK909">
        <v>14</v>
      </c>
      <c r="AL909">
        <v>0</v>
      </c>
      <c r="AM909">
        <v>0.2</v>
      </c>
      <c r="AN909">
        <v>1.2727272727272727</v>
      </c>
      <c r="AO909">
        <v>0</v>
      </c>
      <c r="AP909" t="s">
        <v>142</v>
      </c>
      <c r="AQ909" t="s">
        <v>131</v>
      </c>
      <c r="AR909" t="s">
        <v>194</v>
      </c>
      <c r="AS909">
        <v>6143</v>
      </c>
      <c r="AT909">
        <v>6699</v>
      </c>
      <c r="AU909">
        <v>0</v>
      </c>
      <c r="AV909">
        <v>0</v>
      </c>
      <c r="AW909">
        <v>12.842000000000001</v>
      </c>
      <c r="AX909">
        <v>0.35672222222222222</v>
      </c>
      <c r="AY909">
        <v>15.695777777777778</v>
      </c>
      <c r="AZ909" t="s">
        <v>135</v>
      </c>
      <c r="BA909">
        <v>-5.6957777777777778</v>
      </c>
      <c r="BB909">
        <v>-15.966983335928983</v>
      </c>
      <c r="BC909" t="s">
        <v>133</v>
      </c>
      <c r="BD909">
        <v>0</v>
      </c>
      <c r="BE909" t="s">
        <v>133</v>
      </c>
      <c r="BF90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12.842000000000001</v>
      </c>
    </row>
    <row r="910" spans="1:58" x14ac:dyDescent="0.25">
      <c r="A910" t="s">
        <v>1166</v>
      </c>
      <c r="B910" t="s">
        <v>19</v>
      </c>
      <c r="C910">
        <v>2</v>
      </c>
      <c r="D910">
        <v>294</v>
      </c>
      <c r="E910" t="s">
        <v>2108</v>
      </c>
      <c r="F910" t="s">
        <v>123</v>
      </c>
      <c r="G910" t="s">
        <v>124</v>
      </c>
      <c r="H910" t="s">
        <v>136</v>
      </c>
      <c r="I910" t="s">
        <v>137</v>
      </c>
      <c r="J910" t="s">
        <v>138</v>
      </c>
      <c r="K910" t="s">
        <v>127</v>
      </c>
      <c r="L910">
        <v>50</v>
      </c>
      <c r="M910">
        <v>1137713</v>
      </c>
      <c r="N910">
        <v>5</v>
      </c>
      <c r="O910">
        <v>3</v>
      </c>
      <c r="P910" t="s">
        <v>168</v>
      </c>
      <c r="Q910" t="s">
        <v>129</v>
      </c>
      <c r="R910">
        <v>27</v>
      </c>
      <c r="T910">
        <v>0</v>
      </c>
      <c r="U910">
        <v>4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4</v>
      </c>
      <c r="AB910">
        <v>50</v>
      </c>
      <c r="AC910">
        <v>4</v>
      </c>
      <c r="AD910">
        <v>0</v>
      </c>
      <c r="AE910">
        <v>0</v>
      </c>
      <c r="AF910">
        <v>4</v>
      </c>
      <c r="AG910">
        <v>0</v>
      </c>
      <c r="AH910">
        <v>46</v>
      </c>
      <c r="AI910">
        <v>46</v>
      </c>
      <c r="AJ910">
        <v>46</v>
      </c>
      <c r="AK910">
        <v>46</v>
      </c>
      <c r="AL910">
        <v>0</v>
      </c>
      <c r="AM910">
        <v>0.1</v>
      </c>
      <c r="AN910">
        <v>4.1818181818181817</v>
      </c>
      <c r="AO910">
        <v>0</v>
      </c>
      <c r="AP910" t="s">
        <v>139</v>
      </c>
      <c r="AQ910" t="s">
        <v>131</v>
      </c>
      <c r="AR910" t="s">
        <v>194</v>
      </c>
      <c r="AS910">
        <v>0</v>
      </c>
      <c r="AT910">
        <v>0</v>
      </c>
      <c r="AU910">
        <v>0</v>
      </c>
      <c r="AV910">
        <v>0</v>
      </c>
      <c r="AW910">
        <v>0</v>
      </c>
      <c r="AX910">
        <v>0</v>
      </c>
      <c r="AY910">
        <v>0</v>
      </c>
      <c r="AZ910" t="s">
        <v>134</v>
      </c>
      <c r="BA910">
        <v>5</v>
      </c>
      <c r="BB910">
        <v>0</v>
      </c>
      <c r="BC910" t="s">
        <v>133</v>
      </c>
      <c r="BD910">
        <v>0</v>
      </c>
      <c r="BE910" t="s">
        <v>133</v>
      </c>
      <c r="BF91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911" spans="1:58" x14ac:dyDescent="0.25">
      <c r="A911" t="s">
        <v>1167</v>
      </c>
      <c r="B911" t="s">
        <v>19</v>
      </c>
      <c r="C911">
        <v>2</v>
      </c>
      <c r="D911">
        <v>295</v>
      </c>
      <c r="E911" t="s">
        <v>2108</v>
      </c>
      <c r="F911" t="s">
        <v>123</v>
      </c>
      <c r="G911" t="s">
        <v>124</v>
      </c>
      <c r="H911" t="s">
        <v>125</v>
      </c>
      <c r="I911" t="s">
        <v>140</v>
      </c>
      <c r="J911" t="s">
        <v>141</v>
      </c>
      <c r="K911" t="s">
        <v>127</v>
      </c>
      <c r="L911">
        <v>50</v>
      </c>
      <c r="M911">
        <v>1137715</v>
      </c>
      <c r="N911">
        <v>10</v>
      </c>
      <c r="O911">
        <v>3</v>
      </c>
      <c r="P911" t="s">
        <v>168</v>
      </c>
      <c r="Q911" t="s">
        <v>129</v>
      </c>
      <c r="R911">
        <v>27</v>
      </c>
      <c r="T911">
        <v>42</v>
      </c>
      <c r="U911">
        <v>47</v>
      </c>
      <c r="V911">
        <v>0</v>
      </c>
      <c r="W911">
        <v>0</v>
      </c>
      <c r="X911">
        <v>0</v>
      </c>
      <c r="Y911">
        <v>0</v>
      </c>
      <c r="Z911">
        <v>42</v>
      </c>
      <c r="AA911">
        <v>47</v>
      </c>
      <c r="AB911">
        <v>50</v>
      </c>
      <c r="AC911">
        <v>47</v>
      </c>
      <c r="AD911">
        <v>0</v>
      </c>
      <c r="AE911">
        <v>0</v>
      </c>
      <c r="AF911">
        <v>47</v>
      </c>
      <c r="AG911">
        <v>0</v>
      </c>
      <c r="AH911">
        <v>3</v>
      </c>
      <c r="AI911">
        <v>3</v>
      </c>
      <c r="AJ911">
        <v>3</v>
      </c>
      <c r="AK911">
        <v>3</v>
      </c>
      <c r="AL911">
        <v>0</v>
      </c>
      <c r="AM911">
        <v>0.2</v>
      </c>
      <c r="AN911">
        <v>0.27272727272727271</v>
      </c>
      <c r="AO911">
        <v>0</v>
      </c>
      <c r="AP911" t="s">
        <v>142</v>
      </c>
      <c r="AQ911" t="s">
        <v>131</v>
      </c>
      <c r="AR911" t="s">
        <v>194</v>
      </c>
      <c r="AS911">
        <v>7280</v>
      </c>
      <c r="AT911">
        <v>7272</v>
      </c>
      <c r="AU911">
        <v>0</v>
      </c>
      <c r="AV911">
        <v>0</v>
      </c>
      <c r="AW911">
        <v>14.552</v>
      </c>
      <c r="AX911">
        <v>0.30961702127659574</v>
      </c>
      <c r="AY911">
        <v>14.552</v>
      </c>
      <c r="AZ911" t="s">
        <v>135</v>
      </c>
      <c r="BA911">
        <v>-4.5519999999999996</v>
      </c>
      <c r="BB911">
        <v>-14.702034084661902</v>
      </c>
      <c r="BC911" t="s">
        <v>133</v>
      </c>
      <c r="BD911">
        <v>0</v>
      </c>
      <c r="BE911" t="s">
        <v>133</v>
      </c>
      <c r="BF91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14.552</v>
      </c>
    </row>
    <row r="912" spans="1:58" x14ac:dyDescent="0.25">
      <c r="A912" t="s">
        <v>1168</v>
      </c>
      <c r="B912" t="s">
        <v>19</v>
      </c>
      <c r="C912">
        <v>2</v>
      </c>
      <c r="D912">
        <v>296</v>
      </c>
      <c r="E912" t="s">
        <v>2108</v>
      </c>
      <c r="F912" t="s">
        <v>123</v>
      </c>
      <c r="G912" t="s">
        <v>124</v>
      </c>
      <c r="H912" t="s">
        <v>125</v>
      </c>
      <c r="I912" t="s">
        <v>140</v>
      </c>
      <c r="J912" t="s">
        <v>141</v>
      </c>
      <c r="K912" t="s">
        <v>127</v>
      </c>
      <c r="L912">
        <v>50</v>
      </c>
      <c r="M912">
        <v>1137717</v>
      </c>
      <c r="N912">
        <v>10</v>
      </c>
      <c r="O912">
        <v>3</v>
      </c>
      <c r="P912" t="s">
        <v>168</v>
      </c>
      <c r="Q912" t="s">
        <v>129</v>
      </c>
      <c r="R912">
        <v>27</v>
      </c>
      <c r="T912">
        <v>29</v>
      </c>
      <c r="U912">
        <v>34</v>
      </c>
      <c r="V912">
        <v>9</v>
      </c>
      <c r="W912">
        <v>0</v>
      </c>
      <c r="X912">
        <v>9</v>
      </c>
      <c r="Y912">
        <v>1</v>
      </c>
      <c r="Z912">
        <v>39</v>
      </c>
      <c r="AA912">
        <v>44</v>
      </c>
      <c r="AB912">
        <v>50</v>
      </c>
      <c r="AC912">
        <v>34</v>
      </c>
      <c r="AD912">
        <v>9</v>
      </c>
      <c r="AE912">
        <v>1</v>
      </c>
      <c r="AF912">
        <v>44</v>
      </c>
      <c r="AG912">
        <v>0</v>
      </c>
      <c r="AH912">
        <v>16</v>
      </c>
      <c r="AI912">
        <v>6</v>
      </c>
      <c r="AJ912">
        <v>15</v>
      </c>
      <c r="AK912">
        <v>16</v>
      </c>
      <c r="AL912">
        <v>0</v>
      </c>
      <c r="AM912">
        <v>0.2</v>
      </c>
      <c r="AN912">
        <v>1.3636363636363638</v>
      </c>
      <c r="AO912">
        <v>0</v>
      </c>
      <c r="AP912" t="s">
        <v>142</v>
      </c>
      <c r="AQ912" t="s">
        <v>131</v>
      </c>
      <c r="AR912" t="s">
        <v>194</v>
      </c>
      <c r="AS912">
        <v>5876</v>
      </c>
      <c r="AT912">
        <v>6185</v>
      </c>
      <c r="AU912">
        <v>0</v>
      </c>
      <c r="AV912">
        <v>0</v>
      </c>
      <c r="AW912">
        <v>12.061</v>
      </c>
      <c r="AX912">
        <v>0.35473529411764704</v>
      </c>
      <c r="AY912">
        <v>15.60835294117647</v>
      </c>
      <c r="AZ912" t="s">
        <v>135</v>
      </c>
      <c r="BA912">
        <v>-5.6083529411764701</v>
      </c>
      <c r="BB912">
        <v>-15.809966006135477</v>
      </c>
      <c r="BC912" t="s">
        <v>133</v>
      </c>
      <c r="BD912">
        <v>0</v>
      </c>
      <c r="BE912" t="s">
        <v>133</v>
      </c>
      <c r="BF91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12.061</v>
      </c>
    </row>
    <row r="913" spans="1:58" x14ac:dyDescent="0.25">
      <c r="A913" t="s">
        <v>1169</v>
      </c>
      <c r="B913" t="s">
        <v>19</v>
      </c>
      <c r="C913">
        <v>2</v>
      </c>
      <c r="D913">
        <v>297</v>
      </c>
      <c r="E913" t="s">
        <v>2108</v>
      </c>
      <c r="F913" t="s">
        <v>123</v>
      </c>
      <c r="G913" t="s">
        <v>124</v>
      </c>
      <c r="H913" t="s">
        <v>125</v>
      </c>
      <c r="I913" t="s">
        <v>140</v>
      </c>
      <c r="J913" t="s">
        <v>141</v>
      </c>
      <c r="K913" t="s">
        <v>127</v>
      </c>
      <c r="L913">
        <v>50</v>
      </c>
      <c r="M913">
        <v>1137719</v>
      </c>
      <c r="N913">
        <v>10</v>
      </c>
      <c r="O913">
        <v>3</v>
      </c>
      <c r="P913" t="s">
        <v>168</v>
      </c>
      <c r="Q913" t="s">
        <v>129</v>
      </c>
      <c r="R913">
        <v>27</v>
      </c>
      <c r="T913">
        <v>29</v>
      </c>
      <c r="U913">
        <v>34</v>
      </c>
      <c r="V913">
        <v>6</v>
      </c>
      <c r="W913">
        <v>0</v>
      </c>
      <c r="X913">
        <v>6</v>
      </c>
      <c r="Y913">
        <v>3</v>
      </c>
      <c r="Z913">
        <v>38</v>
      </c>
      <c r="AA913">
        <v>43</v>
      </c>
      <c r="AB913">
        <v>50</v>
      </c>
      <c r="AC913">
        <v>34</v>
      </c>
      <c r="AD913">
        <v>6</v>
      </c>
      <c r="AE913">
        <v>3</v>
      </c>
      <c r="AF913">
        <v>43</v>
      </c>
      <c r="AG913">
        <v>0</v>
      </c>
      <c r="AH913">
        <v>16</v>
      </c>
      <c r="AI913">
        <v>7</v>
      </c>
      <c r="AJ913">
        <v>13</v>
      </c>
      <c r="AK913">
        <v>16</v>
      </c>
      <c r="AL913">
        <v>0</v>
      </c>
      <c r="AM913">
        <v>0.2</v>
      </c>
      <c r="AN913">
        <v>1.1818181818181819</v>
      </c>
      <c r="AO913">
        <v>0</v>
      </c>
      <c r="AP913" t="s">
        <v>142</v>
      </c>
      <c r="AQ913" t="s">
        <v>131</v>
      </c>
      <c r="AR913" t="s">
        <v>194</v>
      </c>
      <c r="AS913">
        <v>5742</v>
      </c>
      <c r="AT913">
        <v>5727</v>
      </c>
      <c r="AU913">
        <v>0</v>
      </c>
      <c r="AV913">
        <v>0</v>
      </c>
      <c r="AW913">
        <v>11.468999999999999</v>
      </c>
      <c r="AX913">
        <v>0.33732352941176469</v>
      </c>
      <c r="AY913">
        <v>14.504911764705881</v>
      </c>
      <c r="AZ913" t="s">
        <v>135</v>
      </c>
      <c r="BA913">
        <v>-4.5049117647058807</v>
      </c>
      <c r="BB913">
        <v>-13.35486964861801</v>
      </c>
      <c r="BC913" t="s">
        <v>133</v>
      </c>
      <c r="BD913">
        <v>0</v>
      </c>
      <c r="BE913" t="s">
        <v>133</v>
      </c>
      <c r="BF91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11.468999999999999</v>
      </c>
    </row>
    <row r="914" spans="1:58" x14ac:dyDescent="0.25">
      <c r="A914" t="s">
        <v>1170</v>
      </c>
      <c r="B914" t="s">
        <v>19</v>
      </c>
      <c r="C914">
        <v>2</v>
      </c>
      <c r="D914">
        <v>298</v>
      </c>
      <c r="E914" t="s">
        <v>2108</v>
      </c>
      <c r="F914" t="s">
        <v>123</v>
      </c>
      <c r="G914" t="s">
        <v>124</v>
      </c>
      <c r="H914" t="s">
        <v>125</v>
      </c>
      <c r="I914" t="s">
        <v>140</v>
      </c>
      <c r="J914" t="s">
        <v>141</v>
      </c>
      <c r="K914" t="s">
        <v>127</v>
      </c>
      <c r="L914">
        <v>50</v>
      </c>
      <c r="M914">
        <v>1137721</v>
      </c>
      <c r="N914">
        <v>10</v>
      </c>
      <c r="O914">
        <v>3</v>
      </c>
      <c r="P914" t="s">
        <v>168</v>
      </c>
      <c r="Q914" t="s">
        <v>129</v>
      </c>
      <c r="R914">
        <v>27</v>
      </c>
      <c r="T914">
        <v>41</v>
      </c>
      <c r="U914">
        <v>46</v>
      </c>
      <c r="V914">
        <v>0</v>
      </c>
      <c r="W914">
        <v>0</v>
      </c>
      <c r="X914">
        <v>0</v>
      </c>
      <c r="Y914">
        <v>0</v>
      </c>
      <c r="Z914">
        <v>41</v>
      </c>
      <c r="AA914">
        <v>46</v>
      </c>
      <c r="AB914">
        <v>50</v>
      </c>
      <c r="AC914">
        <v>46</v>
      </c>
      <c r="AD914">
        <v>0</v>
      </c>
      <c r="AE914">
        <v>0</v>
      </c>
      <c r="AF914">
        <v>46</v>
      </c>
      <c r="AG914">
        <v>0</v>
      </c>
      <c r="AH914">
        <v>4</v>
      </c>
      <c r="AI914">
        <v>4</v>
      </c>
      <c r="AJ914">
        <v>4</v>
      </c>
      <c r="AK914">
        <v>4</v>
      </c>
      <c r="AL914">
        <v>0</v>
      </c>
      <c r="AM914">
        <v>0.2</v>
      </c>
      <c r="AN914">
        <v>0.36363636363636365</v>
      </c>
      <c r="AO914">
        <v>0</v>
      </c>
      <c r="AP914" t="s">
        <v>142</v>
      </c>
      <c r="AQ914" t="s">
        <v>131</v>
      </c>
      <c r="AR914" t="s">
        <v>194</v>
      </c>
      <c r="AS914">
        <v>7681</v>
      </c>
      <c r="AT914">
        <v>7656</v>
      </c>
      <c r="AU914">
        <v>0</v>
      </c>
      <c r="AV914">
        <v>0</v>
      </c>
      <c r="AW914">
        <v>15.337</v>
      </c>
      <c r="AX914">
        <v>0.33341304347826084</v>
      </c>
      <c r="AY914">
        <v>15.336999999999998</v>
      </c>
      <c r="AZ914" t="s">
        <v>135</v>
      </c>
      <c r="BA914">
        <v>-5.336999999999998</v>
      </c>
      <c r="BB914">
        <v>-16.007172197952659</v>
      </c>
      <c r="BC914" t="s">
        <v>133</v>
      </c>
      <c r="BD914">
        <v>0</v>
      </c>
      <c r="BE914" t="s">
        <v>133</v>
      </c>
      <c r="BF91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15.337</v>
      </c>
    </row>
    <row r="915" spans="1:58" x14ac:dyDescent="0.25">
      <c r="A915" t="s">
        <v>1171</v>
      </c>
      <c r="B915" t="s">
        <v>19</v>
      </c>
      <c r="C915">
        <v>2</v>
      </c>
      <c r="D915">
        <v>299</v>
      </c>
      <c r="E915" t="s">
        <v>2108</v>
      </c>
      <c r="F915" t="s">
        <v>123</v>
      </c>
      <c r="G915" t="s">
        <v>124</v>
      </c>
      <c r="H915" t="s">
        <v>125</v>
      </c>
      <c r="I915" t="s">
        <v>140</v>
      </c>
      <c r="J915" t="s">
        <v>141</v>
      </c>
      <c r="K915" t="s">
        <v>127</v>
      </c>
      <c r="L915">
        <v>50</v>
      </c>
      <c r="M915">
        <v>1137723</v>
      </c>
      <c r="N915">
        <v>10</v>
      </c>
      <c r="O915">
        <v>3</v>
      </c>
      <c r="P915" t="s">
        <v>168</v>
      </c>
      <c r="Q915" t="s">
        <v>129</v>
      </c>
      <c r="R915">
        <v>27</v>
      </c>
      <c r="T915">
        <v>40</v>
      </c>
      <c r="U915">
        <v>45</v>
      </c>
      <c r="V915">
        <v>3</v>
      </c>
      <c r="W915">
        <v>0</v>
      </c>
      <c r="X915">
        <v>3</v>
      </c>
      <c r="Y915">
        <v>0</v>
      </c>
      <c r="Z915">
        <v>43</v>
      </c>
      <c r="AA915">
        <v>48</v>
      </c>
      <c r="AB915">
        <v>50</v>
      </c>
      <c r="AC915">
        <v>45</v>
      </c>
      <c r="AD915">
        <v>3</v>
      </c>
      <c r="AE915">
        <v>0</v>
      </c>
      <c r="AF915">
        <v>48</v>
      </c>
      <c r="AG915">
        <v>0</v>
      </c>
      <c r="AH915">
        <v>5</v>
      </c>
      <c r="AI915">
        <v>2</v>
      </c>
      <c r="AJ915">
        <v>5</v>
      </c>
      <c r="AK915">
        <v>5</v>
      </c>
      <c r="AL915">
        <v>0</v>
      </c>
      <c r="AM915">
        <v>0.2</v>
      </c>
      <c r="AN915">
        <v>0.45454545454545459</v>
      </c>
      <c r="AO915">
        <v>0</v>
      </c>
      <c r="AP915" t="s">
        <v>142</v>
      </c>
      <c r="AQ915" t="s">
        <v>131</v>
      </c>
      <c r="AR915" t="s">
        <v>194</v>
      </c>
      <c r="AS915">
        <v>3557</v>
      </c>
      <c r="AT915">
        <v>5461</v>
      </c>
      <c r="AU915">
        <v>0</v>
      </c>
      <c r="AV915">
        <v>0</v>
      </c>
      <c r="AW915">
        <v>9.0180000000000007</v>
      </c>
      <c r="AX915">
        <v>0.20040000000000002</v>
      </c>
      <c r="AY915">
        <v>9.6192000000000011</v>
      </c>
      <c r="AZ915" t="s">
        <v>135</v>
      </c>
      <c r="BA915">
        <v>0.38079999999999892</v>
      </c>
      <c r="BB915">
        <v>1.9001996007983977</v>
      </c>
      <c r="BC915" t="s">
        <v>144</v>
      </c>
      <c r="BD915">
        <v>0</v>
      </c>
      <c r="BE915" t="s">
        <v>133</v>
      </c>
      <c r="BF91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9.0180000000000007</v>
      </c>
    </row>
    <row r="916" spans="1:58" x14ac:dyDescent="0.25">
      <c r="A916" t="s">
        <v>1172</v>
      </c>
      <c r="B916" t="s">
        <v>19</v>
      </c>
      <c r="C916">
        <v>2</v>
      </c>
      <c r="D916">
        <v>300</v>
      </c>
      <c r="E916" t="s">
        <v>2110</v>
      </c>
      <c r="F916" t="s">
        <v>123</v>
      </c>
      <c r="G916" t="s">
        <v>124</v>
      </c>
      <c r="H916" t="s">
        <v>125</v>
      </c>
      <c r="I916" t="s">
        <v>140</v>
      </c>
      <c r="J916" t="s">
        <v>141</v>
      </c>
      <c r="K916" t="s">
        <v>127</v>
      </c>
      <c r="L916">
        <v>50</v>
      </c>
      <c r="M916">
        <v>1137725</v>
      </c>
      <c r="N916">
        <v>10</v>
      </c>
      <c r="O916">
        <v>3</v>
      </c>
      <c r="P916" t="s">
        <v>168</v>
      </c>
      <c r="Q916" t="s">
        <v>129</v>
      </c>
      <c r="R916">
        <v>28</v>
      </c>
      <c r="T916">
        <v>24</v>
      </c>
      <c r="U916">
        <v>29</v>
      </c>
      <c r="V916">
        <v>10</v>
      </c>
      <c r="W916">
        <v>0</v>
      </c>
      <c r="X916">
        <v>10</v>
      </c>
      <c r="Y916">
        <v>0</v>
      </c>
      <c r="Z916">
        <v>34</v>
      </c>
      <c r="AA916">
        <v>39</v>
      </c>
      <c r="AB916">
        <v>50</v>
      </c>
      <c r="AC916">
        <v>29</v>
      </c>
      <c r="AD916">
        <v>10</v>
      </c>
      <c r="AE916">
        <v>0</v>
      </c>
      <c r="AF916">
        <v>39</v>
      </c>
      <c r="AG916">
        <v>0</v>
      </c>
      <c r="AH916">
        <v>21</v>
      </c>
      <c r="AI916">
        <v>11</v>
      </c>
      <c r="AJ916">
        <v>21</v>
      </c>
      <c r="AK916">
        <v>21</v>
      </c>
      <c r="AL916">
        <v>0</v>
      </c>
      <c r="AM916">
        <v>0.2</v>
      </c>
      <c r="AN916">
        <v>1.9090909090909092</v>
      </c>
      <c r="AO916">
        <v>0</v>
      </c>
      <c r="AP916" t="s">
        <v>142</v>
      </c>
      <c r="AQ916" t="s">
        <v>131</v>
      </c>
      <c r="AR916" t="s">
        <v>523</v>
      </c>
      <c r="AS916">
        <v>4541</v>
      </c>
      <c r="AT916">
        <v>4537</v>
      </c>
      <c r="AU916">
        <v>0</v>
      </c>
      <c r="AV916">
        <v>0</v>
      </c>
      <c r="AW916">
        <v>9.0779999999999994</v>
      </c>
      <c r="AX916">
        <v>0.31303448275862067</v>
      </c>
      <c r="AY916">
        <v>12.208344827586206</v>
      </c>
      <c r="AZ916" t="s">
        <v>135</v>
      </c>
      <c r="BA916">
        <v>-2.2083448275862061</v>
      </c>
      <c r="BB916">
        <v>-7.0546375853712249</v>
      </c>
      <c r="BC916" t="s">
        <v>132</v>
      </c>
      <c r="BD916">
        <v>0</v>
      </c>
      <c r="BE916" t="s">
        <v>133</v>
      </c>
      <c r="BF91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9.0779999999999994</v>
      </c>
    </row>
    <row r="917" spans="1:58" x14ac:dyDescent="0.25">
      <c r="A917" t="s">
        <v>1173</v>
      </c>
      <c r="B917" t="s">
        <v>19</v>
      </c>
      <c r="C917">
        <v>2</v>
      </c>
      <c r="D917">
        <v>301</v>
      </c>
      <c r="E917" t="s">
        <v>2110</v>
      </c>
      <c r="F917" t="s">
        <v>123</v>
      </c>
      <c r="G917" t="s">
        <v>124</v>
      </c>
      <c r="H917" t="s">
        <v>125</v>
      </c>
      <c r="I917" t="s">
        <v>140</v>
      </c>
      <c r="J917" t="s">
        <v>141</v>
      </c>
      <c r="K917" t="s">
        <v>127</v>
      </c>
      <c r="L917">
        <v>50</v>
      </c>
      <c r="M917">
        <v>1137727</v>
      </c>
      <c r="N917">
        <v>10</v>
      </c>
      <c r="O917">
        <v>3</v>
      </c>
      <c r="P917" t="s">
        <v>168</v>
      </c>
      <c r="Q917" t="s">
        <v>129</v>
      </c>
      <c r="R917">
        <v>28</v>
      </c>
      <c r="T917">
        <v>40</v>
      </c>
      <c r="U917">
        <v>45</v>
      </c>
      <c r="V917">
        <v>2</v>
      </c>
      <c r="W917">
        <v>0</v>
      </c>
      <c r="X917">
        <v>2</v>
      </c>
      <c r="Y917">
        <v>0</v>
      </c>
      <c r="Z917">
        <v>42</v>
      </c>
      <c r="AA917">
        <v>47</v>
      </c>
      <c r="AB917">
        <v>50</v>
      </c>
      <c r="AC917">
        <v>45</v>
      </c>
      <c r="AD917">
        <v>2</v>
      </c>
      <c r="AE917">
        <v>0</v>
      </c>
      <c r="AF917">
        <v>47</v>
      </c>
      <c r="AG917">
        <v>0</v>
      </c>
      <c r="AH917">
        <v>5</v>
      </c>
      <c r="AI917">
        <v>3</v>
      </c>
      <c r="AJ917">
        <v>5</v>
      </c>
      <c r="AK917">
        <v>5</v>
      </c>
      <c r="AL917">
        <v>0</v>
      </c>
      <c r="AM917">
        <v>0.2</v>
      </c>
      <c r="AN917">
        <v>0.45454545454545459</v>
      </c>
      <c r="AO917">
        <v>0</v>
      </c>
      <c r="AP917" t="s">
        <v>142</v>
      </c>
      <c r="AQ917" t="s">
        <v>131</v>
      </c>
      <c r="AR917" t="s">
        <v>523</v>
      </c>
      <c r="AS917">
        <v>5500</v>
      </c>
      <c r="AT917">
        <v>5242</v>
      </c>
      <c r="AU917">
        <v>0</v>
      </c>
      <c r="AV917">
        <v>0</v>
      </c>
      <c r="AW917">
        <v>10.742000000000001</v>
      </c>
      <c r="AX917">
        <v>0.23871111111111112</v>
      </c>
      <c r="AY917">
        <v>11.219422222222223</v>
      </c>
      <c r="AZ917" t="s">
        <v>135</v>
      </c>
      <c r="BA917">
        <v>-1.2194222222222226</v>
      </c>
      <c r="BB917">
        <v>-5.1083597095512951</v>
      </c>
      <c r="BC917" t="s">
        <v>133</v>
      </c>
      <c r="BD917">
        <v>0</v>
      </c>
      <c r="BE917" t="s">
        <v>133</v>
      </c>
      <c r="BF91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10.742000000000001</v>
      </c>
    </row>
    <row r="918" spans="1:58" x14ac:dyDescent="0.25">
      <c r="A918" t="s">
        <v>1174</v>
      </c>
      <c r="B918" t="s">
        <v>19</v>
      </c>
      <c r="C918">
        <v>2</v>
      </c>
      <c r="D918">
        <v>302</v>
      </c>
      <c r="E918" t="s">
        <v>2110</v>
      </c>
      <c r="F918" t="s">
        <v>123</v>
      </c>
      <c r="G918" t="s">
        <v>124</v>
      </c>
      <c r="H918" t="s">
        <v>125</v>
      </c>
      <c r="I918" t="s">
        <v>140</v>
      </c>
      <c r="J918" t="s">
        <v>141</v>
      </c>
      <c r="K918" t="s">
        <v>127</v>
      </c>
      <c r="L918">
        <v>50</v>
      </c>
      <c r="M918">
        <v>1137729</v>
      </c>
      <c r="N918">
        <v>10</v>
      </c>
      <c r="O918">
        <v>3</v>
      </c>
      <c r="P918" t="s">
        <v>168</v>
      </c>
      <c r="Q918" t="s">
        <v>129</v>
      </c>
      <c r="R918">
        <v>28</v>
      </c>
      <c r="T918">
        <v>28</v>
      </c>
      <c r="U918">
        <v>33</v>
      </c>
      <c r="V918">
        <v>0</v>
      </c>
      <c r="W918">
        <v>0</v>
      </c>
      <c r="X918">
        <v>0</v>
      </c>
      <c r="Y918">
        <v>1</v>
      </c>
      <c r="Z918">
        <v>29</v>
      </c>
      <c r="AA918">
        <v>34</v>
      </c>
      <c r="AB918">
        <v>50</v>
      </c>
      <c r="AC918">
        <v>33</v>
      </c>
      <c r="AD918">
        <v>0</v>
      </c>
      <c r="AE918">
        <v>1</v>
      </c>
      <c r="AF918">
        <v>34</v>
      </c>
      <c r="AG918">
        <v>0</v>
      </c>
      <c r="AH918">
        <v>17</v>
      </c>
      <c r="AI918">
        <v>16</v>
      </c>
      <c r="AJ918">
        <v>16</v>
      </c>
      <c r="AK918">
        <v>17</v>
      </c>
      <c r="AL918">
        <v>0</v>
      </c>
      <c r="AM918">
        <v>0.2</v>
      </c>
      <c r="AN918">
        <v>1.4545454545454546</v>
      </c>
      <c r="AO918">
        <v>0</v>
      </c>
      <c r="AP918" t="s">
        <v>142</v>
      </c>
      <c r="AQ918" t="s">
        <v>131</v>
      </c>
      <c r="AR918" t="s">
        <v>523</v>
      </c>
      <c r="AS918">
        <v>4644</v>
      </c>
      <c r="AT918">
        <v>4383</v>
      </c>
      <c r="AU918">
        <v>0</v>
      </c>
      <c r="AV918">
        <v>0</v>
      </c>
      <c r="AW918">
        <v>9.0269999999999992</v>
      </c>
      <c r="AX918">
        <v>0.27354545454545454</v>
      </c>
      <c r="AY918">
        <v>9.3005454545454533</v>
      </c>
      <c r="AZ918" t="s">
        <v>135</v>
      </c>
      <c r="BA918">
        <v>0.69945454545454666</v>
      </c>
      <c r="BB918">
        <v>2.556995679627788</v>
      </c>
      <c r="BC918" t="s">
        <v>133</v>
      </c>
      <c r="BD918">
        <v>0</v>
      </c>
      <c r="BE918" t="s">
        <v>133</v>
      </c>
      <c r="BF91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9.0269999999999992</v>
      </c>
    </row>
    <row r="919" spans="1:58" x14ac:dyDescent="0.25">
      <c r="A919" t="s">
        <v>1175</v>
      </c>
      <c r="B919" t="s">
        <v>19</v>
      </c>
      <c r="C919">
        <v>2</v>
      </c>
      <c r="D919">
        <v>303</v>
      </c>
      <c r="E919" t="s">
        <v>2110</v>
      </c>
      <c r="F919" t="s">
        <v>123</v>
      </c>
      <c r="G919" t="s">
        <v>124</v>
      </c>
      <c r="H919" t="s">
        <v>125</v>
      </c>
      <c r="I919" t="s">
        <v>140</v>
      </c>
      <c r="J919" t="s">
        <v>141</v>
      </c>
      <c r="K919" t="s">
        <v>127</v>
      </c>
      <c r="L919">
        <v>50</v>
      </c>
      <c r="M919">
        <v>1137731</v>
      </c>
      <c r="N919">
        <v>10</v>
      </c>
      <c r="O919">
        <v>3</v>
      </c>
      <c r="P919" t="s">
        <v>168</v>
      </c>
      <c r="Q919" t="s">
        <v>129</v>
      </c>
      <c r="R919">
        <v>28</v>
      </c>
      <c r="T919">
        <v>27</v>
      </c>
      <c r="U919">
        <v>32</v>
      </c>
      <c r="V919">
        <v>5</v>
      </c>
      <c r="W919">
        <v>0</v>
      </c>
      <c r="X919">
        <v>5</v>
      </c>
      <c r="Y919">
        <v>0</v>
      </c>
      <c r="Z919">
        <v>32</v>
      </c>
      <c r="AA919">
        <v>37</v>
      </c>
      <c r="AB919">
        <v>50</v>
      </c>
      <c r="AC919">
        <v>32</v>
      </c>
      <c r="AD919">
        <v>5</v>
      </c>
      <c r="AE919">
        <v>0</v>
      </c>
      <c r="AF919">
        <v>37</v>
      </c>
      <c r="AG919">
        <v>0</v>
      </c>
      <c r="AH919">
        <v>18</v>
      </c>
      <c r="AI919">
        <v>13</v>
      </c>
      <c r="AJ919">
        <v>18</v>
      </c>
      <c r="AK919">
        <v>18</v>
      </c>
      <c r="AL919">
        <v>0</v>
      </c>
      <c r="AM919">
        <v>0.2</v>
      </c>
      <c r="AN919">
        <v>1.6363636363636365</v>
      </c>
      <c r="AO919">
        <v>0</v>
      </c>
      <c r="AP919" t="s">
        <v>142</v>
      </c>
      <c r="AQ919" t="s">
        <v>131</v>
      </c>
      <c r="AR919" t="s">
        <v>523</v>
      </c>
      <c r="AS919">
        <v>4867</v>
      </c>
      <c r="AT919">
        <v>4868</v>
      </c>
      <c r="AU919">
        <v>0</v>
      </c>
      <c r="AV919">
        <v>0</v>
      </c>
      <c r="AW919">
        <v>9.7349999999999994</v>
      </c>
      <c r="AX919">
        <v>0.30421874999999998</v>
      </c>
      <c r="AY919">
        <v>11.25609375</v>
      </c>
      <c r="AZ919" t="s">
        <v>135</v>
      </c>
      <c r="BA919">
        <v>-1.2560937499999998</v>
      </c>
      <c r="BB919">
        <v>-4.128916281458654</v>
      </c>
      <c r="BC919" t="s">
        <v>133</v>
      </c>
      <c r="BD919">
        <v>0</v>
      </c>
      <c r="BE919" t="s">
        <v>133</v>
      </c>
      <c r="BF91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9.7349999999999994</v>
      </c>
    </row>
    <row r="920" spans="1:58" x14ac:dyDescent="0.25">
      <c r="A920" t="s">
        <v>1176</v>
      </c>
      <c r="B920" t="s">
        <v>19</v>
      </c>
      <c r="C920">
        <v>2</v>
      </c>
      <c r="D920">
        <v>304</v>
      </c>
      <c r="E920" t="s">
        <v>2110</v>
      </c>
      <c r="F920" t="s">
        <v>123</v>
      </c>
      <c r="G920" t="s">
        <v>124</v>
      </c>
      <c r="H920" t="s">
        <v>125</v>
      </c>
      <c r="I920" t="s">
        <v>140</v>
      </c>
      <c r="J920" t="s">
        <v>141</v>
      </c>
      <c r="K920" t="s">
        <v>127</v>
      </c>
      <c r="L920">
        <v>50</v>
      </c>
      <c r="M920">
        <v>1137733</v>
      </c>
      <c r="N920">
        <v>10</v>
      </c>
      <c r="O920">
        <v>3</v>
      </c>
      <c r="P920" t="s">
        <v>168</v>
      </c>
      <c r="Q920" t="s">
        <v>129</v>
      </c>
      <c r="R920">
        <v>28</v>
      </c>
      <c r="T920">
        <v>34</v>
      </c>
      <c r="U920">
        <v>39</v>
      </c>
      <c r="V920">
        <v>1</v>
      </c>
      <c r="W920">
        <v>0</v>
      </c>
      <c r="X920">
        <v>1</v>
      </c>
      <c r="Y920">
        <v>1</v>
      </c>
      <c r="Z920">
        <v>36</v>
      </c>
      <c r="AA920">
        <v>41</v>
      </c>
      <c r="AB920">
        <v>50</v>
      </c>
      <c r="AC920">
        <v>39</v>
      </c>
      <c r="AD920">
        <v>1</v>
      </c>
      <c r="AE920">
        <v>1</v>
      </c>
      <c r="AF920">
        <v>41</v>
      </c>
      <c r="AG920">
        <v>0</v>
      </c>
      <c r="AH920">
        <v>11</v>
      </c>
      <c r="AI920">
        <v>9</v>
      </c>
      <c r="AJ920">
        <v>10</v>
      </c>
      <c r="AK920">
        <v>11</v>
      </c>
      <c r="AL920">
        <v>0</v>
      </c>
      <c r="AM920">
        <v>0.2</v>
      </c>
      <c r="AN920">
        <v>0.90909090909090917</v>
      </c>
      <c r="AO920">
        <v>0</v>
      </c>
      <c r="AP920" t="s">
        <v>142</v>
      </c>
      <c r="AQ920" t="s">
        <v>131</v>
      </c>
      <c r="AR920" t="s">
        <v>523</v>
      </c>
      <c r="AS920">
        <v>6425</v>
      </c>
      <c r="AT920">
        <v>6428</v>
      </c>
      <c r="AU920">
        <v>0</v>
      </c>
      <c r="AV920">
        <v>0</v>
      </c>
      <c r="AW920">
        <v>12.853</v>
      </c>
      <c r="AX920">
        <v>0.32956410256410257</v>
      </c>
      <c r="AY920">
        <v>13.512128205128205</v>
      </c>
      <c r="AZ920" t="s">
        <v>135</v>
      </c>
      <c r="BA920">
        <v>-3.5121282051282048</v>
      </c>
      <c r="BB920">
        <v>-10.656889442153581</v>
      </c>
      <c r="BC920" t="s">
        <v>133</v>
      </c>
      <c r="BD920">
        <v>0</v>
      </c>
      <c r="BE920" t="s">
        <v>133</v>
      </c>
      <c r="BF92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12.853</v>
      </c>
    </row>
    <row r="921" spans="1:58" x14ac:dyDescent="0.25">
      <c r="A921" t="s">
        <v>1177</v>
      </c>
      <c r="B921" t="s">
        <v>19</v>
      </c>
      <c r="C921">
        <v>2</v>
      </c>
      <c r="D921">
        <v>305</v>
      </c>
      <c r="E921" t="s">
        <v>2110</v>
      </c>
      <c r="F921" t="s">
        <v>123</v>
      </c>
      <c r="G921" t="s">
        <v>124</v>
      </c>
      <c r="H921" t="s">
        <v>136</v>
      </c>
      <c r="I921" t="s">
        <v>137</v>
      </c>
      <c r="J921" t="s">
        <v>138</v>
      </c>
      <c r="K921" t="s">
        <v>127</v>
      </c>
      <c r="L921">
        <v>50</v>
      </c>
      <c r="M921">
        <v>1137735</v>
      </c>
      <c r="N921">
        <v>5</v>
      </c>
      <c r="O921">
        <v>3</v>
      </c>
      <c r="P921" t="s">
        <v>168</v>
      </c>
      <c r="Q921" t="s">
        <v>129</v>
      </c>
      <c r="R921">
        <v>28</v>
      </c>
      <c r="T921">
        <v>0</v>
      </c>
      <c r="U921">
        <v>4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4</v>
      </c>
      <c r="AB921">
        <v>50</v>
      </c>
      <c r="AC921">
        <v>4</v>
      </c>
      <c r="AD921">
        <v>0</v>
      </c>
      <c r="AE921">
        <v>0</v>
      </c>
      <c r="AF921">
        <v>4</v>
      </c>
      <c r="AG921">
        <v>0</v>
      </c>
      <c r="AH921">
        <v>46</v>
      </c>
      <c r="AI921">
        <v>46</v>
      </c>
      <c r="AJ921">
        <v>46</v>
      </c>
      <c r="AK921">
        <v>46</v>
      </c>
      <c r="AL921">
        <v>0</v>
      </c>
      <c r="AM921">
        <v>0.1</v>
      </c>
      <c r="AN921">
        <v>4.1818181818181817</v>
      </c>
      <c r="AO921">
        <v>0</v>
      </c>
      <c r="AP921" t="s">
        <v>139</v>
      </c>
      <c r="AQ921" t="s">
        <v>131</v>
      </c>
      <c r="AR921" t="s">
        <v>523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 t="s">
        <v>134</v>
      </c>
      <c r="BA921">
        <v>5</v>
      </c>
      <c r="BB921">
        <v>0</v>
      </c>
      <c r="BC921" t="s">
        <v>133</v>
      </c>
      <c r="BD921">
        <v>0</v>
      </c>
      <c r="BE921" t="s">
        <v>133</v>
      </c>
      <c r="BF92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922" spans="1:58" x14ac:dyDescent="0.25">
      <c r="A922" t="s">
        <v>1178</v>
      </c>
      <c r="B922" t="s">
        <v>19</v>
      </c>
      <c r="C922">
        <v>2</v>
      </c>
      <c r="D922">
        <v>306</v>
      </c>
      <c r="E922" t="s">
        <v>2110</v>
      </c>
      <c r="F922" t="s">
        <v>123</v>
      </c>
      <c r="G922" t="s">
        <v>124</v>
      </c>
      <c r="H922" t="s">
        <v>125</v>
      </c>
      <c r="I922" t="s">
        <v>140</v>
      </c>
      <c r="J922" t="s">
        <v>141</v>
      </c>
      <c r="K922" t="s">
        <v>127</v>
      </c>
      <c r="L922">
        <v>50</v>
      </c>
      <c r="M922">
        <v>1137737</v>
      </c>
      <c r="N922">
        <v>10</v>
      </c>
      <c r="O922">
        <v>3</v>
      </c>
      <c r="P922" t="s">
        <v>168</v>
      </c>
      <c r="Q922" t="s">
        <v>129</v>
      </c>
      <c r="R922">
        <v>28</v>
      </c>
      <c r="T922">
        <v>41</v>
      </c>
      <c r="U922">
        <v>46</v>
      </c>
      <c r="V922">
        <v>2</v>
      </c>
      <c r="W922">
        <v>0</v>
      </c>
      <c r="X922">
        <v>2</v>
      </c>
      <c r="Y922">
        <v>0</v>
      </c>
      <c r="Z922">
        <v>43</v>
      </c>
      <c r="AA922">
        <v>48</v>
      </c>
      <c r="AB922">
        <v>50</v>
      </c>
      <c r="AC922">
        <v>46</v>
      </c>
      <c r="AD922">
        <v>2</v>
      </c>
      <c r="AE922">
        <v>0</v>
      </c>
      <c r="AF922">
        <v>48</v>
      </c>
      <c r="AG922">
        <v>0</v>
      </c>
      <c r="AH922">
        <v>4</v>
      </c>
      <c r="AI922">
        <v>2</v>
      </c>
      <c r="AJ922">
        <v>4</v>
      </c>
      <c r="AK922">
        <v>4</v>
      </c>
      <c r="AL922">
        <v>0</v>
      </c>
      <c r="AM922">
        <v>0.2</v>
      </c>
      <c r="AN922">
        <v>0.36363636363636365</v>
      </c>
      <c r="AO922">
        <v>0</v>
      </c>
      <c r="AP922" t="s">
        <v>142</v>
      </c>
      <c r="AQ922" t="s">
        <v>131</v>
      </c>
      <c r="AR922" t="s">
        <v>523</v>
      </c>
      <c r="AS922">
        <v>5295</v>
      </c>
      <c r="AT922">
        <v>5323</v>
      </c>
      <c r="AU922">
        <v>0</v>
      </c>
      <c r="AV922">
        <v>0</v>
      </c>
      <c r="AW922">
        <v>10.618</v>
      </c>
      <c r="AX922">
        <v>0.23082608695652174</v>
      </c>
      <c r="AY922">
        <v>11.079652173913043</v>
      </c>
      <c r="AZ922" t="s">
        <v>135</v>
      </c>
      <c r="BA922">
        <v>-1.0796521739130434</v>
      </c>
      <c r="BB922">
        <v>-4.6773403654172157</v>
      </c>
      <c r="BC922" t="s">
        <v>133</v>
      </c>
      <c r="BD922">
        <v>0</v>
      </c>
      <c r="BE922" t="s">
        <v>133</v>
      </c>
      <c r="BF92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10.618</v>
      </c>
    </row>
    <row r="923" spans="1:58" x14ac:dyDescent="0.25">
      <c r="A923" t="s">
        <v>1179</v>
      </c>
      <c r="B923" t="s">
        <v>19</v>
      </c>
      <c r="C923">
        <v>2</v>
      </c>
      <c r="D923">
        <v>307</v>
      </c>
      <c r="E923" t="s">
        <v>2110</v>
      </c>
      <c r="F923" t="s">
        <v>123</v>
      </c>
      <c r="G923" t="s">
        <v>124</v>
      </c>
      <c r="H923" t="s">
        <v>125</v>
      </c>
      <c r="I923" t="s">
        <v>140</v>
      </c>
      <c r="J923" t="s">
        <v>141</v>
      </c>
      <c r="K923" t="s">
        <v>127</v>
      </c>
      <c r="L923">
        <v>50</v>
      </c>
      <c r="M923">
        <v>1137739</v>
      </c>
      <c r="N923">
        <v>10</v>
      </c>
      <c r="O923">
        <v>3</v>
      </c>
      <c r="P923" t="s">
        <v>168</v>
      </c>
      <c r="Q923" t="s">
        <v>129</v>
      </c>
      <c r="R923">
        <v>28</v>
      </c>
      <c r="T923">
        <v>38</v>
      </c>
      <c r="U923">
        <v>43</v>
      </c>
      <c r="V923">
        <v>0</v>
      </c>
      <c r="W923">
        <v>0</v>
      </c>
      <c r="X923">
        <v>0</v>
      </c>
      <c r="Y923">
        <v>0</v>
      </c>
      <c r="Z923">
        <v>38</v>
      </c>
      <c r="AA923">
        <v>43</v>
      </c>
      <c r="AB923">
        <v>50</v>
      </c>
      <c r="AC923">
        <v>43</v>
      </c>
      <c r="AD923">
        <v>0</v>
      </c>
      <c r="AE923">
        <v>0</v>
      </c>
      <c r="AF923">
        <v>43</v>
      </c>
      <c r="AG923">
        <v>0</v>
      </c>
      <c r="AH923">
        <v>7</v>
      </c>
      <c r="AI923">
        <v>7</v>
      </c>
      <c r="AJ923">
        <v>7</v>
      </c>
      <c r="AK923">
        <v>7</v>
      </c>
      <c r="AL923">
        <v>0</v>
      </c>
      <c r="AM923">
        <v>0.2</v>
      </c>
      <c r="AN923">
        <v>0.63636363636363635</v>
      </c>
      <c r="AO923">
        <v>0</v>
      </c>
      <c r="AP923" t="s">
        <v>142</v>
      </c>
      <c r="AQ923" t="s">
        <v>131</v>
      </c>
      <c r="AR923" t="s">
        <v>523</v>
      </c>
      <c r="AS923">
        <v>6115</v>
      </c>
      <c r="AT923">
        <v>5182</v>
      </c>
      <c r="AU923">
        <v>0</v>
      </c>
      <c r="AV923">
        <v>0</v>
      </c>
      <c r="AW923">
        <v>11.297000000000001</v>
      </c>
      <c r="AX923">
        <v>0.26272093023255816</v>
      </c>
      <c r="AY923">
        <v>11.297000000000001</v>
      </c>
      <c r="AZ923" t="s">
        <v>135</v>
      </c>
      <c r="BA923">
        <v>-1.2970000000000006</v>
      </c>
      <c r="BB923">
        <v>-4.9367973798353564</v>
      </c>
      <c r="BC923" t="s">
        <v>133</v>
      </c>
      <c r="BD923">
        <v>0</v>
      </c>
      <c r="BE923" t="s">
        <v>133</v>
      </c>
      <c r="BF92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11.297000000000001</v>
      </c>
    </row>
    <row r="924" spans="1:58" x14ac:dyDescent="0.25">
      <c r="A924" t="s">
        <v>1180</v>
      </c>
      <c r="B924" t="s">
        <v>19</v>
      </c>
      <c r="C924">
        <v>2</v>
      </c>
      <c r="D924">
        <v>308</v>
      </c>
      <c r="E924" t="s">
        <v>2110</v>
      </c>
      <c r="F924" t="s">
        <v>123</v>
      </c>
      <c r="G924" t="s">
        <v>124</v>
      </c>
      <c r="H924" t="s">
        <v>125</v>
      </c>
      <c r="I924" t="s">
        <v>140</v>
      </c>
      <c r="J924" t="s">
        <v>141</v>
      </c>
      <c r="K924" t="s">
        <v>127</v>
      </c>
      <c r="L924">
        <v>50</v>
      </c>
      <c r="M924">
        <v>1137741</v>
      </c>
      <c r="N924">
        <v>10</v>
      </c>
      <c r="O924">
        <v>3</v>
      </c>
      <c r="P924" t="s">
        <v>168</v>
      </c>
      <c r="Q924" t="s">
        <v>129</v>
      </c>
      <c r="R924">
        <v>28</v>
      </c>
      <c r="T924">
        <v>41</v>
      </c>
      <c r="U924">
        <v>46</v>
      </c>
      <c r="V924">
        <v>0</v>
      </c>
      <c r="W924">
        <v>0</v>
      </c>
      <c r="X924">
        <v>0</v>
      </c>
      <c r="Y924">
        <v>0</v>
      </c>
      <c r="Z924">
        <v>41</v>
      </c>
      <c r="AA924">
        <v>46</v>
      </c>
      <c r="AB924">
        <v>50</v>
      </c>
      <c r="AC924">
        <v>46</v>
      </c>
      <c r="AD924">
        <v>0</v>
      </c>
      <c r="AE924">
        <v>0</v>
      </c>
      <c r="AF924">
        <v>46</v>
      </c>
      <c r="AG924">
        <v>0</v>
      </c>
      <c r="AH924">
        <v>4</v>
      </c>
      <c r="AI924">
        <v>4</v>
      </c>
      <c r="AJ924">
        <v>4</v>
      </c>
      <c r="AK924">
        <v>4</v>
      </c>
      <c r="AL924">
        <v>0</v>
      </c>
      <c r="AM924">
        <v>0.2</v>
      </c>
      <c r="AN924">
        <v>0.36363636363636365</v>
      </c>
      <c r="AO924">
        <v>0</v>
      </c>
      <c r="AP924" t="s">
        <v>142</v>
      </c>
      <c r="AQ924" t="s">
        <v>131</v>
      </c>
      <c r="AR924" t="s">
        <v>523</v>
      </c>
      <c r="AS924">
        <v>7435</v>
      </c>
      <c r="AT924">
        <v>7412</v>
      </c>
      <c r="AU924">
        <v>0</v>
      </c>
      <c r="AV924">
        <v>0</v>
      </c>
      <c r="AW924">
        <v>14.847</v>
      </c>
      <c r="AX924">
        <v>0.32276086956521738</v>
      </c>
      <c r="AY924">
        <v>14.847</v>
      </c>
      <c r="AZ924" t="s">
        <v>135</v>
      </c>
      <c r="BA924">
        <v>-4.8469999999999995</v>
      </c>
      <c r="BB924">
        <v>-15.017309894254732</v>
      </c>
      <c r="BC924" t="s">
        <v>133</v>
      </c>
      <c r="BD924">
        <v>0</v>
      </c>
      <c r="BE924" t="s">
        <v>133</v>
      </c>
      <c r="BF92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14.847</v>
      </c>
    </row>
    <row r="925" spans="1:58" x14ac:dyDescent="0.25">
      <c r="A925" t="s">
        <v>1181</v>
      </c>
      <c r="B925" t="s">
        <v>19</v>
      </c>
      <c r="C925">
        <v>2</v>
      </c>
      <c r="D925">
        <v>309</v>
      </c>
      <c r="E925" t="s">
        <v>2110</v>
      </c>
      <c r="F925" t="s">
        <v>123</v>
      </c>
      <c r="G925" t="s">
        <v>124</v>
      </c>
      <c r="H925" t="s">
        <v>125</v>
      </c>
      <c r="I925" t="s">
        <v>140</v>
      </c>
      <c r="J925" t="s">
        <v>141</v>
      </c>
      <c r="K925" t="s">
        <v>127</v>
      </c>
      <c r="L925">
        <v>50</v>
      </c>
      <c r="M925">
        <v>1137743</v>
      </c>
      <c r="N925">
        <v>10</v>
      </c>
      <c r="O925">
        <v>3</v>
      </c>
      <c r="P925" t="s">
        <v>168</v>
      </c>
      <c r="Q925" t="s">
        <v>129</v>
      </c>
      <c r="R925">
        <v>28</v>
      </c>
      <c r="T925">
        <v>35</v>
      </c>
      <c r="U925">
        <v>40</v>
      </c>
      <c r="V925">
        <v>0</v>
      </c>
      <c r="W925">
        <v>0</v>
      </c>
      <c r="X925">
        <v>0</v>
      </c>
      <c r="Y925">
        <v>0</v>
      </c>
      <c r="Z925">
        <v>35</v>
      </c>
      <c r="AA925">
        <v>40</v>
      </c>
      <c r="AB925">
        <v>50</v>
      </c>
      <c r="AC925">
        <v>40</v>
      </c>
      <c r="AD925">
        <v>0</v>
      </c>
      <c r="AE925">
        <v>0</v>
      </c>
      <c r="AF925">
        <v>40</v>
      </c>
      <c r="AG925">
        <v>0</v>
      </c>
      <c r="AH925">
        <v>10</v>
      </c>
      <c r="AI925">
        <v>10</v>
      </c>
      <c r="AJ925">
        <v>10</v>
      </c>
      <c r="AK925">
        <v>10</v>
      </c>
      <c r="AL925">
        <v>0</v>
      </c>
      <c r="AM925">
        <v>0.2</v>
      </c>
      <c r="AN925">
        <v>0.90909090909090917</v>
      </c>
      <c r="AO925">
        <v>0</v>
      </c>
      <c r="AP925" t="s">
        <v>142</v>
      </c>
      <c r="AQ925" t="s">
        <v>131</v>
      </c>
      <c r="AR925" t="s">
        <v>523</v>
      </c>
      <c r="AS925">
        <v>2358</v>
      </c>
      <c r="AT925">
        <v>4150</v>
      </c>
      <c r="AU925">
        <v>0</v>
      </c>
      <c r="AV925">
        <v>0</v>
      </c>
      <c r="AW925">
        <v>6.508</v>
      </c>
      <c r="AX925">
        <v>0.16270000000000001</v>
      </c>
      <c r="AY925">
        <v>6.5080000000000009</v>
      </c>
      <c r="AZ925" t="s">
        <v>135</v>
      </c>
      <c r="BA925">
        <v>3.4919999999999991</v>
      </c>
      <c r="BB925">
        <v>21.462814996926852</v>
      </c>
      <c r="BC925" t="s">
        <v>133</v>
      </c>
      <c r="BD925">
        <v>0</v>
      </c>
      <c r="BE925" t="s">
        <v>133</v>
      </c>
      <c r="BF92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6.508</v>
      </c>
    </row>
    <row r="926" spans="1:58" x14ac:dyDescent="0.25">
      <c r="A926" t="s">
        <v>1182</v>
      </c>
      <c r="B926" t="s">
        <v>19</v>
      </c>
      <c r="C926">
        <v>2</v>
      </c>
      <c r="D926">
        <v>310</v>
      </c>
      <c r="E926" t="s">
        <v>2110</v>
      </c>
      <c r="F926" t="s">
        <v>123</v>
      </c>
      <c r="G926" t="s">
        <v>124</v>
      </c>
      <c r="H926" t="s">
        <v>125</v>
      </c>
      <c r="I926" t="s">
        <v>140</v>
      </c>
      <c r="J926" t="s">
        <v>141</v>
      </c>
      <c r="K926" t="s">
        <v>127</v>
      </c>
      <c r="L926">
        <v>50</v>
      </c>
      <c r="M926">
        <v>1137745</v>
      </c>
      <c r="N926">
        <v>10</v>
      </c>
      <c r="O926">
        <v>3</v>
      </c>
      <c r="P926" t="s">
        <v>168</v>
      </c>
      <c r="Q926" t="s">
        <v>129</v>
      </c>
      <c r="R926">
        <v>28</v>
      </c>
      <c r="T926">
        <v>33</v>
      </c>
      <c r="U926">
        <v>38</v>
      </c>
      <c r="V926">
        <v>2</v>
      </c>
      <c r="W926">
        <v>0</v>
      </c>
      <c r="X926">
        <v>2</v>
      </c>
      <c r="Y926">
        <v>3</v>
      </c>
      <c r="Z926">
        <v>38</v>
      </c>
      <c r="AA926">
        <v>43</v>
      </c>
      <c r="AB926">
        <v>50</v>
      </c>
      <c r="AC926">
        <v>38</v>
      </c>
      <c r="AD926">
        <v>2</v>
      </c>
      <c r="AE926">
        <v>3</v>
      </c>
      <c r="AF926">
        <v>43</v>
      </c>
      <c r="AG926">
        <v>0</v>
      </c>
      <c r="AH926">
        <v>12</v>
      </c>
      <c r="AI926">
        <v>7</v>
      </c>
      <c r="AJ926">
        <v>9</v>
      </c>
      <c r="AK926">
        <v>12</v>
      </c>
      <c r="AL926">
        <v>0</v>
      </c>
      <c r="AM926">
        <v>0.2</v>
      </c>
      <c r="AN926">
        <v>0.81818181818181823</v>
      </c>
      <c r="AO926">
        <v>0</v>
      </c>
      <c r="AP926" t="s">
        <v>142</v>
      </c>
      <c r="AQ926" t="s">
        <v>131</v>
      </c>
      <c r="AR926" t="s">
        <v>523</v>
      </c>
      <c r="AS926">
        <v>4200</v>
      </c>
      <c r="AT926">
        <v>3946</v>
      </c>
      <c r="AU926">
        <v>0</v>
      </c>
      <c r="AV926">
        <v>0</v>
      </c>
      <c r="AW926">
        <v>8.1460000000000008</v>
      </c>
      <c r="AX926">
        <v>0.2143684210526316</v>
      </c>
      <c r="AY926">
        <v>9.2178421052631592</v>
      </c>
      <c r="AZ926" t="s">
        <v>135</v>
      </c>
      <c r="BA926">
        <v>0.78215789473684083</v>
      </c>
      <c r="BB926">
        <v>3.6486619199607109</v>
      </c>
      <c r="BC926" t="s">
        <v>144</v>
      </c>
      <c r="BD926">
        <v>0</v>
      </c>
      <c r="BE926" t="s">
        <v>133</v>
      </c>
      <c r="BF92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8.1460000000000008</v>
      </c>
    </row>
    <row r="927" spans="1:58" x14ac:dyDescent="0.25">
      <c r="A927" t="s">
        <v>1183</v>
      </c>
      <c r="B927" t="s">
        <v>19</v>
      </c>
      <c r="C927">
        <v>2</v>
      </c>
      <c r="D927">
        <v>311</v>
      </c>
      <c r="E927" t="s">
        <v>2111</v>
      </c>
      <c r="F927" t="s">
        <v>123</v>
      </c>
      <c r="G927" t="s">
        <v>124</v>
      </c>
      <c r="H927" t="s">
        <v>125</v>
      </c>
      <c r="I927" t="s">
        <v>126</v>
      </c>
      <c r="J927" t="s">
        <v>145</v>
      </c>
      <c r="K927" t="s">
        <v>127</v>
      </c>
      <c r="L927">
        <v>50</v>
      </c>
      <c r="M927">
        <v>1270993</v>
      </c>
      <c r="N927">
        <v>6</v>
      </c>
      <c r="O927">
        <v>4</v>
      </c>
      <c r="P927" t="s">
        <v>168</v>
      </c>
      <c r="Q927" t="s">
        <v>129</v>
      </c>
      <c r="R927">
        <v>29</v>
      </c>
      <c r="T927">
        <v>0</v>
      </c>
      <c r="U927">
        <v>13</v>
      </c>
      <c r="V927">
        <v>5</v>
      </c>
      <c r="W927">
        <v>0</v>
      </c>
      <c r="X927">
        <v>5</v>
      </c>
      <c r="Y927">
        <v>0</v>
      </c>
      <c r="Z927">
        <v>0</v>
      </c>
      <c r="AA927">
        <v>18</v>
      </c>
      <c r="AB927">
        <v>50</v>
      </c>
      <c r="AC927">
        <v>13</v>
      </c>
      <c r="AD927">
        <v>5</v>
      </c>
      <c r="AE927">
        <v>0</v>
      </c>
      <c r="AF927">
        <v>18</v>
      </c>
      <c r="AG927">
        <v>0</v>
      </c>
      <c r="AH927">
        <v>37</v>
      </c>
      <c r="AI927">
        <v>32</v>
      </c>
      <c r="AJ927">
        <v>37</v>
      </c>
      <c r="AK927">
        <v>37</v>
      </c>
      <c r="AL927">
        <v>0</v>
      </c>
      <c r="AM927">
        <v>0.12</v>
      </c>
      <c r="AN927">
        <v>3.3636363636363638</v>
      </c>
      <c r="AO927">
        <v>0</v>
      </c>
      <c r="AP927" t="s">
        <v>130</v>
      </c>
      <c r="AQ927" t="s">
        <v>131</v>
      </c>
      <c r="AR927" t="s">
        <v>1184</v>
      </c>
      <c r="AS927">
        <v>496</v>
      </c>
      <c r="AT927">
        <v>499</v>
      </c>
      <c r="AU927">
        <v>0</v>
      </c>
      <c r="AV927">
        <v>0</v>
      </c>
      <c r="AW927">
        <v>0.995</v>
      </c>
      <c r="AX927">
        <v>7.6538461538461541E-2</v>
      </c>
      <c r="AY927">
        <v>1.3776923076923078</v>
      </c>
      <c r="AZ927" t="s">
        <v>135</v>
      </c>
      <c r="BA927">
        <v>4.6223076923076922</v>
      </c>
      <c r="BB927">
        <v>60.391959798994975</v>
      </c>
      <c r="BC927" t="s">
        <v>132</v>
      </c>
      <c r="BD927">
        <v>1</v>
      </c>
      <c r="BE927" t="s">
        <v>133</v>
      </c>
      <c r="BF92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0.995</v>
      </c>
    </row>
    <row r="928" spans="1:58" x14ac:dyDescent="0.25">
      <c r="A928" t="s">
        <v>1185</v>
      </c>
      <c r="B928" t="s">
        <v>19</v>
      </c>
      <c r="C928">
        <v>2</v>
      </c>
      <c r="D928">
        <v>312</v>
      </c>
      <c r="E928" t="s">
        <v>2111</v>
      </c>
      <c r="F928" t="s">
        <v>123</v>
      </c>
      <c r="G928" t="s">
        <v>124</v>
      </c>
      <c r="H928" t="s">
        <v>125</v>
      </c>
      <c r="I928" t="s">
        <v>126</v>
      </c>
      <c r="J928" t="s">
        <v>126</v>
      </c>
      <c r="K928" t="s">
        <v>127</v>
      </c>
      <c r="L928">
        <v>50</v>
      </c>
      <c r="M928">
        <v>1270995</v>
      </c>
      <c r="N928">
        <v>6</v>
      </c>
      <c r="O928">
        <v>4</v>
      </c>
      <c r="P928" t="s">
        <v>168</v>
      </c>
      <c r="Q928" t="s">
        <v>129</v>
      </c>
      <c r="R928">
        <v>29</v>
      </c>
      <c r="T928">
        <v>20</v>
      </c>
      <c r="U928">
        <v>25</v>
      </c>
      <c r="V928">
        <v>3</v>
      </c>
      <c r="W928">
        <v>0</v>
      </c>
      <c r="X928">
        <v>3</v>
      </c>
      <c r="Y928">
        <v>2</v>
      </c>
      <c r="Z928">
        <v>25</v>
      </c>
      <c r="AA928">
        <v>30</v>
      </c>
      <c r="AB928">
        <v>50</v>
      </c>
      <c r="AC928">
        <v>31</v>
      </c>
      <c r="AD928">
        <v>4</v>
      </c>
      <c r="AE928">
        <v>4</v>
      </c>
      <c r="AF928">
        <v>39</v>
      </c>
      <c r="AG928">
        <v>0</v>
      </c>
      <c r="AH928">
        <v>19</v>
      </c>
      <c r="AI928">
        <v>11</v>
      </c>
      <c r="AJ928">
        <v>15</v>
      </c>
      <c r="AK928">
        <v>19</v>
      </c>
      <c r="AL928">
        <v>0</v>
      </c>
      <c r="AM928">
        <v>0.12</v>
      </c>
      <c r="AN928">
        <v>1.3636363636363638</v>
      </c>
      <c r="AO928">
        <v>0</v>
      </c>
      <c r="AP928" t="s">
        <v>130</v>
      </c>
      <c r="AQ928" t="s">
        <v>131</v>
      </c>
      <c r="AR928" t="s">
        <v>1184</v>
      </c>
      <c r="AS928">
        <v>3432</v>
      </c>
      <c r="AT928">
        <v>3127</v>
      </c>
      <c r="AU928">
        <v>0</v>
      </c>
      <c r="AV928">
        <v>0</v>
      </c>
      <c r="AW928">
        <v>6.5590000000000002</v>
      </c>
      <c r="AX928">
        <v>0.21158064516129033</v>
      </c>
      <c r="AY928">
        <v>8.2516451612903232</v>
      </c>
      <c r="AZ928" t="s">
        <v>135</v>
      </c>
      <c r="BA928">
        <v>-2.2516451612903232</v>
      </c>
      <c r="BB928">
        <v>-10.642018600396405</v>
      </c>
      <c r="BC928" t="s">
        <v>133</v>
      </c>
      <c r="BD928">
        <v>0</v>
      </c>
      <c r="BE928" t="s">
        <v>133</v>
      </c>
      <c r="BF92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6.5590000000000002</v>
      </c>
    </row>
    <row r="929" spans="1:58" x14ac:dyDescent="0.25">
      <c r="A929" t="s">
        <v>1186</v>
      </c>
      <c r="B929" t="s">
        <v>19</v>
      </c>
      <c r="C929">
        <v>2</v>
      </c>
      <c r="D929">
        <v>313</v>
      </c>
      <c r="E929" t="s">
        <v>2111</v>
      </c>
      <c r="F929" t="s">
        <v>123</v>
      </c>
      <c r="G929" t="s">
        <v>124</v>
      </c>
      <c r="H929" t="s">
        <v>125</v>
      </c>
      <c r="I929" t="s">
        <v>126</v>
      </c>
      <c r="J929" t="s">
        <v>126</v>
      </c>
      <c r="K929" t="s">
        <v>127</v>
      </c>
      <c r="L929">
        <v>50</v>
      </c>
      <c r="M929">
        <v>1270997</v>
      </c>
      <c r="N929">
        <v>6</v>
      </c>
      <c r="O929">
        <v>4</v>
      </c>
      <c r="P929" t="s">
        <v>168</v>
      </c>
      <c r="Q929" t="s">
        <v>129</v>
      </c>
      <c r="R929">
        <v>29</v>
      </c>
      <c r="T929">
        <v>14</v>
      </c>
      <c r="U929">
        <v>19</v>
      </c>
      <c r="V929">
        <v>7</v>
      </c>
      <c r="W929">
        <v>0</v>
      </c>
      <c r="X929">
        <v>7</v>
      </c>
      <c r="Y929">
        <v>0</v>
      </c>
      <c r="Z929">
        <v>21</v>
      </c>
      <c r="AA929">
        <v>26</v>
      </c>
      <c r="AB929">
        <v>50</v>
      </c>
      <c r="AC929">
        <v>23</v>
      </c>
      <c r="AD929">
        <v>12</v>
      </c>
      <c r="AE929">
        <v>0</v>
      </c>
      <c r="AF929">
        <v>35</v>
      </c>
      <c r="AG929">
        <v>0</v>
      </c>
      <c r="AH929">
        <v>27</v>
      </c>
      <c r="AI929">
        <v>15</v>
      </c>
      <c r="AJ929">
        <v>27</v>
      </c>
      <c r="AK929">
        <v>27</v>
      </c>
      <c r="AL929">
        <v>0</v>
      </c>
      <c r="AM929">
        <v>0.12</v>
      </c>
      <c r="AN929">
        <v>2.4545454545454546</v>
      </c>
      <c r="AO929">
        <v>0</v>
      </c>
      <c r="AP929" t="s">
        <v>130</v>
      </c>
      <c r="AQ929" t="s">
        <v>131</v>
      </c>
      <c r="AR929" t="s">
        <v>1184</v>
      </c>
      <c r="AS929">
        <v>2656</v>
      </c>
      <c r="AT929">
        <v>2584</v>
      </c>
      <c r="AU929">
        <v>0</v>
      </c>
      <c r="AV929">
        <v>0</v>
      </c>
      <c r="AW929">
        <v>5.24</v>
      </c>
      <c r="AX929">
        <v>0.22782608695652176</v>
      </c>
      <c r="AY929">
        <v>7.9739130434782615</v>
      </c>
      <c r="AZ929" t="s">
        <v>135</v>
      </c>
      <c r="BA929">
        <v>-1.9739130434782615</v>
      </c>
      <c r="BB929">
        <v>-8.6641221374045827</v>
      </c>
      <c r="BC929" t="s">
        <v>133</v>
      </c>
      <c r="BD929">
        <v>0</v>
      </c>
      <c r="BE929" t="s">
        <v>133</v>
      </c>
      <c r="BF92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5.24</v>
      </c>
    </row>
    <row r="930" spans="1:58" x14ac:dyDescent="0.25">
      <c r="A930" t="s">
        <v>1187</v>
      </c>
      <c r="B930" t="s">
        <v>19</v>
      </c>
      <c r="C930">
        <v>2</v>
      </c>
      <c r="D930">
        <v>314</v>
      </c>
      <c r="E930" t="s">
        <v>2111</v>
      </c>
      <c r="F930" t="s">
        <v>123</v>
      </c>
      <c r="G930" t="s">
        <v>124</v>
      </c>
      <c r="H930" t="s">
        <v>125</v>
      </c>
      <c r="I930" t="s">
        <v>126</v>
      </c>
      <c r="J930" t="s">
        <v>126</v>
      </c>
      <c r="K930" t="s">
        <v>127</v>
      </c>
      <c r="L930">
        <v>50</v>
      </c>
      <c r="M930">
        <v>1270999</v>
      </c>
      <c r="N930">
        <v>6</v>
      </c>
      <c r="O930">
        <v>4</v>
      </c>
      <c r="P930" t="s">
        <v>168</v>
      </c>
      <c r="Q930" t="s">
        <v>129</v>
      </c>
      <c r="R930">
        <v>29</v>
      </c>
      <c r="T930">
        <v>12</v>
      </c>
      <c r="U930">
        <v>17</v>
      </c>
      <c r="V930">
        <v>4</v>
      </c>
      <c r="W930">
        <v>0</v>
      </c>
      <c r="X930">
        <v>4</v>
      </c>
      <c r="Y930">
        <v>1</v>
      </c>
      <c r="Z930">
        <v>17</v>
      </c>
      <c r="AA930">
        <v>22</v>
      </c>
      <c r="AB930">
        <v>50</v>
      </c>
      <c r="AC930">
        <v>19</v>
      </c>
      <c r="AD930">
        <v>6</v>
      </c>
      <c r="AE930">
        <v>2</v>
      </c>
      <c r="AF930">
        <v>27</v>
      </c>
      <c r="AG930">
        <v>0</v>
      </c>
      <c r="AH930">
        <v>31</v>
      </c>
      <c r="AI930">
        <v>23</v>
      </c>
      <c r="AJ930">
        <v>29</v>
      </c>
      <c r="AK930">
        <v>31</v>
      </c>
      <c r="AL930">
        <v>0</v>
      </c>
      <c r="AM930">
        <v>0.12</v>
      </c>
      <c r="AN930">
        <v>2.6363636363636362</v>
      </c>
      <c r="AO930">
        <v>0</v>
      </c>
      <c r="AP930" t="s">
        <v>130</v>
      </c>
      <c r="AQ930" t="s">
        <v>131</v>
      </c>
      <c r="AR930" t="s">
        <v>1184</v>
      </c>
      <c r="AS930">
        <v>2998</v>
      </c>
      <c r="AT930">
        <v>2700</v>
      </c>
      <c r="AU930">
        <v>0</v>
      </c>
      <c r="AV930">
        <v>0</v>
      </c>
      <c r="AW930">
        <v>5.6980000000000004</v>
      </c>
      <c r="AX930">
        <v>0.29989473684210527</v>
      </c>
      <c r="AY930">
        <v>8.0971578947368421</v>
      </c>
      <c r="AZ930" t="s">
        <v>135</v>
      </c>
      <c r="BA930">
        <v>-2.0971578947368421</v>
      </c>
      <c r="BB930">
        <v>-6.9929799929799925</v>
      </c>
      <c r="BC930" t="s">
        <v>133</v>
      </c>
      <c r="BD930">
        <v>0</v>
      </c>
      <c r="BE930" t="s">
        <v>133</v>
      </c>
      <c r="BF93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5.6980000000000004</v>
      </c>
    </row>
    <row r="931" spans="1:58" x14ac:dyDescent="0.25">
      <c r="A931" t="s">
        <v>1188</v>
      </c>
      <c r="B931" t="s">
        <v>19</v>
      </c>
      <c r="C931">
        <v>2</v>
      </c>
      <c r="D931">
        <v>315</v>
      </c>
      <c r="E931" t="s">
        <v>2111</v>
      </c>
      <c r="F931" t="s">
        <v>123</v>
      </c>
      <c r="G931" t="s">
        <v>124</v>
      </c>
      <c r="H931" t="s">
        <v>125</v>
      </c>
      <c r="I931" t="s">
        <v>126</v>
      </c>
      <c r="J931" t="s">
        <v>126</v>
      </c>
      <c r="K931" t="s">
        <v>127</v>
      </c>
      <c r="L931">
        <v>50</v>
      </c>
      <c r="M931">
        <v>1271001</v>
      </c>
      <c r="N931">
        <v>6</v>
      </c>
      <c r="O931">
        <v>4</v>
      </c>
      <c r="P931" t="s">
        <v>168</v>
      </c>
      <c r="Q931" t="s">
        <v>129</v>
      </c>
      <c r="R931">
        <v>29</v>
      </c>
      <c r="T931">
        <v>16</v>
      </c>
      <c r="U931">
        <v>21</v>
      </c>
      <c r="V931">
        <v>1</v>
      </c>
      <c r="W931">
        <v>0</v>
      </c>
      <c r="X931">
        <v>1</v>
      </c>
      <c r="Y931">
        <v>1</v>
      </c>
      <c r="Z931">
        <v>18</v>
      </c>
      <c r="AA931">
        <v>23</v>
      </c>
      <c r="AB931">
        <v>50</v>
      </c>
      <c r="AC931">
        <v>26</v>
      </c>
      <c r="AD931">
        <v>1</v>
      </c>
      <c r="AE931">
        <v>1</v>
      </c>
      <c r="AF931">
        <v>28</v>
      </c>
      <c r="AG931">
        <v>0</v>
      </c>
      <c r="AH931">
        <v>24</v>
      </c>
      <c r="AI931">
        <v>22</v>
      </c>
      <c r="AJ931">
        <v>23</v>
      </c>
      <c r="AK931">
        <v>24</v>
      </c>
      <c r="AL931">
        <v>0</v>
      </c>
      <c r="AM931">
        <v>0.12</v>
      </c>
      <c r="AN931">
        <v>2.0909090909090908</v>
      </c>
      <c r="AO931">
        <v>0</v>
      </c>
      <c r="AP931" t="s">
        <v>130</v>
      </c>
      <c r="AQ931" t="s">
        <v>131</v>
      </c>
      <c r="AR931" t="s">
        <v>1184</v>
      </c>
      <c r="AS931">
        <v>2666</v>
      </c>
      <c r="AT931">
        <v>2646</v>
      </c>
      <c r="AU931">
        <v>0</v>
      </c>
      <c r="AV931">
        <v>0</v>
      </c>
      <c r="AW931">
        <v>5.3120000000000003</v>
      </c>
      <c r="AX931">
        <v>0.20430769230769233</v>
      </c>
      <c r="AY931">
        <v>5.7206153846153853</v>
      </c>
      <c r="AZ931" t="s">
        <v>135</v>
      </c>
      <c r="BA931">
        <v>0.27938461538461468</v>
      </c>
      <c r="BB931">
        <v>1.3674698795180686</v>
      </c>
      <c r="BC931" t="s">
        <v>133</v>
      </c>
      <c r="BD931">
        <v>0</v>
      </c>
      <c r="BE931" t="s">
        <v>133</v>
      </c>
      <c r="BF93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5.3120000000000003</v>
      </c>
    </row>
    <row r="932" spans="1:58" x14ac:dyDescent="0.25">
      <c r="A932" t="s">
        <v>1189</v>
      </c>
      <c r="B932" t="s">
        <v>19</v>
      </c>
      <c r="C932">
        <v>2</v>
      </c>
      <c r="D932">
        <v>316</v>
      </c>
      <c r="E932" t="s">
        <v>2111</v>
      </c>
      <c r="F932" t="s">
        <v>123</v>
      </c>
      <c r="G932" t="s">
        <v>124</v>
      </c>
      <c r="H932" t="s">
        <v>136</v>
      </c>
      <c r="I932" t="s">
        <v>137</v>
      </c>
      <c r="J932" t="s">
        <v>138</v>
      </c>
      <c r="K932" t="s">
        <v>127</v>
      </c>
      <c r="L932">
        <v>50</v>
      </c>
      <c r="M932">
        <v>1271003</v>
      </c>
      <c r="N932">
        <v>5</v>
      </c>
      <c r="O932">
        <v>4</v>
      </c>
      <c r="P932" t="s">
        <v>168</v>
      </c>
      <c r="Q932" t="s">
        <v>129</v>
      </c>
      <c r="R932">
        <v>29</v>
      </c>
      <c r="T932">
        <v>0</v>
      </c>
      <c r="U932">
        <v>4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4</v>
      </c>
      <c r="AB932">
        <v>50</v>
      </c>
      <c r="AC932">
        <v>4</v>
      </c>
      <c r="AD932">
        <v>0</v>
      </c>
      <c r="AE932">
        <v>0</v>
      </c>
      <c r="AF932">
        <v>4</v>
      </c>
      <c r="AG932">
        <v>0</v>
      </c>
      <c r="AH932">
        <v>46</v>
      </c>
      <c r="AI932">
        <v>46</v>
      </c>
      <c r="AJ932">
        <v>46</v>
      </c>
      <c r="AK932">
        <v>46</v>
      </c>
      <c r="AL932">
        <v>0</v>
      </c>
      <c r="AM932">
        <v>0.1</v>
      </c>
      <c r="AN932">
        <v>4.1818181818181817</v>
      </c>
      <c r="AO932">
        <v>0</v>
      </c>
      <c r="AP932" t="s">
        <v>139</v>
      </c>
      <c r="AQ932" t="s">
        <v>131</v>
      </c>
      <c r="AR932" t="s">
        <v>1184</v>
      </c>
      <c r="AS932">
        <v>0</v>
      </c>
      <c r="AT932">
        <v>0</v>
      </c>
      <c r="AU932">
        <v>0</v>
      </c>
      <c r="AV932">
        <v>0</v>
      </c>
      <c r="AW932">
        <v>0</v>
      </c>
      <c r="AX932">
        <v>0</v>
      </c>
      <c r="AY932">
        <v>0</v>
      </c>
      <c r="AZ932" t="s">
        <v>134</v>
      </c>
      <c r="BA932">
        <v>5</v>
      </c>
      <c r="BB932">
        <v>0</v>
      </c>
      <c r="BC932" t="s">
        <v>133</v>
      </c>
      <c r="BD932">
        <v>0</v>
      </c>
      <c r="BE932" t="s">
        <v>133</v>
      </c>
      <c r="BF93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933" spans="1:58" x14ac:dyDescent="0.25">
      <c r="A933" t="s">
        <v>1190</v>
      </c>
      <c r="B933" t="s">
        <v>19</v>
      </c>
      <c r="C933">
        <v>2</v>
      </c>
      <c r="D933">
        <v>317</v>
      </c>
      <c r="E933" t="s">
        <v>2111</v>
      </c>
      <c r="F933" t="s">
        <v>123</v>
      </c>
      <c r="G933" t="s">
        <v>124</v>
      </c>
      <c r="H933" t="s">
        <v>125</v>
      </c>
      <c r="I933" t="s">
        <v>126</v>
      </c>
      <c r="J933" t="s">
        <v>126</v>
      </c>
      <c r="K933" t="s">
        <v>127</v>
      </c>
      <c r="L933">
        <v>50</v>
      </c>
      <c r="M933">
        <v>1271005</v>
      </c>
      <c r="N933">
        <v>6</v>
      </c>
      <c r="O933">
        <v>4</v>
      </c>
      <c r="P933" t="s">
        <v>168</v>
      </c>
      <c r="Q933" t="s">
        <v>129</v>
      </c>
      <c r="R933">
        <v>29</v>
      </c>
      <c r="T933">
        <v>10</v>
      </c>
      <c r="U933">
        <v>15</v>
      </c>
      <c r="V933">
        <v>8</v>
      </c>
      <c r="W933">
        <v>0</v>
      </c>
      <c r="X933">
        <v>8</v>
      </c>
      <c r="Y933">
        <v>0</v>
      </c>
      <c r="Z933">
        <v>18</v>
      </c>
      <c r="AA933">
        <v>23</v>
      </c>
      <c r="AB933">
        <v>50</v>
      </c>
      <c r="AC933">
        <v>17</v>
      </c>
      <c r="AD933">
        <v>11</v>
      </c>
      <c r="AE933">
        <v>0</v>
      </c>
      <c r="AF933">
        <v>28</v>
      </c>
      <c r="AG933">
        <v>0</v>
      </c>
      <c r="AH933">
        <v>33</v>
      </c>
      <c r="AI933">
        <v>22</v>
      </c>
      <c r="AJ933">
        <v>33</v>
      </c>
      <c r="AK933">
        <v>33</v>
      </c>
      <c r="AL933">
        <v>0</v>
      </c>
      <c r="AM933">
        <v>0.12</v>
      </c>
      <c r="AN933">
        <v>3</v>
      </c>
      <c r="AO933">
        <v>0</v>
      </c>
      <c r="AP933" t="s">
        <v>130</v>
      </c>
      <c r="AQ933" t="s">
        <v>131</v>
      </c>
      <c r="AR933" t="s">
        <v>1184</v>
      </c>
      <c r="AS933">
        <v>1891</v>
      </c>
      <c r="AT933">
        <v>1900</v>
      </c>
      <c r="AU933">
        <v>0</v>
      </c>
      <c r="AV933">
        <v>0</v>
      </c>
      <c r="AW933">
        <v>3.7909999999999999</v>
      </c>
      <c r="AX933">
        <v>0.223</v>
      </c>
      <c r="AY933">
        <v>6.2439999999999998</v>
      </c>
      <c r="AZ933" t="s">
        <v>135</v>
      </c>
      <c r="BA933">
        <v>-0.24399999999999977</v>
      </c>
      <c r="BB933">
        <v>-1.0941704035874429</v>
      </c>
      <c r="BC933" t="s">
        <v>133</v>
      </c>
      <c r="BD933">
        <v>0</v>
      </c>
      <c r="BE933" t="s">
        <v>133</v>
      </c>
      <c r="BF93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3.7909999999999999</v>
      </c>
    </row>
    <row r="934" spans="1:58" x14ac:dyDescent="0.25">
      <c r="A934" t="s">
        <v>1191</v>
      </c>
      <c r="B934" t="s">
        <v>19</v>
      </c>
      <c r="C934">
        <v>2</v>
      </c>
      <c r="D934">
        <v>318</v>
      </c>
      <c r="E934" t="s">
        <v>2111</v>
      </c>
      <c r="F934" t="s">
        <v>123</v>
      </c>
      <c r="G934" t="s">
        <v>124</v>
      </c>
      <c r="H934" t="s">
        <v>125</v>
      </c>
      <c r="I934" t="s">
        <v>126</v>
      </c>
      <c r="J934" t="s">
        <v>126</v>
      </c>
      <c r="K934" t="s">
        <v>127</v>
      </c>
      <c r="L934">
        <v>50</v>
      </c>
      <c r="M934">
        <v>1271007</v>
      </c>
      <c r="N934">
        <v>6</v>
      </c>
      <c r="O934">
        <v>4</v>
      </c>
      <c r="P934" t="s">
        <v>168</v>
      </c>
      <c r="Q934" t="s">
        <v>129</v>
      </c>
      <c r="R934">
        <v>29</v>
      </c>
      <c r="T934">
        <v>7</v>
      </c>
      <c r="U934">
        <v>12</v>
      </c>
      <c r="V934">
        <v>12</v>
      </c>
      <c r="W934">
        <v>0</v>
      </c>
      <c r="X934">
        <v>12</v>
      </c>
      <c r="Y934">
        <v>1</v>
      </c>
      <c r="Z934">
        <v>20</v>
      </c>
      <c r="AA934">
        <v>25</v>
      </c>
      <c r="AB934">
        <v>50</v>
      </c>
      <c r="AC934">
        <v>14</v>
      </c>
      <c r="AD934">
        <v>16</v>
      </c>
      <c r="AE934">
        <v>2</v>
      </c>
      <c r="AF934">
        <v>32</v>
      </c>
      <c r="AG934">
        <v>0</v>
      </c>
      <c r="AH934">
        <v>36</v>
      </c>
      <c r="AI934">
        <v>18</v>
      </c>
      <c r="AJ934">
        <v>34</v>
      </c>
      <c r="AK934">
        <v>36</v>
      </c>
      <c r="AL934">
        <v>0</v>
      </c>
      <c r="AM934">
        <v>0.12</v>
      </c>
      <c r="AN934">
        <v>3.0909090909090908</v>
      </c>
      <c r="AO934">
        <v>0</v>
      </c>
      <c r="AP934" t="s">
        <v>130</v>
      </c>
      <c r="AQ934" t="s">
        <v>131</v>
      </c>
      <c r="AR934" t="s">
        <v>1184</v>
      </c>
      <c r="AS934">
        <v>2251</v>
      </c>
      <c r="AT934">
        <v>2123</v>
      </c>
      <c r="AU934">
        <v>0</v>
      </c>
      <c r="AV934">
        <v>0</v>
      </c>
      <c r="AW934">
        <v>4.3739999999999997</v>
      </c>
      <c r="AX934">
        <v>0.31242857142857139</v>
      </c>
      <c r="AY934">
        <v>9.9977142857142844</v>
      </c>
      <c r="AZ934" t="s">
        <v>135</v>
      </c>
      <c r="BA934">
        <v>-3.9977142857142844</v>
      </c>
      <c r="BB934">
        <v>-12.795610425240053</v>
      </c>
      <c r="BC934" t="s">
        <v>133</v>
      </c>
      <c r="BD934">
        <v>0</v>
      </c>
      <c r="BE934" t="s">
        <v>133</v>
      </c>
      <c r="BF93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4.3739999999999997</v>
      </c>
    </row>
    <row r="935" spans="1:58" x14ac:dyDescent="0.25">
      <c r="A935" t="s">
        <v>1192</v>
      </c>
      <c r="B935" t="s">
        <v>19</v>
      </c>
      <c r="C935">
        <v>2</v>
      </c>
      <c r="D935">
        <v>319</v>
      </c>
      <c r="E935" t="s">
        <v>2111</v>
      </c>
      <c r="F935" t="s">
        <v>123</v>
      </c>
      <c r="G935" t="s">
        <v>124</v>
      </c>
      <c r="H935" t="s">
        <v>125</v>
      </c>
      <c r="I935" t="s">
        <v>126</v>
      </c>
      <c r="J935" t="s">
        <v>126</v>
      </c>
      <c r="K935" t="s">
        <v>127</v>
      </c>
      <c r="L935">
        <v>50</v>
      </c>
      <c r="M935">
        <v>1271009</v>
      </c>
      <c r="N935">
        <v>6</v>
      </c>
      <c r="O935">
        <v>4</v>
      </c>
      <c r="P935" t="s">
        <v>168</v>
      </c>
      <c r="Q935" t="s">
        <v>129</v>
      </c>
      <c r="R935">
        <v>29</v>
      </c>
      <c r="T935">
        <v>9</v>
      </c>
      <c r="U935">
        <v>14</v>
      </c>
      <c r="V935">
        <v>3</v>
      </c>
      <c r="W935">
        <v>0</v>
      </c>
      <c r="X935">
        <v>3</v>
      </c>
      <c r="Y935">
        <v>2</v>
      </c>
      <c r="Z935">
        <v>14</v>
      </c>
      <c r="AA935">
        <v>19</v>
      </c>
      <c r="AB935">
        <v>50</v>
      </c>
      <c r="AC935">
        <v>16</v>
      </c>
      <c r="AD935">
        <v>4</v>
      </c>
      <c r="AE935">
        <v>3</v>
      </c>
      <c r="AF935">
        <v>23</v>
      </c>
      <c r="AG935">
        <v>0</v>
      </c>
      <c r="AH935">
        <v>34</v>
      </c>
      <c r="AI935">
        <v>27</v>
      </c>
      <c r="AJ935">
        <v>31</v>
      </c>
      <c r="AK935">
        <v>34</v>
      </c>
      <c r="AL935">
        <v>0</v>
      </c>
      <c r="AM935">
        <v>0.12</v>
      </c>
      <c r="AN935">
        <v>2.8181818181818183</v>
      </c>
      <c r="AO935">
        <v>0</v>
      </c>
      <c r="AP935" t="s">
        <v>130</v>
      </c>
      <c r="AQ935" t="s">
        <v>131</v>
      </c>
      <c r="AR935" t="s">
        <v>1184</v>
      </c>
      <c r="AS935">
        <v>1686</v>
      </c>
      <c r="AT935">
        <v>1594</v>
      </c>
      <c r="AU935">
        <v>0</v>
      </c>
      <c r="AV935">
        <v>0</v>
      </c>
      <c r="AW935">
        <v>3.28</v>
      </c>
      <c r="AX935">
        <v>0.20499999999999999</v>
      </c>
      <c r="AY935">
        <v>4.7149999999999999</v>
      </c>
      <c r="AZ935" t="s">
        <v>135</v>
      </c>
      <c r="BA935">
        <v>1.2850000000000001</v>
      </c>
      <c r="BB935">
        <v>6.2682926829268304</v>
      </c>
      <c r="BC935" t="s">
        <v>133</v>
      </c>
      <c r="BD935">
        <v>0</v>
      </c>
      <c r="BE935" t="s">
        <v>133</v>
      </c>
      <c r="BF93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3.28</v>
      </c>
    </row>
    <row r="936" spans="1:58" x14ac:dyDescent="0.25">
      <c r="A936" t="s">
        <v>1193</v>
      </c>
      <c r="B936" t="s">
        <v>19</v>
      </c>
      <c r="C936">
        <v>2</v>
      </c>
      <c r="D936">
        <v>320</v>
      </c>
      <c r="E936" t="s">
        <v>2111</v>
      </c>
      <c r="F936" t="s">
        <v>123</v>
      </c>
      <c r="G936" t="s">
        <v>124</v>
      </c>
      <c r="H936" t="s">
        <v>125</v>
      </c>
      <c r="I936" t="s">
        <v>126</v>
      </c>
      <c r="J936" t="s">
        <v>126</v>
      </c>
      <c r="K936" t="s">
        <v>127</v>
      </c>
      <c r="L936">
        <v>50</v>
      </c>
      <c r="M936">
        <v>1271011</v>
      </c>
      <c r="N936">
        <v>6</v>
      </c>
      <c r="O936">
        <v>4</v>
      </c>
      <c r="P936" t="s">
        <v>168</v>
      </c>
      <c r="Q936" t="s">
        <v>129</v>
      </c>
      <c r="R936">
        <v>29</v>
      </c>
      <c r="T936">
        <v>13</v>
      </c>
      <c r="U936">
        <v>18</v>
      </c>
      <c r="V936">
        <v>4</v>
      </c>
      <c r="W936">
        <v>0</v>
      </c>
      <c r="X936">
        <v>4</v>
      </c>
      <c r="Y936">
        <v>2</v>
      </c>
      <c r="Z936">
        <v>19</v>
      </c>
      <c r="AA936">
        <v>24</v>
      </c>
      <c r="AB936">
        <v>50</v>
      </c>
      <c r="AC936">
        <v>20</v>
      </c>
      <c r="AD936">
        <v>7</v>
      </c>
      <c r="AE936">
        <v>4</v>
      </c>
      <c r="AF936">
        <v>31</v>
      </c>
      <c r="AG936">
        <v>0</v>
      </c>
      <c r="AH936">
        <v>30</v>
      </c>
      <c r="AI936">
        <v>19</v>
      </c>
      <c r="AJ936">
        <v>26</v>
      </c>
      <c r="AK936">
        <v>30</v>
      </c>
      <c r="AL936">
        <v>0</v>
      </c>
      <c r="AM936">
        <v>0.12</v>
      </c>
      <c r="AN936">
        <v>2.3636363636363638</v>
      </c>
      <c r="AO936">
        <v>0</v>
      </c>
      <c r="AP936" t="s">
        <v>130</v>
      </c>
      <c r="AQ936" t="s">
        <v>131</v>
      </c>
      <c r="AR936" t="s">
        <v>1184</v>
      </c>
      <c r="AS936">
        <v>2049</v>
      </c>
      <c r="AT936">
        <v>2147</v>
      </c>
      <c r="AU936">
        <v>0</v>
      </c>
      <c r="AV936">
        <v>0</v>
      </c>
      <c r="AW936">
        <v>4.1959999999999997</v>
      </c>
      <c r="AX936">
        <v>0.20979999999999999</v>
      </c>
      <c r="AY936">
        <v>6.5038</v>
      </c>
      <c r="AZ936" t="s">
        <v>135</v>
      </c>
      <c r="BA936">
        <v>-0.50380000000000003</v>
      </c>
      <c r="BB936">
        <v>-2.4013346043851289</v>
      </c>
      <c r="BC936" t="s">
        <v>133</v>
      </c>
      <c r="BD936">
        <v>0</v>
      </c>
      <c r="BE936" t="s">
        <v>133</v>
      </c>
      <c r="BF93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4.1959999999999997</v>
      </c>
    </row>
    <row r="937" spans="1:58" x14ac:dyDescent="0.25">
      <c r="A937" t="s">
        <v>1194</v>
      </c>
      <c r="B937" t="s">
        <v>19</v>
      </c>
      <c r="C937">
        <v>2</v>
      </c>
      <c r="D937">
        <v>321</v>
      </c>
      <c r="E937" t="s">
        <v>2111</v>
      </c>
      <c r="F937" t="s">
        <v>123</v>
      </c>
      <c r="G937" t="s">
        <v>124</v>
      </c>
      <c r="H937" t="s">
        <v>125</v>
      </c>
      <c r="I937" t="s">
        <v>126</v>
      </c>
      <c r="J937" t="s">
        <v>126</v>
      </c>
      <c r="K937" t="s">
        <v>127</v>
      </c>
      <c r="L937">
        <v>50</v>
      </c>
      <c r="M937">
        <v>1271013</v>
      </c>
      <c r="N937">
        <v>6</v>
      </c>
      <c r="O937">
        <v>4</v>
      </c>
      <c r="P937" t="s">
        <v>168</v>
      </c>
      <c r="Q937" t="s">
        <v>129</v>
      </c>
      <c r="R937">
        <v>29</v>
      </c>
      <c r="T937">
        <v>12</v>
      </c>
      <c r="U937">
        <v>17</v>
      </c>
      <c r="V937">
        <v>3</v>
      </c>
      <c r="W937">
        <v>0</v>
      </c>
      <c r="X937">
        <v>3</v>
      </c>
      <c r="Y937">
        <v>1</v>
      </c>
      <c r="Z937">
        <v>16</v>
      </c>
      <c r="AA937">
        <v>21</v>
      </c>
      <c r="AB937">
        <v>50</v>
      </c>
      <c r="AC937">
        <v>20</v>
      </c>
      <c r="AD937">
        <v>5</v>
      </c>
      <c r="AE937">
        <v>2</v>
      </c>
      <c r="AF937">
        <v>27</v>
      </c>
      <c r="AG937">
        <v>0</v>
      </c>
      <c r="AH937">
        <v>30</v>
      </c>
      <c r="AI937">
        <v>23</v>
      </c>
      <c r="AJ937">
        <v>28</v>
      </c>
      <c r="AK937">
        <v>30</v>
      </c>
      <c r="AL937">
        <v>0</v>
      </c>
      <c r="AM937">
        <v>0.12</v>
      </c>
      <c r="AN937">
        <v>2.5454545454545454</v>
      </c>
      <c r="AO937">
        <v>0</v>
      </c>
      <c r="AP937" t="s">
        <v>130</v>
      </c>
      <c r="AQ937" t="s">
        <v>131</v>
      </c>
      <c r="AR937" t="s">
        <v>1184</v>
      </c>
      <c r="AS937">
        <v>2013</v>
      </c>
      <c r="AT937">
        <v>1951</v>
      </c>
      <c r="AU937">
        <v>0</v>
      </c>
      <c r="AV937">
        <v>0</v>
      </c>
      <c r="AW937">
        <v>3.964</v>
      </c>
      <c r="AX937">
        <v>0.19819999999999999</v>
      </c>
      <c r="AY937">
        <v>5.3513999999999999</v>
      </c>
      <c r="AZ937" t="s">
        <v>135</v>
      </c>
      <c r="BA937">
        <v>0.64860000000000007</v>
      </c>
      <c r="BB937">
        <v>3.2724520686175587</v>
      </c>
      <c r="BC937" t="s">
        <v>144</v>
      </c>
      <c r="BD937">
        <v>0</v>
      </c>
      <c r="BE937" t="s">
        <v>133</v>
      </c>
      <c r="BF93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3.964</v>
      </c>
    </row>
    <row r="938" spans="1:58" x14ac:dyDescent="0.25">
      <c r="A938" t="s">
        <v>1195</v>
      </c>
      <c r="B938" t="s">
        <v>19</v>
      </c>
      <c r="C938">
        <v>2</v>
      </c>
      <c r="D938">
        <v>322</v>
      </c>
      <c r="E938" t="s">
        <v>2111</v>
      </c>
      <c r="F938" t="s">
        <v>123</v>
      </c>
      <c r="G938" t="s">
        <v>124</v>
      </c>
      <c r="H938" t="s">
        <v>125</v>
      </c>
      <c r="I938" t="s">
        <v>140</v>
      </c>
      <c r="J938" t="s">
        <v>141</v>
      </c>
      <c r="K938" t="s">
        <v>127</v>
      </c>
      <c r="L938">
        <v>50</v>
      </c>
      <c r="M938">
        <v>1271015</v>
      </c>
      <c r="N938">
        <v>10</v>
      </c>
      <c r="O938">
        <v>4</v>
      </c>
      <c r="P938" t="s">
        <v>168</v>
      </c>
      <c r="Q938" t="s">
        <v>129</v>
      </c>
      <c r="R938">
        <v>30</v>
      </c>
      <c r="T938">
        <v>39</v>
      </c>
      <c r="U938">
        <v>44</v>
      </c>
      <c r="V938">
        <v>2</v>
      </c>
      <c r="W938">
        <v>0</v>
      </c>
      <c r="X938">
        <v>2</v>
      </c>
      <c r="Y938">
        <v>0</v>
      </c>
      <c r="Z938">
        <v>41</v>
      </c>
      <c r="AA938">
        <v>46</v>
      </c>
      <c r="AB938">
        <v>50</v>
      </c>
      <c r="AC938">
        <v>44</v>
      </c>
      <c r="AD938">
        <v>2</v>
      </c>
      <c r="AE938">
        <v>0</v>
      </c>
      <c r="AF938">
        <v>46</v>
      </c>
      <c r="AG938">
        <v>0</v>
      </c>
      <c r="AH938">
        <v>6</v>
      </c>
      <c r="AI938">
        <v>4</v>
      </c>
      <c r="AJ938">
        <v>6</v>
      </c>
      <c r="AK938">
        <v>6</v>
      </c>
      <c r="AL938">
        <v>0</v>
      </c>
      <c r="AM938">
        <v>0.2</v>
      </c>
      <c r="AN938">
        <v>0.54545454545454541</v>
      </c>
      <c r="AO938">
        <v>0</v>
      </c>
      <c r="AP938" t="s">
        <v>142</v>
      </c>
      <c r="AQ938" t="s">
        <v>131</v>
      </c>
      <c r="AR938" t="s">
        <v>1184</v>
      </c>
      <c r="AS938">
        <v>5193</v>
      </c>
      <c r="AT938">
        <v>4845</v>
      </c>
      <c r="AU938">
        <v>0</v>
      </c>
      <c r="AV938">
        <v>0</v>
      </c>
      <c r="AW938">
        <v>10.038</v>
      </c>
      <c r="AX938">
        <v>0.22813636363636364</v>
      </c>
      <c r="AY938">
        <v>10.494272727272728</v>
      </c>
      <c r="AZ938" t="s">
        <v>135</v>
      </c>
      <c r="BA938">
        <v>-0.49427272727272786</v>
      </c>
      <c r="BB938">
        <v>-2.1665670452281356</v>
      </c>
      <c r="BC938" t="s">
        <v>132</v>
      </c>
      <c r="BD938">
        <v>0</v>
      </c>
      <c r="BE938" t="s">
        <v>133</v>
      </c>
      <c r="BF93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10.038</v>
      </c>
    </row>
    <row r="939" spans="1:58" x14ac:dyDescent="0.25">
      <c r="A939" t="s">
        <v>1196</v>
      </c>
      <c r="B939" t="s">
        <v>19</v>
      </c>
      <c r="C939">
        <v>2</v>
      </c>
      <c r="D939">
        <v>323</v>
      </c>
      <c r="E939" t="s">
        <v>2111</v>
      </c>
      <c r="F939" t="s">
        <v>123</v>
      </c>
      <c r="G939" t="s">
        <v>124</v>
      </c>
      <c r="H939" t="s">
        <v>125</v>
      </c>
      <c r="I939" t="s">
        <v>140</v>
      </c>
      <c r="J939" t="s">
        <v>141</v>
      </c>
      <c r="K939" t="s">
        <v>127</v>
      </c>
      <c r="L939">
        <v>50</v>
      </c>
      <c r="M939">
        <v>1271017</v>
      </c>
      <c r="N939">
        <v>10</v>
      </c>
      <c r="O939">
        <v>4</v>
      </c>
      <c r="P939" t="s">
        <v>168</v>
      </c>
      <c r="Q939" t="s">
        <v>129</v>
      </c>
      <c r="R939">
        <v>30</v>
      </c>
      <c r="T939">
        <v>40</v>
      </c>
      <c r="U939">
        <v>45</v>
      </c>
      <c r="V939">
        <v>1</v>
      </c>
      <c r="W939">
        <v>0</v>
      </c>
      <c r="X939">
        <v>1</v>
      </c>
      <c r="Y939">
        <v>0</v>
      </c>
      <c r="Z939">
        <v>41</v>
      </c>
      <c r="AA939">
        <v>46</v>
      </c>
      <c r="AB939">
        <v>50</v>
      </c>
      <c r="AC939">
        <v>45</v>
      </c>
      <c r="AD939">
        <v>1</v>
      </c>
      <c r="AE939">
        <v>0</v>
      </c>
      <c r="AF939">
        <v>46</v>
      </c>
      <c r="AG939">
        <v>0</v>
      </c>
      <c r="AH939">
        <v>5</v>
      </c>
      <c r="AI939">
        <v>4</v>
      </c>
      <c r="AJ939">
        <v>5</v>
      </c>
      <c r="AK939">
        <v>5</v>
      </c>
      <c r="AL939">
        <v>0</v>
      </c>
      <c r="AM939">
        <v>0.2</v>
      </c>
      <c r="AN939">
        <v>0.45454545454545459</v>
      </c>
      <c r="AO939">
        <v>0</v>
      </c>
      <c r="AP939" t="s">
        <v>142</v>
      </c>
      <c r="AQ939" t="s">
        <v>131</v>
      </c>
      <c r="AR939" t="s">
        <v>1184</v>
      </c>
      <c r="AS939">
        <v>5339</v>
      </c>
      <c r="AT939">
        <v>4429</v>
      </c>
      <c r="AU939">
        <v>0</v>
      </c>
      <c r="AV939">
        <v>0</v>
      </c>
      <c r="AW939">
        <v>9.7680000000000007</v>
      </c>
      <c r="AX939">
        <v>0.21706666666666669</v>
      </c>
      <c r="AY939">
        <v>9.9850666666666683</v>
      </c>
      <c r="AZ939" t="s">
        <v>135</v>
      </c>
      <c r="BA939">
        <v>1.4933333333331689E-2</v>
      </c>
      <c r="BB939">
        <v>6.8796068796061219E-2</v>
      </c>
      <c r="BC939" t="s">
        <v>133</v>
      </c>
      <c r="BD939">
        <v>0</v>
      </c>
      <c r="BE939" t="s">
        <v>133</v>
      </c>
      <c r="BF93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9.7680000000000007</v>
      </c>
    </row>
    <row r="940" spans="1:58" x14ac:dyDescent="0.25">
      <c r="A940" t="s">
        <v>1197</v>
      </c>
      <c r="B940" t="s">
        <v>19</v>
      </c>
      <c r="C940">
        <v>2</v>
      </c>
      <c r="D940">
        <v>324</v>
      </c>
      <c r="E940" t="s">
        <v>2111</v>
      </c>
      <c r="F940" t="s">
        <v>123</v>
      </c>
      <c r="G940" t="s">
        <v>124</v>
      </c>
      <c r="H940" t="s">
        <v>125</v>
      </c>
      <c r="I940" t="s">
        <v>140</v>
      </c>
      <c r="J940" t="s">
        <v>141</v>
      </c>
      <c r="K940" t="s">
        <v>127</v>
      </c>
      <c r="L940">
        <v>50</v>
      </c>
      <c r="M940">
        <v>1271019</v>
      </c>
      <c r="N940">
        <v>10</v>
      </c>
      <c r="O940">
        <v>4</v>
      </c>
      <c r="P940" t="s">
        <v>168</v>
      </c>
      <c r="Q940" t="s">
        <v>129</v>
      </c>
      <c r="R940">
        <v>30</v>
      </c>
      <c r="T940">
        <v>36</v>
      </c>
      <c r="U940">
        <v>41</v>
      </c>
      <c r="V940">
        <v>0</v>
      </c>
      <c r="W940">
        <v>0</v>
      </c>
      <c r="X940">
        <v>0</v>
      </c>
      <c r="Y940">
        <v>3</v>
      </c>
      <c r="Z940">
        <v>39</v>
      </c>
      <c r="AA940">
        <v>44</v>
      </c>
      <c r="AB940">
        <v>50</v>
      </c>
      <c r="AC940">
        <v>41</v>
      </c>
      <c r="AD940">
        <v>0</v>
      </c>
      <c r="AE940">
        <v>3</v>
      </c>
      <c r="AF940">
        <v>44</v>
      </c>
      <c r="AG940">
        <v>0</v>
      </c>
      <c r="AH940">
        <v>9</v>
      </c>
      <c r="AI940">
        <v>6</v>
      </c>
      <c r="AJ940">
        <v>6</v>
      </c>
      <c r="AK940">
        <v>9</v>
      </c>
      <c r="AL940">
        <v>0</v>
      </c>
      <c r="AM940">
        <v>0.2</v>
      </c>
      <c r="AN940">
        <v>0.54545454545454541</v>
      </c>
      <c r="AO940">
        <v>0</v>
      </c>
      <c r="AP940" t="s">
        <v>142</v>
      </c>
      <c r="AQ940" t="s">
        <v>131</v>
      </c>
      <c r="AR940" t="s">
        <v>1184</v>
      </c>
      <c r="AS940">
        <v>5065</v>
      </c>
      <c r="AT940">
        <v>4025</v>
      </c>
      <c r="AU940">
        <v>0</v>
      </c>
      <c r="AV940">
        <v>0</v>
      </c>
      <c r="AW940">
        <v>9.09</v>
      </c>
      <c r="AX940">
        <v>0.22170731707317073</v>
      </c>
      <c r="AY940">
        <v>9.7551219512195129</v>
      </c>
      <c r="AZ940" t="s">
        <v>135</v>
      </c>
      <c r="BA940">
        <v>0.24487804878048713</v>
      </c>
      <c r="BB940">
        <v>1.1045104510451014</v>
      </c>
      <c r="BC940" t="s">
        <v>133</v>
      </c>
      <c r="BD940">
        <v>0</v>
      </c>
      <c r="BE940" t="s">
        <v>133</v>
      </c>
      <c r="BF94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9.09</v>
      </c>
    </row>
    <row r="941" spans="1:58" x14ac:dyDescent="0.25">
      <c r="A941" t="s">
        <v>1198</v>
      </c>
      <c r="B941" t="s">
        <v>19</v>
      </c>
      <c r="C941">
        <v>2</v>
      </c>
      <c r="D941">
        <v>325</v>
      </c>
      <c r="E941" t="s">
        <v>2111</v>
      </c>
      <c r="F941" t="s">
        <v>123</v>
      </c>
      <c r="G941" t="s">
        <v>124</v>
      </c>
      <c r="H941" t="s">
        <v>125</v>
      </c>
      <c r="I941" t="s">
        <v>140</v>
      </c>
      <c r="J941" t="s">
        <v>141</v>
      </c>
      <c r="K941" t="s">
        <v>127</v>
      </c>
      <c r="L941">
        <v>50</v>
      </c>
      <c r="M941">
        <v>1271021</v>
      </c>
      <c r="N941">
        <v>10</v>
      </c>
      <c r="O941">
        <v>4</v>
      </c>
      <c r="P941" t="s">
        <v>168</v>
      </c>
      <c r="Q941" t="s">
        <v>129</v>
      </c>
      <c r="R941">
        <v>30</v>
      </c>
      <c r="T941">
        <v>28</v>
      </c>
      <c r="U941">
        <v>33</v>
      </c>
      <c r="V941">
        <v>1</v>
      </c>
      <c r="W941">
        <v>0</v>
      </c>
      <c r="X941">
        <v>1</v>
      </c>
      <c r="Y941">
        <v>3</v>
      </c>
      <c r="Z941">
        <v>32</v>
      </c>
      <c r="AA941">
        <v>37</v>
      </c>
      <c r="AB941">
        <v>50</v>
      </c>
      <c r="AC941">
        <v>33</v>
      </c>
      <c r="AD941">
        <v>1</v>
      </c>
      <c r="AE941">
        <v>3</v>
      </c>
      <c r="AF941">
        <v>37</v>
      </c>
      <c r="AG941">
        <v>0</v>
      </c>
      <c r="AH941">
        <v>17</v>
      </c>
      <c r="AI941">
        <v>13</v>
      </c>
      <c r="AJ941">
        <v>14</v>
      </c>
      <c r="AK941">
        <v>17</v>
      </c>
      <c r="AL941">
        <v>0</v>
      </c>
      <c r="AM941">
        <v>0.2</v>
      </c>
      <c r="AN941">
        <v>1.2727272727272727</v>
      </c>
      <c r="AO941">
        <v>0</v>
      </c>
      <c r="AP941" t="s">
        <v>142</v>
      </c>
      <c r="AQ941" t="s">
        <v>131</v>
      </c>
      <c r="AR941" t="s">
        <v>1184</v>
      </c>
      <c r="AS941">
        <v>4426</v>
      </c>
      <c r="AT941">
        <v>3105</v>
      </c>
      <c r="AU941">
        <v>0</v>
      </c>
      <c r="AV941">
        <v>0</v>
      </c>
      <c r="AW941">
        <v>7.5309999999999997</v>
      </c>
      <c r="AX941">
        <v>0.2282121212121212</v>
      </c>
      <c r="AY941">
        <v>8.443848484848484</v>
      </c>
      <c r="AZ941" t="s">
        <v>135</v>
      </c>
      <c r="BA941">
        <v>1.556151515151516</v>
      </c>
      <c r="BB941">
        <v>6.8188819545877077</v>
      </c>
      <c r="BC941" t="s">
        <v>133</v>
      </c>
      <c r="BD941">
        <v>0</v>
      </c>
      <c r="BE941" t="s">
        <v>133</v>
      </c>
      <c r="BF94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7.5309999999999997</v>
      </c>
    </row>
    <row r="942" spans="1:58" x14ac:dyDescent="0.25">
      <c r="A942" t="s">
        <v>1199</v>
      </c>
      <c r="B942" t="s">
        <v>19</v>
      </c>
      <c r="C942">
        <v>2</v>
      </c>
      <c r="D942">
        <v>326</v>
      </c>
      <c r="E942" t="s">
        <v>2111</v>
      </c>
      <c r="F942" t="s">
        <v>123</v>
      </c>
      <c r="G942" t="s">
        <v>124</v>
      </c>
      <c r="H942" t="s">
        <v>125</v>
      </c>
      <c r="I942" t="s">
        <v>140</v>
      </c>
      <c r="J942" t="s">
        <v>141</v>
      </c>
      <c r="K942" t="s">
        <v>127</v>
      </c>
      <c r="L942">
        <v>50</v>
      </c>
      <c r="M942">
        <v>1271023</v>
      </c>
      <c r="N942">
        <v>10</v>
      </c>
      <c r="O942">
        <v>4</v>
      </c>
      <c r="P942" t="s">
        <v>168</v>
      </c>
      <c r="Q942" t="s">
        <v>129</v>
      </c>
      <c r="R942">
        <v>30</v>
      </c>
      <c r="T942">
        <v>27</v>
      </c>
      <c r="U942">
        <v>32</v>
      </c>
      <c r="V942">
        <v>2</v>
      </c>
      <c r="W942">
        <v>0</v>
      </c>
      <c r="X942">
        <v>2</v>
      </c>
      <c r="Y942">
        <v>3</v>
      </c>
      <c r="Z942">
        <v>32</v>
      </c>
      <c r="AA942">
        <v>37</v>
      </c>
      <c r="AB942">
        <v>50</v>
      </c>
      <c r="AC942">
        <v>32</v>
      </c>
      <c r="AD942">
        <v>2</v>
      </c>
      <c r="AE942">
        <v>3</v>
      </c>
      <c r="AF942">
        <v>37</v>
      </c>
      <c r="AG942">
        <v>0</v>
      </c>
      <c r="AH942">
        <v>18</v>
      </c>
      <c r="AI942">
        <v>13</v>
      </c>
      <c r="AJ942">
        <v>15</v>
      </c>
      <c r="AK942">
        <v>18</v>
      </c>
      <c r="AL942">
        <v>0</v>
      </c>
      <c r="AM942">
        <v>0.2</v>
      </c>
      <c r="AN942">
        <v>1.3636363636363638</v>
      </c>
      <c r="AO942">
        <v>0</v>
      </c>
      <c r="AP942" t="s">
        <v>142</v>
      </c>
      <c r="AQ942" t="s">
        <v>131</v>
      </c>
      <c r="AR942" t="s">
        <v>1184</v>
      </c>
      <c r="AS942">
        <v>4582</v>
      </c>
      <c r="AT942">
        <v>3233</v>
      </c>
      <c r="AU942">
        <v>0</v>
      </c>
      <c r="AV942">
        <v>0</v>
      </c>
      <c r="AW942">
        <v>7.8150000000000004</v>
      </c>
      <c r="AX942">
        <v>0.24421875000000001</v>
      </c>
      <c r="AY942">
        <v>9.0360937500000009</v>
      </c>
      <c r="AZ942" t="s">
        <v>135</v>
      </c>
      <c r="BA942">
        <v>0.96390624999999908</v>
      </c>
      <c r="BB942">
        <v>3.9468969929622482</v>
      </c>
      <c r="BC942" t="s">
        <v>133</v>
      </c>
      <c r="BD942">
        <v>0</v>
      </c>
      <c r="BE942" t="s">
        <v>133</v>
      </c>
      <c r="BF94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7.8150000000000004</v>
      </c>
    </row>
    <row r="943" spans="1:58" x14ac:dyDescent="0.25">
      <c r="A943" t="s">
        <v>1200</v>
      </c>
      <c r="B943" t="s">
        <v>19</v>
      </c>
      <c r="C943">
        <v>2</v>
      </c>
      <c r="D943">
        <v>327</v>
      </c>
      <c r="E943" t="s">
        <v>2111</v>
      </c>
      <c r="F943" t="s">
        <v>123</v>
      </c>
      <c r="G943" t="s">
        <v>124</v>
      </c>
      <c r="H943" t="s">
        <v>136</v>
      </c>
      <c r="I943" t="s">
        <v>137</v>
      </c>
      <c r="J943" t="s">
        <v>138</v>
      </c>
      <c r="K943" t="s">
        <v>127</v>
      </c>
      <c r="L943">
        <v>50</v>
      </c>
      <c r="M943">
        <v>1271025</v>
      </c>
      <c r="N943">
        <v>5</v>
      </c>
      <c r="O943">
        <v>4</v>
      </c>
      <c r="P943" t="s">
        <v>168</v>
      </c>
      <c r="Q943" t="s">
        <v>129</v>
      </c>
      <c r="R943">
        <v>30</v>
      </c>
      <c r="T943">
        <v>0</v>
      </c>
      <c r="U943">
        <v>4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4</v>
      </c>
      <c r="AB943">
        <v>50</v>
      </c>
      <c r="AC943">
        <v>4</v>
      </c>
      <c r="AD943">
        <v>0</v>
      </c>
      <c r="AE943">
        <v>0</v>
      </c>
      <c r="AF943">
        <v>4</v>
      </c>
      <c r="AG943">
        <v>0</v>
      </c>
      <c r="AH943">
        <v>46</v>
      </c>
      <c r="AI943">
        <v>46</v>
      </c>
      <c r="AJ943">
        <v>46</v>
      </c>
      <c r="AK943">
        <v>46</v>
      </c>
      <c r="AL943">
        <v>0</v>
      </c>
      <c r="AM943">
        <v>0.1</v>
      </c>
      <c r="AN943">
        <v>4.1818181818181817</v>
      </c>
      <c r="AO943">
        <v>0</v>
      </c>
      <c r="AP943" t="s">
        <v>139</v>
      </c>
      <c r="AQ943" t="s">
        <v>131</v>
      </c>
      <c r="AR943" t="s">
        <v>1184</v>
      </c>
      <c r="AS943">
        <v>0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0</v>
      </c>
      <c r="AZ943" t="s">
        <v>134</v>
      </c>
      <c r="BA943">
        <v>5</v>
      </c>
      <c r="BB943">
        <v>0</v>
      </c>
      <c r="BC943" t="s">
        <v>133</v>
      </c>
      <c r="BD943">
        <v>0</v>
      </c>
      <c r="BE943" t="s">
        <v>133</v>
      </c>
      <c r="BF94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944" spans="1:58" x14ac:dyDescent="0.25">
      <c r="A944" t="s">
        <v>1201</v>
      </c>
      <c r="B944" t="s">
        <v>19</v>
      </c>
      <c r="C944">
        <v>2</v>
      </c>
      <c r="D944">
        <v>328</v>
      </c>
      <c r="E944" t="s">
        <v>2111</v>
      </c>
      <c r="F944" t="s">
        <v>123</v>
      </c>
      <c r="G944" t="s">
        <v>124</v>
      </c>
      <c r="H944" t="s">
        <v>125</v>
      </c>
      <c r="I944" t="s">
        <v>140</v>
      </c>
      <c r="J944" t="s">
        <v>141</v>
      </c>
      <c r="K944" t="s">
        <v>127</v>
      </c>
      <c r="L944">
        <v>50</v>
      </c>
      <c r="M944">
        <v>1271027</v>
      </c>
      <c r="N944">
        <v>10</v>
      </c>
      <c r="O944">
        <v>4</v>
      </c>
      <c r="P944" t="s">
        <v>168</v>
      </c>
      <c r="Q944" t="s">
        <v>129</v>
      </c>
      <c r="R944">
        <v>30</v>
      </c>
      <c r="T944">
        <v>30</v>
      </c>
      <c r="U944">
        <v>35</v>
      </c>
      <c r="V944">
        <v>0</v>
      </c>
      <c r="W944">
        <v>0</v>
      </c>
      <c r="X944">
        <v>0</v>
      </c>
      <c r="Y944">
        <v>2</v>
      </c>
      <c r="Z944">
        <v>32</v>
      </c>
      <c r="AA944">
        <v>37</v>
      </c>
      <c r="AB944">
        <v>50</v>
      </c>
      <c r="AC944">
        <v>35</v>
      </c>
      <c r="AD944">
        <v>0</v>
      </c>
      <c r="AE944">
        <v>2</v>
      </c>
      <c r="AF944">
        <v>37</v>
      </c>
      <c r="AG944">
        <v>0</v>
      </c>
      <c r="AH944">
        <v>15</v>
      </c>
      <c r="AI944">
        <v>13</v>
      </c>
      <c r="AJ944">
        <v>13</v>
      </c>
      <c r="AK944">
        <v>15</v>
      </c>
      <c r="AL944">
        <v>0</v>
      </c>
      <c r="AM944">
        <v>0.2</v>
      </c>
      <c r="AN944">
        <v>1.1818181818181819</v>
      </c>
      <c r="AO944">
        <v>0</v>
      </c>
      <c r="AP944" t="s">
        <v>142</v>
      </c>
      <c r="AQ944" t="s">
        <v>131</v>
      </c>
      <c r="AR944" t="s">
        <v>1184</v>
      </c>
      <c r="AS944">
        <v>3930</v>
      </c>
      <c r="AT944">
        <v>3710</v>
      </c>
      <c r="AU944">
        <v>0</v>
      </c>
      <c r="AV944">
        <v>0</v>
      </c>
      <c r="AW944">
        <v>7.64</v>
      </c>
      <c r="AX944">
        <v>0.21828571428571428</v>
      </c>
      <c r="AY944">
        <v>8.0765714285714285</v>
      </c>
      <c r="AZ944" t="s">
        <v>135</v>
      </c>
      <c r="BA944">
        <v>1.9234285714285715</v>
      </c>
      <c r="BB944">
        <v>8.8115183246073308</v>
      </c>
      <c r="BC944" t="s">
        <v>133</v>
      </c>
      <c r="BD944">
        <v>0</v>
      </c>
      <c r="BE944" t="s">
        <v>133</v>
      </c>
      <c r="BF94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7.64</v>
      </c>
    </row>
    <row r="945" spans="1:58" x14ac:dyDescent="0.25">
      <c r="A945" t="s">
        <v>1202</v>
      </c>
      <c r="B945" t="s">
        <v>19</v>
      </c>
      <c r="C945">
        <v>2</v>
      </c>
      <c r="D945">
        <v>329</v>
      </c>
      <c r="E945" t="s">
        <v>2111</v>
      </c>
      <c r="F945" t="s">
        <v>123</v>
      </c>
      <c r="G945" t="s">
        <v>124</v>
      </c>
      <c r="H945" t="s">
        <v>125</v>
      </c>
      <c r="I945" t="s">
        <v>140</v>
      </c>
      <c r="J945" t="s">
        <v>141</v>
      </c>
      <c r="K945" t="s">
        <v>127</v>
      </c>
      <c r="L945">
        <v>50</v>
      </c>
      <c r="M945">
        <v>1271029</v>
      </c>
      <c r="N945">
        <v>10</v>
      </c>
      <c r="O945">
        <v>4</v>
      </c>
      <c r="P945" t="s">
        <v>168</v>
      </c>
      <c r="Q945" t="s">
        <v>129</v>
      </c>
      <c r="R945">
        <v>30</v>
      </c>
      <c r="T945">
        <v>29</v>
      </c>
      <c r="U945">
        <v>34</v>
      </c>
      <c r="V945">
        <v>1</v>
      </c>
      <c r="W945">
        <v>0</v>
      </c>
      <c r="X945">
        <v>1</v>
      </c>
      <c r="Y945">
        <v>3</v>
      </c>
      <c r="Z945">
        <v>33</v>
      </c>
      <c r="AA945">
        <v>38</v>
      </c>
      <c r="AB945">
        <v>50</v>
      </c>
      <c r="AC945">
        <v>34</v>
      </c>
      <c r="AD945">
        <v>1</v>
      </c>
      <c r="AE945">
        <v>3</v>
      </c>
      <c r="AF945">
        <v>38</v>
      </c>
      <c r="AG945">
        <v>0</v>
      </c>
      <c r="AH945">
        <v>16</v>
      </c>
      <c r="AI945">
        <v>12</v>
      </c>
      <c r="AJ945">
        <v>13</v>
      </c>
      <c r="AK945">
        <v>16</v>
      </c>
      <c r="AL945">
        <v>0</v>
      </c>
      <c r="AM945">
        <v>0.2</v>
      </c>
      <c r="AN945">
        <v>1.1818181818181819</v>
      </c>
      <c r="AO945">
        <v>0</v>
      </c>
      <c r="AP945" t="s">
        <v>142</v>
      </c>
      <c r="AQ945" t="s">
        <v>131</v>
      </c>
      <c r="AR945" t="s">
        <v>1184</v>
      </c>
      <c r="AS945">
        <v>4216</v>
      </c>
      <c r="AT945">
        <v>3678</v>
      </c>
      <c r="AU945">
        <v>0</v>
      </c>
      <c r="AV945">
        <v>0</v>
      </c>
      <c r="AW945">
        <v>7.8940000000000001</v>
      </c>
      <c r="AX945">
        <v>0.23217647058823529</v>
      </c>
      <c r="AY945">
        <v>8.8227058823529418</v>
      </c>
      <c r="AZ945" t="s">
        <v>135</v>
      </c>
      <c r="BA945">
        <v>1.1772941176470582</v>
      </c>
      <c r="BB945">
        <v>5.0706865974157562</v>
      </c>
      <c r="BC945" t="s">
        <v>133</v>
      </c>
      <c r="BD945">
        <v>0</v>
      </c>
      <c r="BE945" t="s">
        <v>133</v>
      </c>
      <c r="BF94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7.8940000000000001</v>
      </c>
    </row>
    <row r="946" spans="1:58" x14ac:dyDescent="0.25">
      <c r="A946" t="s">
        <v>1203</v>
      </c>
      <c r="B946" t="s">
        <v>19</v>
      </c>
      <c r="C946">
        <v>2</v>
      </c>
      <c r="D946">
        <v>330</v>
      </c>
      <c r="E946" t="s">
        <v>2111</v>
      </c>
      <c r="F946" t="s">
        <v>123</v>
      </c>
      <c r="G946" t="s">
        <v>124</v>
      </c>
      <c r="H946" t="s">
        <v>125</v>
      </c>
      <c r="I946" t="s">
        <v>140</v>
      </c>
      <c r="J946" t="s">
        <v>141</v>
      </c>
      <c r="K946" t="s">
        <v>127</v>
      </c>
      <c r="L946">
        <v>50</v>
      </c>
      <c r="M946">
        <v>1271031</v>
      </c>
      <c r="N946">
        <v>10</v>
      </c>
      <c r="O946">
        <v>4</v>
      </c>
      <c r="P946" t="s">
        <v>168</v>
      </c>
      <c r="Q946" t="s">
        <v>129</v>
      </c>
      <c r="R946">
        <v>30</v>
      </c>
      <c r="T946">
        <v>31</v>
      </c>
      <c r="U946">
        <v>36</v>
      </c>
      <c r="V946">
        <v>0</v>
      </c>
      <c r="W946">
        <v>0</v>
      </c>
      <c r="X946">
        <v>0</v>
      </c>
      <c r="Y946">
        <v>3</v>
      </c>
      <c r="Z946">
        <v>34</v>
      </c>
      <c r="AA946">
        <v>39</v>
      </c>
      <c r="AB946">
        <v>50</v>
      </c>
      <c r="AC946">
        <v>36</v>
      </c>
      <c r="AD946">
        <v>0</v>
      </c>
      <c r="AE946">
        <v>3</v>
      </c>
      <c r="AF946">
        <v>39</v>
      </c>
      <c r="AG946">
        <v>0</v>
      </c>
      <c r="AH946">
        <v>14</v>
      </c>
      <c r="AI946">
        <v>11</v>
      </c>
      <c r="AJ946">
        <v>11</v>
      </c>
      <c r="AK946">
        <v>14</v>
      </c>
      <c r="AL946">
        <v>0</v>
      </c>
      <c r="AM946">
        <v>0.2</v>
      </c>
      <c r="AN946">
        <v>1</v>
      </c>
      <c r="AO946">
        <v>0</v>
      </c>
      <c r="AP946" t="s">
        <v>142</v>
      </c>
      <c r="AQ946" t="s">
        <v>131</v>
      </c>
      <c r="AR946" t="s">
        <v>1184</v>
      </c>
      <c r="AS946">
        <v>3856</v>
      </c>
      <c r="AT946">
        <v>4314</v>
      </c>
      <c r="AU946">
        <v>0</v>
      </c>
      <c r="AV946">
        <v>0</v>
      </c>
      <c r="AW946">
        <v>8.17</v>
      </c>
      <c r="AX946">
        <v>0.22694444444444445</v>
      </c>
      <c r="AY946">
        <v>8.850833333333334</v>
      </c>
      <c r="AZ946" t="s">
        <v>135</v>
      </c>
      <c r="BA946">
        <v>1.149166666666666</v>
      </c>
      <c r="BB946">
        <v>5.0636474908200704</v>
      </c>
      <c r="BC946" t="s">
        <v>133</v>
      </c>
      <c r="BD946">
        <v>0</v>
      </c>
      <c r="BE946" t="s">
        <v>133</v>
      </c>
      <c r="BF94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8.17</v>
      </c>
    </row>
    <row r="947" spans="1:58" x14ac:dyDescent="0.25">
      <c r="A947" t="s">
        <v>1204</v>
      </c>
      <c r="B947" t="s">
        <v>19</v>
      </c>
      <c r="C947">
        <v>2</v>
      </c>
      <c r="D947">
        <v>331</v>
      </c>
      <c r="E947" t="s">
        <v>2111</v>
      </c>
      <c r="F947" t="s">
        <v>123</v>
      </c>
      <c r="G947" t="s">
        <v>124</v>
      </c>
      <c r="H947" t="s">
        <v>125</v>
      </c>
      <c r="I947" t="s">
        <v>140</v>
      </c>
      <c r="J947" t="s">
        <v>141</v>
      </c>
      <c r="K947" t="s">
        <v>127</v>
      </c>
      <c r="L947">
        <v>50</v>
      </c>
      <c r="M947">
        <v>1271033</v>
      </c>
      <c r="N947">
        <v>10</v>
      </c>
      <c r="O947">
        <v>4</v>
      </c>
      <c r="P947" t="s">
        <v>168</v>
      </c>
      <c r="Q947" t="s">
        <v>129</v>
      </c>
      <c r="R947">
        <v>30</v>
      </c>
      <c r="T947">
        <v>26</v>
      </c>
      <c r="U947">
        <v>31</v>
      </c>
      <c r="V947">
        <v>0</v>
      </c>
      <c r="W947">
        <v>0</v>
      </c>
      <c r="X947">
        <v>0</v>
      </c>
      <c r="Y947">
        <v>2</v>
      </c>
      <c r="Z947">
        <v>28</v>
      </c>
      <c r="AA947">
        <v>33</v>
      </c>
      <c r="AB947">
        <v>50</v>
      </c>
      <c r="AC947">
        <v>31</v>
      </c>
      <c r="AD947">
        <v>0</v>
      </c>
      <c r="AE947">
        <v>2</v>
      </c>
      <c r="AF947">
        <v>33</v>
      </c>
      <c r="AG947">
        <v>0</v>
      </c>
      <c r="AH947">
        <v>19</v>
      </c>
      <c r="AI947">
        <v>17</v>
      </c>
      <c r="AJ947">
        <v>17</v>
      </c>
      <c r="AK947">
        <v>19</v>
      </c>
      <c r="AL947">
        <v>0</v>
      </c>
      <c r="AM947">
        <v>0.2</v>
      </c>
      <c r="AN947">
        <v>1.5454545454545454</v>
      </c>
      <c r="AO947">
        <v>0</v>
      </c>
      <c r="AP947" t="s">
        <v>142</v>
      </c>
      <c r="AQ947" t="s">
        <v>131</v>
      </c>
      <c r="AR947" t="s">
        <v>1184</v>
      </c>
      <c r="AS947">
        <v>2921</v>
      </c>
      <c r="AT947">
        <v>3754</v>
      </c>
      <c r="AU947">
        <v>0</v>
      </c>
      <c r="AV947">
        <v>0</v>
      </c>
      <c r="AW947">
        <v>6.6749999999999998</v>
      </c>
      <c r="AX947">
        <v>0.21532258064516127</v>
      </c>
      <c r="AY947">
        <v>7.1056451612903215</v>
      </c>
      <c r="AZ947" t="s">
        <v>135</v>
      </c>
      <c r="BA947">
        <v>2.8943548387096785</v>
      </c>
      <c r="BB947">
        <v>13.441947565543078</v>
      </c>
      <c r="BC947" t="s">
        <v>133</v>
      </c>
      <c r="BD947">
        <v>0</v>
      </c>
      <c r="BE947" t="s">
        <v>133</v>
      </c>
      <c r="BF94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6.6749999999999998</v>
      </c>
    </row>
    <row r="948" spans="1:58" x14ac:dyDescent="0.25">
      <c r="A948" t="s">
        <v>1205</v>
      </c>
      <c r="B948" t="s">
        <v>19</v>
      </c>
      <c r="C948">
        <v>2</v>
      </c>
      <c r="D948">
        <v>332</v>
      </c>
      <c r="E948" t="s">
        <v>2111</v>
      </c>
      <c r="F948" t="s">
        <v>123</v>
      </c>
      <c r="G948" t="s">
        <v>124</v>
      </c>
      <c r="H948" t="s">
        <v>125</v>
      </c>
      <c r="I948" t="s">
        <v>140</v>
      </c>
      <c r="J948" t="s">
        <v>141</v>
      </c>
      <c r="K948" t="s">
        <v>127</v>
      </c>
      <c r="L948">
        <v>50</v>
      </c>
      <c r="M948">
        <v>1271035</v>
      </c>
      <c r="N948">
        <v>10</v>
      </c>
      <c r="O948">
        <v>4</v>
      </c>
      <c r="P948" t="s">
        <v>168</v>
      </c>
      <c r="Q948" t="s">
        <v>129</v>
      </c>
      <c r="R948">
        <v>30</v>
      </c>
      <c r="T948">
        <v>27</v>
      </c>
      <c r="U948">
        <v>32</v>
      </c>
      <c r="V948">
        <v>0</v>
      </c>
      <c r="W948">
        <v>0</v>
      </c>
      <c r="X948">
        <v>0</v>
      </c>
      <c r="Y948">
        <v>4</v>
      </c>
      <c r="Z948">
        <v>31</v>
      </c>
      <c r="AA948">
        <v>36</v>
      </c>
      <c r="AB948">
        <v>50</v>
      </c>
      <c r="AC948">
        <v>32</v>
      </c>
      <c r="AD948">
        <v>0</v>
      </c>
      <c r="AE948">
        <v>4</v>
      </c>
      <c r="AF948">
        <v>36</v>
      </c>
      <c r="AG948">
        <v>0</v>
      </c>
      <c r="AH948">
        <v>18</v>
      </c>
      <c r="AI948">
        <v>14</v>
      </c>
      <c r="AJ948">
        <v>14</v>
      </c>
      <c r="AK948">
        <v>18</v>
      </c>
      <c r="AL948">
        <v>0</v>
      </c>
      <c r="AM948">
        <v>0.2</v>
      </c>
      <c r="AN948">
        <v>1.2727272727272727</v>
      </c>
      <c r="AO948">
        <v>0</v>
      </c>
      <c r="AP948" t="s">
        <v>142</v>
      </c>
      <c r="AQ948" t="s">
        <v>131</v>
      </c>
      <c r="AR948" t="s">
        <v>1184</v>
      </c>
      <c r="AS948">
        <v>3580</v>
      </c>
      <c r="AT948">
        <v>3228</v>
      </c>
      <c r="AU948">
        <v>0</v>
      </c>
      <c r="AV948">
        <v>0</v>
      </c>
      <c r="AW948">
        <v>6.8079999999999998</v>
      </c>
      <c r="AX948">
        <v>0.21274999999999999</v>
      </c>
      <c r="AY948">
        <v>7.6589999999999998</v>
      </c>
      <c r="AZ948" t="s">
        <v>135</v>
      </c>
      <c r="BA948">
        <v>2.3410000000000002</v>
      </c>
      <c r="BB948">
        <v>11.003525264394831</v>
      </c>
      <c r="BC948" t="s">
        <v>144</v>
      </c>
      <c r="BD948">
        <v>0</v>
      </c>
      <c r="BE948" t="s">
        <v>133</v>
      </c>
      <c r="BF94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6.8079999999999998</v>
      </c>
    </row>
    <row r="949" spans="1:58" x14ac:dyDescent="0.25">
      <c r="A949" t="s">
        <v>1206</v>
      </c>
      <c r="B949" t="s">
        <v>19</v>
      </c>
      <c r="C949">
        <v>2</v>
      </c>
      <c r="D949">
        <v>333</v>
      </c>
      <c r="E949" t="s">
        <v>2111</v>
      </c>
      <c r="F949" t="s">
        <v>123</v>
      </c>
      <c r="G949" t="s">
        <v>124</v>
      </c>
      <c r="H949" t="s">
        <v>125</v>
      </c>
      <c r="I949" t="s">
        <v>140</v>
      </c>
      <c r="J949" t="s">
        <v>141</v>
      </c>
      <c r="K949" t="s">
        <v>127</v>
      </c>
      <c r="L949">
        <v>50</v>
      </c>
      <c r="M949">
        <v>1271037</v>
      </c>
      <c r="N949">
        <v>10</v>
      </c>
      <c r="O949">
        <v>4</v>
      </c>
      <c r="P949" t="s">
        <v>168</v>
      </c>
      <c r="Q949" t="s">
        <v>129</v>
      </c>
      <c r="R949">
        <v>31</v>
      </c>
      <c r="T949">
        <v>42</v>
      </c>
      <c r="U949">
        <v>47</v>
      </c>
      <c r="V949">
        <v>1</v>
      </c>
      <c r="W949">
        <v>0</v>
      </c>
      <c r="X949">
        <v>1</v>
      </c>
      <c r="Y949">
        <v>0</v>
      </c>
      <c r="Z949">
        <v>43</v>
      </c>
      <c r="AA949">
        <v>48</v>
      </c>
      <c r="AB949">
        <v>50</v>
      </c>
      <c r="AC949">
        <v>47</v>
      </c>
      <c r="AD949">
        <v>1</v>
      </c>
      <c r="AE949">
        <v>0</v>
      </c>
      <c r="AF949">
        <v>48</v>
      </c>
      <c r="AG949">
        <v>0</v>
      </c>
      <c r="AH949">
        <v>3</v>
      </c>
      <c r="AI949">
        <v>2</v>
      </c>
      <c r="AJ949">
        <v>3</v>
      </c>
      <c r="AK949">
        <v>3</v>
      </c>
      <c r="AL949">
        <v>0</v>
      </c>
      <c r="AM949">
        <v>0.2</v>
      </c>
      <c r="AN949">
        <v>0.27272727272727271</v>
      </c>
      <c r="AO949">
        <v>0</v>
      </c>
      <c r="AP949" t="s">
        <v>142</v>
      </c>
      <c r="AQ949" t="s">
        <v>131</v>
      </c>
      <c r="AR949" t="s">
        <v>1184</v>
      </c>
      <c r="AS949">
        <v>5629</v>
      </c>
      <c r="AT949">
        <v>5666</v>
      </c>
      <c r="AU949">
        <v>0</v>
      </c>
      <c r="AV949">
        <v>0</v>
      </c>
      <c r="AW949">
        <v>11.295</v>
      </c>
      <c r="AX949">
        <v>0.24031914893617021</v>
      </c>
      <c r="AY949">
        <v>11.535319148936169</v>
      </c>
      <c r="AZ949" t="s">
        <v>135</v>
      </c>
      <c r="BA949">
        <v>-1.5353191489361695</v>
      </c>
      <c r="BB949">
        <v>-6.3886675520141631</v>
      </c>
      <c r="BC949" t="s">
        <v>132</v>
      </c>
      <c r="BD949">
        <v>0</v>
      </c>
      <c r="BE949" t="s">
        <v>133</v>
      </c>
      <c r="BF94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11.295</v>
      </c>
    </row>
    <row r="950" spans="1:58" x14ac:dyDescent="0.25">
      <c r="A950" t="s">
        <v>1207</v>
      </c>
      <c r="B950" t="s">
        <v>19</v>
      </c>
      <c r="C950">
        <v>2</v>
      </c>
      <c r="D950">
        <v>334</v>
      </c>
      <c r="E950" t="s">
        <v>2111</v>
      </c>
      <c r="F950" t="s">
        <v>123</v>
      </c>
      <c r="G950" t="s">
        <v>124</v>
      </c>
      <c r="H950" t="s">
        <v>125</v>
      </c>
      <c r="I950" t="s">
        <v>126</v>
      </c>
      <c r="J950" t="s">
        <v>126</v>
      </c>
      <c r="K950" t="s">
        <v>127</v>
      </c>
      <c r="L950">
        <v>50</v>
      </c>
      <c r="M950">
        <v>1271039</v>
      </c>
      <c r="N950">
        <v>6</v>
      </c>
      <c r="O950">
        <v>4</v>
      </c>
      <c r="P950" t="s">
        <v>168</v>
      </c>
      <c r="Q950" t="s">
        <v>129</v>
      </c>
      <c r="R950">
        <v>31</v>
      </c>
      <c r="T950">
        <v>6</v>
      </c>
      <c r="U950">
        <v>11</v>
      </c>
      <c r="V950">
        <v>3</v>
      </c>
      <c r="W950">
        <v>0</v>
      </c>
      <c r="X950">
        <v>3</v>
      </c>
      <c r="Y950">
        <v>1</v>
      </c>
      <c r="Z950">
        <v>10</v>
      </c>
      <c r="AA950">
        <v>15</v>
      </c>
      <c r="AB950">
        <v>50</v>
      </c>
      <c r="AC950">
        <v>17</v>
      </c>
      <c r="AD950">
        <v>6</v>
      </c>
      <c r="AE950">
        <v>2</v>
      </c>
      <c r="AF950">
        <v>25</v>
      </c>
      <c r="AG950">
        <v>0</v>
      </c>
      <c r="AH950">
        <v>33</v>
      </c>
      <c r="AI950">
        <v>25</v>
      </c>
      <c r="AJ950">
        <v>31</v>
      </c>
      <c r="AK950">
        <v>33</v>
      </c>
      <c r="AL950">
        <v>0</v>
      </c>
      <c r="AM950">
        <v>0.12</v>
      </c>
      <c r="AN950">
        <v>2.8181818181818183</v>
      </c>
      <c r="AO950">
        <v>0</v>
      </c>
      <c r="AP950" t="s">
        <v>130</v>
      </c>
      <c r="AQ950" t="s">
        <v>131</v>
      </c>
      <c r="AR950" t="s">
        <v>1184</v>
      </c>
      <c r="AS950">
        <v>1219</v>
      </c>
      <c r="AT950">
        <v>1145</v>
      </c>
      <c r="AU950">
        <v>0</v>
      </c>
      <c r="AV950">
        <v>0</v>
      </c>
      <c r="AW950">
        <v>2.3639999999999999</v>
      </c>
      <c r="AX950">
        <v>0.13905882352941176</v>
      </c>
      <c r="AY950">
        <v>3.4764705882352942</v>
      </c>
      <c r="AZ950" t="s">
        <v>135</v>
      </c>
      <c r="BA950">
        <v>2.5235294117647058</v>
      </c>
      <c r="BB950">
        <v>18.147208121827411</v>
      </c>
      <c r="BC950" t="s">
        <v>133</v>
      </c>
      <c r="BD950">
        <v>0</v>
      </c>
      <c r="BE950" t="s">
        <v>133</v>
      </c>
      <c r="BF95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2.3639999999999999</v>
      </c>
    </row>
    <row r="951" spans="1:58" x14ac:dyDescent="0.25">
      <c r="A951" t="s">
        <v>1208</v>
      </c>
      <c r="B951" t="s">
        <v>19</v>
      </c>
      <c r="C951">
        <v>2</v>
      </c>
      <c r="D951">
        <v>335</v>
      </c>
      <c r="E951" t="s">
        <v>2111</v>
      </c>
      <c r="F951" t="s">
        <v>123</v>
      </c>
      <c r="G951" t="s">
        <v>124</v>
      </c>
      <c r="H951" t="s">
        <v>125</v>
      </c>
      <c r="I951" t="s">
        <v>126</v>
      </c>
      <c r="J951" t="s">
        <v>126</v>
      </c>
      <c r="K951" t="s">
        <v>127</v>
      </c>
      <c r="L951">
        <v>50</v>
      </c>
      <c r="M951">
        <v>1271041</v>
      </c>
      <c r="N951">
        <v>6</v>
      </c>
      <c r="O951">
        <v>4</v>
      </c>
      <c r="P951" t="s">
        <v>168</v>
      </c>
      <c r="Q951" t="s">
        <v>129</v>
      </c>
      <c r="R951">
        <v>31</v>
      </c>
      <c r="T951">
        <v>13</v>
      </c>
      <c r="U951">
        <v>18</v>
      </c>
      <c r="V951">
        <v>1</v>
      </c>
      <c r="W951">
        <v>0</v>
      </c>
      <c r="X951">
        <v>1</v>
      </c>
      <c r="Y951">
        <v>1</v>
      </c>
      <c r="Z951">
        <v>15</v>
      </c>
      <c r="AA951">
        <v>20</v>
      </c>
      <c r="AB951">
        <v>50</v>
      </c>
      <c r="AC951">
        <v>31</v>
      </c>
      <c r="AD951">
        <v>2</v>
      </c>
      <c r="AE951">
        <v>2</v>
      </c>
      <c r="AF951">
        <v>35</v>
      </c>
      <c r="AG951">
        <v>0</v>
      </c>
      <c r="AH951">
        <v>19</v>
      </c>
      <c r="AI951">
        <v>15</v>
      </c>
      <c r="AJ951">
        <v>17</v>
      </c>
      <c r="AK951">
        <v>19</v>
      </c>
      <c r="AL951">
        <v>0</v>
      </c>
      <c r="AM951">
        <v>0.12</v>
      </c>
      <c r="AN951">
        <v>1.5454545454545454</v>
      </c>
      <c r="AO951">
        <v>0</v>
      </c>
      <c r="AP951" t="s">
        <v>130</v>
      </c>
      <c r="AQ951" t="s">
        <v>131</v>
      </c>
      <c r="AR951" t="s">
        <v>1184</v>
      </c>
      <c r="AS951">
        <v>2557</v>
      </c>
      <c r="AT951">
        <v>2510</v>
      </c>
      <c r="AU951">
        <v>0</v>
      </c>
      <c r="AV951">
        <v>0</v>
      </c>
      <c r="AW951">
        <v>5.0670000000000002</v>
      </c>
      <c r="AX951">
        <v>0.16345161290322582</v>
      </c>
      <c r="AY951">
        <v>5.720806451612904</v>
      </c>
      <c r="AZ951" t="s">
        <v>135</v>
      </c>
      <c r="BA951">
        <v>0.27919354838709598</v>
      </c>
      <c r="BB951">
        <v>1.7081113084665431</v>
      </c>
      <c r="BC951" t="s">
        <v>133</v>
      </c>
      <c r="BD951">
        <v>0</v>
      </c>
      <c r="BE951" t="s">
        <v>133</v>
      </c>
      <c r="BF95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5.0670000000000002</v>
      </c>
    </row>
    <row r="952" spans="1:58" x14ac:dyDescent="0.25">
      <c r="A952" t="s">
        <v>1209</v>
      </c>
      <c r="B952" t="s">
        <v>19</v>
      </c>
      <c r="C952">
        <v>2</v>
      </c>
      <c r="D952">
        <v>336</v>
      </c>
      <c r="E952" t="s">
        <v>2111</v>
      </c>
      <c r="F952" t="s">
        <v>123</v>
      </c>
      <c r="G952" t="s">
        <v>124</v>
      </c>
      <c r="H952" t="s">
        <v>125</v>
      </c>
      <c r="I952" t="s">
        <v>126</v>
      </c>
      <c r="J952" t="s">
        <v>126</v>
      </c>
      <c r="K952" t="s">
        <v>127</v>
      </c>
      <c r="L952">
        <v>50</v>
      </c>
      <c r="M952">
        <v>1271043</v>
      </c>
      <c r="N952">
        <v>6</v>
      </c>
      <c r="O952">
        <v>4</v>
      </c>
      <c r="P952" t="s">
        <v>168</v>
      </c>
      <c r="Q952" t="s">
        <v>129</v>
      </c>
      <c r="R952">
        <v>31</v>
      </c>
      <c r="T952">
        <v>5</v>
      </c>
      <c r="U952">
        <v>10</v>
      </c>
      <c r="V952">
        <v>2</v>
      </c>
      <c r="W952">
        <v>0</v>
      </c>
      <c r="X952">
        <v>2</v>
      </c>
      <c r="Y952">
        <v>3</v>
      </c>
      <c r="Z952">
        <v>10</v>
      </c>
      <c r="AA952">
        <v>15</v>
      </c>
      <c r="AB952">
        <v>50</v>
      </c>
      <c r="AC952">
        <v>17</v>
      </c>
      <c r="AD952">
        <v>4</v>
      </c>
      <c r="AE952">
        <v>6</v>
      </c>
      <c r="AF952">
        <v>27</v>
      </c>
      <c r="AG952">
        <v>0</v>
      </c>
      <c r="AH952">
        <v>33</v>
      </c>
      <c r="AI952">
        <v>23</v>
      </c>
      <c r="AJ952">
        <v>27</v>
      </c>
      <c r="AK952">
        <v>33</v>
      </c>
      <c r="AL952">
        <v>0</v>
      </c>
      <c r="AM952">
        <v>0.12</v>
      </c>
      <c r="AN952">
        <v>2.4545454545454546</v>
      </c>
      <c r="AO952">
        <v>0</v>
      </c>
      <c r="AP952" t="s">
        <v>130</v>
      </c>
      <c r="AQ952" t="s">
        <v>131</v>
      </c>
      <c r="AR952" t="s">
        <v>1184</v>
      </c>
      <c r="AS952">
        <v>1406</v>
      </c>
      <c r="AT952">
        <v>1409</v>
      </c>
      <c r="AU952">
        <v>0</v>
      </c>
      <c r="AV952">
        <v>0</v>
      </c>
      <c r="AW952">
        <v>2.8149999999999999</v>
      </c>
      <c r="AX952">
        <v>0.16558823529411765</v>
      </c>
      <c r="AY952">
        <v>4.4708823529411763</v>
      </c>
      <c r="AZ952" t="s">
        <v>135</v>
      </c>
      <c r="BA952">
        <v>1.5291176470588237</v>
      </c>
      <c r="BB952">
        <v>9.234458259325045</v>
      </c>
      <c r="BC952" t="s">
        <v>133</v>
      </c>
      <c r="BD952">
        <v>0</v>
      </c>
      <c r="BE952" t="s">
        <v>133</v>
      </c>
      <c r="BF95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2.8149999999999999</v>
      </c>
    </row>
    <row r="953" spans="1:58" x14ac:dyDescent="0.25">
      <c r="A953" t="s">
        <v>1210</v>
      </c>
      <c r="B953" t="s">
        <v>19</v>
      </c>
      <c r="C953">
        <v>2</v>
      </c>
      <c r="D953">
        <v>337</v>
      </c>
      <c r="E953" t="s">
        <v>2111</v>
      </c>
      <c r="F953" t="s">
        <v>123</v>
      </c>
      <c r="G953" t="s">
        <v>124</v>
      </c>
      <c r="H953" t="s">
        <v>125</v>
      </c>
      <c r="I953" t="s">
        <v>126</v>
      </c>
      <c r="J953" t="s">
        <v>126</v>
      </c>
      <c r="K953" t="s">
        <v>127</v>
      </c>
      <c r="L953">
        <v>50</v>
      </c>
      <c r="M953">
        <v>1271045</v>
      </c>
      <c r="N953">
        <v>6</v>
      </c>
      <c r="O953">
        <v>4</v>
      </c>
      <c r="P953" t="s">
        <v>168</v>
      </c>
      <c r="Q953" t="s">
        <v>129</v>
      </c>
      <c r="R953">
        <v>31</v>
      </c>
      <c r="T953">
        <v>10</v>
      </c>
      <c r="U953">
        <v>15</v>
      </c>
      <c r="V953">
        <v>1</v>
      </c>
      <c r="W953">
        <v>0</v>
      </c>
      <c r="X953">
        <v>1</v>
      </c>
      <c r="Y953">
        <v>0</v>
      </c>
      <c r="Z953">
        <v>11</v>
      </c>
      <c r="AA953">
        <v>16</v>
      </c>
      <c r="AB953">
        <v>50</v>
      </c>
      <c r="AC953">
        <v>29</v>
      </c>
      <c r="AD953">
        <v>2</v>
      </c>
      <c r="AE953">
        <v>0</v>
      </c>
      <c r="AF953">
        <v>31</v>
      </c>
      <c r="AG953">
        <v>0</v>
      </c>
      <c r="AH953">
        <v>21</v>
      </c>
      <c r="AI953">
        <v>19</v>
      </c>
      <c r="AJ953">
        <v>21</v>
      </c>
      <c r="AK953">
        <v>21</v>
      </c>
      <c r="AL953">
        <v>0</v>
      </c>
      <c r="AM953">
        <v>0.12</v>
      </c>
      <c r="AN953">
        <v>1.9090909090909092</v>
      </c>
      <c r="AO953">
        <v>0</v>
      </c>
      <c r="AP953" t="s">
        <v>130</v>
      </c>
      <c r="AQ953" t="s">
        <v>131</v>
      </c>
      <c r="AR953" t="s">
        <v>1184</v>
      </c>
      <c r="AS953">
        <v>1606</v>
      </c>
      <c r="AT953">
        <v>1513</v>
      </c>
      <c r="AU953">
        <v>0</v>
      </c>
      <c r="AV953">
        <v>0</v>
      </c>
      <c r="AW953">
        <v>3.1190000000000002</v>
      </c>
      <c r="AX953">
        <v>0.10755172413793104</v>
      </c>
      <c r="AY953">
        <v>3.3341034482758625</v>
      </c>
      <c r="AZ953" t="s">
        <v>135</v>
      </c>
      <c r="BA953">
        <v>2.6658965517241375</v>
      </c>
      <c r="BB953">
        <v>24.78711125360692</v>
      </c>
      <c r="BC953" t="s">
        <v>133</v>
      </c>
      <c r="BD953">
        <v>0</v>
      </c>
      <c r="BE953" t="s">
        <v>133</v>
      </c>
      <c r="BF95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3.1190000000000002</v>
      </c>
    </row>
    <row r="954" spans="1:58" x14ac:dyDescent="0.25">
      <c r="A954" t="s">
        <v>1211</v>
      </c>
      <c r="B954" t="s">
        <v>19</v>
      </c>
      <c r="C954">
        <v>2</v>
      </c>
      <c r="D954">
        <v>338</v>
      </c>
      <c r="E954" t="s">
        <v>2111</v>
      </c>
      <c r="F954" t="s">
        <v>123</v>
      </c>
      <c r="G954" t="s">
        <v>124</v>
      </c>
      <c r="H954" t="s">
        <v>136</v>
      </c>
      <c r="I954" t="s">
        <v>137</v>
      </c>
      <c r="J954" t="s">
        <v>138</v>
      </c>
      <c r="K954" t="s">
        <v>127</v>
      </c>
      <c r="L954">
        <v>50</v>
      </c>
      <c r="M954">
        <v>1271047</v>
      </c>
      <c r="N954">
        <v>5</v>
      </c>
      <c r="O954">
        <v>4</v>
      </c>
      <c r="P954" t="s">
        <v>168</v>
      </c>
      <c r="Q954" t="s">
        <v>129</v>
      </c>
      <c r="R954">
        <v>31</v>
      </c>
      <c r="T954">
        <v>0</v>
      </c>
      <c r="U954">
        <v>4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4</v>
      </c>
      <c r="AB954">
        <v>50</v>
      </c>
      <c r="AC954">
        <v>4</v>
      </c>
      <c r="AD954">
        <v>0</v>
      </c>
      <c r="AE954">
        <v>0</v>
      </c>
      <c r="AF954">
        <v>4</v>
      </c>
      <c r="AG954">
        <v>0</v>
      </c>
      <c r="AH954">
        <v>46</v>
      </c>
      <c r="AI954">
        <v>46</v>
      </c>
      <c r="AJ954">
        <v>46</v>
      </c>
      <c r="AK954">
        <v>46</v>
      </c>
      <c r="AL954">
        <v>0</v>
      </c>
      <c r="AM954">
        <v>0.1</v>
      </c>
      <c r="AN954">
        <v>4.1818181818181817</v>
      </c>
      <c r="AO954">
        <v>0</v>
      </c>
      <c r="AP954" t="s">
        <v>139</v>
      </c>
      <c r="AQ954" t="s">
        <v>131</v>
      </c>
      <c r="AR954" t="s">
        <v>1184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0</v>
      </c>
      <c r="AY954">
        <v>0</v>
      </c>
      <c r="AZ954" t="s">
        <v>134</v>
      </c>
      <c r="BA954">
        <v>5</v>
      </c>
      <c r="BB954">
        <v>0</v>
      </c>
      <c r="BC954" t="s">
        <v>133</v>
      </c>
      <c r="BD954">
        <v>0</v>
      </c>
      <c r="BE954" t="s">
        <v>133</v>
      </c>
      <c r="BF95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955" spans="1:58" x14ac:dyDescent="0.25">
      <c r="A955" t="s">
        <v>1212</v>
      </c>
      <c r="B955" t="s">
        <v>19</v>
      </c>
      <c r="C955">
        <v>2</v>
      </c>
      <c r="D955">
        <v>339</v>
      </c>
      <c r="E955" t="s">
        <v>2111</v>
      </c>
      <c r="F955" t="s">
        <v>123</v>
      </c>
      <c r="G955" t="s">
        <v>124</v>
      </c>
      <c r="H955" t="s">
        <v>125</v>
      </c>
      <c r="I955" t="s">
        <v>126</v>
      </c>
      <c r="J955" t="s">
        <v>126</v>
      </c>
      <c r="K955" t="s">
        <v>127</v>
      </c>
      <c r="L955">
        <v>50</v>
      </c>
      <c r="M955">
        <v>1271049</v>
      </c>
      <c r="N955">
        <v>6</v>
      </c>
      <c r="O955">
        <v>4</v>
      </c>
      <c r="P955" t="s">
        <v>168</v>
      </c>
      <c r="Q955" t="s">
        <v>129</v>
      </c>
      <c r="R955">
        <v>31</v>
      </c>
      <c r="T955">
        <v>8</v>
      </c>
      <c r="U955">
        <v>13</v>
      </c>
      <c r="V955">
        <v>3</v>
      </c>
      <c r="W955">
        <v>0</v>
      </c>
      <c r="X955">
        <v>3</v>
      </c>
      <c r="Y955">
        <v>1</v>
      </c>
      <c r="Z955">
        <v>12</v>
      </c>
      <c r="AA955">
        <v>17</v>
      </c>
      <c r="AB955">
        <v>50</v>
      </c>
      <c r="AC955">
        <v>21</v>
      </c>
      <c r="AD955">
        <v>6</v>
      </c>
      <c r="AE955">
        <v>2</v>
      </c>
      <c r="AF955">
        <v>29</v>
      </c>
      <c r="AG955">
        <v>0</v>
      </c>
      <c r="AH955">
        <v>29</v>
      </c>
      <c r="AI955">
        <v>21</v>
      </c>
      <c r="AJ955">
        <v>27</v>
      </c>
      <c r="AK955">
        <v>29</v>
      </c>
      <c r="AL955">
        <v>0</v>
      </c>
      <c r="AM955">
        <v>0.12</v>
      </c>
      <c r="AN955">
        <v>2.4545454545454546</v>
      </c>
      <c r="AO955">
        <v>0</v>
      </c>
      <c r="AP955" t="s">
        <v>130</v>
      </c>
      <c r="AQ955" t="s">
        <v>131</v>
      </c>
      <c r="AR955" t="s">
        <v>1184</v>
      </c>
      <c r="AS955">
        <v>1772</v>
      </c>
      <c r="AT955">
        <v>1729</v>
      </c>
      <c r="AU955">
        <v>0</v>
      </c>
      <c r="AV955">
        <v>0</v>
      </c>
      <c r="AW955">
        <v>3.5009999999999999</v>
      </c>
      <c r="AX955">
        <v>0.1667142857142857</v>
      </c>
      <c r="AY955">
        <v>4.8347142857142851</v>
      </c>
      <c r="AZ955" t="s">
        <v>135</v>
      </c>
      <c r="BA955">
        <v>1.1652857142857149</v>
      </c>
      <c r="BB955">
        <v>6.9897172236503895</v>
      </c>
      <c r="BC955" t="s">
        <v>133</v>
      </c>
      <c r="BD955">
        <v>0</v>
      </c>
      <c r="BE955" t="s">
        <v>133</v>
      </c>
      <c r="BF95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3.5009999999999999</v>
      </c>
    </row>
    <row r="956" spans="1:58" x14ac:dyDescent="0.25">
      <c r="A956" t="s">
        <v>1213</v>
      </c>
      <c r="B956" t="s">
        <v>19</v>
      </c>
      <c r="C956">
        <v>2</v>
      </c>
      <c r="D956">
        <v>340</v>
      </c>
      <c r="E956" t="s">
        <v>2111</v>
      </c>
      <c r="F956" t="s">
        <v>123</v>
      </c>
      <c r="G956" t="s">
        <v>124</v>
      </c>
      <c r="H956" t="s">
        <v>125</v>
      </c>
      <c r="I956" t="s">
        <v>126</v>
      </c>
      <c r="J956" t="s">
        <v>126</v>
      </c>
      <c r="K956" t="s">
        <v>127</v>
      </c>
      <c r="L956">
        <v>50</v>
      </c>
      <c r="M956">
        <v>1271051</v>
      </c>
      <c r="N956">
        <v>6</v>
      </c>
      <c r="O956">
        <v>4</v>
      </c>
      <c r="P956" t="s">
        <v>168</v>
      </c>
      <c r="Q956" t="s">
        <v>129</v>
      </c>
      <c r="R956">
        <v>31</v>
      </c>
      <c r="T956">
        <v>5</v>
      </c>
      <c r="U956">
        <v>10</v>
      </c>
      <c r="V956">
        <v>0</v>
      </c>
      <c r="W956">
        <v>0</v>
      </c>
      <c r="X956">
        <v>0</v>
      </c>
      <c r="Y956">
        <v>0</v>
      </c>
      <c r="Z956">
        <v>5</v>
      </c>
      <c r="AA956">
        <v>10</v>
      </c>
      <c r="AB956">
        <v>50</v>
      </c>
      <c r="AC956">
        <v>15</v>
      </c>
      <c r="AD956">
        <v>0</v>
      </c>
      <c r="AE956">
        <v>0</v>
      </c>
      <c r="AF956">
        <v>15</v>
      </c>
      <c r="AG956">
        <v>0</v>
      </c>
      <c r="AH956">
        <v>35</v>
      </c>
      <c r="AI956">
        <v>35</v>
      </c>
      <c r="AJ956">
        <v>35</v>
      </c>
      <c r="AK956">
        <v>35</v>
      </c>
      <c r="AL956">
        <v>0</v>
      </c>
      <c r="AM956">
        <v>0.12</v>
      </c>
      <c r="AN956">
        <v>3.1818181818181821</v>
      </c>
      <c r="AO956">
        <v>0</v>
      </c>
      <c r="AP956" t="s">
        <v>130</v>
      </c>
      <c r="AQ956" t="s">
        <v>131</v>
      </c>
      <c r="AR956" t="s">
        <v>1184</v>
      </c>
      <c r="AS956">
        <v>841</v>
      </c>
      <c r="AT956">
        <v>864</v>
      </c>
      <c r="AU956">
        <v>0</v>
      </c>
      <c r="AV956">
        <v>0</v>
      </c>
      <c r="AW956">
        <v>1.7050000000000001</v>
      </c>
      <c r="AX956">
        <v>0.11366666666666667</v>
      </c>
      <c r="AY956">
        <v>1.7050000000000001</v>
      </c>
      <c r="AZ956" t="s">
        <v>135</v>
      </c>
      <c r="BA956">
        <v>4.2949999999999999</v>
      </c>
      <c r="BB956">
        <v>37.785923753665692</v>
      </c>
      <c r="BC956" t="s">
        <v>133</v>
      </c>
      <c r="BD956">
        <v>0</v>
      </c>
      <c r="BE956" t="s">
        <v>133</v>
      </c>
      <c r="BF95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1.7050000000000001</v>
      </c>
    </row>
    <row r="957" spans="1:58" x14ac:dyDescent="0.25">
      <c r="A957" t="s">
        <v>1214</v>
      </c>
      <c r="B957" t="s">
        <v>19</v>
      </c>
      <c r="C957">
        <v>2</v>
      </c>
      <c r="D957">
        <v>341</v>
      </c>
      <c r="E957" t="s">
        <v>2111</v>
      </c>
      <c r="F957" t="s">
        <v>123</v>
      </c>
      <c r="G957" t="s">
        <v>124</v>
      </c>
      <c r="H957" t="s">
        <v>125</v>
      </c>
      <c r="I957" t="s">
        <v>126</v>
      </c>
      <c r="J957" t="s">
        <v>126</v>
      </c>
      <c r="K957" t="s">
        <v>127</v>
      </c>
      <c r="L957">
        <v>50</v>
      </c>
      <c r="M957">
        <v>1271053</v>
      </c>
      <c r="N957">
        <v>6</v>
      </c>
      <c r="O957">
        <v>4</v>
      </c>
      <c r="P957" t="s">
        <v>168</v>
      </c>
      <c r="Q957" t="s">
        <v>129</v>
      </c>
      <c r="R957">
        <v>31</v>
      </c>
      <c r="S957" t="s">
        <v>1215</v>
      </c>
      <c r="T957">
        <v>12</v>
      </c>
      <c r="U957">
        <v>17</v>
      </c>
      <c r="V957">
        <v>0</v>
      </c>
      <c r="W957">
        <v>0</v>
      </c>
      <c r="X957">
        <v>0</v>
      </c>
      <c r="Y957">
        <v>0</v>
      </c>
      <c r="Z957">
        <v>12</v>
      </c>
      <c r="AA957">
        <v>17</v>
      </c>
      <c r="AB957">
        <v>50</v>
      </c>
      <c r="AC957">
        <v>29</v>
      </c>
      <c r="AD957">
        <v>0</v>
      </c>
      <c r="AE957">
        <v>0</v>
      </c>
      <c r="AF957">
        <v>29</v>
      </c>
      <c r="AG957">
        <v>0</v>
      </c>
      <c r="AH957">
        <v>21</v>
      </c>
      <c r="AI957">
        <v>21</v>
      </c>
      <c r="AJ957">
        <v>21</v>
      </c>
      <c r="AK957">
        <v>21</v>
      </c>
      <c r="AL957">
        <v>0</v>
      </c>
      <c r="AM957">
        <v>0.12</v>
      </c>
      <c r="AN957">
        <v>1.9090909090909092</v>
      </c>
      <c r="AO957">
        <v>0</v>
      </c>
      <c r="AP957" t="s">
        <v>130</v>
      </c>
      <c r="AQ957" t="s">
        <v>131</v>
      </c>
      <c r="AR957" t="s">
        <v>1184</v>
      </c>
      <c r="AS957">
        <v>2724</v>
      </c>
      <c r="AT957">
        <v>2718</v>
      </c>
      <c r="AU957">
        <v>0</v>
      </c>
      <c r="AV957">
        <v>0</v>
      </c>
      <c r="AW957">
        <v>5.4420000000000002</v>
      </c>
      <c r="AX957">
        <v>0.18765517241379312</v>
      </c>
      <c r="AY957">
        <v>5.4420000000000002</v>
      </c>
      <c r="AZ957" t="s">
        <v>135</v>
      </c>
      <c r="BA957">
        <v>0.55799999999999983</v>
      </c>
      <c r="BB957">
        <v>2.9735391400220497</v>
      </c>
      <c r="BC957" t="s">
        <v>133</v>
      </c>
      <c r="BD957">
        <v>0</v>
      </c>
      <c r="BE957" t="s">
        <v>133</v>
      </c>
      <c r="BF95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5.4420000000000002</v>
      </c>
    </row>
    <row r="958" spans="1:58" x14ac:dyDescent="0.25">
      <c r="A958" t="s">
        <v>1216</v>
      </c>
      <c r="B958" t="s">
        <v>19</v>
      </c>
      <c r="C958">
        <v>2</v>
      </c>
      <c r="D958">
        <v>342</v>
      </c>
      <c r="E958" t="s">
        <v>2111</v>
      </c>
      <c r="F958" t="s">
        <v>123</v>
      </c>
      <c r="G958" t="s">
        <v>124</v>
      </c>
      <c r="H958" t="s">
        <v>125</v>
      </c>
      <c r="I958" t="s">
        <v>126</v>
      </c>
      <c r="J958" t="s">
        <v>126</v>
      </c>
      <c r="K958" t="s">
        <v>127</v>
      </c>
      <c r="L958">
        <v>50</v>
      </c>
      <c r="M958">
        <v>1271055</v>
      </c>
      <c r="N958">
        <v>6</v>
      </c>
      <c r="O958">
        <v>4</v>
      </c>
      <c r="P958" t="s">
        <v>168</v>
      </c>
      <c r="Q958" t="s">
        <v>129</v>
      </c>
      <c r="R958">
        <v>31</v>
      </c>
      <c r="S958" t="s">
        <v>1217</v>
      </c>
      <c r="T958">
        <v>14</v>
      </c>
      <c r="U958">
        <v>19</v>
      </c>
      <c r="V958">
        <v>2</v>
      </c>
      <c r="W958">
        <v>0</v>
      </c>
      <c r="X958">
        <v>2</v>
      </c>
      <c r="Y958">
        <v>0</v>
      </c>
      <c r="Z958">
        <v>16</v>
      </c>
      <c r="AA958">
        <v>21</v>
      </c>
      <c r="AB958">
        <v>50</v>
      </c>
      <c r="AC958">
        <v>33</v>
      </c>
      <c r="AD958">
        <v>4</v>
      </c>
      <c r="AE958">
        <v>0</v>
      </c>
      <c r="AF958">
        <v>37</v>
      </c>
      <c r="AG958">
        <v>0</v>
      </c>
      <c r="AH958">
        <v>17</v>
      </c>
      <c r="AI958">
        <v>13</v>
      </c>
      <c r="AJ958">
        <v>17</v>
      </c>
      <c r="AK958">
        <v>17</v>
      </c>
      <c r="AL958">
        <v>0</v>
      </c>
      <c r="AM958">
        <v>0.12</v>
      </c>
      <c r="AN958">
        <v>1.5454545454545454</v>
      </c>
      <c r="AO958">
        <v>0</v>
      </c>
      <c r="AP958" t="s">
        <v>130</v>
      </c>
      <c r="AQ958" t="s">
        <v>131</v>
      </c>
      <c r="AR958" t="s">
        <v>1184</v>
      </c>
      <c r="AS958">
        <v>3416</v>
      </c>
      <c r="AT958">
        <v>3345</v>
      </c>
      <c r="AU958">
        <v>0</v>
      </c>
      <c r="AV958">
        <v>0</v>
      </c>
      <c r="AW958">
        <v>6.7610000000000001</v>
      </c>
      <c r="AX958">
        <v>0.20487878787878788</v>
      </c>
      <c r="AY958">
        <v>7.5805151515151517</v>
      </c>
      <c r="AZ958" t="s">
        <v>135</v>
      </c>
      <c r="BA958">
        <v>-1.5805151515151517</v>
      </c>
      <c r="BB958">
        <v>-7.7143913622245233</v>
      </c>
      <c r="BC958" t="s">
        <v>133</v>
      </c>
      <c r="BD958">
        <v>0</v>
      </c>
      <c r="BE958" t="s">
        <v>133</v>
      </c>
      <c r="BF95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6.7610000000000001</v>
      </c>
    </row>
    <row r="959" spans="1:58" x14ac:dyDescent="0.25">
      <c r="A959" t="s">
        <v>1218</v>
      </c>
      <c r="B959" t="s">
        <v>19</v>
      </c>
      <c r="C959">
        <v>2</v>
      </c>
      <c r="D959">
        <v>343</v>
      </c>
      <c r="E959" t="s">
        <v>2111</v>
      </c>
      <c r="F959" t="s">
        <v>123</v>
      </c>
      <c r="G959" t="s">
        <v>124</v>
      </c>
      <c r="H959" t="s">
        <v>125</v>
      </c>
      <c r="I959" t="s">
        <v>126</v>
      </c>
      <c r="J959" t="s">
        <v>126</v>
      </c>
      <c r="K959" t="s">
        <v>127</v>
      </c>
      <c r="L959">
        <v>50</v>
      </c>
      <c r="M959">
        <v>1271057</v>
      </c>
      <c r="N959">
        <v>6</v>
      </c>
      <c r="O959">
        <v>4</v>
      </c>
      <c r="P959" t="s">
        <v>168</v>
      </c>
      <c r="Q959" t="s">
        <v>129</v>
      </c>
      <c r="R959">
        <v>31</v>
      </c>
      <c r="S959" t="s">
        <v>1219</v>
      </c>
      <c r="T959">
        <v>18</v>
      </c>
      <c r="U959">
        <v>23</v>
      </c>
      <c r="V959">
        <v>0</v>
      </c>
      <c r="W959">
        <v>0</v>
      </c>
      <c r="X959">
        <v>0</v>
      </c>
      <c r="Y959">
        <v>0</v>
      </c>
      <c r="Z959">
        <v>18</v>
      </c>
      <c r="AA959">
        <v>23</v>
      </c>
      <c r="AB959">
        <v>50</v>
      </c>
      <c r="AC959">
        <v>41</v>
      </c>
      <c r="AD959">
        <v>0</v>
      </c>
      <c r="AE959">
        <v>0</v>
      </c>
      <c r="AF959">
        <v>41</v>
      </c>
      <c r="AG959">
        <v>0</v>
      </c>
      <c r="AH959">
        <v>9</v>
      </c>
      <c r="AI959">
        <v>9</v>
      </c>
      <c r="AJ959">
        <v>9</v>
      </c>
      <c r="AK959">
        <v>9</v>
      </c>
      <c r="AL959">
        <v>0</v>
      </c>
      <c r="AM959">
        <v>0.12</v>
      </c>
      <c r="AN959">
        <v>0.81818181818181823</v>
      </c>
      <c r="AO959">
        <v>0</v>
      </c>
      <c r="AP959" t="s">
        <v>130</v>
      </c>
      <c r="AQ959" t="s">
        <v>131</v>
      </c>
      <c r="AR959" t="s">
        <v>1184</v>
      </c>
      <c r="AS959">
        <v>4233</v>
      </c>
      <c r="AT959">
        <v>4251</v>
      </c>
      <c r="AU959">
        <v>0</v>
      </c>
      <c r="AV959">
        <v>0</v>
      </c>
      <c r="AW959">
        <v>8.484</v>
      </c>
      <c r="AX959">
        <v>0.20692682926829267</v>
      </c>
      <c r="AY959">
        <v>8.484</v>
      </c>
      <c r="AZ959" t="s">
        <v>135</v>
      </c>
      <c r="BA959">
        <v>-2.484</v>
      </c>
      <c r="BB959">
        <v>-12.004243281471005</v>
      </c>
      <c r="BC959" t="s">
        <v>144</v>
      </c>
      <c r="BD959">
        <v>0</v>
      </c>
      <c r="BE959" t="s">
        <v>133</v>
      </c>
      <c r="BF95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8.484</v>
      </c>
    </row>
    <row r="960" spans="1:58" x14ac:dyDescent="0.25">
      <c r="A960" t="s">
        <v>1220</v>
      </c>
      <c r="B960" t="s">
        <v>19</v>
      </c>
      <c r="C960">
        <v>2</v>
      </c>
      <c r="D960">
        <v>344</v>
      </c>
      <c r="E960" t="s">
        <v>2109</v>
      </c>
      <c r="F960" t="s">
        <v>123</v>
      </c>
      <c r="G960" t="s">
        <v>124</v>
      </c>
      <c r="H960" t="s">
        <v>125</v>
      </c>
      <c r="I960" t="s">
        <v>183</v>
      </c>
      <c r="J960" t="s">
        <v>191</v>
      </c>
      <c r="K960" t="s">
        <v>127</v>
      </c>
      <c r="L960">
        <v>50</v>
      </c>
      <c r="M960">
        <v>3381152</v>
      </c>
      <c r="N960">
        <v>15</v>
      </c>
      <c r="O960">
        <v>4</v>
      </c>
      <c r="P960" t="s">
        <v>168</v>
      </c>
      <c r="Q960" t="s">
        <v>129</v>
      </c>
      <c r="R960">
        <v>32</v>
      </c>
      <c r="S960" t="s">
        <v>1221</v>
      </c>
      <c r="T960">
        <v>20</v>
      </c>
      <c r="U960">
        <v>23</v>
      </c>
      <c r="V960">
        <v>0</v>
      </c>
      <c r="W960">
        <v>0</v>
      </c>
      <c r="X960">
        <v>0</v>
      </c>
      <c r="Y960">
        <v>0</v>
      </c>
      <c r="Z960">
        <v>20</v>
      </c>
      <c r="AA960">
        <v>23</v>
      </c>
      <c r="AB960">
        <v>50</v>
      </c>
      <c r="AC960">
        <v>41</v>
      </c>
      <c r="AD960">
        <v>0</v>
      </c>
      <c r="AE960">
        <v>0</v>
      </c>
      <c r="AF960">
        <v>41</v>
      </c>
      <c r="AG960">
        <v>0</v>
      </c>
      <c r="AH960">
        <v>9</v>
      </c>
      <c r="AI960">
        <v>9</v>
      </c>
      <c r="AJ960">
        <v>9</v>
      </c>
      <c r="AK960">
        <v>9</v>
      </c>
      <c r="AL960">
        <v>0</v>
      </c>
      <c r="AM960">
        <v>0.3</v>
      </c>
      <c r="AN960">
        <v>0.81818181818181823</v>
      </c>
      <c r="AO960">
        <v>0</v>
      </c>
      <c r="AP960" t="s">
        <v>188</v>
      </c>
      <c r="AQ960" t="s">
        <v>131</v>
      </c>
      <c r="AR960" t="s">
        <v>229</v>
      </c>
      <c r="AS960">
        <v>0</v>
      </c>
      <c r="AT960">
        <v>0</v>
      </c>
      <c r="AU960">
        <v>0</v>
      </c>
      <c r="AV960">
        <v>0</v>
      </c>
      <c r="AW960">
        <v>0</v>
      </c>
      <c r="AX960">
        <v>0</v>
      </c>
      <c r="AY960">
        <v>0</v>
      </c>
      <c r="AZ960" t="s">
        <v>147</v>
      </c>
      <c r="BA960">
        <v>15</v>
      </c>
      <c r="BB960">
        <v>0</v>
      </c>
      <c r="BC960" t="s">
        <v>132</v>
      </c>
      <c r="BD960">
        <v>0</v>
      </c>
      <c r="BE960" t="s">
        <v>133</v>
      </c>
      <c r="BF96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961" spans="1:58" x14ac:dyDescent="0.25">
      <c r="A961" t="s">
        <v>1222</v>
      </c>
      <c r="B961" t="s">
        <v>19</v>
      </c>
      <c r="C961">
        <v>2</v>
      </c>
      <c r="D961">
        <v>345</v>
      </c>
      <c r="E961" t="s">
        <v>2109</v>
      </c>
      <c r="F961" t="s">
        <v>123</v>
      </c>
      <c r="G961" t="s">
        <v>124</v>
      </c>
      <c r="H961" t="s">
        <v>125</v>
      </c>
      <c r="I961" t="s">
        <v>183</v>
      </c>
      <c r="J961" t="s">
        <v>191</v>
      </c>
      <c r="K961" t="s">
        <v>127</v>
      </c>
      <c r="L961">
        <v>50</v>
      </c>
      <c r="M961">
        <v>3458374</v>
      </c>
      <c r="N961">
        <v>15</v>
      </c>
      <c r="O961">
        <v>4</v>
      </c>
      <c r="P961" t="s">
        <v>168</v>
      </c>
      <c r="Q961" t="s">
        <v>129</v>
      </c>
      <c r="R961">
        <v>32</v>
      </c>
      <c r="S961" t="s">
        <v>1223</v>
      </c>
      <c r="T961">
        <v>22</v>
      </c>
      <c r="U961">
        <v>25</v>
      </c>
      <c r="V961">
        <v>0</v>
      </c>
      <c r="W961">
        <v>0</v>
      </c>
      <c r="X961">
        <v>0</v>
      </c>
      <c r="Y961">
        <v>0</v>
      </c>
      <c r="Z961">
        <v>22</v>
      </c>
      <c r="AA961">
        <v>25</v>
      </c>
      <c r="AB961">
        <v>50</v>
      </c>
      <c r="AC961">
        <v>49</v>
      </c>
      <c r="AD961">
        <v>0</v>
      </c>
      <c r="AE961">
        <v>0</v>
      </c>
      <c r="AF961">
        <v>49</v>
      </c>
      <c r="AG961">
        <v>0</v>
      </c>
      <c r="AH961">
        <v>1</v>
      </c>
      <c r="AI961">
        <v>1</v>
      </c>
      <c r="AJ961">
        <v>1</v>
      </c>
      <c r="AK961">
        <v>1</v>
      </c>
      <c r="AL961">
        <v>0</v>
      </c>
      <c r="AM961">
        <v>0.3</v>
      </c>
      <c r="AN961">
        <v>9.0909090909090912E-2</v>
      </c>
      <c r="AO961">
        <v>0</v>
      </c>
      <c r="AP961" t="s">
        <v>188</v>
      </c>
      <c r="AQ961" t="s">
        <v>131</v>
      </c>
      <c r="AR961" t="s">
        <v>229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 t="s">
        <v>147</v>
      </c>
      <c r="BA961">
        <v>15</v>
      </c>
      <c r="BB961">
        <v>0</v>
      </c>
      <c r="BC961" t="s">
        <v>133</v>
      </c>
      <c r="BD961">
        <v>0</v>
      </c>
      <c r="BE961" t="s">
        <v>133</v>
      </c>
      <c r="BF96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962" spans="1:58" x14ac:dyDescent="0.25">
      <c r="A962" t="s">
        <v>1224</v>
      </c>
      <c r="B962" t="s">
        <v>19</v>
      </c>
      <c r="C962">
        <v>2</v>
      </c>
      <c r="D962">
        <v>346</v>
      </c>
      <c r="E962" t="s">
        <v>2109</v>
      </c>
      <c r="F962" t="s">
        <v>123</v>
      </c>
      <c r="G962" t="s">
        <v>124</v>
      </c>
      <c r="H962" t="s">
        <v>125</v>
      </c>
      <c r="I962" t="s">
        <v>183</v>
      </c>
      <c r="J962" t="s">
        <v>191</v>
      </c>
      <c r="K962" t="s">
        <v>127</v>
      </c>
      <c r="L962">
        <v>50</v>
      </c>
      <c r="M962">
        <v>3458376</v>
      </c>
      <c r="N962">
        <v>15</v>
      </c>
      <c r="O962">
        <v>4</v>
      </c>
      <c r="P962" t="s">
        <v>168</v>
      </c>
      <c r="Q962" t="s">
        <v>129</v>
      </c>
      <c r="R962">
        <v>32</v>
      </c>
      <c r="S962" t="s">
        <v>1223</v>
      </c>
      <c r="T962">
        <v>22</v>
      </c>
      <c r="U962">
        <v>25</v>
      </c>
      <c r="V962">
        <v>0</v>
      </c>
      <c r="W962">
        <v>0</v>
      </c>
      <c r="X962">
        <v>0</v>
      </c>
      <c r="Y962">
        <v>0</v>
      </c>
      <c r="Z962">
        <v>22</v>
      </c>
      <c r="AA962">
        <v>25</v>
      </c>
      <c r="AB962">
        <v>50</v>
      </c>
      <c r="AC962">
        <v>49</v>
      </c>
      <c r="AD962">
        <v>0</v>
      </c>
      <c r="AE962">
        <v>0</v>
      </c>
      <c r="AF962">
        <v>49</v>
      </c>
      <c r="AG962">
        <v>0</v>
      </c>
      <c r="AH962">
        <v>1</v>
      </c>
      <c r="AI962">
        <v>1</v>
      </c>
      <c r="AJ962">
        <v>1</v>
      </c>
      <c r="AK962">
        <v>1</v>
      </c>
      <c r="AL962">
        <v>0</v>
      </c>
      <c r="AM962">
        <v>0.3</v>
      </c>
      <c r="AN962">
        <v>9.0909090909090912E-2</v>
      </c>
      <c r="AO962">
        <v>0</v>
      </c>
      <c r="AP962" t="s">
        <v>188</v>
      </c>
      <c r="AQ962" t="s">
        <v>131</v>
      </c>
      <c r="AR962" t="s">
        <v>229</v>
      </c>
      <c r="AS962">
        <v>0</v>
      </c>
      <c r="AT962">
        <v>0</v>
      </c>
      <c r="AU962">
        <v>0</v>
      </c>
      <c r="AV962">
        <v>0</v>
      </c>
      <c r="AW962">
        <v>0</v>
      </c>
      <c r="AX962">
        <v>0</v>
      </c>
      <c r="AY962">
        <v>0</v>
      </c>
      <c r="AZ962" t="s">
        <v>147</v>
      </c>
      <c r="BA962">
        <v>15</v>
      </c>
      <c r="BB962">
        <v>0</v>
      </c>
      <c r="BC962" t="s">
        <v>133</v>
      </c>
      <c r="BD962">
        <v>0</v>
      </c>
      <c r="BE962" t="s">
        <v>133</v>
      </c>
      <c r="BF96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963" spans="1:58" x14ac:dyDescent="0.25">
      <c r="A963" t="s">
        <v>1225</v>
      </c>
      <c r="B963" t="s">
        <v>19</v>
      </c>
      <c r="C963">
        <v>2</v>
      </c>
      <c r="D963">
        <v>347</v>
      </c>
      <c r="E963" t="s">
        <v>2109</v>
      </c>
      <c r="F963" t="s">
        <v>123</v>
      </c>
      <c r="G963" t="s">
        <v>124</v>
      </c>
      <c r="H963" t="s">
        <v>125</v>
      </c>
      <c r="I963" t="s">
        <v>183</v>
      </c>
      <c r="J963" t="s">
        <v>191</v>
      </c>
      <c r="K963" t="s">
        <v>127</v>
      </c>
      <c r="L963">
        <v>50</v>
      </c>
      <c r="M963">
        <v>3458378</v>
      </c>
      <c r="N963">
        <v>15</v>
      </c>
      <c r="O963">
        <v>4</v>
      </c>
      <c r="P963" t="s">
        <v>168</v>
      </c>
      <c r="Q963" t="s">
        <v>129</v>
      </c>
      <c r="R963">
        <v>32</v>
      </c>
      <c r="S963" t="s">
        <v>1223</v>
      </c>
      <c r="T963">
        <v>22</v>
      </c>
      <c r="U963">
        <v>25</v>
      </c>
      <c r="V963">
        <v>0</v>
      </c>
      <c r="W963">
        <v>0</v>
      </c>
      <c r="X963">
        <v>0</v>
      </c>
      <c r="Y963">
        <v>0</v>
      </c>
      <c r="Z963">
        <v>22</v>
      </c>
      <c r="AA963">
        <v>25</v>
      </c>
      <c r="AB963">
        <v>50</v>
      </c>
      <c r="AC963">
        <v>49</v>
      </c>
      <c r="AD963">
        <v>0</v>
      </c>
      <c r="AE963">
        <v>0</v>
      </c>
      <c r="AF963">
        <v>49</v>
      </c>
      <c r="AG963">
        <v>0</v>
      </c>
      <c r="AH963">
        <v>1</v>
      </c>
      <c r="AI963">
        <v>1</v>
      </c>
      <c r="AJ963">
        <v>1</v>
      </c>
      <c r="AK963">
        <v>1</v>
      </c>
      <c r="AL963">
        <v>0</v>
      </c>
      <c r="AM963">
        <v>0.3</v>
      </c>
      <c r="AN963">
        <v>9.0909090909090912E-2</v>
      </c>
      <c r="AO963">
        <v>0</v>
      </c>
      <c r="AP963" t="s">
        <v>188</v>
      </c>
      <c r="AQ963" t="s">
        <v>131</v>
      </c>
      <c r="AR963" t="s">
        <v>229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0</v>
      </c>
      <c r="AZ963" t="s">
        <v>147</v>
      </c>
      <c r="BA963">
        <v>15</v>
      </c>
      <c r="BB963">
        <v>0</v>
      </c>
      <c r="BC963" t="s">
        <v>133</v>
      </c>
      <c r="BD963">
        <v>0</v>
      </c>
      <c r="BE963" t="s">
        <v>133</v>
      </c>
      <c r="BF96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964" spans="1:58" x14ac:dyDescent="0.25">
      <c r="A964" t="s">
        <v>1226</v>
      </c>
      <c r="B964" t="s">
        <v>19</v>
      </c>
      <c r="C964">
        <v>2</v>
      </c>
      <c r="D964">
        <v>348</v>
      </c>
      <c r="E964" t="s">
        <v>2109</v>
      </c>
      <c r="F964" t="s">
        <v>123</v>
      </c>
      <c r="G964" t="s">
        <v>124</v>
      </c>
      <c r="H964" t="s">
        <v>125</v>
      </c>
      <c r="I964" t="s">
        <v>183</v>
      </c>
      <c r="J964" t="s">
        <v>191</v>
      </c>
      <c r="K964" t="s">
        <v>166</v>
      </c>
      <c r="L964">
        <v>50</v>
      </c>
      <c r="M964">
        <v>1271067</v>
      </c>
      <c r="N964">
        <v>15</v>
      </c>
      <c r="O964">
        <v>4</v>
      </c>
      <c r="P964" t="s">
        <v>168</v>
      </c>
      <c r="Q964" t="s">
        <v>129</v>
      </c>
      <c r="R964">
        <v>32</v>
      </c>
      <c r="S964" t="s">
        <v>1227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50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50</v>
      </c>
      <c r="AI964">
        <v>50</v>
      </c>
      <c r="AJ964">
        <v>50</v>
      </c>
      <c r="AK964">
        <v>50</v>
      </c>
      <c r="AL964">
        <v>0</v>
      </c>
      <c r="AM964">
        <v>0.3</v>
      </c>
      <c r="AN964">
        <v>4.5454545454545459</v>
      </c>
      <c r="AO964">
        <v>0</v>
      </c>
      <c r="AP964" t="s">
        <v>184</v>
      </c>
      <c r="AQ964" t="s">
        <v>155</v>
      </c>
      <c r="AR964" t="s">
        <v>229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 t="s">
        <v>135</v>
      </c>
      <c r="BA964">
        <v>15</v>
      </c>
      <c r="BB964">
        <v>0</v>
      </c>
      <c r="BC964" t="s">
        <v>133</v>
      </c>
      <c r="BD964">
        <v>0</v>
      </c>
      <c r="BE964" t="s">
        <v>133</v>
      </c>
      <c r="BF96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965" spans="1:58" x14ac:dyDescent="0.25">
      <c r="A965" t="s">
        <v>1228</v>
      </c>
      <c r="B965" t="s">
        <v>19</v>
      </c>
      <c r="C965">
        <v>2</v>
      </c>
      <c r="D965">
        <v>349</v>
      </c>
      <c r="E965" t="s">
        <v>2109</v>
      </c>
      <c r="F965" t="s">
        <v>123</v>
      </c>
      <c r="G965" t="s">
        <v>124</v>
      </c>
      <c r="H965" t="s">
        <v>125</v>
      </c>
      <c r="I965" t="s">
        <v>183</v>
      </c>
      <c r="J965" t="s">
        <v>191</v>
      </c>
      <c r="K965" t="s">
        <v>166</v>
      </c>
      <c r="L965">
        <v>50</v>
      </c>
      <c r="M965">
        <v>1271069</v>
      </c>
      <c r="N965">
        <v>15</v>
      </c>
      <c r="O965">
        <v>4</v>
      </c>
      <c r="P965" t="s">
        <v>168</v>
      </c>
      <c r="Q965" t="s">
        <v>129</v>
      </c>
      <c r="R965">
        <v>32</v>
      </c>
      <c r="S965" t="s">
        <v>1227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50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50</v>
      </c>
      <c r="AI965">
        <v>50</v>
      </c>
      <c r="AJ965">
        <v>50</v>
      </c>
      <c r="AK965">
        <v>50</v>
      </c>
      <c r="AL965">
        <v>0</v>
      </c>
      <c r="AM965">
        <v>0.3</v>
      </c>
      <c r="AN965">
        <v>4.5454545454545459</v>
      </c>
      <c r="AO965">
        <v>0</v>
      </c>
      <c r="AP965" t="s">
        <v>184</v>
      </c>
      <c r="AQ965" t="s">
        <v>155</v>
      </c>
      <c r="AR965" t="s">
        <v>229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0</v>
      </c>
      <c r="AY965">
        <v>0</v>
      </c>
      <c r="AZ965" t="s">
        <v>135</v>
      </c>
      <c r="BA965">
        <v>15</v>
      </c>
      <c r="BB965">
        <v>0</v>
      </c>
      <c r="BC965" t="s">
        <v>133</v>
      </c>
      <c r="BD965">
        <v>0</v>
      </c>
      <c r="BE965" t="s">
        <v>133</v>
      </c>
      <c r="BF96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966" spans="1:58" x14ac:dyDescent="0.25">
      <c r="A966" t="s">
        <v>1229</v>
      </c>
      <c r="B966" t="s">
        <v>19</v>
      </c>
      <c r="C966">
        <v>2</v>
      </c>
      <c r="D966">
        <v>350</v>
      </c>
      <c r="E966" t="s">
        <v>2109</v>
      </c>
      <c r="F966" t="s">
        <v>123</v>
      </c>
      <c r="G966" t="s">
        <v>124</v>
      </c>
      <c r="H966" t="s">
        <v>125</v>
      </c>
      <c r="I966" t="s">
        <v>183</v>
      </c>
      <c r="J966" t="s">
        <v>191</v>
      </c>
      <c r="K966" t="s">
        <v>166</v>
      </c>
      <c r="L966">
        <v>50</v>
      </c>
      <c r="M966">
        <v>1271071</v>
      </c>
      <c r="N966">
        <v>15</v>
      </c>
      <c r="O966">
        <v>4</v>
      </c>
      <c r="P966" t="s">
        <v>168</v>
      </c>
      <c r="Q966" t="s">
        <v>129</v>
      </c>
      <c r="R966">
        <v>32</v>
      </c>
      <c r="S966" t="s">
        <v>1227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50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50</v>
      </c>
      <c r="AI966">
        <v>50</v>
      </c>
      <c r="AJ966">
        <v>50</v>
      </c>
      <c r="AK966">
        <v>50</v>
      </c>
      <c r="AL966">
        <v>0</v>
      </c>
      <c r="AM966">
        <v>0.3</v>
      </c>
      <c r="AN966">
        <v>4.5454545454545459</v>
      </c>
      <c r="AO966">
        <v>0</v>
      </c>
      <c r="AP966" t="s">
        <v>184</v>
      </c>
      <c r="AQ966" t="s">
        <v>155</v>
      </c>
      <c r="AR966" t="s">
        <v>229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0</v>
      </c>
      <c r="AY966">
        <v>0</v>
      </c>
      <c r="AZ966" t="s">
        <v>135</v>
      </c>
      <c r="BA966">
        <v>15</v>
      </c>
      <c r="BB966">
        <v>0</v>
      </c>
      <c r="BC966" t="s">
        <v>133</v>
      </c>
      <c r="BD966">
        <v>0</v>
      </c>
      <c r="BE966" t="s">
        <v>133</v>
      </c>
      <c r="BF96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967" spans="1:58" x14ac:dyDescent="0.25">
      <c r="A967" t="s">
        <v>1230</v>
      </c>
      <c r="B967" t="s">
        <v>19</v>
      </c>
      <c r="C967">
        <v>2</v>
      </c>
      <c r="D967">
        <v>351</v>
      </c>
      <c r="E967" t="s">
        <v>2109</v>
      </c>
      <c r="F967" t="s">
        <v>123</v>
      </c>
      <c r="G967" t="s">
        <v>124</v>
      </c>
      <c r="H967" t="s">
        <v>125</v>
      </c>
      <c r="I967" t="s">
        <v>183</v>
      </c>
      <c r="J967" t="s">
        <v>191</v>
      </c>
      <c r="K967" t="s">
        <v>166</v>
      </c>
      <c r="L967">
        <v>50</v>
      </c>
      <c r="M967">
        <v>1271093</v>
      </c>
      <c r="N967">
        <v>15</v>
      </c>
      <c r="O967">
        <v>4</v>
      </c>
      <c r="P967" t="s">
        <v>168</v>
      </c>
      <c r="Q967" t="s">
        <v>129</v>
      </c>
      <c r="R967">
        <v>32</v>
      </c>
      <c r="S967" t="s">
        <v>1227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50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50</v>
      </c>
      <c r="AI967">
        <v>50</v>
      </c>
      <c r="AJ967">
        <v>50</v>
      </c>
      <c r="AK967">
        <v>50</v>
      </c>
      <c r="AL967">
        <v>0</v>
      </c>
      <c r="AM967">
        <v>0.3</v>
      </c>
      <c r="AN967">
        <v>4.5454545454545459</v>
      </c>
      <c r="AO967">
        <v>0</v>
      </c>
      <c r="AP967" t="s">
        <v>184</v>
      </c>
      <c r="AQ967" t="s">
        <v>155</v>
      </c>
      <c r="AR967" t="s">
        <v>229</v>
      </c>
      <c r="AS967">
        <v>0</v>
      </c>
      <c r="AT967">
        <v>0</v>
      </c>
      <c r="AU967">
        <v>0</v>
      </c>
      <c r="AV967">
        <v>0</v>
      </c>
      <c r="AW967">
        <v>0</v>
      </c>
      <c r="AX967">
        <v>0</v>
      </c>
      <c r="AY967">
        <v>0</v>
      </c>
      <c r="AZ967" t="s">
        <v>135</v>
      </c>
      <c r="BA967">
        <v>15</v>
      </c>
      <c r="BB967">
        <v>0</v>
      </c>
      <c r="BC967" t="s">
        <v>133</v>
      </c>
      <c r="BD967">
        <v>0</v>
      </c>
      <c r="BE967" t="s">
        <v>133</v>
      </c>
      <c r="BF96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968" spans="1:58" x14ac:dyDescent="0.25">
      <c r="A968" t="s">
        <v>1231</v>
      </c>
      <c r="B968" t="s">
        <v>19</v>
      </c>
      <c r="C968">
        <v>2</v>
      </c>
      <c r="D968">
        <v>352</v>
      </c>
      <c r="E968" t="s">
        <v>2109</v>
      </c>
      <c r="F968" t="s">
        <v>123</v>
      </c>
      <c r="G968" t="s">
        <v>124</v>
      </c>
      <c r="H968" t="s">
        <v>125</v>
      </c>
      <c r="I968" t="s">
        <v>183</v>
      </c>
      <c r="J968" t="s">
        <v>191</v>
      </c>
      <c r="K968" t="s">
        <v>166</v>
      </c>
      <c r="L968">
        <v>50</v>
      </c>
      <c r="M968">
        <v>1271095</v>
      </c>
      <c r="N968">
        <v>15</v>
      </c>
      <c r="O968">
        <v>4</v>
      </c>
      <c r="P968" t="s">
        <v>168</v>
      </c>
      <c r="Q968" t="s">
        <v>129</v>
      </c>
      <c r="R968">
        <v>32</v>
      </c>
      <c r="S968" t="s">
        <v>1227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50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50</v>
      </c>
      <c r="AI968">
        <v>50</v>
      </c>
      <c r="AJ968">
        <v>50</v>
      </c>
      <c r="AK968">
        <v>50</v>
      </c>
      <c r="AL968">
        <v>0</v>
      </c>
      <c r="AM968">
        <v>0.3</v>
      </c>
      <c r="AN968">
        <v>4.5454545454545459</v>
      </c>
      <c r="AO968">
        <v>0</v>
      </c>
      <c r="AP968" t="s">
        <v>184</v>
      </c>
      <c r="AQ968" t="s">
        <v>155</v>
      </c>
      <c r="AR968" t="s">
        <v>229</v>
      </c>
      <c r="AS968">
        <v>0</v>
      </c>
      <c r="AT968">
        <v>0</v>
      </c>
      <c r="AU968">
        <v>0</v>
      </c>
      <c r="AV968">
        <v>0</v>
      </c>
      <c r="AW968">
        <v>0</v>
      </c>
      <c r="AX968">
        <v>0</v>
      </c>
      <c r="AY968">
        <v>0</v>
      </c>
      <c r="AZ968" t="s">
        <v>135</v>
      </c>
      <c r="BA968">
        <v>15</v>
      </c>
      <c r="BB968">
        <v>0</v>
      </c>
      <c r="BC968" t="s">
        <v>133</v>
      </c>
      <c r="BD968">
        <v>0</v>
      </c>
      <c r="BE968" t="s">
        <v>133</v>
      </c>
      <c r="BF96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969" spans="1:58" x14ac:dyDescent="0.25">
      <c r="A969" t="s">
        <v>1232</v>
      </c>
      <c r="B969" t="s">
        <v>19</v>
      </c>
      <c r="C969">
        <v>2</v>
      </c>
      <c r="D969">
        <v>353</v>
      </c>
      <c r="E969" t="s">
        <v>2109</v>
      </c>
      <c r="F969" t="s">
        <v>123</v>
      </c>
      <c r="G969" t="s">
        <v>124</v>
      </c>
      <c r="H969" t="s">
        <v>125</v>
      </c>
      <c r="I969" t="s">
        <v>183</v>
      </c>
      <c r="J969" t="s">
        <v>191</v>
      </c>
      <c r="K969" t="s">
        <v>166</v>
      </c>
      <c r="L969">
        <v>50</v>
      </c>
      <c r="M969">
        <v>1271097</v>
      </c>
      <c r="N969">
        <v>15</v>
      </c>
      <c r="O969">
        <v>4</v>
      </c>
      <c r="P969" t="s">
        <v>168</v>
      </c>
      <c r="Q969" t="s">
        <v>129</v>
      </c>
      <c r="R969">
        <v>32</v>
      </c>
      <c r="S969" t="s">
        <v>1227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50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50</v>
      </c>
      <c r="AI969">
        <v>50</v>
      </c>
      <c r="AJ969">
        <v>50</v>
      </c>
      <c r="AK969">
        <v>50</v>
      </c>
      <c r="AL969">
        <v>0</v>
      </c>
      <c r="AM969">
        <v>0.3</v>
      </c>
      <c r="AN969">
        <v>4.5454545454545459</v>
      </c>
      <c r="AO969">
        <v>0</v>
      </c>
      <c r="AP969" t="s">
        <v>184</v>
      </c>
      <c r="AQ969" t="s">
        <v>155</v>
      </c>
      <c r="AR969" t="s">
        <v>229</v>
      </c>
      <c r="AS969">
        <v>0</v>
      </c>
      <c r="AT969">
        <v>0</v>
      </c>
      <c r="AU969">
        <v>0</v>
      </c>
      <c r="AV969">
        <v>0</v>
      </c>
      <c r="AW969">
        <v>0</v>
      </c>
      <c r="AX969">
        <v>0</v>
      </c>
      <c r="AY969">
        <v>0</v>
      </c>
      <c r="AZ969" t="s">
        <v>135</v>
      </c>
      <c r="BA969">
        <v>15</v>
      </c>
      <c r="BB969">
        <v>0</v>
      </c>
      <c r="BC969" t="s">
        <v>133</v>
      </c>
      <c r="BD969">
        <v>0</v>
      </c>
      <c r="BE969" t="s">
        <v>133</v>
      </c>
      <c r="BF96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970" spans="1:58" x14ac:dyDescent="0.25">
      <c r="A970" t="s">
        <v>1233</v>
      </c>
      <c r="B970" t="s">
        <v>19</v>
      </c>
      <c r="C970">
        <v>2</v>
      </c>
      <c r="D970">
        <v>354</v>
      </c>
      <c r="E970" t="s">
        <v>2109</v>
      </c>
      <c r="F970" t="s">
        <v>123</v>
      </c>
      <c r="G970" t="s">
        <v>124</v>
      </c>
      <c r="H970" t="s">
        <v>125</v>
      </c>
      <c r="I970" t="s">
        <v>183</v>
      </c>
      <c r="J970" t="s">
        <v>191</v>
      </c>
      <c r="K970" t="s">
        <v>166</v>
      </c>
      <c r="L970">
        <v>50</v>
      </c>
      <c r="M970">
        <v>1271099</v>
      </c>
      <c r="N970">
        <v>15</v>
      </c>
      <c r="O970">
        <v>4</v>
      </c>
      <c r="P970" t="s">
        <v>168</v>
      </c>
      <c r="Q970" t="s">
        <v>129</v>
      </c>
      <c r="R970">
        <v>32</v>
      </c>
      <c r="S970" t="s">
        <v>1227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50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50</v>
      </c>
      <c r="AI970">
        <v>50</v>
      </c>
      <c r="AJ970">
        <v>50</v>
      </c>
      <c r="AK970">
        <v>50</v>
      </c>
      <c r="AL970">
        <v>0</v>
      </c>
      <c r="AM970">
        <v>0.3</v>
      </c>
      <c r="AN970">
        <v>4.5454545454545459</v>
      </c>
      <c r="AO970">
        <v>0</v>
      </c>
      <c r="AP970" t="s">
        <v>184</v>
      </c>
      <c r="AQ970" t="s">
        <v>155</v>
      </c>
      <c r="AR970" t="s">
        <v>229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0</v>
      </c>
      <c r="AY970">
        <v>0</v>
      </c>
      <c r="AZ970" t="s">
        <v>135</v>
      </c>
      <c r="BA970">
        <v>15</v>
      </c>
      <c r="BB970">
        <v>0</v>
      </c>
      <c r="BC970" t="s">
        <v>144</v>
      </c>
      <c r="BD970">
        <v>0</v>
      </c>
      <c r="BE970" t="s">
        <v>133</v>
      </c>
      <c r="BF97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971" spans="1:58" x14ac:dyDescent="0.25">
      <c r="A971" t="s">
        <v>1234</v>
      </c>
      <c r="B971" t="s">
        <v>19</v>
      </c>
      <c r="C971">
        <v>2</v>
      </c>
      <c r="D971">
        <v>355</v>
      </c>
      <c r="E971" t="s">
        <v>2111</v>
      </c>
      <c r="F971" t="s">
        <v>123</v>
      </c>
      <c r="G971" t="s">
        <v>124</v>
      </c>
      <c r="H971" t="s">
        <v>125</v>
      </c>
      <c r="I971" t="s">
        <v>126</v>
      </c>
      <c r="J971" t="s">
        <v>126</v>
      </c>
      <c r="K971" t="s">
        <v>127</v>
      </c>
      <c r="L971">
        <v>50</v>
      </c>
      <c r="M971">
        <v>1271101</v>
      </c>
      <c r="N971">
        <v>6</v>
      </c>
      <c r="O971">
        <v>4</v>
      </c>
      <c r="P971" t="s">
        <v>168</v>
      </c>
      <c r="Q971" t="s">
        <v>129</v>
      </c>
      <c r="R971">
        <v>33</v>
      </c>
      <c r="T971">
        <v>0</v>
      </c>
      <c r="U971">
        <v>5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5</v>
      </c>
      <c r="AB971">
        <v>50</v>
      </c>
      <c r="AC971">
        <v>5</v>
      </c>
      <c r="AD971">
        <v>0</v>
      </c>
      <c r="AE971">
        <v>0</v>
      </c>
      <c r="AF971">
        <v>5</v>
      </c>
      <c r="AG971">
        <v>0</v>
      </c>
      <c r="AH971">
        <v>45</v>
      </c>
      <c r="AI971">
        <v>45</v>
      </c>
      <c r="AJ971">
        <v>45</v>
      </c>
      <c r="AK971">
        <v>45</v>
      </c>
      <c r="AL971">
        <v>0</v>
      </c>
      <c r="AM971">
        <v>0.12</v>
      </c>
      <c r="AN971">
        <v>4.0909090909090908</v>
      </c>
      <c r="AO971">
        <v>0</v>
      </c>
      <c r="AP971" t="s">
        <v>130</v>
      </c>
      <c r="AQ971" t="s">
        <v>131</v>
      </c>
      <c r="AR971" t="s">
        <v>1184</v>
      </c>
      <c r="AS971">
        <v>242</v>
      </c>
      <c r="AT971">
        <v>172</v>
      </c>
      <c r="AU971">
        <v>0</v>
      </c>
      <c r="AV971">
        <v>0</v>
      </c>
      <c r="AW971">
        <v>0.41399999999999998</v>
      </c>
      <c r="AX971">
        <v>8.2799999999999999E-2</v>
      </c>
      <c r="AY971">
        <v>0.41399999999999998</v>
      </c>
      <c r="AZ971" t="s">
        <v>135</v>
      </c>
      <c r="BA971">
        <v>5.5860000000000003</v>
      </c>
      <c r="BB971">
        <v>67.463768115942031</v>
      </c>
      <c r="BC971" t="s">
        <v>132</v>
      </c>
      <c r="BD971">
        <v>1</v>
      </c>
      <c r="BE971" t="s">
        <v>133</v>
      </c>
      <c r="BF97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0.41399999999999998</v>
      </c>
    </row>
    <row r="972" spans="1:58" x14ac:dyDescent="0.25">
      <c r="A972" t="s">
        <v>1235</v>
      </c>
      <c r="B972" t="s">
        <v>19</v>
      </c>
      <c r="C972">
        <v>2</v>
      </c>
      <c r="D972">
        <v>356</v>
      </c>
      <c r="E972" t="s">
        <v>2111</v>
      </c>
      <c r="F972" t="s">
        <v>123</v>
      </c>
      <c r="G972" t="s">
        <v>124</v>
      </c>
      <c r="H972" t="s">
        <v>125</v>
      </c>
      <c r="I972" t="s">
        <v>126</v>
      </c>
      <c r="J972" t="s">
        <v>126</v>
      </c>
      <c r="K972" t="s">
        <v>127</v>
      </c>
      <c r="L972">
        <v>50</v>
      </c>
      <c r="M972">
        <v>1271103</v>
      </c>
      <c r="N972">
        <v>6</v>
      </c>
      <c r="O972">
        <v>4</v>
      </c>
      <c r="P972" t="s">
        <v>168</v>
      </c>
      <c r="Q972" t="s">
        <v>129</v>
      </c>
      <c r="R972">
        <v>33</v>
      </c>
      <c r="T972">
        <v>11</v>
      </c>
      <c r="U972">
        <v>16</v>
      </c>
      <c r="V972">
        <v>5</v>
      </c>
      <c r="W972">
        <v>0</v>
      </c>
      <c r="X972">
        <v>5</v>
      </c>
      <c r="Y972">
        <v>0</v>
      </c>
      <c r="Z972">
        <v>16</v>
      </c>
      <c r="AA972">
        <v>21</v>
      </c>
      <c r="AB972">
        <v>50</v>
      </c>
      <c r="AC972">
        <v>20</v>
      </c>
      <c r="AD972">
        <v>9</v>
      </c>
      <c r="AE972">
        <v>0</v>
      </c>
      <c r="AF972">
        <v>29</v>
      </c>
      <c r="AG972">
        <v>0</v>
      </c>
      <c r="AH972">
        <v>30</v>
      </c>
      <c r="AI972">
        <v>21</v>
      </c>
      <c r="AJ972">
        <v>30</v>
      </c>
      <c r="AK972">
        <v>30</v>
      </c>
      <c r="AL972">
        <v>0</v>
      </c>
      <c r="AM972">
        <v>0.12</v>
      </c>
      <c r="AN972">
        <v>2.7272727272727275</v>
      </c>
      <c r="AO972">
        <v>0</v>
      </c>
      <c r="AP972" t="s">
        <v>130</v>
      </c>
      <c r="AQ972" t="s">
        <v>131</v>
      </c>
      <c r="AR972" t="s">
        <v>1184</v>
      </c>
      <c r="AS972">
        <v>1521</v>
      </c>
      <c r="AT972">
        <v>1733</v>
      </c>
      <c r="AU972">
        <v>0</v>
      </c>
      <c r="AV972">
        <v>0</v>
      </c>
      <c r="AW972">
        <v>3.254</v>
      </c>
      <c r="AX972">
        <v>0.16270000000000001</v>
      </c>
      <c r="AY972">
        <v>4.7183000000000002</v>
      </c>
      <c r="AZ972" t="s">
        <v>135</v>
      </c>
      <c r="BA972">
        <v>1.2816999999999998</v>
      </c>
      <c r="BB972">
        <v>7.8776889981561142</v>
      </c>
      <c r="BC972" t="s">
        <v>133</v>
      </c>
      <c r="BD972">
        <v>0</v>
      </c>
      <c r="BE972" t="s">
        <v>133</v>
      </c>
      <c r="BF97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3.254</v>
      </c>
    </row>
    <row r="973" spans="1:58" x14ac:dyDescent="0.25">
      <c r="A973" t="s">
        <v>1236</v>
      </c>
      <c r="B973" t="s">
        <v>19</v>
      </c>
      <c r="C973">
        <v>2</v>
      </c>
      <c r="D973">
        <v>357</v>
      </c>
      <c r="E973" t="s">
        <v>2111</v>
      </c>
      <c r="F973" t="s">
        <v>123</v>
      </c>
      <c r="G973" t="s">
        <v>124</v>
      </c>
      <c r="H973" t="s">
        <v>125</v>
      </c>
      <c r="I973" t="s">
        <v>126</v>
      </c>
      <c r="J973" t="s">
        <v>126</v>
      </c>
      <c r="K973" t="s">
        <v>127</v>
      </c>
      <c r="L973">
        <v>50</v>
      </c>
      <c r="M973">
        <v>1271105</v>
      </c>
      <c r="N973">
        <v>6</v>
      </c>
      <c r="O973">
        <v>4</v>
      </c>
      <c r="P973" t="s">
        <v>168</v>
      </c>
      <c r="Q973" t="s">
        <v>129</v>
      </c>
      <c r="R973">
        <v>33</v>
      </c>
      <c r="T973">
        <v>10</v>
      </c>
      <c r="U973">
        <v>15</v>
      </c>
      <c r="V973">
        <v>2</v>
      </c>
      <c r="W973">
        <v>0</v>
      </c>
      <c r="X973">
        <v>2</v>
      </c>
      <c r="Y973">
        <v>3</v>
      </c>
      <c r="Z973">
        <v>15</v>
      </c>
      <c r="AA973">
        <v>20</v>
      </c>
      <c r="AB973">
        <v>50</v>
      </c>
      <c r="AC973">
        <v>19</v>
      </c>
      <c r="AD973">
        <v>3</v>
      </c>
      <c r="AE973">
        <v>7</v>
      </c>
      <c r="AF973">
        <v>29</v>
      </c>
      <c r="AG973">
        <v>0</v>
      </c>
      <c r="AH973">
        <v>31</v>
      </c>
      <c r="AI973">
        <v>21</v>
      </c>
      <c r="AJ973">
        <v>24</v>
      </c>
      <c r="AK973">
        <v>31</v>
      </c>
      <c r="AL973">
        <v>0</v>
      </c>
      <c r="AM973">
        <v>0.12</v>
      </c>
      <c r="AN973">
        <v>2.1818181818181817</v>
      </c>
      <c r="AO973">
        <v>0</v>
      </c>
      <c r="AP973" t="s">
        <v>130</v>
      </c>
      <c r="AQ973" t="s">
        <v>131</v>
      </c>
      <c r="AR973" t="s">
        <v>1184</v>
      </c>
      <c r="AS973">
        <v>1246</v>
      </c>
      <c r="AT973">
        <v>1266</v>
      </c>
      <c r="AU973">
        <v>0</v>
      </c>
      <c r="AV973">
        <v>0</v>
      </c>
      <c r="AW973">
        <v>2.512</v>
      </c>
      <c r="AX973">
        <v>0.13221052631578947</v>
      </c>
      <c r="AY973">
        <v>3.8341052631578947</v>
      </c>
      <c r="AZ973" t="s">
        <v>135</v>
      </c>
      <c r="BA973">
        <v>2.1658947368421053</v>
      </c>
      <c r="BB973">
        <v>16.38216560509554</v>
      </c>
      <c r="BC973" t="s">
        <v>133</v>
      </c>
      <c r="BD973">
        <v>0</v>
      </c>
      <c r="BE973" t="s">
        <v>133</v>
      </c>
      <c r="BF97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2.512</v>
      </c>
    </row>
    <row r="974" spans="1:58" x14ac:dyDescent="0.25">
      <c r="A974" t="s">
        <v>1237</v>
      </c>
      <c r="B974" t="s">
        <v>19</v>
      </c>
      <c r="C974">
        <v>2</v>
      </c>
      <c r="D974">
        <v>358</v>
      </c>
      <c r="E974" t="s">
        <v>2111</v>
      </c>
      <c r="F974" t="s">
        <v>123</v>
      </c>
      <c r="G974" t="s">
        <v>124</v>
      </c>
      <c r="H974" t="s">
        <v>125</v>
      </c>
      <c r="I974" t="s">
        <v>126</v>
      </c>
      <c r="J974" t="s">
        <v>126</v>
      </c>
      <c r="K974" t="s">
        <v>127</v>
      </c>
      <c r="L974">
        <v>50</v>
      </c>
      <c r="M974">
        <v>1271107</v>
      </c>
      <c r="N974">
        <v>6</v>
      </c>
      <c r="O974">
        <v>4</v>
      </c>
      <c r="P974" t="s">
        <v>168</v>
      </c>
      <c r="Q974" t="s">
        <v>129</v>
      </c>
      <c r="R974">
        <v>33</v>
      </c>
      <c r="T974">
        <v>14</v>
      </c>
      <c r="U974">
        <v>19</v>
      </c>
      <c r="V974">
        <v>5</v>
      </c>
      <c r="W974">
        <v>0</v>
      </c>
      <c r="X974">
        <v>5</v>
      </c>
      <c r="Y974">
        <v>0</v>
      </c>
      <c r="Z974">
        <v>19</v>
      </c>
      <c r="AA974">
        <v>24</v>
      </c>
      <c r="AB974">
        <v>50</v>
      </c>
      <c r="AC974">
        <v>25</v>
      </c>
      <c r="AD974">
        <v>10</v>
      </c>
      <c r="AE974">
        <v>0</v>
      </c>
      <c r="AF974">
        <v>35</v>
      </c>
      <c r="AG974">
        <v>0</v>
      </c>
      <c r="AH974">
        <v>25</v>
      </c>
      <c r="AI974">
        <v>15</v>
      </c>
      <c r="AJ974">
        <v>25</v>
      </c>
      <c r="AK974">
        <v>25</v>
      </c>
      <c r="AL974">
        <v>0</v>
      </c>
      <c r="AM974">
        <v>0.12</v>
      </c>
      <c r="AN974">
        <v>2.2727272727272729</v>
      </c>
      <c r="AO974">
        <v>0</v>
      </c>
      <c r="AP974" t="s">
        <v>130</v>
      </c>
      <c r="AQ974" t="s">
        <v>131</v>
      </c>
      <c r="AR974" t="s">
        <v>1184</v>
      </c>
      <c r="AS974">
        <v>2618</v>
      </c>
      <c r="AT974">
        <v>2556</v>
      </c>
      <c r="AU974">
        <v>0</v>
      </c>
      <c r="AV974">
        <v>0</v>
      </c>
      <c r="AW974">
        <v>5.1740000000000004</v>
      </c>
      <c r="AX974">
        <v>0.20696000000000001</v>
      </c>
      <c r="AY974">
        <v>7.2435999999999998</v>
      </c>
      <c r="AZ974" t="s">
        <v>135</v>
      </c>
      <c r="BA974">
        <v>-1.2435999999999998</v>
      </c>
      <c r="BB974">
        <v>-6.0088906068805557</v>
      </c>
      <c r="BC974" t="s">
        <v>133</v>
      </c>
      <c r="BD974">
        <v>0</v>
      </c>
      <c r="BE974" t="s">
        <v>133</v>
      </c>
      <c r="BF97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5.1740000000000004</v>
      </c>
    </row>
    <row r="975" spans="1:58" x14ac:dyDescent="0.25">
      <c r="A975" t="s">
        <v>1238</v>
      </c>
      <c r="B975" t="s">
        <v>19</v>
      </c>
      <c r="C975">
        <v>2</v>
      </c>
      <c r="D975">
        <v>359</v>
      </c>
      <c r="E975" t="s">
        <v>2111</v>
      </c>
      <c r="F975" t="s">
        <v>123</v>
      </c>
      <c r="G975" t="s">
        <v>124</v>
      </c>
      <c r="H975" t="s">
        <v>125</v>
      </c>
      <c r="I975" t="s">
        <v>126</v>
      </c>
      <c r="J975" t="s">
        <v>126</v>
      </c>
      <c r="K975" t="s">
        <v>127</v>
      </c>
      <c r="L975">
        <v>50</v>
      </c>
      <c r="M975">
        <v>1271109</v>
      </c>
      <c r="N975">
        <v>6</v>
      </c>
      <c r="O975">
        <v>4</v>
      </c>
      <c r="P975" t="s">
        <v>168</v>
      </c>
      <c r="Q975" t="s">
        <v>129</v>
      </c>
      <c r="R975">
        <v>33</v>
      </c>
      <c r="T975">
        <v>10</v>
      </c>
      <c r="U975">
        <v>15</v>
      </c>
      <c r="V975">
        <v>3</v>
      </c>
      <c r="W975">
        <v>0</v>
      </c>
      <c r="X975">
        <v>3</v>
      </c>
      <c r="Y975">
        <v>3</v>
      </c>
      <c r="Z975">
        <v>16</v>
      </c>
      <c r="AA975">
        <v>21</v>
      </c>
      <c r="AB975">
        <v>50</v>
      </c>
      <c r="AC975">
        <v>22</v>
      </c>
      <c r="AD975">
        <v>5</v>
      </c>
      <c r="AE975">
        <v>5</v>
      </c>
      <c r="AF975">
        <v>32</v>
      </c>
      <c r="AG975">
        <v>0</v>
      </c>
      <c r="AH975">
        <v>28</v>
      </c>
      <c r="AI975">
        <v>18</v>
      </c>
      <c r="AJ975">
        <v>23</v>
      </c>
      <c r="AK975">
        <v>28</v>
      </c>
      <c r="AL975">
        <v>0</v>
      </c>
      <c r="AM975">
        <v>0.12</v>
      </c>
      <c r="AN975">
        <v>2.0909090909090908</v>
      </c>
      <c r="AO975">
        <v>0</v>
      </c>
      <c r="AP975" t="s">
        <v>130</v>
      </c>
      <c r="AQ975" t="s">
        <v>131</v>
      </c>
      <c r="AR975" t="s">
        <v>1184</v>
      </c>
      <c r="AS975">
        <v>2567</v>
      </c>
      <c r="AT975">
        <v>2146</v>
      </c>
      <c r="AU975">
        <v>0</v>
      </c>
      <c r="AV975">
        <v>0</v>
      </c>
      <c r="AW975">
        <v>4.7130000000000001</v>
      </c>
      <c r="AX975">
        <v>0.21422727272727274</v>
      </c>
      <c r="AY975">
        <v>6.8552727272727276</v>
      </c>
      <c r="AZ975" t="s">
        <v>135</v>
      </c>
      <c r="BA975">
        <v>-0.85527272727272763</v>
      </c>
      <c r="BB975">
        <v>-3.9923615531508609</v>
      </c>
      <c r="BC975" t="s">
        <v>133</v>
      </c>
      <c r="BD975">
        <v>0</v>
      </c>
      <c r="BE975" t="s">
        <v>133</v>
      </c>
      <c r="BF97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4.7130000000000001</v>
      </c>
    </row>
    <row r="976" spans="1:58" x14ac:dyDescent="0.25">
      <c r="A976" t="s">
        <v>1239</v>
      </c>
      <c r="B976" t="s">
        <v>19</v>
      </c>
      <c r="C976">
        <v>2</v>
      </c>
      <c r="D976">
        <v>360</v>
      </c>
      <c r="E976" t="s">
        <v>2111</v>
      </c>
      <c r="F976" t="s">
        <v>123</v>
      </c>
      <c r="G976" t="s">
        <v>124</v>
      </c>
      <c r="H976" t="s">
        <v>136</v>
      </c>
      <c r="I976" t="s">
        <v>137</v>
      </c>
      <c r="J976" t="s">
        <v>138</v>
      </c>
      <c r="K976" t="s">
        <v>127</v>
      </c>
      <c r="L976">
        <v>50</v>
      </c>
      <c r="M976">
        <v>1271111</v>
      </c>
      <c r="N976">
        <v>5</v>
      </c>
      <c r="O976">
        <v>4</v>
      </c>
      <c r="P976" t="s">
        <v>168</v>
      </c>
      <c r="Q976" t="s">
        <v>129</v>
      </c>
      <c r="R976">
        <v>33</v>
      </c>
      <c r="T976">
        <v>0</v>
      </c>
      <c r="U976">
        <v>4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4</v>
      </c>
      <c r="AB976">
        <v>50</v>
      </c>
      <c r="AC976">
        <v>4</v>
      </c>
      <c r="AD976">
        <v>0</v>
      </c>
      <c r="AE976">
        <v>0</v>
      </c>
      <c r="AF976">
        <v>4</v>
      </c>
      <c r="AG976">
        <v>0</v>
      </c>
      <c r="AH976">
        <v>46</v>
      </c>
      <c r="AI976">
        <v>46</v>
      </c>
      <c r="AJ976">
        <v>46</v>
      </c>
      <c r="AK976">
        <v>46</v>
      </c>
      <c r="AL976">
        <v>0</v>
      </c>
      <c r="AM976">
        <v>0.1</v>
      </c>
      <c r="AN976">
        <v>4.1818181818181817</v>
      </c>
      <c r="AO976">
        <v>0</v>
      </c>
      <c r="AP976" t="s">
        <v>139</v>
      </c>
      <c r="AQ976" t="s">
        <v>131</v>
      </c>
      <c r="AR976" t="s">
        <v>1184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0</v>
      </c>
      <c r="AZ976" t="s">
        <v>134</v>
      </c>
      <c r="BA976">
        <v>5</v>
      </c>
      <c r="BB976">
        <v>0</v>
      </c>
      <c r="BC976" t="s">
        <v>133</v>
      </c>
      <c r="BD976">
        <v>0</v>
      </c>
      <c r="BE976" t="s">
        <v>133</v>
      </c>
      <c r="BF97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977" spans="1:58" x14ac:dyDescent="0.25">
      <c r="A977" t="s">
        <v>1240</v>
      </c>
      <c r="B977" t="s">
        <v>19</v>
      </c>
      <c r="C977">
        <v>2</v>
      </c>
      <c r="D977">
        <v>361</v>
      </c>
      <c r="E977" t="s">
        <v>2111</v>
      </c>
      <c r="F977" t="s">
        <v>123</v>
      </c>
      <c r="G977" t="s">
        <v>124</v>
      </c>
      <c r="H977" t="s">
        <v>125</v>
      </c>
      <c r="I977" t="s">
        <v>126</v>
      </c>
      <c r="J977" t="s">
        <v>126</v>
      </c>
      <c r="K977" t="s">
        <v>127</v>
      </c>
      <c r="L977">
        <v>50</v>
      </c>
      <c r="M977">
        <v>1271113</v>
      </c>
      <c r="N977">
        <v>6</v>
      </c>
      <c r="O977">
        <v>4</v>
      </c>
      <c r="P977" t="s">
        <v>168</v>
      </c>
      <c r="Q977" t="s">
        <v>129</v>
      </c>
      <c r="R977">
        <v>33</v>
      </c>
      <c r="T977">
        <v>5</v>
      </c>
      <c r="U977">
        <v>10</v>
      </c>
      <c r="V977">
        <v>4</v>
      </c>
      <c r="W977">
        <v>0</v>
      </c>
      <c r="X977">
        <v>4</v>
      </c>
      <c r="Y977">
        <v>2</v>
      </c>
      <c r="Z977">
        <v>11</v>
      </c>
      <c r="AA977">
        <v>16</v>
      </c>
      <c r="AB977">
        <v>50</v>
      </c>
      <c r="AC977">
        <v>11</v>
      </c>
      <c r="AD977">
        <v>8</v>
      </c>
      <c r="AE977">
        <v>2</v>
      </c>
      <c r="AF977">
        <v>21</v>
      </c>
      <c r="AG977">
        <v>0</v>
      </c>
      <c r="AH977">
        <v>39</v>
      </c>
      <c r="AI977">
        <v>29</v>
      </c>
      <c r="AJ977">
        <v>37</v>
      </c>
      <c r="AK977">
        <v>39</v>
      </c>
      <c r="AL977">
        <v>0</v>
      </c>
      <c r="AM977">
        <v>0.12</v>
      </c>
      <c r="AN977">
        <v>3.3636363636363638</v>
      </c>
      <c r="AO977">
        <v>0</v>
      </c>
      <c r="AP977" t="s">
        <v>130</v>
      </c>
      <c r="AQ977" t="s">
        <v>131</v>
      </c>
      <c r="AR977" t="s">
        <v>1184</v>
      </c>
      <c r="AS977">
        <v>1150</v>
      </c>
      <c r="AT977">
        <v>1135</v>
      </c>
      <c r="AU977">
        <v>0</v>
      </c>
      <c r="AV977">
        <v>0</v>
      </c>
      <c r="AW977">
        <v>2.2850000000000001</v>
      </c>
      <c r="AX977">
        <v>0.20772727272727273</v>
      </c>
      <c r="AY977">
        <v>4.3622727272727273</v>
      </c>
      <c r="AZ977" t="s">
        <v>135</v>
      </c>
      <c r="BA977">
        <v>1.6377272727272727</v>
      </c>
      <c r="BB977">
        <v>7.8840262582056893</v>
      </c>
      <c r="BC977" t="s">
        <v>133</v>
      </c>
      <c r="BD977">
        <v>0</v>
      </c>
      <c r="BE977" t="s">
        <v>133</v>
      </c>
      <c r="BF97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2.2850000000000001</v>
      </c>
    </row>
    <row r="978" spans="1:58" x14ac:dyDescent="0.25">
      <c r="A978" t="s">
        <v>1241</v>
      </c>
      <c r="B978" t="s">
        <v>19</v>
      </c>
      <c r="C978">
        <v>2</v>
      </c>
      <c r="D978">
        <v>362</v>
      </c>
      <c r="E978" t="s">
        <v>2111</v>
      </c>
      <c r="F978" t="s">
        <v>123</v>
      </c>
      <c r="G978" t="s">
        <v>124</v>
      </c>
      <c r="H978" t="s">
        <v>125</v>
      </c>
      <c r="I978" t="s">
        <v>126</v>
      </c>
      <c r="J978" t="s">
        <v>126</v>
      </c>
      <c r="K978" t="s">
        <v>127</v>
      </c>
      <c r="L978">
        <v>50</v>
      </c>
      <c r="M978">
        <v>1271115</v>
      </c>
      <c r="N978">
        <v>6</v>
      </c>
      <c r="O978">
        <v>4</v>
      </c>
      <c r="P978" t="s">
        <v>168</v>
      </c>
      <c r="Q978" t="s">
        <v>129</v>
      </c>
      <c r="R978">
        <v>33</v>
      </c>
      <c r="T978">
        <v>10</v>
      </c>
      <c r="U978">
        <v>15</v>
      </c>
      <c r="V978">
        <v>3</v>
      </c>
      <c r="W978">
        <v>0</v>
      </c>
      <c r="X978">
        <v>3</v>
      </c>
      <c r="Y978">
        <v>3</v>
      </c>
      <c r="Z978">
        <v>16</v>
      </c>
      <c r="AA978">
        <v>21</v>
      </c>
      <c r="AB978">
        <v>50</v>
      </c>
      <c r="AC978">
        <v>18</v>
      </c>
      <c r="AD978">
        <v>8</v>
      </c>
      <c r="AE978">
        <v>4</v>
      </c>
      <c r="AF978">
        <v>30</v>
      </c>
      <c r="AG978">
        <v>0</v>
      </c>
      <c r="AH978">
        <v>32</v>
      </c>
      <c r="AI978">
        <v>20</v>
      </c>
      <c r="AJ978">
        <v>28</v>
      </c>
      <c r="AK978">
        <v>32</v>
      </c>
      <c r="AL978">
        <v>0</v>
      </c>
      <c r="AM978">
        <v>0.12</v>
      </c>
      <c r="AN978">
        <v>2.5454545454545454</v>
      </c>
      <c r="AO978">
        <v>0</v>
      </c>
      <c r="AP978" t="s">
        <v>130</v>
      </c>
      <c r="AQ978" t="s">
        <v>131</v>
      </c>
      <c r="AR978" t="s">
        <v>1184</v>
      </c>
      <c r="AS978">
        <v>1892</v>
      </c>
      <c r="AT978">
        <v>1767</v>
      </c>
      <c r="AU978">
        <v>0</v>
      </c>
      <c r="AV978">
        <v>0</v>
      </c>
      <c r="AW978">
        <v>3.6589999999999998</v>
      </c>
      <c r="AX978">
        <v>0.20327777777777778</v>
      </c>
      <c r="AY978">
        <v>6.0983333333333336</v>
      </c>
      <c r="AZ978" t="s">
        <v>135</v>
      </c>
      <c r="BA978">
        <v>-9.8333333333333606E-2</v>
      </c>
      <c r="BB978">
        <v>-0.4837387264279871</v>
      </c>
      <c r="BC978" t="s">
        <v>133</v>
      </c>
      <c r="BD978">
        <v>0</v>
      </c>
      <c r="BE978" t="s">
        <v>133</v>
      </c>
      <c r="BF97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3.6589999999999998</v>
      </c>
    </row>
    <row r="979" spans="1:58" x14ac:dyDescent="0.25">
      <c r="A979" t="s">
        <v>1242</v>
      </c>
      <c r="B979" t="s">
        <v>19</v>
      </c>
      <c r="C979">
        <v>2</v>
      </c>
      <c r="D979">
        <v>363</v>
      </c>
      <c r="E979" t="s">
        <v>2111</v>
      </c>
      <c r="F979" t="s">
        <v>123</v>
      </c>
      <c r="G979" t="s">
        <v>124</v>
      </c>
      <c r="H979" t="s">
        <v>125</v>
      </c>
      <c r="I979" t="s">
        <v>126</v>
      </c>
      <c r="J979" t="s">
        <v>126</v>
      </c>
      <c r="K979" t="s">
        <v>127</v>
      </c>
      <c r="L979">
        <v>50</v>
      </c>
      <c r="M979">
        <v>1271117</v>
      </c>
      <c r="N979">
        <v>6</v>
      </c>
      <c r="O979">
        <v>4</v>
      </c>
      <c r="P979" t="s">
        <v>168</v>
      </c>
      <c r="Q979" t="s">
        <v>129</v>
      </c>
      <c r="R979">
        <v>33</v>
      </c>
      <c r="T979">
        <v>12</v>
      </c>
      <c r="U979">
        <v>17</v>
      </c>
      <c r="V979">
        <v>6</v>
      </c>
      <c r="W979">
        <v>0</v>
      </c>
      <c r="X979">
        <v>6</v>
      </c>
      <c r="Y979">
        <v>3</v>
      </c>
      <c r="Z979">
        <v>21</v>
      </c>
      <c r="AA979">
        <v>26</v>
      </c>
      <c r="AB979">
        <v>50</v>
      </c>
      <c r="AC979">
        <v>21</v>
      </c>
      <c r="AD979">
        <v>9</v>
      </c>
      <c r="AE979">
        <v>3</v>
      </c>
      <c r="AF979">
        <v>33</v>
      </c>
      <c r="AG979">
        <v>0</v>
      </c>
      <c r="AH979">
        <v>29</v>
      </c>
      <c r="AI979">
        <v>17</v>
      </c>
      <c r="AJ979">
        <v>26</v>
      </c>
      <c r="AK979">
        <v>29</v>
      </c>
      <c r="AL979">
        <v>0</v>
      </c>
      <c r="AM979">
        <v>0.12</v>
      </c>
      <c r="AN979">
        <v>2.3636363636363638</v>
      </c>
      <c r="AO979">
        <v>0</v>
      </c>
      <c r="AP979" t="s">
        <v>130</v>
      </c>
      <c r="AQ979" t="s">
        <v>131</v>
      </c>
      <c r="AR979" t="s">
        <v>1184</v>
      </c>
      <c r="AS979">
        <v>1750</v>
      </c>
      <c r="AT979">
        <v>2341</v>
      </c>
      <c r="AU979">
        <v>0</v>
      </c>
      <c r="AV979">
        <v>0</v>
      </c>
      <c r="AW979">
        <v>4.0910000000000002</v>
      </c>
      <c r="AX979">
        <v>0.19480952380952382</v>
      </c>
      <c r="AY979">
        <v>6.4287142857142863</v>
      </c>
      <c r="AZ979" t="s">
        <v>135</v>
      </c>
      <c r="BA979">
        <v>-0.42871428571428627</v>
      </c>
      <c r="BB979">
        <v>-2.2006844292349088</v>
      </c>
      <c r="BC979" t="s">
        <v>133</v>
      </c>
      <c r="BD979">
        <v>0</v>
      </c>
      <c r="BE979" t="s">
        <v>133</v>
      </c>
      <c r="BF97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4.0910000000000002</v>
      </c>
    </row>
    <row r="980" spans="1:58" x14ac:dyDescent="0.25">
      <c r="A980" t="s">
        <v>1243</v>
      </c>
      <c r="B980" t="s">
        <v>19</v>
      </c>
      <c r="C980">
        <v>2</v>
      </c>
      <c r="D980">
        <v>364</v>
      </c>
      <c r="E980" t="s">
        <v>2111</v>
      </c>
      <c r="F980" t="s">
        <v>123</v>
      </c>
      <c r="G980" t="s">
        <v>124</v>
      </c>
      <c r="H980" t="s">
        <v>125</v>
      </c>
      <c r="I980" t="s">
        <v>126</v>
      </c>
      <c r="J980" t="s">
        <v>126</v>
      </c>
      <c r="K980" t="s">
        <v>127</v>
      </c>
      <c r="L980">
        <v>50</v>
      </c>
      <c r="M980">
        <v>1271119</v>
      </c>
      <c r="N980">
        <v>6</v>
      </c>
      <c r="O980">
        <v>4</v>
      </c>
      <c r="P980" t="s">
        <v>168</v>
      </c>
      <c r="Q980" t="s">
        <v>129</v>
      </c>
      <c r="R980">
        <v>33</v>
      </c>
      <c r="T980">
        <v>14</v>
      </c>
      <c r="U980">
        <v>19</v>
      </c>
      <c r="V980">
        <v>1</v>
      </c>
      <c r="W980">
        <v>0</v>
      </c>
      <c r="X980">
        <v>1</v>
      </c>
      <c r="Y980">
        <v>2</v>
      </c>
      <c r="Z980">
        <v>17</v>
      </c>
      <c r="AA980">
        <v>22</v>
      </c>
      <c r="AB980">
        <v>50</v>
      </c>
      <c r="AC980">
        <v>22</v>
      </c>
      <c r="AD980">
        <v>4</v>
      </c>
      <c r="AE980">
        <v>4</v>
      </c>
      <c r="AF980">
        <v>30</v>
      </c>
      <c r="AG980">
        <v>0</v>
      </c>
      <c r="AH980">
        <v>28</v>
      </c>
      <c r="AI980">
        <v>20</v>
      </c>
      <c r="AJ980">
        <v>24</v>
      </c>
      <c r="AK980">
        <v>28</v>
      </c>
      <c r="AL980">
        <v>0</v>
      </c>
      <c r="AM980">
        <v>0.12</v>
      </c>
      <c r="AN980">
        <v>2.1818181818181817</v>
      </c>
      <c r="AO980">
        <v>0</v>
      </c>
      <c r="AP980" t="s">
        <v>130</v>
      </c>
      <c r="AQ980" t="s">
        <v>131</v>
      </c>
      <c r="AR980" t="s">
        <v>1184</v>
      </c>
      <c r="AS980">
        <v>1718</v>
      </c>
      <c r="AT980">
        <v>1604</v>
      </c>
      <c r="AU980">
        <v>0</v>
      </c>
      <c r="AV980">
        <v>0</v>
      </c>
      <c r="AW980">
        <v>3.3220000000000001</v>
      </c>
      <c r="AX980">
        <v>0.151</v>
      </c>
      <c r="AY980">
        <v>4.53</v>
      </c>
      <c r="AZ980" t="s">
        <v>135</v>
      </c>
      <c r="BA980">
        <v>1.4699999999999998</v>
      </c>
      <c r="BB980">
        <v>9.735099337748343</v>
      </c>
      <c r="BC980" t="s">
        <v>133</v>
      </c>
      <c r="BD980">
        <v>0</v>
      </c>
      <c r="BE980" t="s">
        <v>133</v>
      </c>
      <c r="BF98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3.3220000000000001</v>
      </c>
    </row>
    <row r="981" spans="1:58" x14ac:dyDescent="0.25">
      <c r="A981" t="s">
        <v>1244</v>
      </c>
      <c r="B981" t="s">
        <v>19</v>
      </c>
      <c r="C981">
        <v>2</v>
      </c>
      <c r="D981">
        <v>365</v>
      </c>
      <c r="E981" t="s">
        <v>2111</v>
      </c>
      <c r="F981" t="s">
        <v>123</v>
      </c>
      <c r="G981" t="s">
        <v>124</v>
      </c>
      <c r="H981" t="s">
        <v>125</v>
      </c>
      <c r="I981" t="s">
        <v>126</v>
      </c>
      <c r="J981" t="s">
        <v>126</v>
      </c>
      <c r="K981" t="s">
        <v>127</v>
      </c>
      <c r="L981">
        <v>50</v>
      </c>
      <c r="M981">
        <v>1271121</v>
      </c>
      <c r="N981">
        <v>6</v>
      </c>
      <c r="O981">
        <v>4</v>
      </c>
      <c r="P981" t="s">
        <v>168</v>
      </c>
      <c r="Q981" t="s">
        <v>129</v>
      </c>
      <c r="R981">
        <v>33</v>
      </c>
      <c r="T981">
        <v>20</v>
      </c>
      <c r="U981">
        <v>25</v>
      </c>
      <c r="V981">
        <v>1</v>
      </c>
      <c r="W981">
        <v>0</v>
      </c>
      <c r="X981">
        <v>1</v>
      </c>
      <c r="Y981">
        <v>0</v>
      </c>
      <c r="Z981">
        <v>21</v>
      </c>
      <c r="AA981">
        <v>26</v>
      </c>
      <c r="AB981">
        <v>50</v>
      </c>
      <c r="AC981">
        <v>26</v>
      </c>
      <c r="AD981">
        <v>1</v>
      </c>
      <c r="AE981">
        <v>0</v>
      </c>
      <c r="AF981">
        <v>27</v>
      </c>
      <c r="AG981">
        <v>0</v>
      </c>
      <c r="AH981">
        <v>24</v>
      </c>
      <c r="AI981">
        <v>23</v>
      </c>
      <c r="AJ981">
        <v>24</v>
      </c>
      <c r="AK981">
        <v>24</v>
      </c>
      <c r="AL981">
        <v>0</v>
      </c>
      <c r="AM981">
        <v>0.12</v>
      </c>
      <c r="AN981">
        <v>2.1818181818181817</v>
      </c>
      <c r="AO981">
        <v>0</v>
      </c>
      <c r="AP981" t="s">
        <v>130</v>
      </c>
      <c r="AQ981" t="s">
        <v>131</v>
      </c>
      <c r="AR981" t="s">
        <v>1184</v>
      </c>
      <c r="AS981">
        <v>3205</v>
      </c>
      <c r="AT981">
        <v>3172</v>
      </c>
      <c r="AU981">
        <v>0</v>
      </c>
      <c r="AV981">
        <v>0</v>
      </c>
      <c r="AW981">
        <v>6.3769999999999998</v>
      </c>
      <c r="AX981">
        <v>0.24526923076923077</v>
      </c>
      <c r="AY981">
        <v>6.6222692307692306</v>
      </c>
      <c r="AZ981" t="s">
        <v>135</v>
      </c>
      <c r="BA981">
        <v>-0.62226923076923057</v>
      </c>
      <c r="BB981">
        <v>-2.5370864042653278</v>
      </c>
      <c r="BC981" t="s">
        <v>144</v>
      </c>
      <c r="BD981">
        <v>0</v>
      </c>
      <c r="BE981" t="s">
        <v>133</v>
      </c>
      <c r="BF98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6.3769999999999998</v>
      </c>
    </row>
    <row r="982" spans="1:58" x14ac:dyDescent="0.25">
      <c r="A982" t="s">
        <v>1245</v>
      </c>
      <c r="B982" t="s">
        <v>19</v>
      </c>
      <c r="C982">
        <v>2</v>
      </c>
      <c r="D982">
        <v>366</v>
      </c>
      <c r="E982" t="s">
        <v>2111</v>
      </c>
      <c r="F982" t="s">
        <v>123</v>
      </c>
      <c r="G982" t="s">
        <v>124</v>
      </c>
      <c r="H982" t="s">
        <v>125</v>
      </c>
      <c r="I982" t="s">
        <v>126</v>
      </c>
      <c r="J982" t="s">
        <v>126</v>
      </c>
      <c r="K982" t="s">
        <v>127</v>
      </c>
      <c r="L982">
        <v>50</v>
      </c>
      <c r="M982">
        <v>1271123</v>
      </c>
      <c r="N982">
        <v>6</v>
      </c>
      <c r="O982">
        <v>4</v>
      </c>
      <c r="P982" t="s">
        <v>168</v>
      </c>
      <c r="Q982" t="s">
        <v>129</v>
      </c>
      <c r="R982">
        <v>34</v>
      </c>
      <c r="T982">
        <v>26</v>
      </c>
      <c r="U982">
        <v>31</v>
      </c>
      <c r="V982">
        <v>4</v>
      </c>
      <c r="W982">
        <v>0</v>
      </c>
      <c r="X982">
        <v>4</v>
      </c>
      <c r="Y982">
        <v>1</v>
      </c>
      <c r="Z982">
        <v>31</v>
      </c>
      <c r="AA982">
        <v>36</v>
      </c>
      <c r="AB982">
        <v>50</v>
      </c>
      <c r="AC982">
        <v>33</v>
      </c>
      <c r="AD982">
        <v>7</v>
      </c>
      <c r="AE982">
        <v>2</v>
      </c>
      <c r="AF982">
        <v>42</v>
      </c>
      <c r="AG982">
        <v>0</v>
      </c>
      <c r="AH982">
        <v>17</v>
      </c>
      <c r="AI982">
        <v>8</v>
      </c>
      <c r="AJ982">
        <v>15</v>
      </c>
      <c r="AK982">
        <v>17</v>
      </c>
      <c r="AL982">
        <v>0</v>
      </c>
      <c r="AM982">
        <v>0.12</v>
      </c>
      <c r="AN982">
        <v>1.3636363636363638</v>
      </c>
      <c r="AO982">
        <v>0</v>
      </c>
      <c r="AP982" t="s">
        <v>130</v>
      </c>
      <c r="AQ982" t="s">
        <v>131</v>
      </c>
      <c r="AR982" t="s">
        <v>1184</v>
      </c>
      <c r="AS982">
        <v>3279</v>
      </c>
      <c r="AT982">
        <v>3327</v>
      </c>
      <c r="AU982">
        <v>0</v>
      </c>
      <c r="AV982">
        <v>0</v>
      </c>
      <c r="AW982">
        <v>6.6059999999999999</v>
      </c>
      <c r="AX982">
        <v>0.20018181818181818</v>
      </c>
      <c r="AY982">
        <v>8.4076363636363638</v>
      </c>
      <c r="AZ982" t="s">
        <v>135</v>
      </c>
      <c r="BA982">
        <v>-2.4076363636363638</v>
      </c>
      <c r="BB982">
        <v>-12.02724795640327</v>
      </c>
      <c r="BC982" t="s">
        <v>132</v>
      </c>
      <c r="BD982">
        <v>0</v>
      </c>
      <c r="BE982" t="s">
        <v>133</v>
      </c>
      <c r="BF98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6.6059999999999999</v>
      </c>
    </row>
    <row r="983" spans="1:58" x14ac:dyDescent="0.25">
      <c r="A983" t="s">
        <v>1246</v>
      </c>
      <c r="B983" t="s">
        <v>19</v>
      </c>
      <c r="C983">
        <v>2</v>
      </c>
      <c r="D983">
        <v>367</v>
      </c>
      <c r="E983" t="s">
        <v>2111</v>
      </c>
      <c r="F983" t="s">
        <v>123</v>
      </c>
      <c r="G983" t="s">
        <v>124</v>
      </c>
      <c r="H983" t="s">
        <v>125</v>
      </c>
      <c r="I983" t="s">
        <v>126</v>
      </c>
      <c r="J983" t="s">
        <v>126</v>
      </c>
      <c r="K983" t="s">
        <v>127</v>
      </c>
      <c r="L983">
        <v>50</v>
      </c>
      <c r="M983">
        <v>1271125</v>
      </c>
      <c r="N983">
        <v>6</v>
      </c>
      <c r="O983">
        <v>4</v>
      </c>
      <c r="P983" t="s">
        <v>168</v>
      </c>
      <c r="Q983" t="s">
        <v>129</v>
      </c>
      <c r="R983">
        <v>34</v>
      </c>
      <c r="T983">
        <v>20</v>
      </c>
      <c r="U983">
        <v>25</v>
      </c>
      <c r="V983">
        <v>1</v>
      </c>
      <c r="W983">
        <v>0</v>
      </c>
      <c r="X983">
        <v>1</v>
      </c>
      <c r="Y983">
        <v>0</v>
      </c>
      <c r="Z983">
        <v>21</v>
      </c>
      <c r="AA983">
        <v>26</v>
      </c>
      <c r="AB983">
        <v>50</v>
      </c>
      <c r="AC983">
        <v>31</v>
      </c>
      <c r="AD983">
        <v>1</v>
      </c>
      <c r="AE983">
        <v>0</v>
      </c>
      <c r="AF983">
        <v>32</v>
      </c>
      <c r="AG983">
        <v>0</v>
      </c>
      <c r="AH983">
        <v>19</v>
      </c>
      <c r="AI983">
        <v>18</v>
      </c>
      <c r="AJ983">
        <v>19</v>
      </c>
      <c r="AK983">
        <v>19</v>
      </c>
      <c r="AL983">
        <v>0</v>
      </c>
      <c r="AM983">
        <v>0.12</v>
      </c>
      <c r="AN983">
        <v>1.7272727272727273</v>
      </c>
      <c r="AO983">
        <v>0</v>
      </c>
      <c r="AP983" t="s">
        <v>130</v>
      </c>
      <c r="AQ983" t="s">
        <v>131</v>
      </c>
      <c r="AR983" t="s">
        <v>1184</v>
      </c>
      <c r="AS983">
        <v>2878</v>
      </c>
      <c r="AT983">
        <v>2772</v>
      </c>
      <c r="AU983">
        <v>0</v>
      </c>
      <c r="AV983">
        <v>0</v>
      </c>
      <c r="AW983">
        <v>5.65</v>
      </c>
      <c r="AX983">
        <v>0.18225806451612905</v>
      </c>
      <c r="AY983">
        <v>5.8322580645161297</v>
      </c>
      <c r="AZ983" t="s">
        <v>135</v>
      </c>
      <c r="BA983">
        <v>0.16774193548387029</v>
      </c>
      <c r="BB983">
        <v>0.92035398230088106</v>
      </c>
      <c r="BC983" t="s">
        <v>133</v>
      </c>
      <c r="BD983">
        <v>0</v>
      </c>
      <c r="BE983" t="s">
        <v>133</v>
      </c>
      <c r="BF98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5.65</v>
      </c>
    </row>
    <row r="984" spans="1:58" x14ac:dyDescent="0.25">
      <c r="A984" t="s">
        <v>1247</v>
      </c>
      <c r="B984" t="s">
        <v>19</v>
      </c>
      <c r="C984">
        <v>2</v>
      </c>
      <c r="D984">
        <v>368</v>
      </c>
      <c r="E984" t="s">
        <v>2111</v>
      </c>
      <c r="F984" t="s">
        <v>123</v>
      </c>
      <c r="G984" t="s">
        <v>124</v>
      </c>
      <c r="H984" t="s">
        <v>125</v>
      </c>
      <c r="I984" t="s">
        <v>126</v>
      </c>
      <c r="J984" t="s">
        <v>126</v>
      </c>
      <c r="K984" t="s">
        <v>127</v>
      </c>
      <c r="L984">
        <v>50</v>
      </c>
      <c r="M984">
        <v>1271127</v>
      </c>
      <c r="N984">
        <v>6</v>
      </c>
      <c r="O984">
        <v>4</v>
      </c>
      <c r="P984" t="s">
        <v>168</v>
      </c>
      <c r="Q984" t="s">
        <v>129</v>
      </c>
      <c r="R984">
        <v>34</v>
      </c>
      <c r="T984">
        <v>16</v>
      </c>
      <c r="U984">
        <v>21</v>
      </c>
      <c r="V984">
        <v>3</v>
      </c>
      <c r="W984">
        <v>0</v>
      </c>
      <c r="X984">
        <v>3</v>
      </c>
      <c r="Y984">
        <v>1</v>
      </c>
      <c r="Z984">
        <v>20</v>
      </c>
      <c r="AA984">
        <v>25</v>
      </c>
      <c r="AB984">
        <v>50</v>
      </c>
      <c r="AC984">
        <v>25</v>
      </c>
      <c r="AD984">
        <v>3</v>
      </c>
      <c r="AE984">
        <v>1</v>
      </c>
      <c r="AF984">
        <v>29</v>
      </c>
      <c r="AG984">
        <v>0</v>
      </c>
      <c r="AH984">
        <v>25</v>
      </c>
      <c r="AI984">
        <v>21</v>
      </c>
      <c r="AJ984">
        <v>24</v>
      </c>
      <c r="AK984">
        <v>25</v>
      </c>
      <c r="AL984">
        <v>0</v>
      </c>
      <c r="AM984">
        <v>0.12</v>
      </c>
      <c r="AN984">
        <v>2.1818181818181817</v>
      </c>
      <c r="AO984">
        <v>0</v>
      </c>
      <c r="AP984" t="s">
        <v>130</v>
      </c>
      <c r="AQ984" t="s">
        <v>131</v>
      </c>
      <c r="AR984" t="s">
        <v>1184</v>
      </c>
      <c r="AS984">
        <v>2687</v>
      </c>
      <c r="AT984">
        <v>2696</v>
      </c>
      <c r="AU984">
        <v>0</v>
      </c>
      <c r="AV984">
        <v>0</v>
      </c>
      <c r="AW984">
        <v>5.383</v>
      </c>
      <c r="AX984">
        <v>0.21532000000000001</v>
      </c>
      <c r="AY984">
        <v>6.2442800000000007</v>
      </c>
      <c r="AZ984" t="s">
        <v>135</v>
      </c>
      <c r="BA984">
        <v>-0.24428000000000072</v>
      </c>
      <c r="BB984">
        <v>-1.1344974921047775</v>
      </c>
      <c r="BC984" t="s">
        <v>133</v>
      </c>
      <c r="BD984">
        <v>0</v>
      </c>
      <c r="BE984" t="s">
        <v>133</v>
      </c>
      <c r="BF98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5.383</v>
      </c>
    </row>
    <row r="985" spans="1:58" x14ac:dyDescent="0.25">
      <c r="A985" t="s">
        <v>1248</v>
      </c>
      <c r="B985" t="s">
        <v>19</v>
      </c>
      <c r="C985">
        <v>2</v>
      </c>
      <c r="D985">
        <v>369</v>
      </c>
      <c r="E985" t="s">
        <v>2111</v>
      </c>
      <c r="F985" t="s">
        <v>123</v>
      </c>
      <c r="G985" t="s">
        <v>124</v>
      </c>
      <c r="H985" t="s">
        <v>125</v>
      </c>
      <c r="I985" t="s">
        <v>126</v>
      </c>
      <c r="J985" t="s">
        <v>126</v>
      </c>
      <c r="K985" t="s">
        <v>127</v>
      </c>
      <c r="L985">
        <v>50</v>
      </c>
      <c r="M985">
        <v>1271129</v>
      </c>
      <c r="N985">
        <v>6</v>
      </c>
      <c r="O985">
        <v>4</v>
      </c>
      <c r="P985" t="s">
        <v>168</v>
      </c>
      <c r="Q985" t="s">
        <v>129</v>
      </c>
      <c r="R985">
        <v>34</v>
      </c>
      <c r="T985">
        <v>19</v>
      </c>
      <c r="U985">
        <v>24</v>
      </c>
      <c r="V985">
        <v>7</v>
      </c>
      <c r="W985">
        <v>0</v>
      </c>
      <c r="X985">
        <v>7</v>
      </c>
      <c r="Y985">
        <v>1</v>
      </c>
      <c r="Z985">
        <v>27</v>
      </c>
      <c r="AA985">
        <v>32</v>
      </c>
      <c r="AB985">
        <v>50</v>
      </c>
      <c r="AC985">
        <v>29</v>
      </c>
      <c r="AD985">
        <v>8</v>
      </c>
      <c r="AE985">
        <v>1</v>
      </c>
      <c r="AF985">
        <v>38</v>
      </c>
      <c r="AG985">
        <v>0</v>
      </c>
      <c r="AH985">
        <v>21</v>
      </c>
      <c r="AI985">
        <v>12</v>
      </c>
      <c r="AJ985">
        <v>20</v>
      </c>
      <c r="AK985">
        <v>21</v>
      </c>
      <c r="AL985">
        <v>0</v>
      </c>
      <c r="AM985">
        <v>0.12</v>
      </c>
      <c r="AN985">
        <v>1.8181818181818183</v>
      </c>
      <c r="AO985">
        <v>0</v>
      </c>
      <c r="AP985" t="s">
        <v>130</v>
      </c>
      <c r="AQ985" t="s">
        <v>131</v>
      </c>
      <c r="AR985" t="s">
        <v>1184</v>
      </c>
      <c r="AS985">
        <v>2599</v>
      </c>
      <c r="AT985">
        <v>2386</v>
      </c>
      <c r="AU985">
        <v>0</v>
      </c>
      <c r="AV985">
        <v>0</v>
      </c>
      <c r="AW985">
        <v>4.9850000000000003</v>
      </c>
      <c r="AX985">
        <v>0.17189655172413795</v>
      </c>
      <c r="AY985">
        <v>6.5320689655172419</v>
      </c>
      <c r="AZ985" t="s">
        <v>135</v>
      </c>
      <c r="BA985">
        <v>-0.53206896551724192</v>
      </c>
      <c r="BB985">
        <v>-3.0952858575727209</v>
      </c>
      <c r="BC985" t="s">
        <v>133</v>
      </c>
      <c r="BD985">
        <v>0</v>
      </c>
      <c r="BE985" t="s">
        <v>133</v>
      </c>
      <c r="BF98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4.9850000000000003</v>
      </c>
    </row>
    <row r="986" spans="1:58" x14ac:dyDescent="0.25">
      <c r="A986" t="s">
        <v>1249</v>
      </c>
      <c r="B986" t="s">
        <v>19</v>
      </c>
      <c r="C986">
        <v>2</v>
      </c>
      <c r="D986">
        <v>370</v>
      </c>
      <c r="E986" t="s">
        <v>2111</v>
      </c>
      <c r="F986" t="s">
        <v>123</v>
      </c>
      <c r="G986" t="s">
        <v>124</v>
      </c>
      <c r="H986" t="s">
        <v>125</v>
      </c>
      <c r="I986" t="s">
        <v>126</v>
      </c>
      <c r="J986" t="s">
        <v>126</v>
      </c>
      <c r="K986" t="s">
        <v>127</v>
      </c>
      <c r="L986">
        <v>50</v>
      </c>
      <c r="M986">
        <v>1271131</v>
      </c>
      <c r="N986">
        <v>6</v>
      </c>
      <c r="O986">
        <v>4</v>
      </c>
      <c r="P986" t="s">
        <v>168</v>
      </c>
      <c r="Q986" t="s">
        <v>129</v>
      </c>
      <c r="R986">
        <v>34</v>
      </c>
      <c r="T986">
        <v>15</v>
      </c>
      <c r="U986">
        <v>20</v>
      </c>
      <c r="V986">
        <v>4</v>
      </c>
      <c r="W986">
        <v>0</v>
      </c>
      <c r="X986">
        <v>4</v>
      </c>
      <c r="Y986">
        <v>2</v>
      </c>
      <c r="Z986">
        <v>21</v>
      </c>
      <c r="AA986">
        <v>26</v>
      </c>
      <c r="AB986">
        <v>50</v>
      </c>
      <c r="AC986">
        <v>24</v>
      </c>
      <c r="AD986">
        <v>5</v>
      </c>
      <c r="AE986">
        <v>3</v>
      </c>
      <c r="AF986">
        <v>32</v>
      </c>
      <c r="AG986">
        <v>0</v>
      </c>
      <c r="AH986">
        <v>26</v>
      </c>
      <c r="AI986">
        <v>18</v>
      </c>
      <c r="AJ986">
        <v>23</v>
      </c>
      <c r="AK986">
        <v>26</v>
      </c>
      <c r="AL986">
        <v>0</v>
      </c>
      <c r="AM986">
        <v>0.12</v>
      </c>
      <c r="AN986">
        <v>2.0909090909090908</v>
      </c>
      <c r="AO986">
        <v>0</v>
      </c>
      <c r="AP986" t="s">
        <v>130</v>
      </c>
      <c r="AQ986" t="s">
        <v>131</v>
      </c>
      <c r="AR986" t="s">
        <v>1184</v>
      </c>
      <c r="AS986">
        <v>2095</v>
      </c>
      <c r="AT986">
        <v>2070</v>
      </c>
      <c r="AU986">
        <v>0</v>
      </c>
      <c r="AV986">
        <v>0</v>
      </c>
      <c r="AW986">
        <v>4.165</v>
      </c>
      <c r="AX986">
        <v>0.17354166666666668</v>
      </c>
      <c r="AY986">
        <v>5.5533333333333337</v>
      </c>
      <c r="AZ986" t="s">
        <v>135</v>
      </c>
      <c r="BA986">
        <v>0.44666666666666632</v>
      </c>
      <c r="BB986">
        <v>2.5738295318127231</v>
      </c>
      <c r="BC986" t="s">
        <v>133</v>
      </c>
      <c r="BD986">
        <v>0</v>
      </c>
      <c r="BE986" t="s">
        <v>133</v>
      </c>
      <c r="BF98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4.165</v>
      </c>
    </row>
    <row r="987" spans="1:58" x14ac:dyDescent="0.25">
      <c r="A987" t="s">
        <v>1250</v>
      </c>
      <c r="B987" t="s">
        <v>19</v>
      </c>
      <c r="C987">
        <v>2</v>
      </c>
      <c r="D987">
        <v>371</v>
      </c>
      <c r="E987" t="s">
        <v>2111</v>
      </c>
      <c r="F987" t="s">
        <v>123</v>
      </c>
      <c r="G987" t="s">
        <v>124</v>
      </c>
      <c r="H987" t="s">
        <v>136</v>
      </c>
      <c r="I987" t="s">
        <v>137</v>
      </c>
      <c r="J987" t="s">
        <v>138</v>
      </c>
      <c r="K987" t="s">
        <v>127</v>
      </c>
      <c r="L987">
        <v>50</v>
      </c>
      <c r="M987">
        <v>1271133</v>
      </c>
      <c r="N987">
        <v>5</v>
      </c>
      <c r="O987">
        <v>4</v>
      </c>
      <c r="P987" t="s">
        <v>168</v>
      </c>
      <c r="Q987" t="s">
        <v>129</v>
      </c>
      <c r="R987">
        <v>34</v>
      </c>
      <c r="T987">
        <v>0</v>
      </c>
      <c r="U987">
        <v>4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4</v>
      </c>
      <c r="AB987">
        <v>50</v>
      </c>
      <c r="AC987">
        <v>4</v>
      </c>
      <c r="AD987">
        <v>0</v>
      </c>
      <c r="AE987">
        <v>0</v>
      </c>
      <c r="AF987">
        <v>4</v>
      </c>
      <c r="AG987">
        <v>0</v>
      </c>
      <c r="AH987">
        <v>46</v>
      </c>
      <c r="AI987">
        <v>46</v>
      </c>
      <c r="AJ987">
        <v>46</v>
      </c>
      <c r="AK987">
        <v>46</v>
      </c>
      <c r="AL987">
        <v>0</v>
      </c>
      <c r="AM987">
        <v>0.1</v>
      </c>
      <c r="AN987">
        <v>4.1818181818181817</v>
      </c>
      <c r="AO987">
        <v>0</v>
      </c>
      <c r="AP987" t="s">
        <v>139</v>
      </c>
      <c r="AQ987" t="s">
        <v>131</v>
      </c>
      <c r="AR987" t="s">
        <v>1184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  <c r="AZ987" t="s">
        <v>134</v>
      </c>
      <c r="BA987">
        <v>5</v>
      </c>
      <c r="BB987">
        <v>0</v>
      </c>
      <c r="BC987" t="s">
        <v>133</v>
      </c>
      <c r="BD987">
        <v>0</v>
      </c>
      <c r="BE987" t="s">
        <v>133</v>
      </c>
      <c r="BF98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988" spans="1:58" x14ac:dyDescent="0.25">
      <c r="A988" t="s">
        <v>1251</v>
      </c>
      <c r="B988" t="s">
        <v>19</v>
      </c>
      <c r="C988">
        <v>2</v>
      </c>
      <c r="D988">
        <v>372</v>
      </c>
      <c r="E988" t="s">
        <v>2111</v>
      </c>
      <c r="F988" t="s">
        <v>123</v>
      </c>
      <c r="G988" t="s">
        <v>124</v>
      </c>
      <c r="H988" t="s">
        <v>125</v>
      </c>
      <c r="I988" t="s">
        <v>126</v>
      </c>
      <c r="J988" t="s">
        <v>126</v>
      </c>
      <c r="K988" t="s">
        <v>127</v>
      </c>
      <c r="L988">
        <v>50</v>
      </c>
      <c r="M988">
        <v>1271135</v>
      </c>
      <c r="N988">
        <v>6</v>
      </c>
      <c r="O988">
        <v>4</v>
      </c>
      <c r="P988" t="s">
        <v>168</v>
      </c>
      <c r="Q988" t="s">
        <v>129</v>
      </c>
      <c r="R988">
        <v>34</v>
      </c>
      <c r="T988">
        <v>11</v>
      </c>
      <c r="U988">
        <v>16</v>
      </c>
      <c r="V988">
        <v>7</v>
      </c>
      <c r="W988">
        <v>0</v>
      </c>
      <c r="X988">
        <v>7</v>
      </c>
      <c r="Y988">
        <v>4</v>
      </c>
      <c r="Z988">
        <v>22</v>
      </c>
      <c r="AA988">
        <v>27</v>
      </c>
      <c r="AB988">
        <v>50</v>
      </c>
      <c r="AC988">
        <v>22</v>
      </c>
      <c r="AD988">
        <v>8</v>
      </c>
      <c r="AE988">
        <v>6</v>
      </c>
      <c r="AF988">
        <v>36</v>
      </c>
      <c r="AG988">
        <v>0</v>
      </c>
      <c r="AH988">
        <v>28</v>
      </c>
      <c r="AI988">
        <v>14</v>
      </c>
      <c r="AJ988">
        <v>22</v>
      </c>
      <c r="AK988">
        <v>28</v>
      </c>
      <c r="AL988">
        <v>0</v>
      </c>
      <c r="AM988">
        <v>0.12</v>
      </c>
      <c r="AN988">
        <v>2</v>
      </c>
      <c r="AO988">
        <v>0</v>
      </c>
      <c r="AP988" t="s">
        <v>130</v>
      </c>
      <c r="AQ988" t="s">
        <v>131</v>
      </c>
      <c r="AR988" t="s">
        <v>1184</v>
      </c>
      <c r="AS988">
        <v>2457</v>
      </c>
      <c r="AT988">
        <v>2389</v>
      </c>
      <c r="AU988">
        <v>0</v>
      </c>
      <c r="AV988">
        <v>0</v>
      </c>
      <c r="AW988">
        <v>4.8460000000000001</v>
      </c>
      <c r="AX988">
        <v>0.22027272727272729</v>
      </c>
      <c r="AY988">
        <v>7.9298181818181828</v>
      </c>
      <c r="AZ988" t="s">
        <v>135</v>
      </c>
      <c r="BA988">
        <v>-1.9298181818181828</v>
      </c>
      <c r="BB988">
        <v>-8.7610400330169256</v>
      </c>
      <c r="BC988" t="s">
        <v>133</v>
      </c>
      <c r="BD988">
        <v>0</v>
      </c>
      <c r="BE988" t="s">
        <v>133</v>
      </c>
      <c r="BF98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4.8460000000000001</v>
      </c>
    </row>
    <row r="989" spans="1:58" x14ac:dyDescent="0.25">
      <c r="A989" t="s">
        <v>1252</v>
      </c>
      <c r="B989" t="s">
        <v>19</v>
      </c>
      <c r="C989">
        <v>2</v>
      </c>
      <c r="D989">
        <v>373</v>
      </c>
      <c r="E989" t="s">
        <v>2111</v>
      </c>
      <c r="F989" t="s">
        <v>123</v>
      </c>
      <c r="G989" t="s">
        <v>124</v>
      </c>
      <c r="H989" t="s">
        <v>125</v>
      </c>
      <c r="I989" t="s">
        <v>126</v>
      </c>
      <c r="J989" t="s">
        <v>126</v>
      </c>
      <c r="K989" t="s">
        <v>127</v>
      </c>
      <c r="L989">
        <v>50</v>
      </c>
      <c r="M989">
        <v>1271137</v>
      </c>
      <c r="N989">
        <v>6</v>
      </c>
      <c r="O989">
        <v>4</v>
      </c>
      <c r="P989" t="s">
        <v>168</v>
      </c>
      <c r="Q989" t="s">
        <v>129</v>
      </c>
      <c r="R989">
        <v>34</v>
      </c>
      <c r="T989">
        <v>17</v>
      </c>
      <c r="U989">
        <v>22</v>
      </c>
      <c r="V989">
        <v>8</v>
      </c>
      <c r="W989">
        <v>0</v>
      </c>
      <c r="X989">
        <v>8</v>
      </c>
      <c r="Y989">
        <v>0</v>
      </c>
      <c r="Z989">
        <v>25</v>
      </c>
      <c r="AA989">
        <v>30</v>
      </c>
      <c r="AB989">
        <v>50</v>
      </c>
      <c r="AC989">
        <v>28</v>
      </c>
      <c r="AD989">
        <v>14</v>
      </c>
      <c r="AE989">
        <v>0</v>
      </c>
      <c r="AF989">
        <v>42</v>
      </c>
      <c r="AG989">
        <v>0</v>
      </c>
      <c r="AH989">
        <v>22</v>
      </c>
      <c r="AI989">
        <v>8</v>
      </c>
      <c r="AJ989">
        <v>22</v>
      </c>
      <c r="AK989">
        <v>22</v>
      </c>
      <c r="AL989">
        <v>0</v>
      </c>
      <c r="AM989">
        <v>0.12</v>
      </c>
      <c r="AN989">
        <v>2</v>
      </c>
      <c r="AO989">
        <v>0</v>
      </c>
      <c r="AP989" t="s">
        <v>130</v>
      </c>
      <c r="AQ989" t="s">
        <v>131</v>
      </c>
      <c r="AR989" t="s">
        <v>1184</v>
      </c>
      <c r="AS989">
        <v>2840</v>
      </c>
      <c r="AT989">
        <v>2762</v>
      </c>
      <c r="AU989">
        <v>0</v>
      </c>
      <c r="AV989">
        <v>0</v>
      </c>
      <c r="AW989">
        <v>5.6020000000000003</v>
      </c>
      <c r="AX989">
        <v>0.20007142857142859</v>
      </c>
      <c r="AY989">
        <v>8.4030000000000005</v>
      </c>
      <c r="AZ989" t="s">
        <v>135</v>
      </c>
      <c r="BA989">
        <v>-2.4030000000000005</v>
      </c>
      <c r="BB989">
        <v>-12.010710460549804</v>
      </c>
      <c r="BC989" t="s">
        <v>133</v>
      </c>
      <c r="BD989">
        <v>0</v>
      </c>
      <c r="BE989" t="s">
        <v>133</v>
      </c>
      <c r="BF98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5.6020000000000003</v>
      </c>
    </row>
    <row r="990" spans="1:58" x14ac:dyDescent="0.25">
      <c r="A990" t="s">
        <v>1253</v>
      </c>
      <c r="B990" t="s">
        <v>19</v>
      </c>
      <c r="C990">
        <v>2</v>
      </c>
      <c r="D990">
        <v>374</v>
      </c>
      <c r="E990" t="s">
        <v>2111</v>
      </c>
      <c r="F990" t="s">
        <v>123</v>
      </c>
      <c r="G990" t="s">
        <v>124</v>
      </c>
      <c r="H990" t="s">
        <v>125</v>
      </c>
      <c r="I990" t="s">
        <v>126</v>
      </c>
      <c r="J990" t="s">
        <v>126</v>
      </c>
      <c r="K990" t="s">
        <v>127</v>
      </c>
      <c r="L990">
        <v>50</v>
      </c>
      <c r="M990">
        <v>1271139</v>
      </c>
      <c r="N990">
        <v>6</v>
      </c>
      <c r="O990">
        <v>4</v>
      </c>
      <c r="P990" t="s">
        <v>168</v>
      </c>
      <c r="Q990" t="s">
        <v>129</v>
      </c>
      <c r="R990">
        <v>34</v>
      </c>
      <c r="T990">
        <v>14</v>
      </c>
      <c r="U990">
        <v>19</v>
      </c>
      <c r="V990">
        <v>5</v>
      </c>
      <c r="W990">
        <v>0</v>
      </c>
      <c r="X990">
        <v>5</v>
      </c>
      <c r="Y990">
        <v>2</v>
      </c>
      <c r="Z990">
        <v>21</v>
      </c>
      <c r="AA990">
        <v>26</v>
      </c>
      <c r="AB990">
        <v>50</v>
      </c>
      <c r="AC990">
        <v>26</v>
      </c>
      <c r="AD990">
        <v>7</v>
      </c>
      <c r="AE990">
        <v>4</v>
      </c>
      <c r="AF990">
        <v>37</v>
      </c>
      <c r="AG990">
        <v>0</v>
      </c>
      <c r="AH990">
        <v>24</v>
      </c>
      <c r="AI990">
        <v>13</v>
      </c>
      <c r="AJ990">
        <v>20</v>
      </c>
      <c r="AK990">
        <v>24</v>
      </c>
      <c r="AL990">
        <v>0</v>
      </c>
      <c r="AM990">
        <v>0.12</v>
      </c>
      <c r="AN990">
        <v>1.8181818181818183</v>
      </c>
      <c r="AO990">
        <v>0</v>
      </c>
      <c r="AP990" t="s">
        <v>130</v>
      </c>
      <c r="AQ990" t="s">
        <v>131</v>
      </c>
      <c r="AR990" t="s">
        <v>1184</v>
      </c>
      <c r="AS990">
        <v>2444</v>
      </c>
      <c r="AT990">
        <v>2367</v>
      </c>
      <c r="AU990">
        <v>0</v>
      </c>
      <c r="AV990">
        <v>0</v>
      </c>
      <c r="AW990">
        <v>4.8109999999999999</v>
      </c>
      <c r="AX990">
        <v>0.18503846153846154</v>
      </c>
      <c r="AY990">
        <v>6.8464230769230774</v>
      </c>
      <c r="AZ990" t="s">
        <v>135</v>
      </c>
      <c r="BA990">
        <v>-0.84642307692307739</v>
      </c>
      <c r="BB990">
        <v>-4.5743088754936627</v>
      </c>
      <c r="BC990" t="s">
        <v>133</v>
      </c>
      <c r="BD990">
        <v>0</v>
      </c>
      <c r="BE990" t="s">
        <v>133</v>
      </c>
      <c r="BF99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4.8109999999999999</v>
      </c>
    </row>
    <row r="991" spans="1:58" x14ac:dyDescent="0.25">
      <c r="A991" t="s">
        <v>1254</v>
      </c>
      <c r="B991" t="s">
        <v>19</v>
      </c>
      <c r="C991">
        <v>2</v>
      </c>
      <c r="D991">
        <v>375</v>
      </c>
      <c r="E991" t="s">
        <v>2111</v>
      </c>
      <c r="F991" t="s">
        <v>123</v>
      </c>
      <c r="G991" t="s">
        <v>124</v>
      </c>
      <c r="H991" t="s">
        <v>125</v>
      </c>
      <c r="I991" t="s">
        <v>126</v>
      </c>
      <c r="J991" t="s">
        <v>126</v>
      </c>
      <c r="K991" t="s">
        <v>127</v>
      </c>
      <c r="L991">
        <v>50</v>
      </c>
      <c r="M991">
        <v>1271141</v>
      </c>
      <c r="N991">
        <v>6</v>
      </c>
      <c r="O991">
        <v>4</v>
      </c>
      <c r="P991" t="s">
        <v>168</v>
      </c>
      <c r="Q991" t="s">
        <v>129</v>
      </c>
      <c r="R991">
        <v>34</v>
      </c>
      <c r="T991">
        <v>14</v>
      </c>
      <c r="U991">
        <v>19</v>
      </c>
      <c r="V991">
        <v>7</v>
      </c>
      <c r="W991">
        <v>0</v>
      </c>
      <c r="X991">
        <v>7</v>
      </c>
      <c r="Y991">
        <v>0</v>
      </c>
      <c r="Z991">
        <v>21</v>
      </c>
      <c r="AA991">
        <v>26</v>
      </c>
      <c r="AB991">
        <v>50</v>
      </c>
      <c r="AC991">
        <v>26</v>
      </c>
      <c r="AD991">
        <v>11</v>
      </c>
      <c r="AE991">
        <v>0</v>
      </c>
      <c r="AF991">
        <v>37</v>
      </c>
      <c r="AG991">
        <v>0</v>
      </c>
      <c r="AH991">
        <v>24</v>
      </c>
      <c r="AI991">
        <v>13</v>
      </c>
      <c r="AJ991">
        <v>24</v>
      </c>
      <c r="AK991">
        <v>24</v>
      </c>
      <c r="AL991">
        <v>0</v>
      </c>
      <c r="AM991">
        <v>0.12</v>
      </c>
      <c r="AN991">
        <v>2.1818181818181817</v>
      </c>
      <c r="AO991">
        <v>0</v>
      </c>
      <c r="AP991" t="s">
        <v>130</v>
      </c>
      <c r="AQ991" t="s">
        <v>131</v>
      </c>
      <c r="AR991" t="s">
        <v>1184</v>
      </c>
      <c r="AS991">
        <v>2127</v>
      </c>
      <c r="AT991">
        <v>2030</v>
      </c>
      <c r="AU991">
        <v>0</v>
      </c>
      <c r="AV991">
        <v>0</v>
      </c>
      <c r="AW991">
        <v>4.157</v>
      </c>
      <c r="AX991">
        <v>0.15988461538461538</v>
      </c>
      <c r="AY991">
        <v>5.9157307692307688</v>
      </c>
      <c r="AZ991" t="s">
        <v>135</v>
      </c>
      <c r="BA991">
        <v>8.4269230769231207E-2</v>
      </c>
      <c r="BB991">
        <v>0.52706278566274034</v>
      </c>
      <c r="BC991" t="s">
        <v>133</v>
      </c>
      <c r="BD991">
        <v>0</v>
      </c>
      <c r="BE991" t="s">
        <v>133</v>
      </c>
      <c r="BF99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4.157</v>
      </c>
    </row>
    <row r="992" spans="1:58" x14ac:dyDescent="0.25">
      <c r="A992" t="s">
        <v>1255</v>
      </c>
      <c r="B992" t="s">
        <v>19</v>
      </c>
      <c r="C992">
        <v>2</v>
      </c>
      <c r="D992">
        <v>376</v>
      </c>
      <c r="E992" t="s">
        <v>2111</v>
      </c>
      <c r="F992" t="s">
        <v>123</v>
      </c>
      <c r="G992" t="s">
        <v>124</v>
      </c>
      <c r="H992" t="s">
        <v>125</v>
      </c>
      <c r="I992" t="s">
        <v>137</v>
      </c>
      <c r="J992" t="s">
        <v>146</v>
      </c>
      <c r="K992" t="s">
        <v>127</v>
      </c>
      <c r="L992">
        <v>50</v>
      </c>
      <c r="M992">
        <v>1271143</v>
      </c>
      <c r="N992">
        <v>6</v>
      </c>
      <c r="O992">
        <v>4</v>
      </c>
      <c r="P992" t="s">
        <v>168</v>
      </c>
      <c r="Q992" t="s">
        <v>129</v>
      </c>
      <c r="R992">
        <v>34</v>
      </c>
      <c r="T992">
        <v>0</v>
      </c>
      <c r="U992">
        <v>5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5</v>
      </c>
      <c r="AB992">
        <v>50</v>
      </c>
      <c r="AC992">
        <v>5</v>
      </c>
      <c r="AD992">
        <v>0</v>
      </c>
      <c r="AE992">
        <v>0</v>
      </c>
      <c r="AF992">
        <v>5</v>
      </c>
      <c r="AG992">
        <v>0</v>
      </c>
      <c r="AH992">
        <v>45</v>
      </c>
      <c r="AI992">
        <v>45</v>
      </c>
      <c r="AJ992">
        <v>45</v>
      </c>
      <c r="AK992">
        <v>45</v>
      </c>
      <c r="AL992">
        <v>0</v>
      </c>
      <c r="AM992">
        <v>0.12</v>
      </c>
      <c r="AN992">
        <v>4.0909090909090908</v>
      </c>
      <c r="AO992">
        <v>0</v>
      </c>
      <c r="AP992" t="s">
        <v>139</v>
      </c>
      <c r="AQ992" t="s">
        <v>131</v>
      </c>
      <c r="AR992" t="s">
        <v>1184</v>
      </c>
      <c r="AS992">
        <v>197</v>
      </c>
      <c r="AT992">
        <v>173</v>
      </c>
      <c r="AU992">
        <v>0</v>
      </c>
      <c r="AV992">
        <v>0</v>
      </c>
      <c r="AW992">
        <v>0.37</v>
      </c>
      <c r="AX992">
        <v>7.3999999999999996E-2</v>
      </c>
      <c r="AY992">
        <v>0.37</v>
      </c>
      <c r="AZ992" t="s">
        <v>135</v>
      </c>
      <c r="BA992">
        <v>5.63</v>
      </c>
      <c r="BB992">
        <v>76.081081081081081</v>
      </c>
      <c r="BC992" t="s">
        <v>144</v>
      </c>
      <c r="BD992">
        <v>0</v>
      </c>
      <c r="BE992" t="s">
        <v>133</v>
      </c>
      <c r="BF99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0.37</v>
      </c>
    </row>
    <row r="993" spans="1:58" x14ac:dyDescent="0.25">
      <c r="A993" t="s">
        <v>1256</v>
      </c>
      <c r="B993" t="s">
        <v>19</v>
      </c>
      <c r="C993">
        <v>2</v>
      </c>
      <c r="D993">
        <v>377</v>
      </c>
      <c r="E993" t="s">
        <v>2111</v>
      </c>
      <c r="F993" t="s">
        <v>123</v>
      </c>
      <c r="G993" t="s">
        <v>124</v>
      </c>
      <c r="H993" t="s">
        <v>125</v>
      </c>
      <c r="I993" t="s">
        <v>126</v>
      </c>
      <c r="J993" t="s">
        <v>126</v>
      </c>
      <c r="K993" t="s">
        <v>127</v>
      </c>
      <c r="L993">
        <v>50</v>
      </c>
      <c r="M993">
        <v>1271145</v>
      </c>
      <c r="N993">
        <v>6</v>
      </c>
      <c r="O993">
        <v>4</v>
      </c>
      <c r="P993" t="s">
        <v>168</v>
      </c>
      <c r="Q993" t="s">
        <v>129</v>
      </c>
      <c r="R993">
        <v>35</v>
      </c>
      <c r="T993">
        <v>6</v>
      </c>
      <c r="U993">
        <v>11</v>
      </c>
      <c r="V993">
        <v>6</v>
      </c>
      <c r="W993">
        <v>0</v>
      </c>
      <c r="X993">
        <v>6</v>
      </c>
      <c r="Y993">
        <v>2</v>
      </c>
      <c r="Z993">
        <v>14</v>
      </c>
      <c r="AA993">
        <v>19</v>
      </c>
      <c r="AB993">
        <v>50</v>
      </c>
      <c r="AC993">
        <v>15</v>
      </c>
      <c r="AD993">
        <v>10</v>
      </c>
      <c r="AE993">
        <v>4</v>
      </c>
      <c r="AF993">
        <v>29</v>
      </c>
      <c r="AG993">
        <v>0</v>
      </c>
      <c r="AH993">
        <v>35</v>
      </c>
      <c r="AI993">
        <v>21</v>
      </c>
      <c r="AJ993">
        <v>31</v>
      </c>
      <c r="AK993">
        <v>35</v>
      </c>
      <c r="AL993">
        <v>0</v>
      </c>
      <c r="AM993">
        <v>0.12</v>
      </c>
      <c r="AN993">
        <v>2.8181818181818183</v>
      </c>
      <c r="AO993">
        <v>0</v>
      </c>
      <c r="AP993" t="s">
        <v>130</v>
      </c>
      <c r="AQ993" t="s">
        <v>131</v>
      </c>
      <c r="AR993" t="s">
        <v>1184</v>
      </c>
      <c r="AS993">
        <v>1585</v>
      </c>
      <c r="AT993">
        <v>1538</v>
      </c>
      <c r="AU993">
        <v>0</v>
      </c>
      <c r="AV993">
        <v>0</v>
      </c>
      <c r="AW993">
        <v>3.1230000000000002</v>
      </c>
      <c r="AX993">
        <v>0.20820000000000002</v>
      </c>
      <c r="AY993">
        <v>6.0378000000000007</v>
      </c>
      <c r="AZ993" t="s">
        <v>135</v>
      </c>
      <c r="BA993">
        <v>-3.7800000000000722E-2</v>
      </c>
      <c r="BB993">
        <v>-0.1815561959654213</v>
      </c>
      <c r="BC993" t="s">
        <v>132</v>
      </c>
      <c r="BD993">
        <v>0</v>
      </c>
      <c r="BE993" t="s">
        <v>133</v>
      </c>
      <c r="BF99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3.1230000000000002</v>
      </c>
    </row>
    <row r="994" spans="1:58" x14ac:dyDescent="0.25">
      <c r="A994" t="s">
        <v>1257</v>
      </c>
      <c r="B994" t="s">
        <v>19</v>
      </c>
      <c r="C994">
        <v>2</v>
      </c>
      <c r="D994">
        <v>378</v>
      </c>
      <c r="E994" t="s">
        <v>2111</v>
      </c>
      <c r="F994" t="s">
        <v>123</v>
      </c>
      <c r="G994" t="s">
        <v>124</v>
      </c>
      <c r="H994" t="s">
        <v>125</v>
      </c>
      <c r="I994" t="s">
        <v>126</v>
      </c>
      <c r="J994" t="s">
        <v>126</v>
      </c>
      <c r="K994" t="s">
        <v>127</v>
      </c>
      <c r="L994">
        <v>50</v>
      </c>
      <c r="M994">
        <v>1271147</v>
      </c>
      <c r="N994">
        <v>6</v>
      </c>
      <c r="O994">
        <v>4</v>
      </c>
      <c r="P994" t="s">
        <v>168</v>
      </c>
      <c r="Q994" t="s">
        <v>129</v>
      </c>
      <c r="R994">
        <v>35</v>
      </c>
      <c r="T994">
        <v>13</v>
      </c>
      <c r="U994">
        <v>18</v>
      </c>
      <c r="V994">
        <v>2</v>
      </c>
      <c r="W994">
        <v>0</v>
      </c>
      <c r="X994">
        <v>2</v>
      </c>
      <c r="Y994">
        <v>0</v>
      </c>
      <c r="Z994">
        <v>15</v>
      </c>
      <c r="AA994">
        <v>20</v>
      </c>
      <c r="AB994">
        <v>50</v>
      </c>
      <c r="AC994">
        <v>25</v>
      </c>
      <c r="AD994">
        <v>4</v>
      </c>
      <c r="AE994">
        <v>0</v>
      </c>
      <c r="AF994">
        <v>29</v>
      </c>
      <c r="AG994">
        <v>0</v>
      </c>
      <c r="AH994">
        <v>25</v>
      </c>
      <c r="AI994">
        <v>21</v>
      </c>
      <c r="AJ994">
        <v>25</v>
      </c>
      <c r="AK994">
        <v>25</v>
      </c>
      <c r="AL994">
        <v>0</v>
      </c>
      <c r="AM994">
        <v>0.12</v>
      </c>
      <c r="AN994">
        <v>2.2727272727272729</v>
      </c>
      <c r="AO994">
        <v>0</v>
      </c>
      <c r="AP994" t="s">
        <v>130</v>
      </c>
      <c r="AQ994" t="s">
        <v>131</v>
      </c>
      <c r="AR994" t="s">
        <v>1184</v>
      </c>
      <c r="AS994">
        <v>1986</v>
      </c>
      <c r="AT994">
        <v>1972</v>
      </c>
      <c r="AU994">
        <v>0</v>
      </c>
      <c r="AV994">
        <v>0</v>
      </c>
      <c r="AW994">
        <v>3.9580000000000002</v>
      </c>
      <c r="AX994">
        <v>0.15832000000000002</v>
      </c>
      <c r="AY994">
        <v>4.5912800000000002</v>
      </c>
      <c r="AZ994" t="s">
        <v>135</v>
      </c>
      <c r="BA994">
        <v>1.4087199999999998</v>
      </c>
      <c r="BB994">
        <v>8.8979282465891831</v>
      </c>
      <c r="BC994" t="s">
        <v>133</v>
      </c>
      <c r="BD994">
        <v>0</v>
      </c>
      <c r="BE994" t="s">
        <v>133</v>
      </c>
      <c r="BF99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3.9580000000000002</v>
      </c>
    </row>
    <row r="995" spans="1:58" x14ac:dyDescent="0.25">
      <c r="A995" t="s">
        <v>1258</v>
      </c>
      <c r="B995" t="s">
        <v>19</v>
      </c>
      <c r="C995">
        <v>2</v>
      </c>
      <c r="D995">
        <v>379</v>
      </c>
      <c r="E995" t="s">
        <v>2111</v>
      </c>
      <c r="F995" t="s">
        <v>123</v>
      </c>
      <c r="G995" t="s">
        <v>124</v>
      </c>
      <c r="H995" t="s">
        <v>125</v>
      </c>
      <c r="I995" t="s">
        <v>126</v>
      </c>
      <c r="J995" t="s">
        <v>126</v>
      </c>
      <c r="K995" t="s">
        <v>127</v>
      </c>
      <c r="L995">
        <v>50</v>
      </c>
      <c r="M995">
        <v>1271149</v>
      </c>
      <c r="N995">
        <v>6</v>
      </c>
      <c r="O995">
        <v>4</v>
      </c>
      <c r="P995" t="s">
        <v>168</v>
      </c>
      <c r="Q995" t="s">
        <v>129</v>
      </c>
      <c r="R995">
        <v>35</v>
      </c>
      <c r="T995">
        <v>19</v>
      </c>
      <c r="U995">
        <v>24</v>
      </c>
      <c r="V995">
        <v>4</v>
      </c>
      <c r="W995">
        <v>0</v>
      </c>
      <c r="X995">
        <v>4</v>
      </c>
      <c r="Y995">
        <v>1</v>
      </c>
      <c r="Z995">
        <v>24</v>
      </c>
      <c r="AA995">
        <v>29</v>
      </c>
      <c r="AB995">
        <v>50</v>
      </c>
      <c r="AC995">
        <v>34</v>
      </c>
      <c r="AD995">
        <v>7</v>
      </c>
      <c r="AE995">
        <v>1</v>
      </c>
      <c r="AF995">
        <v>42</v>
      </c>
      <c r="AG995">
        <v>0</v>
      </c>
      <c r="AH995">
        <v>16</v>
      </c>
      <c r="AI995">
        <v>8</v>
      </c>
      <c r="AJ995">
        <v>15</v>
      </c>
      <c r="AK995">
        <v>16</v>
      </c>
      <c r="AL995">
        <v>0</v>
      </c>
      <c r="AM995">
        <v>0.12</v>
      </c>
      <c r="AN995">
        <v>1.3636363636363638</v>
      </c>
      <c r="AO995">
        <v>0</v>
      </c>
      <c r="AP995" t="s">
        <v>130</v>
      </c>
      <c r="AQ995" t="s">
        <v>131</v>
      </c>
      <c r="AR995" t="s">
        <v>1184</v>
      </c>
      <c r="AS995">
        <v>3625</v>
      </c>
      <c r="AT995">
        <v>3583</v>
      </c>
      <c r="AU995">
        <v>0</v>
      </c>
      <c r="AV995">
        <v>0</v>
      </c>
      <c r="AW995">
        <v>7.2080000000000002</v>
      </c>
      <c r="AX995">
        <v>0.21199999999999999</v>
      </c>
      <c r="AY995">
        <v>8.9039999999999999</v>
      </c>
      <c r="AZ995" t="s">
        <v>135</v>
      </c>
      <c r="BA995">
        <v>-2.9039999999999999</v>
      </c>
      <c r="BB995">
        <v>-13.69811320754717</v>
      </c>
      <c r="BC995" t="s">
        <v>133</v>
      </c>
      <c r="BD995">
        <v>0</v>
      </c>
      <c r="BE995" t="s">
        <v>133</v>
      </c>
      <c r="BF99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7.2080000000000002</v>
      </c>
    </row>
    <row r="996" spans="1:58" x14ac:dyDescent="0.25">
      <c r="A996" t="s">
        <v>1259</v>
      </c>
      <c r="B996" t="s">
        <v>19</v>
      </c>
      <c r="C996">
        <v>2</v>
      </c>
      <c r="D996">
        <v>380</v>
      </c>
      <c r="E996" t="s">
        <v>2111</v>
      </c>
      <c r="F996" t="s">
        <v>123</v>
      </c>
      <c r="G996" t="s">
        <v>124</v>
      </c>
      <c r="H996" t="s">
        <v>125</v>
      </c>
      <c r="I996" t="s">
        <v>126</v>
      </c>
      <c r="J996" t="s">
        <v>126</v>
      </c>
      <c r="K996" t="s">
        <v>127</v>
      </c>
      <c r="L996">
        <v>50</v>
      </c>
      <c r="M996">
        <v>1271151</v>
      </c>
      <c r="N996">
        <v>6</v>
      </c>
      <c r="O996">
        <v>4</v>
      </c>
      <c r="P996" t="s">
        <v>168</v>
      </c>
      <c r="Q996" t="s">
        <v>129</v>
      </c>
      <c r="R996">
        <v>35</v>
      </c>
      <c r="T996">
        <v>10</v>
      </c>
      <c r="U996">
        <v>15</v>
      </c>
      <c r="V996">
        <v>2</v>
      </c>
      <c r="W996">
        <v>0</v>
      </c>
      <c r="X996">
        <v>2</v>
      </c>
      <c r="Y996">
        <v>1</v>
      </c>
      <c r="Z996">
        <v>13</v>
      </c>
      <c r="AA996">
        <v>18</v>
      </c>
      <c r="AB996">
        <v>50</v>
      </c>
      <c r="AC996">
        <v>22</v>
      </c>
      <c r="AD996">
        <v>4</v>
      </c>
      <c r="AE996">
        <v>1</v>
      </c>
      <c r="AF996">
        <v>27</v>
      </c>
      <c r="AG996">
        <v>0</v>
      </c>
      <c r="AH996">
        <v>28</v>
      </c>
      <c r="AI996">
        <v>23</v>
      </c>
      <c r="AJ996">
        <v>27</v>
      </c>
      <c r="AK996">
        <v>28</v>
      </c>
      <c r="AL996">
        <v>0</v>
      </c>
      <c r="AM996">
        <v>0.12</v>
      </c>
      <c r="AN996">
        <v>2.4545454545454546</v>
      </c>
      <c r="AO996">
        <v>0</v>
      </c>
      <c r="AP996" t="s">
        <v>130</v>
      </c>
      <c r="AQ996" t="s">
        <v>131</v>
      </c>
      <c r="AR996" t="s">
        <v>1184</v>
      </c>
      <c r="AS996">
        <v>1701</v>
      </c>
      <c r="AT996">
        <v>1698</v>
      </c>
      <c r="AU996">
        <v>0</v>
      </c>
      <c r="AV996">
        <v>0</v>
      </c>
      <c r="AW996">
        <v>3.399</v>
      </c>
      <c r="AX996">
        <v>0.1545</v>
      </c>
      <c r="AY996">
        <v>4.1715</v>
      </c>
      <c r="AZ996" t="s">
        <v>135</v>
      </c>
      <c r="BA996">
        <v>1.8285</v>
      </c>
      <c r="BB996">
        <v>11.83495145631068</v>
      </c>
      <c r="BC996" t="s">
        <v>133</v>
      </c>
      <c r="BD996">
        <v>0</v>
      </c>
      <c r="BE996" t="s">
        <v>133</v>
      </c>
      <c r="BF99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3.399</v>
      </c>
    </row>
    <row r="997" spans="1:58" x14ac:dyDescent="0.25">
      <c r="A997" t="s">
        <v>1260</v>
      </c>
      <c r="B997" t="s">
        <v>19</v>
      </c>
      <c r="C997">
        <v>2</v>
      </c>
      <c r="D997">
        <v>381</v>
      </c>
      <c r="E997" t="s">
        <v>2111</v>
      </c>
      <c r="F997" t="s">
        <v>123</v>
      </c>
      <c r="G997" t="s">
        <v>124</v>
      </c>
      <c r="H997" t="s">
        <v>125</v>
      </c>
      <c r="I997" t="s">
        <v>126</v>
      </c>
      <c r="J997" t="s">
        <v>126</v>
      </c>
      <c r="K997" t="s">
        <v>127</v>
      </c>
      <c r="L997">
        <v>50</v>
      </c>
      <c r="M997">
        <v>1271153</v>
      </c>
      <c r="N997">
        <v>6</v>
      </c>
      <c r="O997">
        <v>4</v>
      </c>
      <c r="P997" t="s">
        <v>168</v>
      </c>
      <c r="Q997" t="s">
        <v>129</v>
      </c>
      <c r="R997">
        <v>35</v>
      </c>
      <c r="T997">
        <v>10</v>
      </c>
      <c r="U997">
        <v>15</v>
      </c>
      <c r="V997">
        <v>5</v>
      </c>
      <c r="W997">
        <v>0</v>
      </c>
      <c r="X997">
        <v>5</v>
      </c>
      <c r="Y997">
        <v>1</v>
      </c>
      <c r="Z997">
        <v>16</v>
      </c>
      <c r="AA997">
        <v>21</v>
      </c>
      <c r="AB997">
        <v>50</v>
      </c>
      <c r="AC997">
        <v>19</v>
      </c>
      <c r="AD997">
        <v>8</v>
      </c>
      <c r="AE997">
        <v>2</v>
      </c>
      <c r="AF997">
        <v>29</v>
      </c>
      <c r="AG997">
        <v>0</v>
      </c>
      <c r="AH997">
        <v>31</v>
      </c>
      <c r="AI997">
        <v>21</v>
      </c>
      <c r="AJ997">
        <v>29</v>
      </c>
      <c r="AK997">
        <v>31</v>
      </c>
      <c r="AL997">
        <v>0</v>
      </c>
      <c r="AM997">
        <v>0.12</v>
      </c>
      <c r="AN997">
        <v>2.6363636363636362</v>
      </c>
      <c r="AO997">
        <v>0</v>
      </c>
      <c r="AP997" t="s">
        <v>130</v>
      </c>
      <c r="AQ997" t="s">
        <v>131</v>
      </c>
      <c r="AR997" t="s">
        <v>1184</v>
      </c>
      <c r="AS997">
        <v>1427</v>
      </c>
      <c r="AT997">
        <v>1367</v>
      </c>
      <c r="AU997">
        <v>0</v>
      </c>
      <c r="AV997">
        <v>0</v>
      </c>
      <c r="AW997">
        <v>2.794</v>
      </c>
      <c r="AX997">
        <v>0.14705263157894738</v>
      </c>
      <c r="AY997">
        <v>4.2645263157894737</v>
      </c>
      <c r="AZ997" t="s">
        <v>135</v>
      </c>
      <c r="BA997">
        <v>1.7354736842105263</v>
      </c>
      <c r="BB997">
        <v>11.801717967072296</v>
      </c>
      <c r="BC997" t="s">
        <v>133</v>
      </c>
      <c r="BD997">
        <v>0</v>
      </c>
      <c r="BE997" t="s">
        <v>133</v>
      </c>
      <c r="BF99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2.794</v>
      </c>
    </row>
    <row r="998" spans="1:58" x14ac:dyDescent="0.25">
      <c r="A998" t="s">
        <v>1261</v>
      </c>
      <c r="B998" t="s">
        <v>19</v>
      </c>
      <c r="C998">
        <v>2</v>
      </c>
      <c r="D998">
        <v>382</v>
      </c>
      <c r="E998" t="s">
        <v>2111</v>
      </c>
      <c r="F998" t="s">
        <v>123</v>
      </c>
      <c r="G998" t="s">
        <v>124</v>
      </c>
      <c r="H998" t="s">
        <v>136</v>
      </c>
      <c r="I998" t="s">
        <v>137</v>
      </c>
      <c r="J998" t="s">
        <v>138</v>
      </c>
      <c r="K998" t="s">
        <v>127</v>
      </c>
      <c r="L998">
        <v>50</v>
      </c>
      <c r="M998">
        <v>1271155</v>
      </c>
      <c r="N998">
        <v>5</v>
      </c>
      <c r="O998">
        <v>4</v>
      </c>
      <c r="P998" t="s">
        <v>168</v>
      </c>
      <c r="Q998" t="s">
        <v>129</v>
      </c>
      <c r="R998">
        <v>35</v>
      </c>
      <c r="T998">
        <v>0</v>
      </c>
      <c r="U998">
        <v>4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4</v>
      </c>
      <c r="AB998">
        <v>50</v>
      </c>
      <c r="AC998">
        <v>4</v>
      </c>
      <c r="AD998">
        <v>0</v>
      </c>
      <c r="AE998">
        <v>0</v>
      </c>
      <c r="AF998">
        <v>4</v>
      </c>
      <c r="AG998">
        <v>0</v>
      </c>
      <c r="AH998">
        <v>46</v>
      </c>
      <c r="AI998">
        <v>46</v>
      </c>
      <c r="AJ998">
        <v>46</v>
      </c>
      <c r="AK998">
        <v>46</v>
      </c>
      <c r="AL998">
        <v>0</v>
      </c>
      <c r="AM998">
        <v>0.1</v>
      </c>
      <c r="AN998">
        <v>4.1818181818181817</v>
      </c>
      <c r="AO998">
        <v>0</v>
      </c>
      <c r="AP998" t="s">
        <v>139</v>
      </c>
      <c r="AQ998" t="s">
        <v>131</v>
      </c>
      <c r="AR998" t="s">
        <v>1184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  <c r="AZ998" t="s">
        <v>134</v>
      </c>
      <c r="BA998">
        <v>5</v>
      </c>
      <c r="BB998">
        <v>0</v>
      </c>
      <c r="BC998" t="s">
        <v>133</v>
      </c>
      <c r="BD998">
        <v>0</v>
      </c>
      <c r="BE998" t="s">
        <v>133</v>
      </c>
      <c r="BF99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999" spans="1:58" x14ac:dyDescent="0.25">
      <c r="A999" t="s">
        <v>1262</v>
      </c>
      <c r="B999" t="s">
        <v>19</v>
      </c>
      <c r="C999">
        <v>2</v>
      </c>
      <c r="D999">
        <v>383</v>
      </c>
      <c r="E999" t="s">
        <v>2111</v>
      </c>
      <c r="F999" t="s">
        <v>123</v>
      </c>
      <c r="G999" t="s">
        <v>124</v>
      </c>
      <c r="H999" t="s">
        <v>125</v>
      </c>
      <c r="I999" t="s">
        <v>126</v>
      </c>
      <c r="J999" t="s">
        <v>126</v>
      </c>
      <c r="K999" t="s">
        <v>127</v>
      </c>
      <c r="L999">
        <v>50</v>
      </c>
      <c r="M999">
        <v>1271157</v>
      </c>
      <c r="N999">
        <v>6</v>
      </c>
      <c r="O999">
        <v>4</v>
      </c>
      <c r="P999" t="s">
        <v>168</v>
      </c>
      <c r="Q999" t="s">
        <v>129</v>
      </c>
      <c r="R999">
        <v>35</v>
      </c>
      <c r="T999">
        <v>9</v>
      </c>
      <c r="U999">
        <v>14</v>
      </c>
      <c r="V999">
        <v>5</v>
      </c>
      <c r="W999">
        <v>0</v>
      </c>
      <c r="X999">
        <v>5</v>
      </c>
      <c r="Y999">
        <v>3</v>
      </c>
      <c r="Z999">
        <v>17</v>
      </c>
      <c r="AA999">
        <v>22</v>
      </c>
      <c r="AB999">
        <v>50</v>
      </c>
      <c r="AC999">
        <v>20</v>
      </c>
      <c r="AD999">
        <v>6</v>
      </c>
      <c r="AE999">
        <v>6</v>
      </c>
      <c r="AF999">
        <v>32</v>
      </c>
      <c r="AG999">
        <v>0</v>
      </c>
      <c r="AH999">
        <v>30</v>
      </c>
      <c r="AI999">
        <v>18</v>
      </c>
      <c r="AJ999">
        <v>24</v>
      </c>
      <c r="AK999">
        <v>30</v>
      </c>
      <c r="AL999">
        <v>0</v>
      </c>
      <c r="AM999">
        <v>0.12</v>
      </c>
      <c r="AN999">
        <v>2.1818181818181817</v>
      </c>
      <c r="AO999">
        <v>0</v>
      </c>
      <c r="AP999" t="s">
        <v>130</v>
      </c>
      <c r="AQ999" t="s">
        <v>131</v>
      </c>
      <c r="AR999" t="s">
        <v>1184</v>
      </c>
      <c r="AS999">
        <v>1385</v>
      </c>
      <c r="AT999">
        <v>1574</v>
      </c>
      <c r="AU999">
        <v>0</v>
      </c>
      <c r="AV999">
        <v>0</v>
      </c>
      <c r="AW999">
        <v>2.9590000000000001</v>
      </c>
      <c r="AX999">
        <v>0.14795</v>
      </c>
      <c r="AY999">
        <v>4.7343999999999999</v>
      </c>
      <c r="AZ999" t="s">
        <v>135</v>
      </c>
      <c r="BA999">
        <v>1.2656000000000001</v>
      </c>
      <c r="BB999">
        <v>8.5542412977357216</v>
      </c>
      <c r="BC999" t="s">
        <v>133</v>
      </c>
      <c r="BD999">
        <v>0</v>
      </c>
      <c r="BE999" t="s">
        <v>133</v>
      </c>
      <c r="BF99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2.9590000000000001</v>
      </c>
    </row>
    <row r="1000" spans="1:58" x14ac:dyDescent="0.25">
      <c r="A1000" t="s">
        <v>1263</v>
      </c>
      <c r="B1000" t="s">
        <v>19</v>
      </c>
      <c r="C1000">
        <v>2</v>
      </c>
      <c r="D1000">
        <v>384</v>
      </c>
      <c r="E1000" t="s">
        <v>2111</v>
      </c>
      <c r="F1000" t="s">
        <v>123</v>
      </c>
      <c r="G1000" t="s">
        <v>124</v>
      </c>
      <c r="H1000" t="s">
        <v>125</v>
      </c>
      <c r="I1000" t="s">
        <v>126</v>
      </c>
      <c r="J1000" t="s">
        <v>126</v>
      </c>
      <c r="K1000" t="s">
        <v>127</v>
      </c>
      <c r="L1000">
        <v>50</v>
      </c>
      <c r="M1000">
        <v>1271159</v>
      </c>
      <c r="N1000">
        <v>6</v>
      </c>
      <c r="O1000">
        <v>4</v>
      </c>
      <c r="P1000" t="s">
        <v>168</v>
      </c>
      <c r="Q1000" t="s">
        <v>129</v>
      </c>
      <c r="R1000">
        <v>35</v>
      </c>
      <c r="T1000">
        <v>13</v>
      </c>
      <c r="U1000">
        <v>18</v>
      </c>
      <c r="V1000">
        <v>1</v>
      </c>
      <c r="W1000">
        <v>0</v>
      </c>
      <c r="X1000">
        <v>1</v>
      </c>
      <c r="Y1000">
        <v>2</v>
      </c>
      <c r="Z1000">
        <v>16</v>
      </c>
      <c r="AA1000">
        <v>21</v>
      </c>
      <c r="AB1000">
        <v>50</v>
      </c>
      <c r="AC1000">
        <v>20</v>
      </c>
      <c r="AD1000">
        <v>1</v>
      </c>
      <c r="AE1000">
        <v>4</v>
      </c>
      <c r="AF1000">
        <v>25</v>
      </c>
      <c r="AG1000">
        <v>0</v>
      </c>
      <c r="AH1000">
        <v>30</v>
      </c>
      <c r="AI1000">
        <v>25</v>
      </c>
      <c r="AJ1000">
        <v>26</v>
      </c>
      <c r="AK1000">
        <v>30</v>
      </c>
      <c r="AL1000">
        <v>0</v>
      </c>
      <c r="AM1000">
        <v>0.12</v>
      </c>
      <c r="AN1000">
        <v>2.3636363636363638</v>
      </c>
      <c r="AO1000">
        <v>0</v>
      </c>
      <c r="AP1000" t="s">
        <v>130</v>
      </c>
      <c r="AQ1000" t="s">
        <v>131</v>
      </c>
      <c r="AR1000" t="s">
        <v>1184</v>
      </c>
      <c r="AS1000">
        <v>1334</v>
      </c>
      <c r="AT1000">
        <v>1189</v>
      </c>
      <c r="AU1000">
        <v>0</v>
      </c>
      <c r="AV1000">
        <v>0</v>
      </c>
      <c r="AW1000">
        <v>2.5230000000000001</v>
      </c>
      <c r="AX1000">
        <v>0.12615000000000001</v>
      </c>
      <c r="AY1000">
        <v>3.1537500000000005</v>
      </c>
      <c r="AZ1000" t="s">
        <v>135</v>
      </c>
      <c r="BA1000">
        <v>2.8462499999999995</v>
      </c>
      <c r="BB1000">
        <v>22.562425683709861</v>
      </c>
      <c r="BC1000" t="s">
        <v>133</v>
      </c>
      <c r="BD1000">
        <v>0</v>
      </c>
      <c r="BE1000" t="s">
        <v>133</v>
      </c>
      <c r="BF100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2.5230000000000001</v>
      </c>
    </row>
    <row r="1001" spans="1:58" x14ac:dyDescent="0.25">
      <c r="A1001" t="s">
        <v>1264</v>
      </c>
      <c r="B1001" t="s">
        <v>19</v>
      </c>
      <c r="C1001">
        <v>2</v>
      </c>
      <c r="D1001">
        <v>385</v>
      </c>
      <c r="E1001" t="s">
        <v>2111</v>
      </c>
      <c r="F1001" t="s">
        <v>123</v>
      </c>
      <c r="G1001" t="s">
        <v>124</v>
      </c>
      <c r="H1001" t="s">
        <v>125</v>
      </c>
      <c r="I1001" t="s">
        <v>126</v>
      </c>
      <c r="J1001" t="s">
        <v>126</v>
      </c>
      <c r="K1001" t="s">
        <v>127</v>
      </c>
      <c r="L1001">
        <v>50</v>
      </c>
      <c r="M1001">
        <v>1271161</v>
      </c>
      <c r="N1001">
        <v>6</v>
      </c>
      <c r="O1001">
        <v>4</v>
      </c>
      <c r="P1001" t="s">
        <v>168</v>
      </c>
      <c r="Q1001" t="s">
        <v>129</v>
      </c>
      <c r="R1001">
        <v>35</v>
      </c>
      <c r="T1001">
        <v>15</v>
      </c>
      <c r="U1001">
        <v>20</v>
      </c>
      <c r="V1001">
        <v>4</v>
      </c>
      <c r="W1001">
        <v>0</v>
      </c>
      <c r="X1001">
        <v>4</v>
      </c>
      <c r="Y1001">
        <v>2</v>
      </c>
      <c r="Z1001">
        <v>21</v>
      </c>
      <c r="AA1001">
        <v>26</v>
      </c>
      <c r="AB1001">
        <v>50</v>
      </c>
      <c r="AC1001">
        <v>23</v>
      </c>
      <c r="AD1001">
        <v>5</v>
      </c>
      <c r="AE1001">
        <v>3</v>
      </c>
      <c r="AF1001">
        <v>31</v>
      </c>
      <c r="AG1001">
        <v>0</v>
      </c>
      <c r="AH1001">
        <v>27</v>
      </c>
      <c r="AI1001">
        <v>19</v>
      </c>
      <c r="AJ1001">
        <v>24</v>
      </c>
      <c r="AK1001">
        <v>27</v>
      </c>
      <c r="AL1001">
        <v>0</v>
      </c>
      <c r="AM1001">
        <v>0.12</v>
      </c>
      <c r="AN1001">
        <v>2.1818181818181817</v>
      </c>
      <c r="AO1001">
        <v>0</v>
      </c>
      <c r="AP1001" t="s">
        <v>130</v>
      </c>
      <c r="AQ1001" t="s">
        <v>131</v>
      </c>
      <c r="AR1001" t="s">
        <v>1184</v>
      </c>
      <c r="AS1001">
        <v>1707</v>
      </c>
      <c r="AT1001">
        <v>1649</v>
      </c>
      <c r="AU1001">
        <v>0</v>
      </c>
      <c r="AV1001">
        <v>0</v>
      </c>
      <c r="AW1001">
        <v>3.3559999999999999</v>
      </c>
      <c r="AX1001">
        <v>0.14591304347826087</v>
      </c>
      <c r="AY1001">
        <v>4.5233043478260866</v>
      </c>
      <c r="AZ1001" t="s">
        <v>135</v>
      </c>
      <c r="BA1001">
        <v>1.4766956521739134</v>
      </c>
      <c r="BB1001">
        <v>10.120381406436236</v>
      </c>
      <c r="BC1001" t="s">
        <v>133</v>
      </c>
      <c r="BD1001">
        <v>0</v>
      </c>
      <c r="BE1001" t="s">
        <v>133</v>
      </c>
      <c r="BF100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3.3559999999999999</v>
      </c>
    </row>
    <row r="1002" spans="1:58" x14ac:dyDescent="0.25">
      <c r="A1002" t="s">
        <v>1265</v>
      </c>
      <c r="B1002" t="s">
        <v>19</v>
      </c>
      <c r="C1002">
        <v>2</v>
      </c>
      <c r="D1002">
        <v>386</v>
      </c>
      <c r="E1002" t="s">
        <v>2111</v>
      </c>
      <c r="F1002" t="s">
        <v>123</v>
      </c>
      <c r="G1002" t="s">
        <v>124</v>
      </c>
      <c r="H1002" t="s">
        <v>125</v>
      </c>
      <c r="I1002" t="s">
        <v>126</v>
      </c>
      <c r="J1002" t="s">
        <v>126</v>
      </c>
      <c r="K1002" t="s">
        <v>127</v>
      </c>
      <c r="L1002">
        <v>50</v>
      </c>
      <c r="M1002">
        <v>1271163</v>
      </c>
      <c r="N1002">
        <v>6</v>
      </c>
      <c r="O1002">
        <v>4</v>
      </c>
      <c r="P1002" t="s">
        <v>168</v>
      </c>
      <c r="Q1002" t="s">
        <v>129</v>
      </c>
      <c r="R1002">
        <v>35</v>
      </c>
      <c r="T1002">
        <v>17</v>
      </c>
      <c r="U1002">
        <v>22</v>
      </c>
      <c r="V1002">
        <v>3</v>
      </c>
      <c r="W1002">
        <v>0</v>
      </c>
      <c r="X1002">
        <v>3</v>
      </c>
      <c r="Y1002">
        <v>1</v>
      </c>
      <c r="Z1002">
        <v>21</v>
      </c>
      <c r="AA1002">
        <v>26</v>
      </c>
      <c r="AB1002">
        <v>50</v>
      </c>
      <c r="AC1002">
        <v>30</v>
      </c>
      <c r="AD1002">
        <v>4</v>
      </c>
      <c r="AE1002">
        <v>2</v>
      </c>
      <c r="AF1002">
        <v>36</v>
      </c>
      <c r="AG1002">
        <v>0</v>
      </c>
      <c r="AH1002">
        <v>20</v>
      </c>
      <c r="AI1002">
        <v>14</v>
      </c>
      <c r="AJ1002">
        <v>18</v>
      </c>
      <c r="AK1002">
        <v>20</v>
      </c>
      <c r="AL1002">
        <v>0</v>
      </c>
      <c r="AM1002">
        <v>0.12</v>
      </c>
      <c r="AN1002">
        <v>1.6363636363636365</v>
      </c>
      <c r="AO1002">
        <v>0</v>
      </c>
      <c r="AP1002" t="s">
        <v>130</v>
      </c>
      <c r="AQ1002" t="s">
        <v>131</v>
      </c>
      <c r="AR1002" t="s">
        <v>1184</v>
      </c>
      <c r="AS1002">
        <v>1835</v>
      </c>
      <c r="AT1002">
        <v>1907</v>
      </c>
      <c r="AU1002">
        <v>0</v>
      </c>
      <c r="AV1002">
        <v>0</v>
      </c>
      <c r="AW1002">
        <v>3.742</v>
      </c>
      <c r="AX1002">
        <v>0.12473333333333333</v>
      </c>
      <c r="AY1002">
        <v>4.4904000000000002</v>
      </c>
      <c r="AZ1002" t="s">
        <v>135</v>
      </c>
      <c r="BA1002">
        <v>1.5095999999999998</v>
      </c>
      <c r="BB1002">
        <v>12.10261892036344</v>
      </c>
      <c r="BC1002" t="s">
        <v>133</v>
      </c>
      <c r="BD1002">
        <v>0</v>
      </c>
      <c r="BE1002" t="s">
        <v>133</v>
      </c>
      <c r="BF100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3.742</v>
      </c>
    </row>
    <row r="1003" spans="1:58" x14ac:dyDescent="0.25">
      <c r="A1003" t="s">
        <v>1266</v>
      </c>
      <c r="B1003" t="s">
        <v>19</v>
      </c>
      <c r="C1003">
        <v>2</v>
      </c>
      <c r="D1003">
        <v>387</v>
      </c>
      <c r="E1003" t="s">
        <v>2111</v>
      </c>
      <c r="F1003" t="s">
        <v>123</v>
      </c>
      <c r="G1003" t="s">
        <v>124</v>
      </c>
      <c r="H1003" t="s">
        <v>125</v>
      </c>
      <c r="I1003" t="s">
        <v>126</v>
      </c>
      <c r="J1003" t="s">
        <v>126</v>
      </c>
      <c r="K1003" t="s">
        <v>127</v>
      </c>
      <c r="L1003">
        <v>50</v>
      </c>
      <c r="M1003">
        <v>1271165</v>
      </c>
      <c r="N1003">
        <v>6</v>
      </c>
      <c r="O1003">
        <v>4</v>
      </c>
      <c r="P1003" t="s">
        <v>168</v>
      </c>
      <c r="Q1003" t="s">
        <v>129</v>
      </c>
      <c r="R1003">
        <v>35</v>
      </c>
      <c r="T1003">
        <v>8</v>
      </c>
      <c r="U1003">
        <v>13</v>
      </c>
      <c r="V1003">
        <v>4</v>
      </c>
      <c r="W1003">
        <v>0</v>
      </c>
      <c r="X1003">
        <v>4</v>
      </c>
      <c r="Y1003">
        <v>4</v>
      </c>
      <c r="Z1003">
        <v>16</v>
      </c>
      <c r="AA1003">
        <v>21</v>
      </c>
      <c r="AB1003">
        <v>50</v>
      </c>
      <c r="AC1003">
        <v>16</v>
      </c>
      <c r="AD1003">
        <v>6</v>
      </c>
      <c r="AE1003">
        <v>4</v>
      </c>
      <c r="AF1003">
        <v>26</v>
      </c>
      <c r="AG1003">
        <v>0</v>
      </c>
      <c r="AH1003">
        <v>34</v>
      </c>
      <c r="AI1003">
        <v>24</v>
      </c>
      <c r="AJ1003">
        <v>30</v>
      </c>
      <c r="AK1003">
        <v>34</v>
      </c>
      <c r="AL1003">
        <v>0</v>
      </c>
      <c r="AM1003">
        <v>0.12</v>
      </c>
      <c r="AN1003">
        <v>2.7272727272727275</v>
      </c>
      <c r="AO1003">
        <v>0</v>
      </c>
      <c r="AP1003" t="s">
        <v>130</v>
      </c>
      <c r="AQ1003" t="s">
        <v>131</v>
      </c>
      <c r="AR1003" t="s">
        <v>1184</v>
      </c>
      <c r="AS1003">
        <v>1138</v>
      </c>
      <c r="AT1003">
        <v>1110</v>
      </c>
      <c r="AU1003">
        <v>0</v>
      </c>
      <c r="AV1003">
        <v>0</v>
      </c>
      <c r="AW1003">
        <v>2.2480000000000002</v>
      </c>
      <c r="AX1003">
        <v>0.14050000000000001</v>
      </c>
      <c r="AY1003">
        <v>3.6530000000000005</v>
      </c>
      <c r="AZ1003" t="s">
        <v>135</v>
      </c>
      <c r="BA1003">
        <v>2.3469999999999995</v>
      </c>
      <c r="BB1003">
        <v>16.704626334519567</v>
      </c>
      <c r="BC1003" t="s">
        <v>144</v>
      </c>
      <c r="BD1003">
        <v>0</v>
      </c>
      <c r="BE1003" t="s">
        <v>133</v>
      </c>
      <c r="BF100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2.2480000000000002</v>
      </c>
    </row>
    <row r="1004" spans="1:58" x14ac:dyDescent="0.25">
      <c r="A1004" t="s">
        <v>1267</v>
      </c>
      <c r="B1004" t="s">
        <v>19</v>
      </c>
      <c r="C1004">
        <v>2</v>
      </c>
      <c r="D1004">
        <v>388</v>
      </c>
      <c r="E1004" t="s">
        <v>2111</v>
      </c>
      <c r="F1004" t="s">
        <v>123</v>
      </c>
      <c r="G1004" t="s">
        <v>124</v>
      </c>
      <c r="H1004" t="s">
        <v>125</v>
      </c>
      <c r="I1004" t="s">
        <v>126</v>
      </c>
      <c r="J1004" t="s">
        <v>126</v>
      </c>
      <c r="K1004" t="s">
        <v>127</v>
      </c>
      <c r="L1004">
        <v>50</v>
      </c>
      <c r="M1004">
        <v>1271167</v>
      </c>
      <c r="N1004">
        <v>6</v>
      </c>
      <c r="O1004">
        <v>4</v>
      </c>
      <c r="P1004" t="s">
        <v>168</v>
      </c>
      <c r="Q1004" t="s">
        <v>129</v>
      </c>
      <c r="R1004">
        <v>36</v>
      </c>
      <c r="T1004">
        <v>12</v>
      </c>
      <c r="U1004">
        <v>17</v>
      </c>
      <c r="V1004">
        <v>3</v>
      </c>
      <c r="W1004">
        <v>0</v>
      </c>
      <c r="X1004">
        <v>3</v>
      </c>
      <c r="Y1004">
        <v>0</v>
      </c>
      <c r="Z1004">
        <v>15</v>
      </c>
      <c r="AA1004">
        <v>20</v>
      </c>
      <c r="AB1004">
        <v>50</v>
      </c>
      <c r="AC1004">
        <v>17</v>
      </c>
      <c r="AD1004">
        <v>6</v>
      </c>
      <c r="AE1004">
        <v>0</v>
      </c>
      <c r="AF1004">
        <v>23</v>
      </c>
      <c r="AG1004">
        <v>0</v>
      </c>
      <c r="AH1004">
        <v>33</v>
      </c>
      <c r="AI1004">
        <v>27</v>
      </c>
      <c r="AJ1004">
        <v>33</v>
      </c>
      <c r="AK1004">
        <v>33</v>
      </c>
      <c r="AL1004">
        <v>0</v>
      </c>
      <c r="AM1004">
        <v>0.12</v>
      </c>
      <c r="AN1004">
        <v>3</v>
      </c>
      <c r="AO1004">
        <v>0</v>
      </c>
      <c r="AP1004" t="s">
        <v>130</v>
      </c>
      <c r="AQ1004" t="s">
        <v>131</v>
      </c>
      <c r="AR1004" t="s">
        <v>1184</v>
      </c>
      <c r="AS1004">
        <v>1385</v>
      </c>
      <c r="AT1004">
        <v>1366</v>
      </c>
      <c r="AU1004">
        <v>0</v>
      </c>
      <c r="AV1004">
        <v>0</v>
      </c>
      <c r="AW1004">
        <v>2.7509999999999999</v>
      </c>
      <c r="AX1004">
        <v>0.1618235294117647</v>
      </c>
      <c r="AY1004">
        <v>3.7219411764705881</v>
      </c>
      <c r="AZ1004" t="s">
        <v>135</v>
      </c>
      <c r="BA1004">
        <v>2.2780588235294119</v>
      </c>
      <c r="BB1004">
        <v>14.077426390403492</v>
      </c>
      <c r="BC1004" t="s">
        <v>132</v>
      </c>
      <c r="BD1004">
        <v>0</v>
      </c>
      <c r="BE1004" t="s">
        <v>133</v>
      </c>
      <c r="BF100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2.7509999999999999</v>
      </c>
    </row>
    <row r="1005" spans="1:58" x14ac:dyDescent="0.25">
      <c r="A1005" t="s">
        <v>1268</v>
      </c>
      <c r="B1005" t="s">
        <v>19</v>
      </c>
      <c r="C1005">
        <v>2</v>
      </c>
      <c r="D1005">
        <v>389</v>
      </c>
      <c r="E1005" t="s">
        <v>2111</v>
      </c>
      <c r="F1005" t="s">
        <v>123</v>
      </c>
      <c r="G1005" t="s">
        <v>124</v>
      </c>
      <c r="H1005" t="s">
        <v>125</v>
      </c>
      <c r="I1005" t="s">
        <v>126</v>
      </c>
      <c r="J1005" t="s">
        <v>126</v>
      </c>
      <c r="K1005" t="s">
        <v>127</v>
      </c>
      <c r="L1005">
        <v>50</v>
      </c>
      <c r="M1005">
        <v>1271169</v>
      </c>
      <c r="N1005">
        <v>6</v>
      </c>
      <c r="O1005">
        <v>4</v>
      </c>
      <c r="P1005" t="s">
        <v>168</v>
      </c>
      <c r="Q1005" t="s">
        <v>129</v>
      </c>
      <c r="R1005">
        <v>36</v>
      </c>
      <c r="T1005">
        <v>40</v>
      </c>
      <c r="U1005">
        <v>45</v>
      </c>
      <c r="V1005">
        <v>0</v>
      </c>
      <c r="W1005">
        <v>0</v>
      </c>
      <c r="X1005">
        <v>0</v>
      </c>
      <c r="Y1005">
        <v>0</v>
      </c>
      <c r="Z1005">
        <v>40</v>
      </c>
      <c r="AA1005">
        <v>45</v>
      </c>
      <c r="AB1005">
        <v>50</v>
      </c>
      <c r="AC1005">
        <v>45</v>
      </c>
      <c r="AD1005">
        <v>0</v>
      </c>
      <c r="AE1005">
        <v>0</v>
      </c>
      <c r="AF1005">
        <v>45</v>
      </c>
      <c r="AG1005">
        <v>0</v>
      </c>
      <c r="AH1005">
        <v>5</v>
      </c>
      <c r="AI1005">
        <v>5</v>
      </c>
      <c r="AJ1005">
        <v>5</v>
      </c>
      <c r="AK1005">
        <v>5</v>
      </c>
      <c r="AL1005">
        <v>0</v>
      </c>
      <c r="AM1005">
        <v>0.12</v>
      </c>
      <c r="AN1005">
        <v>0.45454545454545459</v>
      </c>
      <c r="AO1005">
        <v>0</v>
      </c>
      <c r="AP1005" t="s">
        <v>130</v>
      </c>
      <c r="AQ1005" t="s">
        <v>131</v>
      </c>
      <c r="AR1005" t="s">
        <v>1184</v>
      </c>
      <c r="AS1005">
        <v>3905</v>
      </c>
      <c r="AT1005">
        <v>3933</v>
      </c>
      <c r="AU1005">
        <v>0</v>
      </c>
      <c r="AV1005">
        <v>0</v>
      </c>
      <c r="AW1005">
        <v>7.8380000000000001</v>
      </c>
      <c r="AX1005">
        <v>0.17417777777777779</v>
      </c>
      <c r="AY1005">
        <v>7.838000000000001</v>
      </c>
      <c r="AZ1005" t="s">
        <v>135</v>
      </c>
      <c r="BA1005">
        <v>-1.838000000000001</v>
      </c>
      <c r="BB1005">
        <v>-10.552436846134222</v>
      </c>
      <c r="BC1005" t="s">
        <v>133</v>
      </c>
      <c r="BD1005">
        <v>0</v>
      </c>
      <c r="BE1005" t="s">
        <v>133</v>
      </c>
      <c r="BF100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7.8380000000000001</v>
      </c>
    </row>
    <row r="1006" spans="1:58" x14ac:dyDescent="0.25">
      <c r="A1006" t="s">
        <v>1269</v>
      </c>
      <c r="B1006" t="s">
        <v>19</v>
      </c>
      <c r="C1006">
        <v>2</v>
      </c>
      <c r="D1006">
        <v>390</v>
      </c>
      <c r="E1006" t="s">
        <v>2111</v>
      </c>
      <c r="F1006" t="s">
        <v>123</v>
      </c>
      <c r="G1006" t="s">
        <v>124</v>
      </c>
      <c r="H1006" t="s">
        <v>125</v>
      </c>
      <c r="I1006" t="s">
        <v>126</v>
      </c>
      <c r="J1006" t="s">
        <v>126</v>
      </c>
      <c r="K1006" t="s">
        <v>127</v>
      </c>
      <c r="L1006">
        <v>50</v>
      </c>
      <c r="M1006">
        <v>1271171</v>
      </c>
      <c r="N1006">
        <v>6</v>
      </c>
      <c r="O1006">
        <v>4</v>
      </c>
      <c r="P1006" t="s">
        <v>168</v>
      </c>
      <c r="Q1006" t="s">
        <v>129</v>
      </c>
      <c r="R1006">
        <v>36</v>
      </c>
      <c r="T1006">
        <v>17</v>
      </c>
      <c r="U1006">
        <v>22</v>
      </c>
      <c r="V1006">
        <v>19</v>
      </c>
      <c r="W1006">
        <v>0</v>
      </c>
      <c r="X1006">
        <v>19</v>
      </c>
      <c r="Y1006">
        <v>5</v>
      </c>
      <c r="Z1006">
        <v>41</v>
      </c>
      <c r="AA1006">
        <v>46</v>
      </c>
      <c r="AB1006">
        <v>50</v>
      </c>
      <c r="AC1006">
        <v>22</v>
      </c>
      <c r="AD1006">
        <v>19</v>
      </c>
      <c r="AE1006">
        <v>5</v>
      </c>
      <c r="AF1006">
        <v>46</v>
      </c>
      <c r="AG1006">
        <v>0</v>
      </c>
      <c r="AH1006">
        <v>28</v>
      </c>
      <c r="AI1006">
        <v>4</v>
      </c>
      <c r="AJ1006">
        <v>23</v>
      </c>
      <c r="AK1006">
        <v>28</v>
      </c>
      <c r="AL1006">
        <v>0</v>
      </c>
      <c r="AM1006">
        <v>0.12</v>
      </c>
      <c r="AN1006">
        <v>2.0909090909090908</v>
      </c>
      <c r="AO1006">
        <v>0</v>
      </c>
      <c r="AP1006" t="s">
        <v>130</v>
      </c>
      <c r="AQ1006" t="s">
        <v>131</v>
      </c>
      <c r="AR1006" t="s">
        <v>1184</v>
      </c>
      <c r="AS1006">
        <v>3290</v>
      </c>
      <c r="AT1006">
        <v>3033</v>
      </c>
      <c r="AU1006">
        <v>0</v>
      </c>
      <c r="AV1006">
        <v>0</v>
      </c>
      <c r="AW1006">
        <v>6.3230000000000004</v>
      </c>
      <c r="AX1006">
        <v>0.28740909090909095</v>
      </c>
      <c r="AY1006">
        <v>13.220818181818183</v>
      </c>
      <c r="AZ1006" t="s">
        <v>135</v>
      </c>
      <c r="BA1006">
        <v>-7.2208181818181831</v>
      </c>
      <c r="BB1006">
        <v>-25.123833623280088</v>
      </c>
      <c r="BC1006" t="s">
        <v>133</v>
      </c>
      <c r="BD1006">
        <v>0</v>
      </c>
      <c r="BE1006" t="s">
        <v>133</v>
      </c>
      <c r="BF100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6.3230000000000004</v>
      </c>
    </row>
    <row r="1007" spans="1:58" x14ac:dyDescent="0.25">
      <c r="A1007" t="s">
        <v>1270</v>
      </c>
      <c r="B1007" t="s">
        <v>19</v>
      </c>
      <c r="C1007">
        <v>2</v>
      </c>
      <c r="D1007">
        <v>391</v>
      </c>
      <c r="E1007" t="s">
        <v>2111</v>
      </c>
      <c r="F1007" t="s">
        <v>123</v>
      </c>
      <c r="G1007" t="s">
        <v>124</v>
      </c>
      <c r="H1007" t="s">
        <v>125</v>
      </c>
      <c r="I1007" t="s">
        <v>126</v>
      </c>
      <c r="J1007" t="s">
        <v>126</v>
      </c>
      <c r="K1007" t="s">
        <v>127</v>
      </c>
      <c r="L1007">
        <v>50</v>
      </c>
      <c r="M1007">
        <v>1271173</v>
      </c>
      <c r="N1007">
        <v>6</v>
      </c>
      <c r="O1007">
        <v>4</v>
      </c>
      <c r="P1007" t="s">
        <v>168</v>
      </c>
      <c r="Q1007" t="s">
        <v>129</v>
      </c>
      <c r="R1007">
        <v>36</v>
      </c>
      <c r="T1007">
        <v>25</v>
      </c>
      <c r="U1007">
        <v>30</v>
      </c>
      <c r="V1007">
        <v>4</v>
      </c>
      <c r="W1007">
        <v>0</v>
      </c>
      <c r="X1007">
        <v>4</v>
      </c>
      <c r="Y1007">
        <v>2</v>
      </c>
      <c r="Z1007">
        <v>31</v>
      </c>
      <c r="AA1007">
        <v>36</v>
      </c>
      <c r="AB1007">
        <v>50</v>
      </c>
      <c r="AC1007">
        <v>30</v>
      </c>
      <c r="AD1007">
        <v>4</v>
      </c>
      <c r="AE1007">
        <v>2</v>
      </c>
      <c r="AF1007">
        <v>36</v>
      </c>
      <c r="AG1007">
        <v>0</v>
      </c>
      <c r="AH1007">
        <v>20</v>
      </c>
      <c r="AI1007">
        <v>14</v>
      </c>
      <c r="AJ1007">
        <v>18</v>
      </c>
      <c r="AK1007">
        <v>20</v>
      </c>
      <c r="AL1007">
        <v>0</v>
      </c>
      <c r="AM1007">
        <v>0.12</v>
      </c>
      <c r="AN1007">
        <v>1.6363636363636365</v>
      </c>
      <c r="AO1007">
        <v>0</v>
      </c>
      <c r="AP1007" t="s">
        <v>130</v>
      </c>
      <c r="AQ1007" t="s">
        <v>131</v>
      </c>
      <c r="AR1007" t="s">
        <v>1184</v>
      </c>
      <c r="AS1007">
        <v>4794</v>
      </c>
      <c r="AT1007">
        <v>4757</v>
      </c>
      <c r="AU1007">
        <v>0</v>
      </c>
      <c r="AV1007">
        <v>0</v>
      </c>
      <c r="AW1007">
        <v>9.5510000000000002</v>
      </c>
      <c r="AX1007">
        <v>0.31836666666666669</v>
      </c>
      <c r="AY1007">
        <v>11.461200000000002</v>
      </c>
      <c r="AZ1007" t="s">
        <v>135</v>
      </c>
      <c r="BA1007">
        <v>-5.4612000000000016</v>
      </c>
      <c r="BB1007">
        <v>-17.153805884200612</v>
      </c>
      <c r="BC1007" t="s">
        <v>133</v>
      </c>
      <c r="BD1007">
        <v>0</v>
      </c>
      <c r="BE1007" t="s">
        <v>133</v>
      </c>
      <c r="BF100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9.5510000000000002</v>
      </c>
    </row>
    <row r="1008" spans="1:58" x14ac:dyDescent="0.25">
      <c r="A1008" t="s">
        <v>1271</v>
      </c>
      <c r="B1008" t="s">
        <v>19</v>
      </c>
      <c r="C1008">
        <v>2</v>
      </c>
      <c r="D1008">
        <v>392</v>
      </c>
      <c r="E1008" t="s">
        <v>2111</v>
      </c>
      <c r="F1008" t="s">
        <v>123</v>
      </c>
      <c r="G1008" t="s">
        <v>124</v>
      </c>
      <c r="H1008" t="s">
        <v>125</v>
      </c>
      <c r="I1008" t="s">
        <v>126</v>
      </c>
      <c r="J1008" t="s">
        <v>126</v>
      </c>
      <c r="K1008" t="s">
        <v>127</v>
      </c>
      <c r="L1008">
        <v>50</v>
      </c>
      <c r="M1008">
        <v>1271175</v>
      </c>
      <c r="N1008">
        <v>6</v>
      </c>
      <c r="O1008">
        <v>4</v>
      </c>
      <c r="P1008" t="s">
        <v>168</v>
      </c>
      <c r="Q1008" t="s">
        <v>129</v>
      </c>
      <c r="R1008">
        <v>36</v>
      </c>
      <c r="T1008">
        <v>12</v>
      </c>
      <c r="U1008">
        <v>17</v>
      </c>
      <c r="V1008">
        <v>4</v>
      </c>
      <c r="W1008">
        <v>0</v>
      </c>
      <c r="X1008">
        <v>4</v>
      </c>
      <c r="Y1008">
        <v>0</v>
      </c>
      <c r="Z1008">
        <v>16</v>
      </c>
      <c r="AA1008">
        <v>21</v>
      </c>
      <c r="AB1008">
        <v>50</v>
      </c>
      <c r="AC1008">
        <v>27</v>
      </c>
      <c r="AD1008">
        <v>8</v>
      </c>
      <c r="AE1008">
        <v>0</v>
      </c>
      <c r="AF1008">
        <v>35</v>
      </c>
      <c r="AG1008">
        <v>0</v>
      </c>
      <c r="AH1008">
        <v>23</v>
      </c>
      <c r="AI1008">
        <v>15</v>
      </c>
      <c r="AJ1008">
        <v>23</v>
      </c>
      <c r="AK1008">
        <v>23</v>
      </c>
      <c r="AL1008">
        <v>0</v>
      </c>
      <c r="AM1008">
        <v>0.12</v>
      </c>
      <c r="AN1008">
        <v>2.0909090909090908</v>
      </c>
      <c r="AO1008">
        <v>0</v>
      </c>
      <c r="AP1008" t="s">
        <v>130</v>
      </c>
      <c r="AQ1008" t="s">
        <v>131</v>
      </c>
      <c r="AR1008" t="s">
        <v>1184</v>
      </c>
      <c r="AS1008">
        <v>3112</v>
      </c>
      <c r="AT1008">
        <v>3012</v>
      </c>
      <c r="AU1008">
        <v>0</v>
      </c>
      <c r="AV1008">
        <v>0</v>
      </c>
      <c r="AW1008">
        <v>6.1239999999999997</v>
      </c>
      <c r="AX1008">
        <v>0.2268148148148148</v>
      </c>
      <c r="AY1008">
        <v>7.9385185185185181</v>
      </c>
      <c r="AZ1008" t="s">
        <v>135</v>
      </c>
      <c r="BA1008">
        <v>-1.9385185185185181</v>
      </c>
      <c r="BB1008">
        <v>-8.5467015022860853</v>
      </c>
      <c r="BC1008" t="s">
        <v>133</v>
      </c>
      <c r="BD1008">
        <v>0</v>
      </c>
      <c r="BE1008" t="s">
        <v>133</v>
      </c>
      <c r="BF100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6.1239999999999997</v>
      </c>
    </row>
    <row r="1009" spans="1:58" x14ac:dyDescent="0.25">
      <c r="A1009" t="s">
        <v>1272</v>
      </c>
      <c r="B1009" t="s">
        <v>19</v>
      </c>
      <c r="C1009">
        <v>2</v>
      </c>
      <c r="D1009">
        <v>393</v>
      </c>
      <c r="E1009" t="s">
        <v>2111</v>
      </c>
      <c r="F1009" t="s">
        <v>123</v>
      </c>
      <c r="G1009" t="s">
        <v>124</v>
      </c>
      <c r="H1009" t="s">
        <v>136</v>
      </c>
      <c r="I1009" t="s">
        <v>137</v>
      </c>
      <c r="J1009" t="s">
        <v>138</v>
      </c>
      <c r="K1009" t="s">
        <v>127</v>
      </c>
      <c r="L1009">
        <v>50</v>
      </c>
      <c r="M1009">
        <v>1271177</v>
      </c>
      <c r="N1009">
        <v>5</v>
      </c>
      <c r="O1009">
        <v>4</v>
      </c>
      <c r="P1009" t="s">
        <v>168</v>
      </c>
      <c r="Q1009" t="s">
        <v>129</v>
      </c>
      <c r="R1009">
        <v>36</v>
      </c>
      <c r="T1009">
        <v>0</v>
      </c>
      <c r="U1009">
        <v>4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4</v>
      </c>
      <c r="AB1009">
        <v>50</v>
      </c>
      <c r="AC1009">
        <v>4</v>
      </c>
      <c r="AD1009">
        <v>0</v>
      </c>
      <c r="AE1009">
        <v>0</v>
      </c>
      <c r="AF1009">
        <v>4</v>
      </c>
      <c r="AG1009">
        <v>0</v>
      </c>
      <c r="AH1009">
        <v>46</v>
      </c>
      <c r="AI1009">
        <v>46</v>
      </c>
      <c r="AJ1009">
        <v>46</v>
      </c>
      <c r="AK1009">
        <v>46</v>
      </c>
      <c r="AL1009">
        <v>0</v>
      </c>
      <c r="AM1009">
        <v>0.1</v>
      </c>
      <c r="AN1009">
        <v>4.1818181818181817</v>
      </c>
      <c r="AO1009">
        <v>0</v>
      </c>
      <c r="AP1009" t="s">
        <v>139</v>
      </c>
      <c r="AQ1009" t="s">
        <v>131</v>
      </c>
      <c r="AR1009" t="s">
        <v>1184</v>
      </c>
      <c r="AS1009">
        <v>0</v>
      </c>
      <c r="AT1009">
        <v>0</v>
      </c>
      <c r="AU1009">
        <v>0</v>
      </c>
      <c r="AV1009">
        <v>0</v>
      </c>
      <c r="AW1009">
        <v>0</v>
      </c>
      <c r="AX1009">
        <v>0</v>
      </c>
      <c r="AY1009">
        <v>0</v>
      </c>
      <c r="AZ1009" t="s">
        <v>134</v>
      </c>
      <c r="BA1009">
        <v>5</v>
      </c>
      <c r="BB1009">
        <v>0</v>
      </c>
      <c r="BC1009" t="s">
        <v>133</v>
      </c>
      <c r="BD1009">
        <v>0</v>
      </c>
      <c r="BE1009" t="s">
        <v>133</v>
      </c>
      <c r="BF100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10" spans="1:58" x14ac:dyDescent="0.25">
      <c r="A1010" t="s">
        <v>1273</v>
      </c>
      <c r="B1010" t="s">
        <v>19</v>
      </c>
      <c r="C1010">
        <v>2</v>
      </c>
      <c r="D1010">
        <v>394</v>
      </c>
      <c r="E1010" t="s">
        <v>2111</v>
      </c>
      <c r="F1010" t="s">
        <v>123</v>
      </c>
      <c r="G1010" t="s">
        <v>124</v>
      </c>
      <c r="H1010" t="s">
        <v>125</v>
      </c>
      <c r="I1010" t="s">
        <v>126</v>
      </c>
      <c r="J1010" t="s">
        <v>126</v>
      </c>
      <c r="K1010" t="s">
        <v>127</v>
      </c>
      <c r="L1010">
        <v>50</v>
      </c>
      <c r="M1010">
        <v>1271179</v>
      </c>
      <c r="N1010">
        <v>6</v>
      </c>
      <c r="O1010">
        <v>4</v>
      </c>
      <c r="P1010" t="s">
        <v>168</v>
      </c>
      <c r="Q1010" t="s">
        <v>129</v>
      </c>
      <c r="R1010">
        <v>36</v>
      </c>
      <c r="T1010">
        <v>35</v>
      </c>
      <c r="U1010">
        <v>40</v>
      </c>
      <c r="V1010">
        <v>4</v>
      </c>
      <c r="W1010">
        <v>0</v>
      </c>
      <c r="X1010">
        <v>4</v>
      </c>
      <c r="Y1010">
        <v>0</v>
      </c>
      <c r="Z1010">
        <v>39</v>
      </c>
      <c r="AA1010">
        <v>44</v>
      </c>
      <c r="AB1010">
        <v>50</v>
      </c>
      <c r="AC1010">
        <v>40</v>
      </c>
      <c r="AD1010">
        <v>4</v>
      </c>
      <c r="AE1010">
        <v>0</v>
      </c>
      <c r="AF1010">
        <v>44</v>
      </c>
      <c r="AG1010">
        <v>0</v>
      </c>
      <c r="AH1010">
        <v>10</v>
      </c>
      <c r="AI1010">
        <v>6</v>
      </c>
      <c r="AJ1010">
        <v>10</v>
      </c>
      <c r="AK1010">
        <v>10</v>
      </c>
      <c r="AL1010">
        <v>0</v>
      </c>
      <c r="AM1010">
        <v>0.12</v>
      </c>
      <c r="AN1010">
        <v>0.90909090909090917</v>
      </c>
      <c r="AO1010">
        <v>0</v>
      </c>
      <c r="AP1010" t="s">
        <v>130</v>
      </c>
      <c r="AQ1010" t="s">
        <v>131</v>
      </c>
      <c r="AR1010" t="s">
        <v>1184</v>
      </c>
      <c r="AS1010">
        <v>3841</v>
      </c>
      <c r="AT1010">
        <v>3899</v>
      </c>
      <c r="AU1010">
        <v>0</v>
      </c>
      <c r="AV1010">
        <v>0</v>
      </c>
      <c r="AW1010">
        <v>7.74</v>
      </c>
      <c r="AX1010">
        <v>0.19350000000000001</v>
      </c>
      <c r="AY1010">
        <v>8.5139999999999993</v>
      </c>
      <c r="AZ1010" t="s">
        <v>135</v>
      </c>
      <c r="BA1010">
        <v>-2.5139999999999993</v>
      </c>
      <c r="BB1010">
        <v>-12.9922480620155</v>
      </c>
      <c r="BC1010" t="s">
        <v>133</v>
      </c>
      <c r="BD1010">
        <v>0</v>
      </c>
      <c r="BE1010" t="s">
        <v>133</v>
      </c>
      <c r="BF101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7.74</v>
      </c>
    </row>
    <row r="1011" spans="1:58" x14ac:dyDescent="0.25">
      <c r="A1011" t="s">
        <v>1274</v>
      </c>
      <c r="B1011" t="s">
        <v>19</v>
      </c>
      <c r="C1011">
        <v>2</v>
      </c>
      <c r="D1011">
        <v>395</v>
      </c>
      <c r="E1011" t="s">
        <v>2111</v>
      </c>
      <c r="F1011" t="s">
        <v>123</v>
      </c>
      <c r="G1011" t="s">
        <v>124</v>
      </c>
      <c r="H1011" t="s">
        <v>125</v>
      </c>
      <c r="I1011" t="s">
        <v>126</v>
      </c>
      <c r="J1011" t="s">
        <v>126</v>
      </c>
      <c r="K1011" t="s">
        <v>127</v>
      </c>
      <c r="L1011">
        <v>50</v>
      </c>
      <c r="M1011">
        <v>1271181</v>
      </c>
      <c r="N1011">
        <v>6</v>
      </c>
      <c r="O1011">
        <v>4</v>
      </c>
      <c r="P1011" t="s">
        <v>168</v>
      </c>
      <c r="Q1011" t="s">
        <v>129</v>
      </c>
      <c r="R1011">
        <v>36</v>
      </c>
      <c r="T1011">
        <v>2</v>
      </c>
      <c r="U1011">
        <v>7</v>
      </c>
      <c r="V1011">
        <v>0</v>
      </c>
      <c r="W1011">
        <v>0</v>
      </c>
      <c r="X1011">
        <v>0</v>
      </c>
      <c r="Y1011">
        <v>0</v>
      </c>
      <c r="Z1011">
        <v>2</v>
      </c>
      <c r="AA1011">
        <v>7</v>
      </c>
      <c r="AB1011">
        <v>50</v>
      </c>
      <c r="AC1011">
        <v>7</v>
      </c>
      <c r="AD1011">
        <v>0</v>
      </c>
      <c r="AE1011">
        <v>0</v>
      </c>
      <c r="AF1011">
        <v>7</v>
      </c>
      <c r="AG1011">
        <v>0</v>
      </c>
      <c r="AH1011">
        <v>43</v>
      </c>
      <c r="AI1011">
        <v>43</v>
      </c>
      <c r="AJ1011">
        <v>43</v>
      </c>
      <c r="AK1011">
        <v>43</v>
      </c>
      <c r="AL1011">
        <v>0</v>
      </c>
      <c r="AM1011">
        <v>0.12</v>
      </c>
      <c r="AN1011">
        <v>3.9090909090909092</v>
      </c>
      <c r="AO1011">
        <v>0</v>
      </c>
      <c r="AP1011" t="s">
        <v>130</v>
      </c>
      <c r="AQ1011" t="s">
        <v>131</v>
      </c>
      <c r="AR1011" t="s">
        <v>1184</v>
      </c>
      <c r="AS1011">
        <v>346</v>
      </c>
      <c r="AT1011">
        <v>347</v>
      </c>
      <c r="AU1011">
        <v>0</v>
      </c>
      <c r="AV1011">
        <v>0</v>
      </c>
      <c r="AW1011">
        <v>0.69299999999999995</v>
      </c>
      <c r="AX1011">
        <v>9.8999999999999991E-2</v>
      </c>
      <c r="AY1011">
        <v>0.69299999999999995</v>
      </c>
      <c r="AZ1011" t="s">
        <v>135</v>
      </c>
      <c r="BA1011">
        <v>5.3070000000000004</v>
      </c>
      <c r="BB1011">
        <v>53.606060606060616</v>
      </c>
      <c r="BC1011" t="s">
        <v>133</v>
      </c>
      <c r="BD1011">
        <v>0</v>
      </c>
      <c r="BE1011" t="s">
        <v>133</v>
      </c>
      <c r="BF101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0.69299999999999995</v>
      </c>
    </row>
    <row r="1012" spans="1:58" x14ac:dyDescent="0.25">
      <c r="A1012" t="s">
        <v>1275</v>
      </c>
      <c r="B1012" t="s">
        <v>19</v>
      </c>
      <c r="C1012">
        <v>2</v>
      </c>
      <c r="D1012">
        <v>396</v>
      </c>
      <c r="E1012" t="s">
        <v>2111</v>
      </c>
      <c r="F1012" t="s">
        <v>123</v>
      </c>
      <c r="G1012" t="s">
        <v>124</v>
      </c>
      <c r="H1012" t="s">
        <v>125</v>
      </c>
      <c r="I1012" t="s">
        <v>126</v>
      </c>
      <c r="J1012" t="s">
        <v>126</v>
      </c>
      <c r="K1012" t="s">
        <v>127</v>
      </c>
      <c r="L1012">
        <v>50</v>
      </c>
      <c r="M1012">
        <v>1271183</v>
      </c>
      <c r="N1012">
        <v>6</v>
      </c>
      <c r="O1012">
        <v>4</v>
      </c>
      <c r="P1012" t="s">
        <v>168</v>
      </c>
      <c r="Q1012" t="s">
        <v>129</v>
      </c>
      <c r="R1012">
        <v>36</v>
      </c>
      <c r="T1012">
        <v>2</v>
      </c>
      <c r="U1012">
        <v>7</v>
      </c>
      <c r="V1012">
        <v>1</v>
      </c>
      <c r="W1012">
        <v>0</v>
      </c>
      <c r="X1012">
        <v>1</v>
      </c>
      <c r="Y1012">
        <v>0</v>
      </c>
      <c r="Z1012">
        <v>3</v>
      </c>
      <c r="AA1012">
        <v>8</v>
      </c>
      <c r="AB1012">
        <v>50</v>
      </c>
      <c r="AC1012">
        <v>9</v>
      </c>
      <c r="AD1012">
        <v>2</v>
      </c>
      <c r="AE1012">
        <v>0</v>
      </c>
      <c r="AF1012">
        <v>11</v>
      </c>
      <c r="AG1012">
        <v>0</v>
      </c>
      <c r="AH1012">
        <v>41</v>
      </c>
      <c r="AI1012">
        <v>39</v>
      </c>
      <c r="AJ1012">
        <v>41</v>
      </c>
      <c r="AK1012">
        <v>41</v>
      </c>
      <c r="AL1012">
        <v>0</v>
      </c>
      <c r="AM1012">
        <v>0.12</v>
      </c>
      <c r="AN1012">
        <v>3.7272727272727275</v>
      </c>
      <c r="AO1012">
        <v>0</v>
      </c>
      <c r="AP1012" t="s">
        <v>130</v>
      </c>
      <c r="AQ1012" t="s">
        <v>131</v>
      </c>
      <c r="AR1012" t="s">
        <v>1184</v>
      </c>
      <c r="AS1012">
        <v>488</v>
      </c>
      <c r="AT1012">
        <v>443</v>
      </c>
      <c r="AU1012">
        <v>0</v>
      </c>
      <c r="AV1012">
        <v>0</v>
      </c>
      <c r="AW1012">
        <v>0.93100000000000005</v>
      </c>
      <c r="AX1012">
        <v>0.10344444444444445</v>
      </c>
      <c r="AY1012">
        <v>1.1378888888888889</v>
      </c>
      <c r="AZ1012" t="s">
        <v>135</v>
      </c>
      <c r="BA1012">
        <v>4.8621111111111111</v>
      </c>
      <c r="BB1012">
        <v>47.002148227712134</v>
      </c>
      <c r="BC1012" t="s">
        <v>133</v>
      </c>
      <c r="BD1012">
        <v>0</v>
      </c>
      <c r="BE1012" t="s">
        <v>133</v>
      </c>
      <c r="BF101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0.93100000000000005</v>
      </c>
    </row>
    <row r="1013" spans="1:58" x14ac:dyDescent="0.25">
      <c r="A1013" t="s">
        <v>1276</v>
      </c>
      <c r="B1013" t="s">
        <v>19</v>
      </c>
      <c r="C1013">
        <v>2</v>
      </c>
      <c r="D1013">
        <v>397</v>
      </c>
      <c r="E1013" t="s">
        <v>2111</v>
      </c>
      <c r="F1013" t="s">
        <v>123</v>
      </c>
      <c r="G1013" t="s">
        <v>124</v>
      </c>
      <c r="H1013" t="s">
        <v>125</v>
      </c>
      <c r="I1013" t="s">
        <v>126</v>
      </c>
      <c r="J1013" t="s">
        <v>126</v>
      </c>
      <c r="K1013" t="s">
        <v>127</v>
      </c>
      <c r="L1013">
        <v>50</v>
      </c>
      <c r="M1013">
        <v>1271185</v>
      </c>
      <c r="N1013">
        <v>6</v>
      </c>
      <c r="O1013">
        <v>4</v>
      </c>
      <c r="P1013" t="s">
        <v>168</v>
      </c>
      <c r="Q1013" t="s">
        <v>129</v>
      </c>
      <c r="R1013">
        <v>36</v>
      </c>
      <c r="T1013">
        <v>6</v>
      </c>
      <c r="U1013">
        <v>11</v>
      </c>
      <c r="V1013">
        <v>2</v>
      </c>
      <c r="W1013">
        <v>0</v>
      </c>
      <c r="X1013">
        <v>2</v>
      </c>
      <c r="Y1013">
        <v>0</v>
      </c>
      <c r="Z1013">
        <v>8</v>
      </c>
      <c r="AA1013">
        <v>13</v>
      </c>
      <c r="AB1013">
        <v>50</v>
      </c>
      <c r="AC1013">
        <v>12</v>
      </c>
      <c r="AD1013">
        <v>2</v>
      </c>
      <c r="AE1013">
        <v>0</v>
      </c>
      <c r="AF1013">
        <v>14</v>
      </c>
      <c r="AG1013">
        <v>0</v>
      </c>
      <c r="AH1013">
        <v>38</v>
      </c>
      <c r="AI1013">
        <v>36</v>
      </c>
      <c r="AJ1013">
        <v>38</v>
      </c>
      <c r="AK1013">
        <v>38</v>
      </c>
      <c r="AL1013">
        <v>0</v>
      </c>
      <c r="AM1013">
        <v>0.12</v>
      </c>
      <c r="AN1013">
        <v>3.4545454545454546</v>
      </c>
      <c r="AO1013">
        <v>0</v>
      </c>
      <c r="AP1013" t="s">
        <v>130</v>
      </c>
      <c r="AQ1013" t="s">
        <v>131</v>
      </c>
      <c r="AR1013" t="s">
        <v>1184</v>
      </c>
      <c r="AS1013">
        <v>984</v>
      </c>
      <c r="AT1013">
        <v>968</v>
      </c>
      <c r="AU1013">
        <v>0</v>
      </c>
      <c r="AV1013">
        <v>0</v>
      </c>
      <c r="AW1013">
        <v>1.952</v>
      </c>
      <c r="AX1013">
        <v>0.16266666666666665</v>
      </c>
      <c r="AY1013">
        <v>2.277333333333333</v>
      </c>
      <c r="AZ1013" t="s">
        <v>135</v>
      </c>
      <c r="BA1013">
        <v>3.722666666666667</v>
      </c>
      <c r="BB1013">
        <v>22.885245901639347</v>
      </c>
      <c r="BC1013" t="s">
        <v>133</v>
      </c>
      <c r="BD1013">
        <v>0</v>
      </c>
      <c r="BE1013" t="s">
        <v>133</v>
      </c>
      <c r="BF101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1.952</v>
      </c>
    </row>
    <row r="1014" spans="1:58" x14ac:dyDescent="0.25">
      <c r="A1014" t="s">
        <v>1277</v>
      </c>
      <c r="B1014" t="s">
        <v>19</v>
      </c>
      <c r="C1014">
        <v>2</v>
      </c>
      <c r="D1014">
        <v>398</v>
      </c>
      <c r="E1014" t="s">
        <v>2111</v>
      </c>
      <c r="F1014" t="s">
        <v>123</v>
      </c>
      <c r="G1014" t="s">
        <v>124</v>
      </c>
      <c r="H1014" t="s">
        <v>125</v>
      </c>
      <c r="I1014" t="s">
        <v>126</v>
      </c>
      <c r="J1014" t="s">
        <v>126</v>
      </c>
      <c r="K1014" t="s">
        <v>127</v>
      </c>
      <c r="L1014">
        <v>50</v>
      </c>
      <c r="M1014">
        <v>1271187</v>
      </c>
      <c r="N1014">
        <v>6</v>
      </c>
      <c r="O1014">
        <v>4</v>
      </c>
      <c r="P1014" t="s">
        <v>168</v>
      </c>
      <c r="Q1014" t="s">
        <v>129</v>
      </c>
      <c r="R1014">
        <v>36</v>
      </c>
      <c r="T1014">
        <v>37</v>
      </c>
      <c r="U1014">
        <v>42</v>
      </c>
      <c r="V1014">
        <v>6</v>
      </c>
      <c r="W1014">
        <v>0</v>
      </c>
      <c r="X1014">
        <v>6</v>
      </c>
      <c r="Y1014">
        <v>0</v>
      </c>
      <c r="Z1014">
        <v>43</v>
      </c>
      <c r="AA1014">
        <v>48</v>
      </c>
      <c r="AB1014">
        <v>50</v>
      </c>
      <c r="AC1014">
        <v>42</v>
      </c>
      <c r="AD1014">
        <v>6</v>
      </c>
      <c r="AE1014">
        <v>0</v>
      </c>
      <c r="AF1014">
        <v>48</v>
      </c>
      <c r="AG1014">
        <v>0</v>
      </c>
      <c r="AH1014">
        <v>8</v>
      </c>
      <c r="AI1014">
        <v>2</v>
      </c>
      <c r="AJ1014">
        <v>8</v>
      </c>
      <c r="AK1014">
        <v>8</v>
      </c>
      <c r="AL1014">
        <v>0</v>
      </c>
      <c r="AM1014">
        <v>0.12</v>
      </c>
      <c r="AN1014">
        <v>0.72727272727272729</v>
      </c>
      <c r="AO1014">
        <v>0</v>
      </c>
      <c r="AP1014" t="s">
        <v>130</v>
      </c>
      <c r="AQ1014" t="s">
        <v>131</v>
      </c>
      <c r="AR1014" t="s">
        <v>1184</v>
      </c>
      <c r="AS1014">
        <v>4262</v>
      </c>
      <c r="AT1014">
        <v>4486</v>
      </c>
      <c r="AU1014">
        <v>0</v>
      </c>
      <c r="AV1014">
        <v>0</v>
      </c>
      <c r="AW1014">
        <v>8.7479999999999993</v>
      </c>
      <c r="AX1014">
        <v>0.20828571428571427</v>
      </c>
      <c r="AY1014">
        <v>9.9977142857142844</v>
      </c>
      <c r="AZ1014" t="s">
        <v>135</v>
      </c>
      <c r="BA1014">
        <v>-3.9977142857142844</v>
      </c>
      <c r="BB1014">
        <v>-19.193415637860078</v>
      </c>
      <c r="BC1014" t="s">
        <v>144</v>
      </c>
      <c r="BD1014">
        <v>0</v>
      </c>
      <c r="BE1014" t="s">
        <v>133</v>
      </c>
      <c r="BF101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8.7479999999999993</v>
      </c>
    </row>
    <row r="1015" spans="1:58" x14ac:dyDescent="0.25">
      <c r="A1015" t="s">
        <v>1278</v>
      </c>
      <c r="B1015" t="s">
        <v>19</v>
      </c>
      <c r="C1015">
        <v>2</v>
      </c>
      <c r="D1015">
        <v>399</v>
      </c>
      <c r="E1015" t="s">
        <v>2111</v>
      </c>
      <c r="F1015" t="s">
        <v>123</v>
      </c>
      <c r="G1015" t="s">
        <v>124</v>
      </c>
      <c r="H1015" t="s">
        <v>125</v>
      </c>
      <c r="I1015" t="s">
        <v>126</v>
      </c>
      <c r="J1015" t="s">
        <v>126</v>
      </c>
      <c r="K1015" t="s">
        <v>127</v>
      </c>
      <c r="L1015">
        <v>50</v>
      </c>
      <c r="M1015">
        <v>1271189</v>
      </c>
      <c r="N1015">
        <v>6</v>
      </c>
      <c r="O1015">
        <v>4</v>
      </c>
      <c r="P1015" t="s">
        <v>168</v>
      </c>
      <c r="Q1015" t="s">
        <v>129</v>
      </c>
      <c r="R1015">
        <v>37</v>
      </c>
      <c r="T1015">
        <v>10</v>
      </c>
      <c r="U1015">
        <v>15</v>
      </c>
      <c r="V1015">
        <v>2</v>
      </c>
      <c r="W1015">
        <v>0</v>
      </c>
      <c r="X1015">
        <v>2</v>
      </c>
      <c r="Y1015">
        <v>2</v>
      </c>
      <c r="Z1015">
        <v>14</v>
      </c>
      <c r="AA1015">
        <v>19</v>
      </c>
      <c r="AB1015">
        <v>50</v>
      </c>
      <c r="AC1015">
        <v>17</v>
      </c>
      <c r="AD1015">
        <v>4</v>
      </c>
      <c r="AE1015">
        <v>4</v>
      </c>
      <c r="AF1015">
        <v>25</v>
      </c>
      <c r="AG1015">
        <v>0</v>
      </c>
      <c r="AH1015">
        <v>33</v>
      </c>
      <c r="AI1015">
        <v>25</v>
      </c>
      <c r="AJ1015">
        <v>29</v>
      </c>
      <c r="AK1015">
        <v>33</v>
      </c>
      <c r="AL1015">
        <v>0</v>
      </c>
      <c r="AM1015">
        <v>0.12</v>
      </c>
      <c r="AN1015">
        <v>2.6363636363636362</v>
      </c>
      <c r="AO1015">
        <v>0</v>
      </c>
      <c r="AP1015" t="s">
        <v>130</v>
      </c>
      <c r="AQ1015" t="s">
        <v>131</v>
      </c>
      <c r="AR1015" t="s">
        <v>1184</v>
      </c>
      <c r="AS1015">
        <v>1436</v>
      </c>
      <c r="AT1015">
        <v>1424</v>
      </c>
      <c r="AU1015">
        <v>0</v>
      </c>
      <c r="AV1015">
        <v>0</v>
      </c>
      <c r="AW1015">
        <v>2.86</v>
      </c>
      <c r="AX1015">
        <v>0.16823529411764704</v>
      </c>
      <c r="AY1015">
        <v>4.2058823529411757</v>
      </c>
      <c r="AZ1015" t="s">
        <v>135</v>
      </c>
      <c r="BA1015">
        <v>1.7941176470588243</v>
      </c>
      <c r="BB1015">
        <v>10.66433566433567</v>
      </c>
      <c r="BC1015" t="s">
        <v>132</v>
      </c>
      <c r="BD1015">
        <v>0</v>
      </c>
      <c r="BE1015" t="s">
        <v>133</v>
      </c>
      <c r="BF101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2.86</v>
      </c>
    </row>
    <row r="1016" spans="1:58" x14ac:dyDescent="0.25">
      <c r="A1016" t="s">
        <v>1279</v>
      </c>
      <c r="B1016" t="s">
        <v>19</v>
      </c>
      <c r="C1016">
        <v>2</v>
      </c>
      <c r="D1016">
        <v>400</v>
      </c>
      <c r="E1016" t="s">
        <v>2111</v>
      </c>
      <c r="F1016" t="s">
        <v>123</v>
      </c>
      <c r="G1016" t="s">
        <v>124</v>
      </c>
      <c r="H1016" t="s">
        <v>125</v>
      </c>
      <c r="I1016" t="s">
        <v>126</v>
      </c>
      <c r="J1016" t="s">
        <v>126</v>
      </c>
      <c r="K1016" t="s">
        <v>127</v>
      </c>
      <c r="L1016">
        <v>50</v>
      </c>
      <c r="M1016">
        <v>1271191</v>
      </c>
      <c r="N1016">
        <v>6</v>
      </c>
      <c r="O1016">
        <v>4</v>
      </c>
      <c r="P1016" t="s">
        <v>168</v>
      </c>
      <c r="Q1016" t="s">
        <v>129</v>
      </c>
      <c r="R1016">
        <v>37</v>
      </c>
      <c r="T1016">
        <v>7</v>
      </c>
      <c r="U1016">
        <v>12</v>
      </c>
      <c r="V1016">
        <v>4</v>
      </c>
      <c r="W1016">
        <v>0</v>
      </c>
      <c r="X1016">
        <v>4</v>
      </c>
      <c r="Y1016">
        <v>3</v>
      </c>
      <c r="Z1016">
        <v>14</v>
      </c>
      <c r="AA1016">
        <v>19</v>
      </c>
      <c r="AB1016">
        <v>50</v>
      </c>
      <c r="AC1016">
        <v>15</v>
      </c>
      <c r="AD1016">
        <v>6</v>
      </c>
      <c r="AE1016">
        <v>5</v>
      </c>
      <c r="AF1016">
        <v>26</v>
      </c>
      <c r="AG1016">
        <v>0</v>
      </c>
      <c r="AH1016">
        <v>35</v>
      </c>
      <c r="AI1016">
        <v>24</v>
      </c>
      <c r="AJ1016">
        <v>30</v>
      </c>
      <c r="AK1016">
        <v>35</v>
      </c>
      <c r="AL1016">
        <v>0</v>
      </c>
      <c r="AM1016">
        <v>0.12</v>
      </c>
      <c r="AN1016">
        <v>2.7272727272727275</v>
      </c>
      <c r="AO1016">
        <v>0</v>
      </c>
      <c r="AP1016" t="s">
        <v>130</v>
      </c>
      <c r="AQ1016" t="s">
        <v>131</v>
      </c>
      <c r="AR1016" t="s">
        <v>1184</v>
      </c>
      <c r="AS1016">
        <v>1692</v>
      </c>
      <c r="AT1016">
        <v>1594</v>
      </c>
      <c r="AU1016">
        <v>0</v>
      </c>
      <c r="AV1016">
        <v>0</v>
      </c>
      <c r="AW1016">
        <v>3.286</v>
      </c>
      <c r="AX1016">
        <v>0.21906666666666666</v>
      </c>
      <c r="AY1016">
        <v>5.6957333333333331</v>
      </c>
      <c r="AZ1016" t="s">
        <v>135</v>
      </c>
      <c r="BA1016">
        <v>0.30426666666666691</v>
      </c>
      <c r="BB1016">
        <v>1.3889227023737079</v>
      </c>
      <c r="BC1016" t="s">
        <v>133</v>
      </c>
      <c r="BD1016">
        <v>0</v>
      </c>
      <c r="BE1016" t="s">
        <v>133</v>
      </c>
      <c r="BF101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3.286</v>
      </c>
    </row>
    <row r="1017" spans="1:58" x14ac:dyDescent="0.25">
      <c r="A1017" t="s">
        <v>1280</v>
      </c>
      <c r="B1017" t="s">
        <v>19</v>
      </c>
      <c r="C1017">
        <v>2</v>
      </c>
      <c r="D1017">
        <v>401</v>
      </c>
      <c r="E1017" t="s">
        <v>2111</v>
      </c>
      <c r="F1017" t="s">
        <v>123</v>
      </c>
      <c r="G1017" t="s">
        <v>124</v>
      </c>
      <c r="H1017" t="s">
        <v>125</v>
      </c>
      <c r="I1017" t="s">
        <v>126</v>
      </c>
      <c r="J1017" t="s">
        <v>126</v>
      </c>
      <c r="K1017" t="s">
        <v>127</v>
      </c>
      <c r="L1017">
        <v>50</v>
      </c>
      <c r="M1017">
        <v>1271073</v>
      </c>
      <c r="N1017">
        <v>6</v>
      </c>
      <c r="O1017">
        <v>4</v>
      </c>
      <c r="P1017" t="s">
        <v>168</v>
      </c>
      <c r="Q1017" t="s">
        <v>129</v>
      </c>
      <c r="R1017">
        <v>37</v>
      </c>
      <c r="T1017">
        <v>10</v>
      </c>
      <c r="U1017">
        <v>15</v>
      </c>
      <c r="V1017">
        <v>5</v>
      </c>
      <c r="W1017">
        <v>0</v>
      </c>
      <c r="X1017">
        <v>5</v>
      </c>
      <c r="Y1017">
        <v>0</v>
      </c>
      <c r="Z1017">
        <v>15</v>
      </c>
      <c r="AA1017">
        <v>20</v>
      </c>
      <c r="AB1017">
        <v>50</v>
      </c>
      <c r="AC1017">
        <v>22</v>
      </c>
      <c r="AD1017">
        <v>6</v>
      </c>
      <c r="AE1017">
        <v>0</v>
      </c>
      <c r="AF1017">
        <v>28</v>
      </c>
      <c r="AG1017">
        <v>0</v>
      </c>
      <c r="AH1017">
        <v>28</v>
      </c>
      <c r="AI1017">
        <v>22</v>
      </c>
      <c r="AJ1017">
        <v>28</v>
      </c>
      <c r="AK1017">
        <v>28</v>
      </c>
      <c r="AL1017">
        <v>0</v>
      </c>
      <c r="AM1017">
        <v>0.12</v>
      </c>
      <c r="AN1017">
        <v>2.5454545454545454</v>
      </c>
      <c r="AO1017">
        <v>0</v>
      </c>
      <c r="AP1017" t="s">
        <v>130</v>
      </c>
      <c r="AQ1017" t="s">
        <v>131</v>
      </c>
      <c r="AR1017" t="s">
        <v>1184</v>
      </c>
      <c r="AS1017">
        <v>1798</v>
      </c>
      <c r="AT1017">
        <v>1721</v>
      </c>
      <c r="AU1017">
        <v>0</v>
      </c>
      <c r="AV1017">
        <v>0</v>
      </c>
      <c r="AW1017">
        <v>3.5190000000000001</v>
      </c>
      <c r="AX1017">
        <v>0.15995454545454546</v>
      </c>
      <c r="AY1017">
        <v>4.4787272727272729</v>
      </c>
      <c r="AZ1017" t="s">
        <v>135</v>
      </c>
      <c r="BA1017">
        <v>1.5212727272727271</v>
      </c>
      <c r="BB1017">
        <v>9.510656436487638</v>
      </c>
      <c r="BC1017" t="s">
        <v>133</v>
      </c>
      <c r="BD1017">
        <v>0</v>
      </c>
      <c r="BE1017" t="s">
        <v>133</v>
      </c>
      <c r="BF101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3.5190000000000001</v>
      </c>
    </row>
    <row r="1018" spans="1:58" x14ac:dyDescent="0.25">
      <c r="A1018" t="s">
        <v>1281</v>
      </c>
      <c r="B1018" t="s">
        <v>19</v>
      </c>
      <c r="C1018">
        <v>2</v>
      </c>
      <c r="D1018">
        <v>402</v>
      </c>
      <c r="E1018" t="s">
        <v>2111</v>
      </c>
      <c r="F1018" t="s">
        <v>123</v>
      </c>
      <c r="G1018" t="s">
        <v>124</v>
      </c>
      <c r="H1018" t="s">
        <v>125</v>
      </c>
      <c r="I1018" t="s">
        <v>126</v>
      </c>
      <c r="J1018" t="s">
        <v>126</v>
      </c>
      <c r="K1018" t="s">
        <v>127</v>
      </c>
      <c r="L1018">
        <v>50</v>
      </c>
      <c r="M1018">
        <v>1271075</v>
      </c>
      <c r="N1018">
        <v>6</v>
      </c>
      <c r="O1018">
        <v>4</v>
      </c>
      <c r="P1018" t="s">
        <v>168</v>
      </c>
      <c r="Q1018" t="s">
        <v>129</v>
      </c>
      <c r="R1018">
        <v>37</v>
      </c>
      <c r="T1018">
        <v>10</v>
      </c>
      <c r="U1018">
        <v>15</v>
      </c>
      <c r="V1018">
        <v>3</v>
      </c>
      <c r="W1018">
        <v>0</v>
      </c>
      <c r="X1018">
        <v>3</v>
      </c>
      <c r="Y1018">
        <v>1</v>
      </c>
      <c r="Z1018">
        <v>14</v>
      </c>
      <c r="AA1018">
        <v>19</v>
      </c>
      <c r="AB1018">
        <v>50</v>
      </c>
      <c r="AC1018">
        <v>19</v>
      </c>
      <c r="AD1018">
        <v>3</v>
      </c>
      <c r="AE1018">
        <v>1</v>
      </c>
      <c r="AF1018">
        <v>23</v>
      </c>
      <c r="AG1018">
        <v>0</v>
      </c>
      <c r="AH1018">
        <v>31</v>
      </c>
      <c r="AI1018">
        <v>27</v>
      </c>
      <c r="AJ1018">
        <v>30</v>
      </c>
      <c r="AK1018">
        <v>31</v>
      </c>
      <c r="AL1018">
        <v>0</v>
      </c>
      <c r="AM1018">
        <v>0.12</v>
      </c>
      <c r="AN1018">
        <v>2.7272727272727275</v>
      </c>
      <c r="AO1018">
        <v>0</v>
      </c>
      <c r="AP1018" t="s">
        <v>130</v>
      </c>
      <c r="AQ1018" t="s">
        <v>131</v>
      </c>
      <c r="AR1018" t="s">
        <v>1184</v>
      </c>
      <c r="AS1018">
        <v>1870</v>
      </c>
      <c r="AT1018">
        <v>1861</v>
      </c>
      <c r="AU1018">
        <v>0</v>
      </c>
      <c r="AV1018">
        <v>0</v>
      </c>
      <c r="AW1018">
        <v>3.7309999999999999</v>
      </c>
      <c r="AX1018">
        <v>0.19636842105263158</v>
      </c>
      <c r="AY1018">
        <v>4.516473684210526</v>
      </c>
      <c r="AZ1018" t="s">
        <v>135</v>
      </c>
      <c r="BA1018">
        <v>1.483526315789474</v>
      </c>
      <c r="BB1018">
        <v>7.5548110426159223</v>
      </c>
      <c r="BC1018" t="s">
        <v>133</v>
      </c>
      <c r="BD1018">
        <v>0</v>
      </c>
      <c r="BE1018" t="s">
        <v>133</v>
      </c>
      <c r="BF101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3.7309999999999999</v>
      </c>
    </row>
    <row r="1019" spans="1:58" x14ac:dyDescent="0.25">
      <c r="A1019" t="s">
        <v>1282</v>
      </c>
      <c r="B1019" t="s">
        <v>19</v>
      </c>
      <c r="C1019">
        <v>2</v>
      </c>
      <c r="D1019">
        <v>403</v>
      </c>
      <c r="E1019" t="s">
        <v>2111</v>
      </c>
      <c r="F1019" t="s">
        <v>123</v>
      </c>
      <c r="G1019" t="s">
        <v>124</v>
      </c>
      <c r="H1019" t="s">
        <v>125</v>
      </c>
      <c r="I1019" t="s">
        <v>126</v>
      </c>
      <c r="J1019" t="s">
        <v>126</v>
      </c>
      <c r="K1019" t="s">
        <v>127</v>
      </c>
      <c r="L1019">
        <v>50</v>
      </c>
      <c r="M1019">
        <v>1271077</v>
      </c>
      <c r="N1019">
        <v>6</v>
      </c>
      <c r="O1019">
        <v>4</v>
      </c>
      <c r="P1019" t="s">
        <v>168</v>
      </c>
      <c r="Q1019" t="s">
        <v>129</v>
      </c>
      <c r="R1019">
        <v>37</v>
      </c>
      <c r="T1019">
        <v>5</v>
      </c>
      <c r="U1019">
        <v>10</v>
      </c>
      <c r="V1019">
        <v>5</v>
      </c>
      <c r="W1019">
        <v>0</v>
      </c>
      <c r="X1019">
        <v>5</v>
      </c>
      <c r="Y1019">
        <v>0</v>
      </c>
      <c r="Z1019">
        <v>10</v>
      </c>
      <c r="AA1019">
        <v>15</v>
      </c>
      <c r="AB1019">
        <v>50</v>
      </c>
      <c r="AC1019">
        <v>12</v>
      </c>
      <c r="AD1019">
        <v>7</v>
      </c>
      <c r="AE1019">
        <v>0</v>
      </c>
      <c r="AF1019">
        <v>19</v>
      </c>
      <c r="AG1019">
        <v>0</v>
      </c>
      <c r="AH1019">
        <v>38</v>
      </c>
      <c r="AI1019">
        <v>31</v>
      </c>
      <c r="AJ1019">
        <v>38</v>
      </c>
      <c r="AK1019">
        <v>38</v>
      </c>
      <c r="AL1019">
        <v>0</v>
      </c>
      <c r="AM1019">
        <v>0.12</v>
      </c>
      <c r="AN1019">
        <v>3.4545454545454546</v>
      </c>
      <c r="AO1019">
        <v>0</v>
      </c>
      <c r="AP1019" t="s">
        <v>130</v>
      </c>
      <c r="AQ1019" t="s">
        <v>131</v>
      </c>
      <c r="AR1019" t="s">
        <v>1184</v>
      </c>
      <c r="AS1019">
        <v>1312</v>
      </c>
      <c r="AT1019">
        <v>1252</v>
      </c>
      <c r="AU1019">
        <v>0</v>
      </c>
      <c r="AV1019">
        <v>0</v>
      </c>
      <c r="AW1019">
        <v>2.5640000000000001</v>
      </c>
      <c r="AX1019">
        <v>0.21366666666666667</v>
      </c>
      <c r="AY1019">
        <v>4.0596666666666668</v>
      </c>
      <c r="AZ1019" t="s">
        <v>135</v>
      </c>
      <c r="BA1019">
        <v>1.9403333333333332</v>
      </c>
      <c r="BB1019">
        <v>9.0811232449297972</v>
      </c>
      <c r="BC1019" t="s">
        <v>133</v>
      </c>
      <c r="BD1019">
        <v>0</v>
      </c>
      <c r="BE1019" t="s">
        <v>133</v>
      </c>
      <c r="BF101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2.5640000000000001</v>
      </c>
    </row>
    <row r="1020" spans="1:58" x14ac:dyDescent="0.25">
      <c r="A1020" t="s">
        <v>1283</v>
      </c>
      <c r="B1020" t="s">
        <v>19</v>
      </c>
      <c r="C1020">
        <v>2</v>
      </c>
      <c r="D1020">
        <v>404</v>
      </c>
      <c r="E1020" t="s">
        <v>2111</v>
      </c>
      <c r="F1020" t="s">
        <v>123</v>
      </c>
      <c r="G1020" t="s">
        <v>124</v>
      </c>
      <c r="H1020" t="s">
        <v>136</v>
      </c>
      <c r="I1020" t="s">
        <v>137</v>
      </c>
      <c r="J1020" t="s">
        <v>138</v>
      </c>
      <c r="K1020" t="s">
        <v>127</v>
      </c>
      <c r="L1020">
        <v>50</v>
      </c>
      <c r="M1020">
        <v>1271079</v>
      </c>
      <c r="N1020">
        <v>5</v>
      </c>
      <c r="O1020">
        <v>4</v>
      </c>
      <c r="P1020" t="s">
        <v>168</v>
      </c>
      <c r="Q1020" t="s">
        <v>129</v>
      </c>
      <c r="R1020">
        <v>37</v>
      </c>
      <c r="T1020">
        <v>0</v>
      </c>
      <c r="U1020">
        <v>4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4</v>
      </c>
      <c r="AB1020">
        <v>50</v>
      </c>
      <c r="AC1020">
        <v>4</v>
      </c>
      <c r="AD1020">
        <v>0</v>
      </c>
      <c r="AE1020">
        <v>0</v>
      </c>
      <c r="AF1020">
        <v>4</v>
      </c>
      <c r="AG1020">
        <v>0</v>
      </c>
      <c r="AH1020">
        <v>46</v>
      </c>
      <c r="AI1020">
        <v>46</v>
      </c>
      <c r="AJ1020">
        <v>46</v>
      </c>
      <c r="AK1020">
        <v>46</v>
      </c>
      <c r="AL1020">
        <v>0</v>
      </c>
      <c r="AM1020">
        <v>0.1</v>
      </c>
      <c r="AN1020">
        <v>4.1818181818181817</v>
      </c>
      <c r="AO1020">
        <v>0</v>
      </c>
      <c r="AP1020" t="s">
        <v>139</v>
      </c>
      <c r="AQ1020" t="s">
        <v>131</v>
      </c>
      <c r="AR1020" t="s">
        <v>1184</v>
      </c>
      <c r="AS1020">
        <v>0</v>
      </c>
      <c r="AT1020">
        <v>0</v>
      </c>
      <c r="AU1020">
        <v>0</v>
      </c>
      <c r="AV1020">
        <v>0</v>
      </c>
      <c r="AW1020">
        <v>0</v>
      </c>
      <c r="AX1020">
        <v>0</v>
      </c>
      <c r="AY1020">
        <v>0</v>
      </c>
      <c r="AZ1020" t="s">
        <v>134</v>
      </c>
      <c r="BA1020">
        <v>5</v>
      </c>
      <c r="BB1020">
        <v>0</v>
      </c>
      <c r="BC1020" t="s">
        <v>133</v>
      </c>
      <c r="BD1020">
        <v>0</v>
      </c>
      <c r="BE1020" t="s">
        <v>133</v>
      </c>
      <c r="BF102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21" spans="1:58" x14ac:dyDescent="0.25">
      <c r="A1021" t="s">
        <v>1284</v>
      </c>
      <c r="B1021" t="s">
        <v>19</v>
      </c>
      <c r="C1021">
        <v>2</v>
      </c>
      <c r="D1021">
        <v>405</v>
      </c>
      <c r="E1021" t="s">
        <v>2111</v>
      </c>
      <c r="F1021" t="s">
        <v>123</v>
      </c>
      <c r="G1021" t="s">
        <v>124</v>
      </c>
      <c r="H1021" t="s">
        <v>125</v>
      </c>
      <c r="I1021" t="s">
        <v>126</v>
      </c>
      <c r="J1021" t="s">
        <v>126</v>
      </c>
      <c r="K1021" t="s">
        <v>127</v>
      </c>
      <c r="L1021">
        <v>50</v>
      </c>
      <c r="M1021">
        <v>1271081</v>
      </c>
      <c r="N1021">
        <v>6</v>
      </c>
      <c r="O1021">
        <v>4</v>
      </c>
      <c r="P1021" t="s">
        <v>168</v>
      </c>
      <c r="Q1021" t="s">
        <v>129</v>
      </c>
      <c r="R1021">
        <v>37</v>
      </c>
      <c r="T1021">
        <v>10</v>
      </c>
      <c r="U1021">
        <v>15</v>
      </c>
      <c r="V1021">
        <v>1</v>
      </c>
      <c r="W1021">
        <v>0</v>
      </c>
      <c r="X1021">
        <v>1</v>
      </c>
      <c r="Y1021">
        <v>1</v>
      </c>
      <c r="Z1021">
        <v>12</v>
      </c>
      <c r="AA1021">
        <v>17</v>
      </c>
      <c r="AB1021">
        <v>50</v>
      </c>
      <c r="AC1021">
        <v>25</v>
      </c>
      <c r="AD1021">
        <v>2</v>
      </c>
      <c r="AE1021">
        <v>2</v>
      </c>
      <c r="AF1021">
        <v>29</v>
      </c>
      <c r="AG1021">
        <v>0</v>
      </c>
      <c r="AH1021">
        <v>25</v>
      </c>
      <c r="AI1021">
        <v>21</v>
      </c>
      <c r="AJ1021">
        <v>23</v>
      </c>
      <c r="AK1021">
        <v>25</v>
      </c>
      <c r="AL1021">
        <v>0</v>
      </c>
      <c r="AM1021">
        <v>0.12</v>
      </c>
      <c r="AN1021">
        <v>2.0909090909090908</v>
      </c>
      <c r="AO1021">
        <v>0</v>
      </c>
      <c r="AP1021" t="s">
        <v>130</v>
      </c>
      <c r="AQ1021" t="s">
        <v>131</v>
      </c>
      <c r="AR1021" t="s">
        <v>1184</v>
      </c>
      <c r="AS1021">
        <v>2087</v>
      </c>
      <c r="AT1021">
        <v>2080</v>
      </c>
      <c r="AU1021">
        <v>0</v>
      </c>
      <c r="AV1021">
        <v>0</v>
      </c>
      <c r="AW1021">
        <v>4.1669999999999998</v>
      </c>
      <c r="AX1021">
        <v>0.16667999999999999</v>
      </c>
      <c r="AY1021">
        <v>4.8337199999999996</v>
      </c>
      <c r="AZ1021" t="s">
        <v>135</v>
      </c>
      <c r="BA1021">
        <v>1.1662800000000004</v>
      </c>
      <c r="BB1021">
        <v>6.9971202303815723</v>
      </c>
      <c r="BC1021" t="s">
        <v>133</v>
      </c>
      <c r="BD1021">
        <v>0</v>
      </c>
      <c r="BE1021" t="s">
        <v>133</v>
      </c>
      <c r="BF102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4.1669999999999998</v>
      </c>
    </row>
    <row r="1022" spans="1:58" x14ac:dyDescent="0.25">
      <c r="A1022" t="s">
        <v>1285</v>
      </c>
      <c r="B1022" t="s">
        <v>19</v>
      </c>
      <c r="C1022">
        <v>2</v>
      </c>
      <c r="D1022">
        <v>406</v>
      </c>
      <c r="E1022" t="s">
        <v>2111</v>
      </c>
      <c r="F1022" t="s">
        <v>123</v>
      </c>
      <c r="G1022" t="s">
        <v>124</v>
      </c>
      <c r="H1022" t="s">
        <v>125</v>
      </c>
      <c r="I1022" t="s">
        <v>126</v>
      </c>
      <c r="J1022" t="s">
        <v>126</v>
      </c>
      <c r="K1022" t="s">
        <v>127</v>
      </c>
      <c r="L1022">
        <v>50</v>
      </c>
      <c r="M1022">
        <v>1271083</v>
      </c>
      <c r="N1022">
        <v>6</v>
      </c>
      <c r="O1022">
        <v>4</v>
      </c>
      <c r="P1022" t="s">
        <v>168</v>
      </c>
      <c r="Q1022" t="s">
        <v>129</v>
      </c>
      <c r="R1022">
        <v>37</v>
      </c>
      <c r="T1022">
        <v>10</v>
      </c>
      <c r="U1022">
        <v>15</v>
      </c>
      <c r="V1022">
        <v>4</v>
      </c>
      <c r="W1022">
        <v>0</v>
      </c>
      <c r="X1022">
        <v>4</v>
      </c>
      <c r="Y1022">
        <v>2</v>
      </c>
      <c r="Z1022">
        <v>16</v>
      </c>
      <c r="AA1022">
        <v>21</v>
      </c>
      <c r="AB1022">
        <v>50</v>
      </c>
      <c r="AC1022">
        <v>25</v>
      </c>
      <c r="AD1022">
        <v>8</v>
      </c>
      <c r="AE1022">
        <v>4</v>
      </c>
      <c r="AF1022">
        <v>37</v>
      </c>
      <c r="AG1022">
        <v>0</v>
      </c>
      <c r="AH1022">
        <v>25</v>
      </c>
      <c r="AI1022">
        <v>13</v>
      </c>
      <c r="AJ1022">
        <v>21</v>
      </c>
      <c r="AK1022">
        <v>25</v>
      </c>
      <c r="AL1022">
        <v>0</v>
      </c>
      <c r="AM1022">
        <v>0.12</v>
      </c>
      <c r="AN1022">
        <v>1.9090909090909092</v>
      </c>
      <c r="AO1022">
        <v>0</v>
      </c>
      <c r="AP1022" t="s">
        <v>130</v>
      </c>
      <c r="AQ1022" t="s">
        <v>131</v>
      </c>
      <c r="AR1022" t="s">
        <v>1184</v>
      </c>
      <c r="AS1022">
        <v>1820</v>
      </c>
      <c r="AT1022">
        <v>1782</v>
      </c>
      <c r="AU1022">
        <v>0</v>
      </c>
      <c r="AV1022">
        <v>0</v>
      </c>
      <c r="AW1022">
        <v>3.6019999999999999</v>
      </c>
      <c r="AX1022">
        <v>0.14407999999999999</v>
      </c>
      <c r="AY1022">
        <v>5.3309599999999993</v>
      </c>
      <c r="AZ1022" t="s">
        <v>135</v>
      </c>
      <c r="BA1022">
        <v>0.66904000000000075</v>
      </c>
      <c r="BB1022">
        <v>4.6435313714603055</v>
      </c>
      <c r="BC1022" t="s">
        <v>133</v>
      </c>
      <c r="BD1022">
        <v>0</v>
      </c>
      <c r="BE1022" t="s">
        <v>133</v>
      </c>
      <c r="BF102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3.6019999999999999</v>
      </c>
    </row>
    <row r="1023" spans="1:58" x14ac:dyDescent="0.25">
      <c r="A1023" t="s">
        <v>1286</v>
      </c>
      <c r="B1023" t="s">
        <v>19</v>
      </c>
      <c r="C1023">
        <v>2</v>
      </c>
      <c r="D1023">
        <v>407</v>
      </c>
      <c r="E1023" t="s">
        <v>2111</v>
      </c>
      <c r="F1023" t="s">
        <v>123</v>
      </c>
      <c r="G1023" t="s">
        <v>124</v>
      </c>
      <c r="H1023" t="s">
        <v>125</v>
      </c>
      <c r="I1023" t="s">
        <v>126</v>
      </c>
      <c r="J1023" t="s">
        <v>126</v>
      </c>
      <c r="K1023" t="s">
        <v>127</v>
      </c>
      <c r="L1023">
        <v>50</v>
      </c>
      <c r="M1023">
        <v>1271085</v>
      </c>
      <c r="N1023">
        <v>6</v>
      </c>
      <c r="O1023">
        <v>4</v>
      </c>
      <c r="P1023" t="s">
        <v>168</v>
      </c>
      <c r="Q1023" t="s">
        <v>129</v>
      </c>
      <c r="R1023">
        <v>37</v>
      </c>
      <c r="T1023">
        <v>6</v>
      </c>
      <c r="U1023">
        <v>11</v>
      </c>
      <c r="V1023">
        <v>1</v>
      </c>
      <c r="W1023">
        <v>0</v>
      </c>
      <c r="X1023">
        <v>1</v>
      </c>
      <c r="Y1023">
        <v>3</v>
      </c>
      <c r="Z1023">
        <v>10</v>
      </c>
      <c r="AA1023">
        <v>15</v>
      </c>
      <c r="AB1023">
        <v>50</v>
      </c>
      <c r="AC1023">
        <v>17</v>
      </c>
      <c r="AD1023">
        <v>2</v>
      </c>
      <c r="AE1023">
        <v>8</v>
      </c>
      <c r="AF1023">
        <v>27</v>
      </c>
      <c r="AG1023">
        <v>0</v>
      </c>
      <c r="AH1023">
        <v>33</v>
      </c>
      <c r="AI1023">
        <v>23</v>
      </c>
      <c r="AJ1023">
        <v>25</v>
      </c>
      <c r="AK1023">
        <v>33</v>
      </c>
      <c r="AL1023">
        <v>0</v>
      </c>
      <c r="AM1023">
        <v>0.12</v>
      </c>
      <c r="AN1023">
        <v>2.2727272727272729</v>
      </c>
      <c r="AO1023">
        <v>0</v>
      </c>
      <c r="AP1023" t="s">
        <v>130</v>
      </c>
      <c r="AQ1023" t="s">
        <v>131</v>
      </c>
      <c r="AR1023" t="s">
        <v>1184</v>
      </c>
      <c r="AS1023">
        <v>1193</v>
      </c>
      <c r="AT1023">
        <v>1150</v>
      </c>
      <c r="AU1023">
        <v>0</v>
      </c>
      <c r="AV1023">
        <v>0</v>
      </c>
      <c r="AW1023">
        <v>2.343</v>
      </c>
      <c r="AX1023">
        <v>0.13782352941176471</v>
      </c>
      <c r="AY1023">
        <v>3.7212352941176472</v>
      </c>
      <c r="AZ1023" t="s">
        <v>135</v>
      </c>
      <c r="BA1023">
        <v>2.2787647058823528</v>
      </c>
      <c r="BB1023">
        <v>16.53393085787452</v>
      </c>
      <c r="BC1023" t="s">
        <v>133</v>
      </c>
      <c r="BD1023">
        <v>0</v>
      </c>
      <c r="BE1023" t="s">
        <v>133</v>
      </c>
      <c r="BF102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2.343</v>
      </c>
    </row>
    <row r="1024" spans="1:58" x14ac:dyDescent="0.25">
      <c r="A1024" t="s">
        <v>1287</v>
      </c>
      <c r="B1024" t="s">
        <v>19</v>
      </c>
      <c r="C1024">
        <v>2</v>
      </c>
      <c r="D1024">
        <v>408</v>
      </c>
      <c r="E1024" t="s">
        <v>2111</v>
      </c>
      <c r="F1024" t="s">
        <v>123</v>
      </c>
      <c r="G1024" t="s">
        <v>124</v>
      </c>
      <c r="H1024" t="s">
        <v>125</v>
      </c>
      <c r="I1024" t="s">
        <v>126</v>
      </c>
      <c r="J1024" t="s">
        <v>126</v>
      </c>
      <c r="K1024" t="s">
        <v>127</v>
      </c>
      <c r="L1024">
        <v>50</v>
      </c>
      <c r="M1024">
        <v>1271087</v>
      </c>
      <c r="N1024">
        <v>6</v>
      </c>
      <c r="O1024">
        <v>4</v>
      </c>
      <c r="P1024" t="s">
        <v>168</v>
      </c>
      <c r="Q1024" t="s">
        <v>129</v>
      </c>
      <c r="R1024">
        <v>37</v>
      </c>
      <c r="T1024">
        <v>16</v>
      </c>
      <c r="U1024">
        <v>21</v>
      </c>
      <c r="V1024">
        <v>0</v>
      </c>
      <c r="W1024">
        <v>0</v>
      </c>
      <c r="X1024">
        <v>0</v>
      </c>
      <c r="Y1024">
        <v>2</v>
      </c>
      <c r="Z1024">
        <v>18</v>
      </c>
      <c r="AA1024">
        <v>23</v>
      </c>
      <c r="AB1024">
        <v>50</v>
      </c>
      <c r="AC1024">
        <v>29</v>
      </c>
      <c r="AD1024">
        <v>0</v>
      </c>
      <c r="AE1024">
        <v>4</v>
      </c>
      <c r="AF1024">
        <v>33</v>
      </c>
      <c r="AG1024">
        <v>0</v>
      </c>
      <c r="AH1024">
        <v>21</v>
      </c>
      <c r="AI1024">
        <v>17</v>
      </c>
      <c r="AJ1024">
        <v>17</v>
      </c>
      <c r="AK1024">
        <v>21</v>
      </c>
      <c r="AL1024">
        <v>0</v>
      </c>
      <c r="AM1024">
        <v>0.12</v>
      </c>
      <c r="AN1024">
        <v>1.5454545454545454</v>
      </c>
      <c r="AO1024">
        <v>0</v>
      </c>
      <c r="AP1024" t="s">
        <v>130</v>
      </c>
      <c r="AQ1024" t="s">
        <v>131</v>
      </c>
      <c r="AR1024" t="s">
        <v>1184</v>
      </c>
      <c r="AS1024">
        <v>2485</v>
      </c>
      <c r="AT1024">
        <v>2415</v>
      </c>
      <c r="AU1024">
        <v>0</v>
      </c>
      <c r="AV1024">
        <v>0</v>
      </c>
      <c r="AW1024">
        <v>4.9000000000000004</v>
      </c>
      <c r="AX1024">
        <v>0.16896551724137931</v>
      </c>
      <c r="AY1024">
        <v>5.5758620689655176</v>
      </c>
      <c r="AZ1024" t="s">
        <v>135</v>
      </c>
      <c r="BA1024">
        <v>0.42413793103448238</v>
      </c>
      <c r="BB1024">
        <v>2.5102040816326507</v>
      </c>
      <c r="BC1024" t="s">
        <v>133</v>
      </c>
      <c r="BD1024">
        <v>0</v>
      </c>
      <c r="BE1024" t="s">
        <v>133</v>
      </c>
      <c r="BF102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4.9000000000000004</v>
      </c>
    </row>
    <row r="1025" spans="1:58" x14ac:dyDescent="0.25">
      <c r="A1025" t="s">
        <v>1288</v>
      </c>
      <c r="B1025" t="s">
        <v>19</v>
      </c>
      <c r="C1025">
        <v>2</v>
      </c>
      <c r="D1025">
        <v>409</v>
      </c>
      <c r="E1025" t="s">
        <v>2111</v>
      </c>
      <c r="F1025" t="s">
        <v>123</v>
      </c>
      <c r="G1025" t="s">
        <v>124</v>
      </c>
      <c r="H1025" t="s">
        <v>125</v>
      </c>
      <c r="I1025" t="s">
        <v>126</v>
      </c>
      <c r="J1025" t="s">
        <v>126</v>
      </c>
      <c r="K1025" t="s">
        <v>127</v>
      </c>
      <c r="L1025">
        <v>50</v>
      </c>
      <c r="M1025">
        <v>1271089</v>
      </c>
      <c r="N1025">
        <v>6</v>
      </c>
      <c r="O1025">
        <v>4</v>
      </c>
      <c r="P1025" t="s">
        <v>168</v>
      </c>
      <c r="Q1025" t="s">
        <v>129</v>
      </c>
      <c r="R1025">
        <v>37</v>
      </c>
      <c r="T1025">
        <v>10</v>
      </c>
      <c r="U1025">
        <v>15</v>
      </c>
      <c r="V1025">
        <v>4</v>
      </c>
      <c r="W1025">
        <v>0</v>
      </c>
      <c r="X1025">
        <v>4</v>
      </c>
      <c r="Y1025">
        <v>3</v>
      </c>
      <c r="Z1025">
        <v>17</v>
      </c>
      <c r="AA1025">
        <v>22</v>
      </c>
      <c r="AB1025">
        <v>50</v>
      </c>
      <c r="AC1025">
        <v>18</v>
      </c>
      <c r="AD1025">
        <v>4</v>
      </c>
      <c r="AE1025">
        <v>5</v>
      </c>
      <c r="AF1025">
        <v>27</v>
      </c>
      <c r="AG1025">
        <v>0</v>
      </c>
      <c r="AH1025">
        <v>32</v>
      </c>
      <c r="AI1025">
        <v>23</v>
      </c>
      <c r="AJ1025">
        <v>27</v>
      </c>
      <c r="AK1025">
        <v>32</v>
      </c>
      <c r="AL1025">
        <v>0</v>
      </c>
      <c r="AM1025">
        <v>0.12</v>
      </c>
      <c r="AN1025">
        <v>2.4545454545454546</v>
      </c>
      <c r="AO1025">
        <v>0</v>
      </c>
      <c r="AP1025" t="s">
        <v>130</v>
      </c>
      <c r="AQ1025" t="s">
        <v>131</v>
      </c>
      <c r="AR1025" t="s">
        <v>1184</v>
      </c>
      <c r="AS1025">
        <v>1346</v>
      </c>
      <c r="AT1025">
        <v>1498</v>
      </c>
      <c r="AU1025">
        <v>0</v>
      </c>
      <c r="AV1025">
        <v>0</v>
      </c>
      <c r="AW1025">
        <v>2.8439999999999999</v>
      </c>
      <c r="AX1025">
        <v>0.158</v>
      </c>
      <c r="AY1025">
        <v>4.266</v>
      </c>
      <c r="AZ1025" t="s">
        <v>135</v>
      </c>
      <c r="BA1025">
        <v>1.734</v>
      </c>
      <c r="BB1025">
        <v>10.974683544303797</v>
      </c>
      <c r="BC1025" t="s">
        <v>144</v>
      </c>
      <c r="BD1025">
        <v>0</v>
      </c>
      <c r="BE1025" t="s">
        <v>133</v>
      </c>
      <c r="BF102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2.8439999999999999</v>
      </c>
    </row>
    <row r="1026" spans="1:58" x14ac:dyDescent="0.25">
      <c r="A1026" t="s">
        <v>1289</v>
      </c>
      <c r="B1026" t="s">
        <v>19</v>
      </c>
      <c r="C1026">
        <v>2</v>
      </c>
      <c r="D1026">
        <v>410</v>
      </c>
      <c r="E1026" t="s">
        <v>2111</v>
      </c>
      <c r="F1026" t="s">
        <v>123</v>
      </c>
      <c r="G1026" t="s">
        <v>124</v>
      </c>
      <c r="H1026" t="s">
        <v>125</v>
      </c>
      <c r="I1026" t="s">
        <v>126</v>
      </c>
      <c r="J1026" t="s">
        <v>126</v>
      </c>
      <c r="K1026" t="s">
        <v>127</v>
      </c>
      <c r="L1026">
        <v>50</v>
      </c>
      <c r="M1026">
        <v>1271091</v>
      </c>
      <c r="N1026">
        <v>6</v>
      </c>
      <c r="O1026">
        <v>4</v>
      </c>
      <c r="P1026" t="s">
        <v>168</v>
      </c>
      <c r="Q1026" t="s">
        <v>129</v>
      </c>
      <c r="R1026">
        <v>38</v>
      </c>
      <c r="T1026">
        <v>12</v>
      </c>
      <c r="U1026">
        <v>17</v>
      </c>
      <c r="V1026">
        <v>3</v>
      </c>
      <c r="W1026">
        <v>0</v>
      </c>
      <c r="X1026">
        <v>3</v>
      </c>
      <c r="Y1026">
        <v>1</v>
      </c>
      <c r="Z1026">
        <v>16</v>
      </c>
      <c r="AA1026">
        <v>21</v>
      </c>
      <c r="AB1026">
        <v>50</v>
      </c>
      <c r="AC1026">
        <v>22</v>
      </c>
      <c r="AD1026">
        <v>4</v>
      </c>
      <c r="AE1026">
        <v>2</v>
      </c>
      <c r="AF1026">
        <v>28</v>
      </c>
      <c r="AG1026">
        <v>0</v>
      </c>
      <c r="AH1026">
        <v>28</v>
      </c>
      <c r="AI1026">
        <v>22</v>
      </c>
      <c r="AJ1026">
        <v>26</v>
      </c>
      <c r="AK1026">
        <v>28</v>
      </c>
      <c r="AL1026">
        <v>0</v>
      </c>
      <c r="AM1026">
        <v>0.12</v>
      </c>
      <c r="AN1026">
        <v>2.3636363636363638</v>
      </c>
      <c r="AO1026">
        <v>0</v>
      </c>
      <c r="AP1026" t="s">
        <v>130</v>
      </c>
      <c r="AQ1026" t="s">
        <v>131</v>
      </c>
      <c r="AR1026" t="s">
        <v>1184</v>
      </c>
      <c r="AS1026">
        <v>1563</v>
      </c>
      <c r="AT1026">
        <v>1593</v>
      </c>
      <c r="AU1026">
        <v>0</v>
      </c>
      <c r="AV1026">
        <v>0</v>
      </c>
      <c r="AW1026">
        <v>3.1560000000000001</v>
      </c>
      <c r="AX1026">
        <v>0.14345454545454547</v>
      </c>
      <c r="AY1026">
        <v>4.0167272727272731</v>
      </c>
      <c r="AZ1026" t="s">
        <v>135</v>
      </c>
      <c r="BA1026">
        <v>1.9832727272727269</v>
      </c>
      <c r="BB1026">
        <v>13.825095057034217</v>
      </c>
      <c r="BC1026" t="s">
        <v>132</v>
      </c>
      <c r="BD1026">
        <v>0</v>
      </c>
      <c r="BE1026" t="s">
        <v>133</v>
      </c>
      <c r="BF102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3.1560000000000001</v>
      </c>
    </row>
    <row r="1027" spans="1:58" x14ac:dyDescent="0.25">
      <c r="A1027" t="s">
        <v>1290</v>
      </c>
      <c r="B1027" t="s">
        <v>19</v>
      </c>
      <c r="C1027">
        <v>2</v>
      </c>
      <c r="D1027">
        <v>411</v>
      </c>
      <c r="E1027" t="s">
        <v>2111</v>
      </c>
      <c r="F1027" t="s">
        <v>123</v>
      </c>
      <c r="G1027" t="s">
        <v>124</v>
      </c>
      <c r="H1027" t="s">
        <v>125</v>
      </c>
      <c r="I1027" t="s">
        <v>126</v>
      </c>
      <c r="J1027" t="s">
        <v>126</v>
      </c>
      <c r="K1027" t="s">
        <v>127</v>
      </c>
      <c r="L1027">
        <v>50</v>
      </c>
      <c r="M1027">
        <v>1271193</v>
      </c>
      <c r="N1027">
        <v>6</v>
      </c>
      <c r="O1027">
        <v>4</v>
      </c>
      <c r="P1027" t="s">
        <v>168</v>
      </c>
      <c r="Q1027" t="s">
        <v>129</v>
      </c>
      <c r="R1027">
        <v>38</v>
      </c>
      <c r="T1027">
        <v>15</v>
      </c>
      <c r="U1027">
        <v>20</v>
      </c>
      <c r="V1027">
        <v>5</v>
      </c>
      <c r="W1027">
        <v>0</v>
      </c>
      <c r="X1027">
        <v>5</v>
      </c>
      <c r="Y1027">
        <v>1</v>
      </c>
      <c r="Z1027">
        <v>21</v>
      </c>
      <c r="AA1027">
        <v>26</v>
      </c>
      <c r="AB1027">
        <v>50</v>
      </c>
      <c r="AC1027">
        <v>26</v>
      </c>
      <c r="AD1027">
        <v>8</v>
      </c>
      <c r="AE1027">
        <v>2</v>
      </c>
      <c r="AF1027">
        <v>36</v>
      </c>
      <c r="AG1027">
        <v>0</v>
      </c>
      <c r="AH1027">
        <v>24</v>
      </c>
      <c r="AI1027">
        <v>14</v>
      </c>
      <c r="AJ1027">
        <v>22</v>
      </c>
      <c r="AK1027">
        <v>24</v>
      </c>
      <c r="AL1027">
        <v>0</v>
      </c>
      <c r="AM1027">
        <v>0.12</v>
      </c>
      <c r="AN1027">
        <v>2</v>
      </c>
      <c r="AO1027">
        <v>0</v>
      </c>
      <c r="AP1027" t="s">
        <v>130</v>
      </c>
      <c r="AQ1027" t="s">
        <v>131</v>
      </c>
      <c r="AR1027" t="s">
        <v>1184</v>
      </c>
      <c r="AS1027">
        <v>2321</v>
      </c>
      <c r="AT1027">
        <v>2196</v>
      </c>
      <c r="AU1027">
        <v>0</v>
      </c>
      <c r="AV1027">
        <v>0</v>
      </c>
      <c r="AW1027">
        <v>4.5170000000000003</v>
      </c>
      <c r="AX1027">
        <v>0.17373076923076924</v>
      </c>
      <c r="AY1027">
        <v>6.2543076923076928</v>
      </c>
      <c r="AZ1027" t="s">
        <v>135</v>
      </c>
      <c r="BA1027">
        <v>-0.25430769230769279</v>
      </c>
      <c r="BB1027">
        <v>-1.4638034093424865</v>
      </c>
      <c r="BC1027" t="s">
        <v>133</v>
      </c>
      <c r="BD1027">
        <v>0</v>
      </c>
      <c r="BE1027" t="s">
        <v>133</v>
      </c>
      <c r="BF102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4.5170000000000003</v>
      </c>
    </row>
    <row r="1028" spans="1:58" x14ac:dyDescent="0.25">
      <c r="A1028" t="s">
        <v>1291</v>
      </c>
      <c r="B1028" t="s">
        <v>19</v>
      </c>
      <c r="C1028">
        <v>2</v>
      </c>
      <c r="D1028">
        <v>412</v>
      </c>
      <c r="E1028" t="s">
        <v>2111</v>
      </c>
      <c r="F1028" t="s">
        <v>123</v>
      </c>
      <c r="G1028" t="s">
        <v>124</v>
      </c>
      <c r="H1028" t="s">
        <v>125</v>
      </c>
      <c r="I1028" t="s">
        <v>126</v>
      </c>
      <c r="J1028" t="s">
        <v>126</v>
      </c>
      <c r="K1028" t="s">
        <v>127</v>
      </c>
      <c r="L1028">
        <v>50</v>
      </c>
      <c r="M1028">
        <v>1271195</v>
      </c>
      <c r="N1028">
        <v>6</v>
      </c>
      <c r="O1028">
        <v>4</v>
      </c>
      <c r="P1028" t="s">
        <v>168</v>
      </c>
      <c r="Q1028" t="s">
        <v>129</v>
      </c>
      <c r="R1028">
        <v>38</v>
      </c>
      <c r="T1028">
        <v>7</v>
      </c>
      <c r="U1028">
        <v>12</v>
      </c>
      <c r="V1028">
        <v>2</v>
      </c>
      <c r="W1028">
        <v>0</v>
      </c>
      <c r="X1028">
        <v>2</v>
      </c>
      <c r="Y1028">
        <v>1</v>
      </c>
      <c r="Z1028">
        <v>10</v>
      </c>
      <c r="AA1028">
        <v>15</v>
      </c>
      <c r="AB1028">
        <v>50</v>
      </c>
      <c r="AC1028">
        <v>19</v>
      </c>
      <c r="AD1028">
        <v>4</v>
      </c>
      <c r="AE1028">
        <v>2</v>
      </c>
      <c r="AF1028">
        <v>25</v>
      </c>
      <c r="AG1028">
        <v>0</v>
      </c>
      <c r="AH1028">
        <v>31</v>
      </c>
      <c r="AI1028">
        <v>25</v>
      </c>
      <c r="AJ1028">
        <v>29</v>
      </c>
      <c r="AK1028">
        <v>31</v>
      </c>
      <c r="AL1028">
        <v>0</v>
      </c>
      <c r="AM1028">
        <v>0.12</v>
      </c>
      <c r="AN1028">
        <v>2.6363636363636362</v>
      </c>
      <c r="AO1028">
        <v>0</v>
      </c>
      <c r="AP1028" t="s">
        <v>130</v>
      </c>
      <c r="AQ1028" t="s">
        <v>131</v>
      </c>
      <c r="AR1028" t="s">
        <v>1184</v>
      </c>
      <c r="AS1028">
        <v>1193</v>
      </c>
      <c r="AT1028">
        <v>1100</v>
      </c>
      <c r="AU1028">
        <v>0</v>
      </c>
      <c r="AV1028">
        <v>0</v>
      </c>
      <c r="AW1028">
        <v>2.2930000000000001</v>
      </c>
      <c r="AX1028">
        <v>0.1206842105263158</v>
      </c>
      <c r="AY1028">
        <v>3.017105263157895</v>
      </c>
      <c r="AZ1028" t="s">
        <v>135</v>
      </c>
      <c r="BA1028">
        <v>2.982894736842105</v>
      </c>
      <c r="BB1028">
        <v>24.716528565198427</v>
      </c>
      <c r="BC1028" t="s">
        <v>133</v>
      </c>
      <c r="BD1028">
        <v>0</v>
      </c>
      <c r="BE1028" t="s">
        <v>133</v>
      </c>
      <c r="BF102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2.2930000000000001</v>
      </c>
    </row>
    <row r="1029" spans="1:58" x14ac:dyDescent="0.25">
      <c r="A1029" t="s">
        <v>1292</v>
      </c>
      <c r="B1029" t="s">
        <v>19</v>
      </c>
      <c r="C1029">
        <v>2</v>
      </c>
      <c r="D1029">
        <v>413</v>
      </c>
      <c r="E1029" t="s">
        <v>2111</v>
      </c>
      <c r="F1029" t="s">
        <v>123</v>
      </c>
      <c r="G1029" t="s">
        <v>124</v>
      </c>
      <c r="H1029" t="s">
        <v>125</v>
      </c>
      <c r="I1029" t="s">
        <v>126</v>
      </c>
      <c r="J1029" t="s">
        <v>126</v>
      </c>
      <c r="K1029" t="s">
        <v>127</v>
      </c>
      <c r="L1029">
        <v>50</v>
      </c>
      <c r="M1029">
        <v>1271197</v>
      </c>
      <c r="N1029">
        <v>6</v>
      </c>
      <c r="O1029">
        <v>4</v>
      </c>
      <c r="P1029" t="s">
        <v>168</v>
      </c>
      <c r="Q1029" t="s">
        <v>129</v>
      </c>
      <c r="R1029">
        <v>38</v>
      </c>
      <c r="T1029">
        <v>5</v>
      </c>
      <c r="U1029">
        <v>10</v>
      </c>
      <c r="V1029">
        <v>6</v>
      </c>
      <c r="W1029">
        <v>0</v>
      </c>
      <c r="X1029">
        <v>6</v>
      </c>
      <c r="Y1029">
        <v>1</v>
      </c>
      <c r="Z1029">
        <v>12</v>
      </c>
      <c r="AA1029">
        <v>17</v>
      </c>
      <c r="AB1029">
        <v>50</v>
      </c>
      <c r="AC1029">
        <v>15</v>
      </c>
      <c r="AD1029">
        <v>11</v>
      </c>
      <c r="AE1029">
        <v>2</v>
      </c>
      <c r="AF1029">
        <v>28</v>
      </c>
      <c r="AG1029">
        <v>0</v>
      </c>
      <c r="AH1029">
        <v>35</v>
      </c>
      <c r="AI1029">
        <v>22</v>
      </c>
      <c r="AJ1029">
        <v>33</v>
      </c>
      <c r="AK1029">
        <v>35</v>
      </c>
      <c r="AL1029">
        <v>0</v>
      </c>
      <c r="AM1029">
        <v>0.12</v>
      </c>
      <c r="AN1029">
        <v>3</v>
      </c>
      <c r="AO1029">
        <v>0</v>
      </c>
      <c r="AP1029" t="s">
        <v>130</v>
      </c>
      <c r="AQ1029" t="s">
        <v>131</v>
      </c>
      <c r="AR1029" t="s">
        <v>1184</v>
      </c>
      <c r="AS1029">
        <v>1048</v>
      </c>
      <c r="AT1029">
        <v>1001</v>
      </c>
      <c r="AU1029">
        <v>0</v>
      </c>
      <c r="AV1029">
        <v>0</v>
      </c>
      <c r="AW1029">
        <v>2.0489999999999999</v>
      </c>
      <c r="AX1029">
        <v>0.1366</v>
      </c>
      <c r="AY1029">
        <v>3.8247999999999998</v>
      </c>
      <c r="AZ1029" t="s">
        <v>135</v>
      </c>
      <c r="BA1029">
        <v>2.1752000000000002</v>
      </c>
      <c r="BB1029">
        <v>15.923865300146415</v>
      </c>
      <c r="BC1029" t="s">
        <v>133</v>
      </c>
      <c r="BD1029">
        <v>0</v>
      </c>
      <c r="BE1029" t="s">
        <v>133</v>
      </c>
      <c r="BF102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2.0489999999999999</v>
      </c>
    </row>
    <row r="1030" spans="1:58" x14ac:dyDescent="0.25">
      <c r="A1030" t="s">
        <v>1293</v>
      </c>
      <c r="B1030" t="s">
        <v>19</v>
      </c>
      <c r="C1030">
        <v>2</v>
      </c>
      <c r="D1030">
        <v>414</v>
      </c>
      <c r="E1030" t="s">
        <v>2111</v>
      </c>
      <c r="F1030" t="s">
        <v>123</v>
      </c>
      <c r="G1030" t="s">
        <v>124</v>
      </c>
      <c r="H1030" t="s">
        <v>125</v>
      </c>
      <c r="I1030" t="s">
        <v>126</v>
      </c>
      <c r="J1030" t="s">
        <v>126</v>
      </c>
      <c r="K1030" t="s">
        <v>127</v>
      </c>
      <c r="L1030">
        <v>50</v>
      </c>
      <c r="M1030">
        <v>1271199</v>
      </c>
      <c r="N1030">
        <v>6</v>
      </c>
      <c r="O1030">
        <v>4</v>
      </c>
      <c r="P1030" t="s">
        <v>168</v>
      </c>
      <c r="Q1030" t="s">
        <v>129</v>
      </c>
      <c r="R1030">
        <v>38</v>
      </c>
      <c r="T1030">
        <v>5</v>
      </c>
      <c r="U1030">
        <v>10</v>
      </c>
      <c r="V1030">
        <v>3</v>
      </c>
      <c r="W1030">
        <v>0</v>
      </c>
      <c r="X1030">
        <v>3</v>
      </c>
      <c r="Y1030">
        <v>2</v>
      </c>
      <c r="Z1030">
        <v>10</v>
      </c>
      <c r="AA1030">
        <v>15</v>
      </c>
      <c r="AB1030">
        <v>50</v>
      </c>
      <c r="AC1030">
        <v>17</v>
      </c>
      <c r="AD1030">
        <v>6</v>
      </c>
      <c r="AE1030">
        <v>3</v>
      </c>
      <c r="AF1030">
        <v>26</v>
      </c>
      <c r="AG1030">
        <v>0</v>
      </c>
      <c r="AH1030">
        <v>33</v>
      </c>
      <c r="AI1030">
        <v>24</v>
      </c>
      <c r="AJ1030">
        <v>30</v>
      </c>
      <c r="AK1030">
        <v>33</v>
      </c>
      <c r="AL1030">
        <v>0</v>
      </c>
      <c r="AM1030">
        <v>0.12</v>
      </c>
      <c r="AN1030">
        <v>2.7272727272727275</v>
      </c>
      <c r="AO1030">
        <v>0</v>
      </c>
      <c r="AP1030" t="s">
        <v>130</v>
      </c>
      <c r="AQ1030" t="s">
        <v>131</v>
      </c>
      <c r="AR1030" t="s">
        <v>1184</v>
      </c>
      <c r="AS1030">
        <v>1256</v>
      </c>
      <c r="AT1030">
        <v>1188</v>
      </c>
      <c r="AU1030">
        <v>0</v>
      </c>
      <c r="AV1030">
        <v>0</v>
      </c>
      <c r="AW1030">
        <v>2.444</v>
      </c>
      <c r="AX1030">
        <v>0.14376470588235293</v>
      </c>
      <c r="AY1030">
        <v>3.7378823529411762</v>
      </c>
      <c r="AZ1030" t="s">
        <v>135</v>
      </c>
      <c r="BA1030">
        <v>2.2621176470588238</v>
      </c>
      <c r="BB1030">
        <v>15.734860883797056</v>
      </c>
      <c r="BC1030" t="s">
        <v>133</v>
      </c>
      <c r="BD1030">
        <v>0</v>
      </c>
      <c r="BE1030" t="s">
        <v>133</v>
      </c>
      <c r="BF103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2.444</v>
      </c>
    </row>
    <row r="1031" spans="1:58" x14ac:dyDescent="0.25">
      <c r="A1031" t="s">
        <v>1294</v>
      </c>
      <c r="B1031" t="s">
        <v>19</v>
      </c>
      <c r="C1031">
        <v>2</v>
      </c>
      <c r="D1031">
        <v>415</v>
      </c>
      <c r="E1031" t="s">
        <v>2111</v>
      </c>
      <c r="F1031" t="s">
        <v>123</v>
      </c>
      <c r="G1031" t="s">
        <v>124</v>
      </c>
      <c r="H1031" t="s">
        <v>136</v>
      </c>
      <c r="I1031" t="s">
        <v>137</v>
      </c>
      <c r="J1031" t="s">
        <v>138</v>
      </c>
      <c r="K1031" t="s">
        <v>127</v>
      </c>
      <c r="L1031">
        <v>50</v>
      </c>
      <c r="M1031">
        <v>1271201</v>
      </c>
      <c r="N1031">
        <v>5</v>
      </c>
      <c r="O1031">
        <v>4</v>
      </c>
      <c r="P1031" t="s">
        <v>168</v>
      </c>
      <c r="Q1031" t="s">
        <v>129</v>
      </c>
      <c r="R1031">
        <v>38</v>
      </c>
      <c r="T1031">
        <v>0</v>
      </c>
      <c r="U1031">
        <v>4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4</v>
      </c>
      <c r="AB1031">
        <v>50</v>
      </c>
      <c r="AC1031">
        <v>4</v>
      </c>
      <c r="AD1031">
        <v>0</v>
      </c>
      <c r="AE1031">
        <v>0</v>
      </c>
      <c r="AF1031">
        <v>4</v>
      </c>
      <c r="AG1031">
        <v>0</v>
      </c>
      <c r="AH1031">
        <v>46</v>
      </c>
      <c r="AI1031">
        <v>46</v>
      </c>
      <c r="AJ1031">
        <v>46</v>
      </c>
      <c r="AK1031">
        <v>46</v>
      </c>
      <c r="AL1031">
        <v>0</v>
      </c>
      <c r="AM1031">
        <v>0.1</v>
      </c>
      <c r="AN1031">
        <v>4.1818181818181817</v>
      </c>
      <c r="AO1031">
        <v>0</v>
      </c>
      <c r="AP1031" t="s">
        <v>139</v>
      </c>
      <c r="AQ1031" t="s">
        <v>131</v>
      </c>
      <c r="AR1031" t="s">
        <v>1184</v>
      </c>
      <c r="AS1031">
        <v>0</v>
      </c>
      <c r="AT1031">
        <v>0</v>
      </c>
      <c r="AU1031">
        <v>0</v>
      </c>
      <c r="AV1031">
        <v>0</v>
      </c>
      <c r="AW1031">
        <v>0</v>
      </c>
      <c r="AX1031">
        <v>0</v>
      </c>
      <c r="AY1031">
        <v>0</v>
      </c>
      <c r="AZ1031" t="s">
        <v>134</v>
      </c>
      <c r="BA1031">
        <v>5</v>
      </c>
      <c r="BB1031">
        <v>0</v>
      </c>
      <c r="BC1031" t="s">
        <v>133</v>
      </c>
      <c r="BD1031">
        <v>0</v>
      </c>
      <c r="BE1031" t="s">
        <v>133</v>
      </c>
      <c r="BF103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32" spans="1:58" x14ac:dyDescent="0.25">
      <c r="A1032" t="s">
        <v>1295</v>
      </c>
      <c r="B1032" t="s">
        <v>19</v>
      </c>
      <c r="C1032">
        <v>2</v>
      </c>
      <c r="D1032">
        <v>416</v>
      </c>
      <c r="E1032" t="s">
        <v>2111</v>
      </c>
      <c r="F1032" t="s">
        <v>123</v>
      </c>
      <c r="G1032" t="s">
        <v>124</v>
      </c>
      <c r="H1032" t="s">
        <v>125</v>
      </c>
      <c r="I1032" t="s">
        <v>126</v>
      </c>
      <c r="J1032" t="s">
        <v>126</v>
      </c>
      <c r="K1032" t="s">
        <v>127</v>
      </c>
      <c r="L1032">
        <v>50</v>
      </c>
      <c r="M1032">
        <v>1271203</v>
      </c>
      <c r="N1032">
        <v>6</v>
      </c>
      <c r="O1032">
        <v>4</v>
      </c>
      <c r="P1032" t="s">
        <v>168</v>
      </c>
      <c r="Q1032" t="s">
        <v>129</v>
      </c>
      <c r="R1032">
        <v>38</v>
      </c>
      <c r="T1032">
        <v>11</v>
      </c>
      <c r="U1032">
        <v>16</v>
      </c>
      <c r="V1032">
        <v>11</v>
      </c>
      <c r="W1032">
        <v>0</v>
      </c>
      <c r="X1032">
        <v>11</v>
      </c>
      <c r="Y1032">
        <v>0</v>
      </c>
      <c r="Z1032">
        <v>22</v>
      </c>
      <c r="AA1032">
        <v>27</v>
      </c>
      <c r="AB1032">
        <v>50</v>
      </c>
      <c r="AC1032">
        <v>21</v>
      </c>
      <c r="AD1032">
        <v>16</v>
      </c>
      <c r="AE1032">
        <v>0</v>
      </c>
      <c r="AF1032">
        <v>37</v>
      </c>
      <c r="AG1032">
        <v>0</v>
      </c>
      <c r="AH1032">
        <v>29</v>
      </c>
      <c r="AI1032">
        <v>13</v>
      </c>
      <c r="AJ1032">
        <v>29</v>
      </c>
      <c r="AK1032">
        <v>29</v>
      </c>
      <c r="AL1032">
        <v>0</v>
      </c>
      <c r="AM1032">
        <v>0.12</v>
      </c>
      <c r="AN1032">
        <v>2.6363636363636362</v>
      </c>
      <c r="AO1032">
        <v>0</v>
      </c>
      <c r="AP1032" t="s">
        <v>130</v>
      </c>
      <c r="AQ1032" t="s">
        <v>131</v>
      </c>
      <c r="AR1032" t="s">
        <v>1184</v>
      </c>
      <c r="AS1032">
        <v>1380</v>
      </c>
      <c r="AT1032">
        <v>1565</v>
      </c>
      <c r="AU1032">
        <v>0</v>
      </c>
      <c r="AV1032">
        <v>0</v>
      </c>
      <c r="AW1032">
        <v>2.9449999999999998</v>
      </c>
      <c r="AX1032">
        <v>0.14023809523809522</v>
      </c>
      <c r="AY1032">
        <v>5.1888095238095229</v>
      </c>
      <c r="AZ1032" t="s">
        <v>135</v>
      </c>
      <c r="BA1032">
        <v>0.81119047619047713</v>
      </c>
      <c r="BB1032">
        <v>5.7843803056027241</v>
      </c>
      <c r="BC1032" t="s">
        <v>133</v>
      </c>
      <c r="BD1032">
        <v>0</v>
      </c>
      <c r="BE1032" t="s">
        <v>133</v>
      </c>
      <c r="BF103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2.9449999999999998</v>
      </c>
    </row>
    <row r="1033" spans="1:58" x14ac:dyDescent="0.25">
      <c r="A1033" t="s">
        <v>1296</v>
      </c>
      <c r="B1033" t="s">
        <v>19</v>
      </c>
      <c r="C1033">
        <v>2</v>
      </c>
      <c r="D1033">
        <v>417</v>
      </c>
      <c r="E1033" t="s">
        <v>2111</v>
      </c>
      <c r="F1033" t="s">
        <v>123</v>
      </c>
      <c r="G1033" t="s">
        <v>124</v>
      </c>
      <c r="H1033" t="s">
        <v>125</v>
      </c>
      <c r="I1033" t="s">
        <v>126</v>
      </c>
      <c r="J1033" t="s">
        <v>126</v>
      </c>
      <c r="K1033" t="s">
        <v>127</v>
      </c>
      <c r="L1033">
        <v>50</v>
      </c>
      <c r="M1033">
        <v>1271205</v>
      </c>
      <c r="N1033">
        <v>6</v>
      </c>
      <c r="O1033">
        <v>4</v>
      </c>
      <c r="P1033" t="s">
        <v>168</v>
      </c>
      <c r="Q1033" t="s">
        <v>129</v>
      </c>
      <c r="R1033">
        <v>38</v>
      </c>
      <c r="T1033">
        <v>17</v>
      </c>
      <c r="U1033">
        <v>22</v>
      </c>
      <c r="V1033">
        <v>3</v>
      </c>
      <c r="W1033">
        <v>0</v>
      </c>
      <c r="X1033">
        <v>3</v>
      </c>
      <c r="Y1033">
        <v>1</v>
      </c>
      <c r="Z1033">
        <v>21</v>
      </c>
      <c r="AA1033">
        <v>26</v>
      </c>
      <c r="AB1033">
        <v>50</v>
      </c>
      <c r="AC1033">
        <v>28</v>
      </c>
      <c r="AD1033">
        <v>5</v>
      </c>
      <c r="AE1033">
        <v>1</v>
      </c>
      <c r="AF1033">
        <v>34</v>
      </c>
      <c r="AG1033">
        <v>0</v>
      </c>
      <c r="AH1033">
        <v>22</v>
      </c>
      <c r="AI1033">
        <v>16</v>
      </c>
      <c r="AJ1033">
        <v>21</v>
      </c>
      <c r="AK1033">
        <v>22</v>
      </c>
      <c r="AL1033">
        <v>0</v>
      </c>
      <c r="AM1033">
        <v>0.12</v>
      </c>
      <c r="AN1033">
        <v>1.9090909090909092</v>
      </c>
      <c r="AO1033">
        <v>0</v>
      </c>
      <c r="AP1033" t="s">
        <v>130</v>
      </c>
      <c r="AQ1033" t="s">
        <v>131</v>
      </c>
      <c r="AR1033" t="s">
        <v>1184</v>
      </c>
      <c r="AS1033">
        <v>1733</v>
      </c>
      <c r="AT1033">
        <v>1702</v>
      </c>
      <c r="AU1033">
        <v>0</v>
      </c>
      <c r="AV1033">
        <v>0</v>
      </c>
      <c r="AW1033">
        <v>3.4350000000000001</v>
      </c>
      <c r="AX1033">
        <v>0.12267857142857143</v>
      </c>
      <c r="AY1033">
        <v>4.1710714285714285</v>
      </c>
      <c r="AZ1033" t="s">
        <v>135</v>
      </c>
      <c r="BA1033">
        <v>1.8289285714285715</v>
      </c>
      <c r="BB1033">
        <v>14.908296943231441</v>
      </c>
      <c r="BC1033" t="s">
        <v>133</v>
      </c>
      <c r="BD1033">
        <v>0</v>
      </c>
      <c r="BE1033" t="s">
        <v>133</v>
      </c>
      <c r="BF103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3.4350000000000001</v>
      </c>
    </row>
    <row r="1034" spans="1:58" x14ac:dyDescent="0.25">
      <c r="A1034" t="s">
        <v>1297</v>
      </c>
      <c r="B1034" t="s">
        <v>19</v>
      </c>
      <c r="C1034">
        <v>2</v>
      </c>
      <c r="D1034">
        <v>418</v>
      </c>
      <c r="E1034" t="s">
        <v>2111</v>
      </c>
      <c r="F1034" t="s">
        <v>123</v>
      </c>
      <c r="G1034" t="s">
        <v>124</v>
      </c>
      <c r="H1034" t="s">
        <v>125</v>
      </c>
      <c r="I1034" t="s">
        <v>126</v>
      </c>
      <c r="J1034" t="s">
        <v>126</v>
      </c>
      <c r="K1034" t="s">
        <v>127</v>
      </c>
      <c r="L1034">
        <v>50</v>
      </c>
      <c r="M1034">
        <v>1271207</v>
      </c>
      <c r="N1034">
        <v>6</v>
      </c>
      <c r="O1034">
        <v>4</v>
      </c>
      <c r="P1034" t="s">
        <v>168</v>
      </c>
      <c r="Q1034" t="s">
        <v>129</v>
      </c>
      <c r="R1034">
        <v>38</v>
      </c>
      <c r="T1034">
        <v>12</v>
      </c>
      <c r="U1034">
        <v>17</v>
      </c>
      <c r="V1034">
        <v>5</v>
      </c>
      <c r="W1034">
        <v>0</v>
      </c>
      <c r="X1034">
        <v>5</v>
      </c>
      <c r="Y1034">
        <v>0</v>
      </c>
      <c r="Z1034">
        <v>17</v>
      </c>
      <c r="AA1034">
        <v>22</v>
      </c>
      <c r="AB1034">
        <v>50</v>
      </c>
      <c r="AC1034">
        <v>21</v>
      </c>
      <c r="AD1034">
        <v>10</v>
      </c>
      <c r="AE1034">
        <v>0</v>
      </c>
      <c r="AF1034">
        <v>31</v>
      </c>
      <c r="AG1034">
        <v>0</v>
      </c>
      <c r="AH1034">
        <v>29</v>
      </c>
      <c r="AI1034">
        <v>19</v>
      </c>
      <c r="AJ1034">
        <v>29</v>
      </c>
      <c r="AK1034">
        <v>29</v>
      </c>
      <c r="AL1034">
        <v>0</v>
      </c>
      <c r="AM1034">
        <v>0.12</v>
      </c>
      <c r="AN1034">
        <v>2.6363636363636362</v>
      </c>
      <c r="AO1034">
        <v>0</v>
      </c>
      <c r="AP1034" t="s">
        <v>130</v>
      </c>
      <c r="AQ1034" t="s">
        <v>131</v>
      </c>
      <c r="AR1034" t="s">
        <v>1184</v>
      </c>
      <c r="AS1034">
        <v>1964</v>
      </c>
      <c r="AT1034">
        <v>1741</v>
      </c>
      <c r="AU1034">
        <v>0</v>
      </c>
      <c r="AV1034">
        <v>0</v>
      </c>
      <c r="AW1034">
        <v>3.7050000000000001</v>
      </c>
      <c r="AX1034">
        <v>0.17642857142857143</v>
      </c>
      <c r="AY1034">
        <v>5.4692857142857143</v>
      </c>
      <c r="AZ1034" t="s">
        <v>135</v>
      </c>
      <c r="BA1034">
        <v>0.53071428571428569</v>
      </c>
      <c r="BB1034">
        <v>3.0080971659919027</v>
      </c>
      <c r="BC1034" t="s">
        <v>133</v>
      </c>
      <c r="BD1034">
        <v>0</v>
      </c>
      <c r="BE1034" t="s">
        <v>133</v>
      </c>
      <c r="BF103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3.7050000000000001</v>
      </c>
    </row>
    <row r="1035" spans="1:58" x14ac:dyDescent="0.25">
      <c r="A1035" t="s">
        <v>1298</v>
      </c>
      <c r="B1035" t="s">
        <v>19</v>
      </c>
      <c r="C1035">
        <v>2</v>
      </c>
      <c r="D1035">
        <v>419</v>
      </c>
      <c r="E1035" t="s">
        <v>2111</v>
      </c>
      <c r="F1035" t="s">
        <v>123</v>
      </c>
      <c r="G1035" t="s">
        <v>124</v>
      </c>
      <c r="H1035" t="s">
        <v>125</v>
      </c>
      <c r="I1035" t="s">
        <v>126</v>
      </c>
      <c r="J1035" t="s">
        <v>126</v>
      </c>
      <c r="K1035" t="s">
        <v>127</v>
      </c>
      <c r="L1035">
        <v>50</v>
      </c>
      <c r="M1035">
        <v>1271209</v>
      </c>
      <c r="N1035">
        <v>6</v>
      </c>
      <c r="O1035">
        <v>4</v>
      </c>
      <c r="P1035" t="s">
        <v>168</v>
      </c>
      <c r="Q1035" t="s">
        <v>129</v>
      </c>
      <c r="R1035">
        <v>38</v>
      </c>
      <c r="T1035">
        <v>12</v>
      </c>
      <c r="U1035">
        <v>17</v>
      </c>
      <c r="V1035">
        <v>3</v>
      </c>
      <c r="W1035">
        <v>0</v>
      </c>
      <c r="X1035">
        <v>3</v>
      </c>
      <c r="Y1035">
        <v>2</v>
      </c>
      <c r="Z1035">
        <v>17</v>
      </c>
      <c r="AA1035">
        <v>22</v>
      </c>
      <c r="AB1035">
        <v>50</v>
      </c>
      <c r="AC1035">
        <v>21</v>
      </c>
      <c r="AD1035">
        <v>5</v>
      </c>
      <c r="AE1035">
        <v>3</v>
      </c>
      <c r="AF1035">
        <v>29</v>
      </c>
      <c r="AG1035">
        <v>0</v>
      </c>
      <c r="AH1035">
        <v>29</v>
      </c>
      <c r="AI1035">
        <v>21</v>
      </c>
      <c r="AJ1035">
        <v>26</v>
      </c>
      <c r="AK1035">
        <v>29</v>
      </c>
      <c r="AL1035">
        <v>0</v>
      </c>
      <c r="AM1035">
        <v>0.12</v>
      </c>
      <c r="AN1035">
        <v>2.3636363636363638</v>
      </c>
      <c r="AO1035">
        <v>0</v>
      </c>
      <c r="AP1035" t="s">
        <v>130</v>
      </c>
      <c r="AQ1035" t="s">
        <v>131</v>
      </c>
      <c r="AR1035" t="s">
        <v>1184</v>
      </c>
      <c r="AS1035">
        <v>1945</v>
      </c>
      <c r="AT1035">
        <v>1831</v>
      </c>
      <c r="AU1035">
        <v>0</v>
      </c>
      <c r="AV1035">
        <v>0</v>
      </c>
      <c r="AW1035">
        <v>3.7759999999999998</v>
      </c>
      <c r="AX1035">
        <v>0.17980952380952381</v>
      </c>
      <c r="AY1035">
        <v>5.2144761904761907</v>
      </c>
      <c r="AZ1035" t="s">
        <v>135</v>
      </c>
      <c r="BA1035">
        <v>0.78552380952380929</v>
      </c>
      <c r="BB1035">
        <v>4.368644067796609</v>
      </c>
      <c r="BC1035" t="s">
        <v>133</v>
      </c>
      <c r="BD1035">
        <v>0</v>
      </c>
      <c r="BE1035" t="s">
        <v>133</v>
      </c>
      <c r="BF103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3.7759999999999998</v>
      </c>
    </row>
    <row r="1036" spans="1:58" x14ac:dyDescent="0.25">
      <c r="A1036" t="s">
        <v>1299</v>
      </c>
      <c r="B1036" t="s">
        <v>19</v>
      </c>
      <c r="C1036">
        <v>2</v>
      </c>
      <c r="D1036">
        <v>420</v>
      </c>
      <c r="E1036" t="s">
        <v>2111</v>
      </c>
      <c r="F1036" t="s">
        <v>123</v>
      </c>
      <c r="G1036" t="s">
        <v>124</v>
      </c>
      <c r="H1036" t="s">
        <v>125</v>
      </c>
      <c r="I1036" t="s">
        <v>126</v>
      </c>
      <c r="J1036" t="s">
        <v>126</v>
      </c>
      <c r="K1036" t="s">
        <v>127</v>
      </c>
      <c r="L1036">
        <v>50</v>
      </c>
      <c r="M1036">
        <v>1271211</v>
      </c>
      <c r="N1036">
        <v>6</v>
      </c>
      <c r="O1036">
        <v>4</v>
      </c>
      <c r="P1036" t="s">
        <v>168</v>
      </c>
      <c r="Q1036" t="s">
        <v>129</v>
      </c>
      <c r="R1036">
        <v>38</v>
      </c>
      <c r="T1036">
        <v>24</v>
      </c>
      <c r="U1036">
        <v>29</v>
      </c>
      <c r="V1036">
        <v>3</v>
      </c>
      <c r="W1036">
        <v>0</v>
      </c>
      <c r="X1036">
        <v>3</v>
      </c>
      <c r="Y1036">
        <v>3</v>
      </c>
      <c r="Z1036">
        <v>30</v>
      </c>
      <c r="AA1036">
        <v>35</v>
      </c>
      <c r="AB1036">
        <v>50</v>
      </c>
      <c r="AC1036">
        <v>32</v>
      </c>
      <c r="AD1036">
        <v>4</v>
      </c>
      <c r="AE1036">
        <v>3</v>
      </c>
      <c r="AF1036">
        <v>39</v>
      </c>
      <c r="AG1036">
        <v>0</v>
      </c>
      <c r="AH1036">
        <v>18</v>
      </c>
      <c r="AI1036">
        <v>11</v>
      </c>
      <c r="AJ1036">
        <v>15</v>
      </c>
      <c r="AK1036">
        <v>18</v>
      </c>
      <c r="AL1036">
        <v>0</v>
      </c>
      <c r="AM1036">
        <v>0.12</v>
      </c>
      <c r="AN1036">
        <v>1.3636363636363638</v>
      </c>
      <c r="AO1036">
        <v>0</v>
      </c>
      <c r="AP1036" t="s">
        <v>130</v>
      </c>
      <c r="AQ1036" t="s">
        <v>131</v>
      </c>
      <c r="AR1036" t="s">
        <v>1184</v>
      </c>
      <c r="AS1036">
        <v>2622</v>
      </c>
      <c r="AT1036">
        <v>2517</v>
      </c>
      <c r="AU1036">
        <v>0</v>
      </c>
      <c r="AV1036">
        <v>0</v>
      </c>
      <c r="AW1036">
        <v>5.1390000000000002</v>
      </c>
      <c r="AX1036">
        <v>0.16059375000000001</v>
      </c>
      <c r="AY1036">
        <v>6.2631562500000006</v>
      </c>
      <c r="AZ1036" t="s">
        <v>135</v>
      </c>
      <c r="BA1036">
        <v>-0.26315625000000065</v>
      </c>
      <c r="BB1036">
        <v>-1.6386456509048493</v>
      </c>
      <c r="BC1036" t="s">
        <v>144</v>
      </c>
      <c r="BD1036">
        <v>0</v>
      </c>
      <c r="BE1036" t="s">
        <v>133</v>
      </c>
      <c r="BF103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5.1390000000000002</v>
      </c>
    </row>
    <row r="1037" spans="1:58" x14ac:dyDescent="0.25">
      <c r="A1037" t="s">
        <v>1300</v>
      </c>
      <c r="B1037" t="s">
        <v>19</v>
      </c>
      <c r="C1037">
        <v>2</v>
      </c>
      <c r="D1037">
        <v>421</v>
      </c>
      <c r="E1037" t="s">
        <v>2111</v>
      </c>
      <c r="F1037" t="s">
        <v>123</v>
      </c>
      <c r="G1037" t="s">
        <v>124</v>
      </c>
      <c r="H1037" t="s">
        <v>125</v>
      </c>
      <c r="I1037" t="s">
        <v>148</v>
      </c>
      <c r="J1037" t="s">
        <v>149</v>
      </c>
      <c r="K1037" t="s">
        <v>127</v>
      </c>
      <c r="L1037">
        <v>50</v>
      </c>
      <c r="M1037">
        <v>1271213</v>
      </c>
      <c r="N1037">
        <v>6</v>
      </c>
      <c r="O1037">
        <v>4</v>
      </c>
      <c r="P1037" t="s">
        <v>168</v>
      </c>
      <c r="Q1037" t="s">
        <v>129</v>
      </c>
      <c r="R1037">
        <v>39</v>
      </c>
      <c r="T1037">
        <v>13</v>
      </c>
      <c r="U1037">
        <v>13</v>
      </c>
      <c r="V1037">
        <v>0</v>
      </c>
      <c r="W1037">
        <v>0</v>
      </c>
      <c r="X1037">
        <v>0</v>
      </c>
      <c r="Y1037">
        <v>0</v>
      </c>
      <c r="Z1037">
        <v>13</v>
      </c>
      <c r="AA1037">
        <v>13</v>
      </c>
      <c r="AB1037">
        <v>50</v>
      </c>
      <c r="AC1037">
        <v>40</v>
      </c>
      <c r="AD1037">
        <v>0</v>
      </c>
      <c r="AE1037">
        <v>0</v>
      </c>
      <c r="AF1037">
        <v>40</v>
      </c>
      <c r="AG1037">
        <v>0</v>
      </c>
      <c r="AH1037">
        <v>10</v>
      </c>
      <c r="AI1037">
        <v>10</v>
      </c>
      <c r="AJ1037">
        <v>10</v>
      </c>
      <c r="AK1037">
        <v>10</v>
      </c>
      <c r="AL1037">
        <v>0</v>
      </c>
      <c r="AM1037">
        <v>0.12</v>
      </c>
      <c r="AN1037">
        <v>0.90909090909090917</v>
      </c>
      <c r="AO1037">
        <v>0</v>
      </c>
      <c r="AP1037" t="s">
        <v>150</v>
      </c>
      <c r="AQ1037" t="s">
        <v>131</v>
      </c>
      <c r="AR1037" t="s">
        <v>1184</v>
      </c>
      <c r="AS1037">
        <v>0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0</v>
      </c>
      <c r="AZ1037" t="s">
        <v>147</v>
      </c>
      <c r="BA1037">
        <v>6</v>
      </c>
      <c r="BB1037">
        <v>0</v>
      </c>
      <c r="BC1037" t="s">
        <v>132</v>
      </c>
      <c r="BD1037">
        <v>0</v>
      </c>
      <c r="BE1037" t="s">
        <v>133</v>
      </c>
      <c r="BF103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38" spans="1:58" x14ac:dyDescent="0.25">
      <c r="A1038" t="s">
        <v>1301</v>
      </c>
      <c r="B1038" t="s">
        <v>19</v>
      </c>
      <c r="C1038">
        <v>2</v>
      </c>
      <c r="D1038">
        <v>422</v>
      </c>
      <c r="E1038" t="s">
        <v>2111</v>
      </c>
      <c r="F1038" t="s">
        <v>123</v>
      </c>
      <c r="G1038" t="s">
        <v>124</v>
      </c>
      <c r="H1038" t="s">
        <v>125</v>
      </c>
      <c r="I1038" t="s">
        <v>148</v>
      </c>
      <c r="J1038" t="s">
        <v>149</v>
      </c>
      <c r="K1038" t="s">
        <v>127</v>
      </c>
      <c r="L1038">
        <v>50</v>
      </c>
      <c r="M1038">
        <v>1271215</v>
      </c>
      <c r="N1038">
        <v>6</v>
      </c>
      <c r="O1038">
        <v>4</v>
      </c>
      <c r="P1038" t="s">
        <v>168</v>
      </c>
      <c r="Q1038" t="s">
        <v>129</v>
      </c>
      <c r="R1038">
        <v>39</v>
      </c>
      <c r="T1038">
        <v>13</v>
      </c>
      <c r="U1038">
        <v>15</v>
      </c>
      <c r="V1038">
        <v>0</v>
      </c>
      <c r="W1038">
        <v>0</v>
      </c>
      <c r="X1038">
        <v>0</v>
      </c>
      <c r="Y1038">
        <v>0</v>
      </c>
      <c r="Z1038">
        <v>13</v>
      </c>
      <c r="AA1038">
        <v>15</v>
      </c>
      <c r="AB1038">
        <v>50</v>
      </c>
      <c r="AC1038">
        <v>42</v>
      </c>
      <c r="AD1038">
        <v>0</v>
      </c>
      <c r="AE1038">
        <v>0</v>
      </c>
      <c r="AF1038">
        <v>42</v>
      </c>
      <c r="AG1038">
        <v>0</v>
      </c>
      <c r="AH1038">
        <v>8</v>
      </c>
      <c r="AI1038">
        <v>8</v>
      </c>
      <c r="AJ1038">
        <v>8</v>
      </c>
      <c r="AK1038">
        <v>8</v>
      </c>
      <c r="AL1038">
        <v>0</v>
      </c>
      <c r="AM1038">
        <v>0.12</v>
      </c>
      <c r="AN1038">
        <v>0.72727272727272729</v>
      </c>
      <c r="AO1038">
        <v>0</v>
      </c>
      <c r="AP1038" t="s">
        <v>150</v>
      </c>
      <c r="AQ1038" t="s">
        <v>131</v>
      </c>
      <c r="AR1038" t="s">
        <v>1184</v>
      </c>
      <c r="AS1038">
        <v>0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0</v>
      </c>
      <c r="AZ1038" t="s">
        <v>147</v>
      </c>
      <c r="BA1038">
        <v>6</v>
      </c>
      <c r="BB1038">
        <v>0</v>
      </c>
      <c r="BC1038" t="s">
        <v>133</v>
      </c>
      <c r="BD1038">
        <v>0</v>
      </c>
      <c r="BE1038" t="s">
        <v>133</v>
      </c>
      <c r="BF103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39" spans="1:58" x14ac:dyDescent="0.25">
      <c r="A1039" t="s">
        <v>1302</v>
      </c>
      <c r="B1039" t="s">
        <v>19</v>
      </c>
      <c r="C1039">
        <v>2</v>
      </c>
      <c r="D1039">
        <v>423</v>
      </c>
      <c r="E1039" t="s">
        <v>2111</v>
      </c>
      <c r="F1039" t="s">
        <v>123</v>
      </c>
      <c r="G1039" t="s">
        <v>124</v>
      </c>
      <c r="H1039" t="s">
        <v>125</v>
      </c>
      <c r="I1039" t="s">
        <v>148</v>
      </c>
      <c r="J1039" t="s">
        <v>149</v>
      </c>
      <c r="K1039" t="s">
        <v>127</v>
      </c>
      <c r="L1039">
        <v>50</v>
      </c>
      <c r="M1039">
        <v>1271217</v>
      </c>
      <c r="N1039">
        <v>6</v>
      </c>
      <c r="O1039">
        <v>4</v>
      </c>
      <c r="P1039" t="s">
        <v>168</v>
      </c>
      <c r="Q1039" t="s">
        <v>129</v>
      </c>
      <c r="R1039">
        <v>39</v>
      </c>
      <c r="T1039">
        <v>9</v>
      </c>
      <c r="U1039">
        <v>14</v>
      </c>
      <c r="V1039">
        <v>0</v>
      </c>
      <c r="W1039">
        <v>0</v>
      </c>
      <c r="X1039">
        <v>0</v>
      </c>
      <c r="Y1039">
        <v>0</v>
      </c>
      <c r="Z1039">
        <v>9</v>
      </c>
      <c r="AA1039">
        <v>14</v>
      </c>
      <c r="AB1039">
        <v>50</v>
      </c>
      <c r="AC1039">
        <v>43</v>
      </c>
      <c r="AD1039">
        <v>0</v>
      </c>
      <c r="AE1039">
        <v>0</v>
      </c>
      <c r="AF1039">
        <v>43</v>
      </c>
      <c r="AG1039">
        <v>0</v>
      </c>
      <c r="AH1039">
        <v>7</v>
      </c>
      <c r="AI1039">
        <v>7</v>
      </c>
      <c r="AJ1039">
        <v>7</v>
      </c>
      <c r="AK1039">
        <v>7</v>
      </c>
      <c r="AL1039">
        <v>0</v>
      </c>
      <c r="AM1039">
        <v>0.12</v>
      </c>
      <c r="AN1039">
        <v>0.63636363636363635</v>
      </c>
      <c r="AO1039">
        <v>0</v>
      </c>
      <c r="AP1039" t="s">
        <v>150</v>
      </c>
      <c r="AQ1039" t="s">
        <v>131</v>
      </c>
      <c r="AR1039" t="s">
        <v>1184</v>
      </c>
      <c r="AS1039">
        <v>0</v>
      </c>
      <c r="AT1039">
        <v>0</v>
      </c>
      <c r="AU1039">
        <v>0</v>
      </c>
      <c r="AV1039">
        <v>0</v>
      </c>
      <c r="AW1039">
        <v>0</v>
      </c>
      <c r="AX1039">
        <v>0</v>
      </c>
      <c r="AY1039">
        <v>0</v>
      </c>
      <c r="AZ1039" t="s">
        <v>147</v>
      </c>
      <c r="BA1039">
        <v>6</v>
      </c>
      <c r="BB1039">
        <v>0</v>
      </c>
      <c r="BC1039" t="s">
        <v>133</v>
      </c>
      <c r="BD1039">
        <v>0</v>
      </c>
      <c r="BE1039" t="s">
        <v>133</v>
      </c>
      <c r="BF103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40" spans="1:58" x14ac:dyDescent="0.25">
      <c r="A1040" t="s">
        <v>1303</v>
      </c>
      <c r="B1040" t="s">
        <v>19</v>
      </c>
      <c r="C1040">
        <v>2</v>
      </c>
      <c r="D1040">
        <v>424</v>
      </c>
      <c r="E1040" t="s">
        <v>2111</v>
      </c>
      <c r="F1040" t="s">
        <v>123</v>
      </c>
      <c r="G1040" t="s">
        <v>124</v>
      </c>
      <c r="H1040" t="s">
        <v>125</v>
      </c>
      <c r="I1040" t="s">
        <v>148</v>
      </c>
      <c r="J1040" t="s">
        <v>149</v>
      </c>
      <c r="K1040" t="s">
        <v>127</v>
      </c>
      <c r="L1040">
        <v>50</v>
      </c>
      <c r="M1040">
        <v>1271219</v>
      </c>
      <c r="N1040">
        <v>6</v>
      </c>
      <c r="O1040">
        <v>4</v>
      </c>
      <c r="P1040" t="s">
        <v>168</v>
      </c>
      <c r="Q1040" t="s">
        <v>129</v>
      </c>
      <c r="R1040">
        <v>39</v>
      </c>
      <c r="T1040">
        <v>11</v>
      </c>
      <c r="U1040">
        <v>14</v>
      </c>
      <c r="V1040">
        <v>0</v>
      </c>
      <c r="W1040">
        <v>0</v>
      </c>
      <c r="X1040">
        <v>0</v>
      </c>
      <c r="Y1040">
        <v>0</v>
      </c>
      <c r="Z1040">
        <v>11</v>
      </c>
      <c r="AA1040">
        <v>14</v>
      </c>
      <c r="AB1040">
        <v>50</v>
      </c>
      <c r="AC1040">
        <v>44</v>
      </c>
      <c r="AD1040">
        <v>0</v>
      </c>
      <c r="AE1040">
        <v>0</v>
      </c>
      <c r="AF1040">
        <v>44</v>
      </c>
      <c r="AG1040">
        <v>0</v>
      </c>
      <c r="AH1040">
        <v>6</v>
      </c>
      <c r="AI1040">
        <v>6</v>
      </c>
      <c r="AJ1040">
        <v>6</v>
      </c>
      <c r="AK1040">
        <v>6</v>
      </c>
      <c r="AL1040">
        <v>0</v>
      </c>
      <c r="AM1040">
        <v>0.12</v>
      </c>
      <c r="AN1040">
        <v>0.54545454545454541</v>
      </c>
      <c r="AO1040">
        <v>0</v>
      </c>
      <c r="AP1040" t="s">
        <v>150</v>
      </c>
      <c r="AQ1040" t="s">
        <v>131</v>
      </c>
      <c r="AR1040" t="s">
        <v>1184</v>
      </c>
      <c r="AS1040">
        <v>0</v>
      </c>
      <c r="AT1040">
        <v>0</v>
      </c>
      <c r="AU1040">
        <v>0</v>
      </c>
      <c r="AV1040">
        <v>0</v>
      </c>
      <c r="AW1040">
        <v>0</v>
      </c>
      <c r="AX1040">
        <v>0</v>
      </c>
      <c r="AY1040">
        <v>0</v>
      </c>
      <c r="AZ1040" t="s">
        <v>147</v>
      </c>
      <c r="BA1040">
        <v>6</v>
      </c>
      <c r="BB1040">
        <v>0</v>
      </c>
      <c r="BC1040" t="s">
        <v>133</v>
      </c>
      <c r="BD1040">
        <v>0</v>
      </c>
      <c r="BE1040" t="s">
        <v>133</v>
      </c>
      <c r="BF104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41" spans="1:58" x14ac:dyDescent="0.25">
      <c r="A1041" t="s">
        <v>1304</v>
      </c>
      <c r="B1041" t="s">
        <v>19</v>
      </c>
      <c r="C1041">
        <v>2</v>
      </c>
      <c r="D1041">
        <v>425</v>
      </c>
      <c r="E1041" t="s">
        <v>2111</v>
      </c>
      <c r="F1041" t="s">
        <v>123</v>
      </c>
      <c r="G1041" t="s">
        <v>124</v>
      </c>
      <c r="H1041" t="s">
        <v>125</v>
      </c>
      <c r="I1041" t="s">
        <v>148</v>
      </c>
      <c r="J1041" t="s">
        <v>149</v>
      </c>
      <c r="K1041" t="s">
        <v>127</v>
      </c>
      <c r="L1041">
        <v>50</v>
      </c>
      <c r="M1041">
        <v>1271221</v>
      </c>
      <c r="N1041">
        <v>6</v>
      </c>
      <c r="O1041">
        <v>4</v>
      </c>
      <c r="P1041" t="s">
        <v>168</v>
      </c>
      <c r="Q1041" t="s">
        <v>129</v>
      </c>
      <c r="R1041">
        <v>39</v>
      </c>
      <c r="T1041">
        <v>13</v>
      </c>
      <c r="U1041">
        <v>14</v>
      </c>
      <c r="V1041">
        <v>0</v>
      </c>
      <c r="W1041">
        <v>0</v>
      </c>
      <c r="X1041">
        <v>0</v>
      </c>
      <c r="Y1041">
        <v>0</v>
      </c>
      <c r="Z1041">
        <v>13</v>
      </c>
      <c r="AA1041">
        <v>14</v>
      </c>
      <c r="AB1041">
        <v>50</v>
      </c>
      <c r="AC1041">
        <v>41</v>
      </c>
      <c r="AD1041">
        <v>0</v>
      </c>
      <c r="AE1041">
        <v>0</v>
      </c>
      <c r="AF1041">
        <v>41</v>
      </c>
      <c r="AG1041">
        <v>0</v>
      </c>
      <c r="AH1041">
        <v>9</v>
      </c>
      <c r="AI1041">
        <v>9</v>
      </c>
      <c r="AJ1041">
        <v>9</v>
      </c>
      <c r="AK1041">
        <v>9</v>
      </c>
      <c r="AL1041">
        <v>0</v>
      </c>
      <c r="AM1041">
        <v>0.12</v>
      </c>
      <c r="AN1041">
        <v>0.81818181818181823</v>
      </c>
      <c r="AO1041">
        <v>0</v>
      </c>
      <c r="AP1041" t="s">
        <v>150</v>
      </c>
      <c r="AQ1041" t="s">
        <v>131</v>
      </c>
      <c r="AR1041" t="s">
        <v>1184</v>
      </c>
      <c r="AS1041">
        <v>0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0</v>
      </c>
      <c r="AZ1041" t="s">
        <v>147</v>
      </c>
      <c r="BA1041">
        <v>6</v>
      </c>
      <c r="BB1041">
        <v>0</v>
      </c>
      <c r="BC1041" t="s">
        <v>133</v>
      </c>
      <c r="BD1041">
        <v>0</v>
      </c>
      <c r="BE1041" t="s">
        <v>133</v>
      </c>
      <c r="BF104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42" spans="1:58" x14ac:dyDescent="0.25">
      <c r="A1042" t="s">
        <v>1305</v>
      </c>
      <c r="B1042" t="s">
        <v>19</v>
      </c>
      <c r="C1042">
        <v>2</v>
      </c>
      <c r="D1042">
        <v>426</v>
      </c>
      <c r="E1042" t="s">
        <v>2111</v>
      </c>
      <c r="F1042" t="s">
        <v>123</v>
      </c>
      <c r="G1042" t="s">
        <v>124</v>
      </c>
      <c r="H1042" t="s">
        <v>125</v>
      </c>
      <c r="I1042" t="s">
        <v>148</v>
      </c>
      <c r="J1042" t="s">
        <v>149</v>
      </c>
      <c r="K1042" t="s">
        <v>127</v>
      </c>
      <c r="L1042">
        <v>50</v>
      </c>
      <c r="M1042">
        <v>1271223</v>
      </c>
      <c r="N1042">
        <v>6</v>
      </c>
      <c r="O1042">
        <v>4</v>
      </c>
      <c r="P1042" t="s">
        <v>168</v>
      </c>
      <c r="Q1042" t="s">
        <v>129</v>
      </c>
      <c r="R1042">
        <v>39</v>
      </c>
      <c r="T1042">
        <v>14</v>
      </c>
      <c r="U1042">
        <v>17</v>
      </c>
      <c r="V1042">
        <v>0</v>
      </c>
      <c r="W1042">
        <v>0</v>
      </c>
      <c r="X1042">
        <v>0</v>
      </c>
      <c r="Y1042">
        <v>0</v>
      </c>
      <c r="Z1042">
        <v>14</v>
      </c>
      <c r="AA1042">
        <v>17</v>
      </c>
      <c r="AB1042">
        <v>50</v>
      </c>
      <c r="AC1042">
        <v>43</v>
      </c>
      <c r="AD1042">
        <v>0</v>
      </c>
      <c r="AE1042">
        <v>0</v>
      </c>
      <c r="AF1042">
        <v>43</v>
      </c>
      <c r="AG1042">
        <v>0</v>
      </c>
      <c r="AH1042">
        <v>7</v>
      </c>
      <c r="AI1042">
        <v>7</v>
      </c>
      <c r="AJ1042">
        <v>7</v>
      </c>
      <c r="AK1042">
        <v>7</v>
      </c>
      <c r="AL1042">
        <v>0</v>
      </c>
      <c r="AM1042">
        <v>0.12</v>
      </c>
      <c r="AN1042">
        <v>0.63636363636363635</v>
      </c>
      <c r="AO1042">
        <v>0</v>
      </c>
      <c r="AP1042" t="s">
        <v>150</v>
      </c>
      <c r="AQ1042" t="s">
        <v>131</v>
      </c>
      <c r="AR1042" t="s">
        <v>1184</v>
      </c>
      <c r="AS1042">
        <v>0</v>
      </c>
      <c r="AT1042">
        <v>0</v>
      </c>
      <c r="AU1042">
        <v>0</v>
      </c>
      <c r="AV1042">
        <v>0</v>
      </c>
      <c r="AW1042">
        <v>0</v>
      </c>
      <c r="AX1042">
        <v>0</v>
      </c>
      <c r="AY1042">
        <v>0</v>
      </c>
      <c r="AZ1042" t="s">
        <v>147</v>
      </c>
      <c r="BA1042">
        <v>6</v>
      </c>
      <c r="BB1042">
        <v>0</v>
      </c>
      <c r="BC1042" t="s">
        <v>133</v>
      </c>
      <c r="BD1042">
        <v>0</v>
      </c>
      <c r="BE1042" t="s">
        <v>133</v>
      </c>
      <c r="BF104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43" spans="1:58" x14ac:dyDescent="0.25">
      <c r="A1043" t="s">
        <v>1306</v>
      </c>
      <c r="B1043" t="s">
        <v>19</v>
      </c>
      <c r="C1043">
        <v>2</v>
      </c>
      <c r="D1043">
        <v>427</v>
      </c>
      <c r="E1043" t="s">
        <v>2111</v>
      </c>
      <c r="F1043" t="s">
        <v>123</v>
      </c>
      <c r="G1043" t="s">
        <v>124</v>
      </c>
      <c r="H1043" t="s">
        <v>125</v>
      </c>
      <c r="I1043" t="s">
        <v>148</v>
      </c>
      <c r="J1043" t="s">
        <v>149</v>
      </c>
      <c r="K1043" t="s">
        <v>127</v>
      </c>
      <c r="L1043">
        <v>50</v>
      </c>
      <c r="M1043">
        <v>1271225</v>
      </c>
      <c r="N1043">
        <v>6</v>
      </c>
      <c r="O1043">
        <v>4</v>
      </c>
      <c r="P1043" t="s">
        <v>168</v>
      </c>
      <c r="Q1043" t="s">
        <v>129</v>
      </c>
      <c r="R1043">
        <v>39</v>
      </c>
      <c r="T1043">
        <v>13</v>
      </c>
      <c r="U1043">
        <v>14</v>
      </c>
      <c r="V1043">
        <v>0</v>
      </c>
      <c r="W1043">
        <v>0</v>
      </c>
      <c r="X1043">
        <v>0</v>
      </c>
      <c r="Y1043">
        <v>0</v>
      </c>
      <c r="Z1043">
        <v>13</v>
      </c>
      <c r="AA1043">
        <v>14</v>
      </c>
      <c r="AB1043">
        <v>50</v>
      </c>
      <c r="AC1043">
        <v>41</v>
      </c>
      <c r="AD1043">
        <v>0</v>
      </c>
      <c r="AE1043">
        <v>0</v>
      </c>
      <c r="AF1043">
        <v>41</v>
      </c>
      <c r="AG1043">
        <v>0</v>
      </c>
      <c r="AH1043">
        <v>9</v>
      </c>
      <c r="AI1043">
        <v>9</v>
      </c>
      <c r="AJ1043">
        <v>9</v>
      </c>
      <c r="AK1043">
        <v>9</v>
      </c>
      <c r="AL1043">
        <v>0</v>
      </c>
      <c r="AM1043">
        <v>0.12</v>
      </c>
      <c r="AN1043">
        <v>0.81818181818181823</v>
      </c>
      <c r="AO1043">
        <v>0</v>
      </c>
      <c r="AP1043" t="s">
        <v>150</v>
      </c>
      <c r="AQ1043" t="s">
        <v>131</v>
      </c>
      <c r="AR1043" t="s">
        <v>1184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 t="s">
        <v>147</v>
      </c>
      <c r="BA1043">
        <v>6</v>
      </c>
      <c r="BB1043">
        <v>0</v>
      </c>
      <c r="BC1043" t="s">
        <v>133</v>
      </c>
      <c r="BD1043">
        <v>0</v>
      </c>
      <c r="BE1043" t="s">
        <v>133</v>
      </c>
      <c r="BF104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44" spans="1:58" x14ac:dyDescent="0.25">
      <c r="A1044" t="s">
        <v>1307</v>
      </c>
      <c r="B1044" t="s">
        <v>19</v>
      </c>
      <c r="C1044">
        <v>2</v>
      </c>
      <c r="D1044">
        <v>428</v>
      </c>
      <c r="E1044" t="s">
        <v>2111</v>
      </c>
      <c r="F1044" t="s">
        <v>123</v>
      </c>
      <c r="G1044" t="s">
        <v>124</v>
      </c>
      <c r="H1044" t="s">
        <v>125</v>
      </c>
      <c r="I1044" t="s">
        <v>148</v>
      </c>
      <c r="J1044" t="s">
        <v>149</v>
      </c>
      <c r="K1044" t="s">
        <v>127</v>
      </c>
      <c r="L1044">
        <v>50</v>
      </c>
      <c r="M1044">
        <v>1271227</v>
      </c>
      <c r="N1044">
        <v>6</v>
      </c>
      <c r="O1044">
        <v>4</v>
      </c>
      <c r="P1044" t="s">
        <v>168</v>
      </c>
      <c r="Q1044" t="s">
        <v>129</v>
      </c>
      <c r="R1044">
        <v>39</v>
      </c>
      <c r="T1044">
        <v>11</v>
      </c>
      <c r="U1044">
        <v>14</v>
      </c>
      <c r="V1044">
        <v>0</v>
      </c>
      <c r="W1044">
        <v>0</v>
      </c>
      <c r="X1044">
        <v>0</v>
      </c>
      <c r="Y1044">
        <v>0</v>
      </c>
      <c r="Z1044">
        <v>11</v>
      </c>
      <c r="AA1044">
        <v>14</v>
      </c>
      <c r="AB1044">
        <v>50</v>
      </c>
      <c r="AC1044">
        <v>44</v>
      </c>
      <c r="AD1044">
        <v>0</v>
      </c>
      <c r="AE1044">
        <v>0</v>
      </c>
      <c r="AF1044">
        <v>44</v>
      </c>
      <c r="AG1044">
        <v>0</v>
      </c>
      <c r="AH1044">
        <v>6</v>
      </c>
      <c r="AI1044">
        <v>6</v>
      </c>
      <c r="AJ1044">
        <v>6</v>
      </c>
      <c r="AK1044">
        <v>6</v>
      </c>
      <c r="AL1044">
        <v>0</v>
      </c>
      <c r="AM1044">
        <v>0.12</v>
      </c>
      <c r="AN1044">
        <v>0.54545454545454541</v>
      </c>
      <c r="AO1044">
        <v>0</v>
      </c>
      <c r="AP1044" t="s">
        <v>150</v>
      </c>
      <c r="AQ1044" t="s">
        <v>131</v>
      </c>
      <c r="AR1044" t="s">
        <v>1184</v>
      </c>
      <c r="AS1044">
        <v>0</v>
      </c>
      <c r="AT1044">
        <v>0</v>
      </c>
      <c r="AU1044">
        <v>0</v>
      </c>
      <c r="AV1044">
        <v>0</v>
      </c>
      <c r="AW1044">
        <v>0</v>
      </c>
      <c r="AX1044">
        <v>0</v>
      </c>
      <c r="AY1044">
        <v>0</v>
      </c>
      <c r="AZ1044" t="s">
        <v>147</v>
      </c>
      <c r="BA1044">
        <v>6</v>
      </c>
      <c r="BB1044">
        <v>0</v>
      </c>
      <c r="BC1044" t="s">
        <v>133</v>
      </c>
      <c r="BD1044">
        <v>0</v>
      </c>
      <c r="BE1044" t="s">
        <v>133</v>
      </c>
      <c r="BF104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45" spans="1:58" x14ac:dyDescent="0.25">
      <c r="A1045" t="s">
        <v>1308</v>
      </c>
      <c r="B1045" t="s">
        <v>19</v>
      </c>
      <c r="C1045">
        <v>2</v>
      </c>
      <c r="D1045">
        <v>429</v>
      </c>
      <c r="E1045" t="s">
        <v>2111</v>
      </c>
      <c r="F1045" t="s">
        <v>123</v>
      </c>
      <c r="G1045" t="s">
        <v>124</v>
      </c>
      <c r="H1045" t="s">
        <v>125</v>
      </c>
      <c r="I1045" t="s">
        <v>148</v>
      </c>
      <c r="J1045" t="s">
        <v>149</v>
      </c>
      <c r="K1045" t="s">
        <v>127</v>
      </c>
      <c r="L1045">
        <v>50</v>
      </c>
      <c r="M1045">
        <v>1271229</v>
      </c>
      <c r="N1045">
        <v>6</v>
      </c>
      <c r="O1045">
        <v>4</v>
      </c>
      <c r="P1045" t="s">
        <v>168</v>
      </c>
      <c r="Q1045" t="s">
        <v>129</v>
      </c>
      <c r="R1045">
        <v>39</v>
      </c>
      <c r="T1045">
        <v>9</v>
      </c>
      <c r="U1045">
        <v>14</v>
      </c>
      <c r="V1045">
        <v>0</v>
      </c>
      <c r="W1045">
        <v>0</v>
      </c>
      <c r="X1045">
        <v>0</v>
      </c>
      <c r="Y1045">
        <v>0</v>
      </c>
      <c r="Z1045">
        <v>9</v>
      </c>
      <c r="AA1045">
        <v>14</v>
      </c>
      <c r="AB1045">
        <v>50</v>
      </c>
      <c r="AC1045">
        <v>43</v>
      </c>
      <c r="AD1045">
        <v>0</v>
      </c>
      <c r="AE1045">
        <v>0</v>
      </c>
      <c r="AF1045">
        <v>43</v>
      </c>
      <c r="AG1045">
        <v>0</v>
      </c>
      <c r="AH1045">
        <v>7</v>
      </c>
      <c r="AI1045">
        <v>7</v>
      </c>
      <c r="AJ1045">
        <v>7</v>
      </c>
      <c r="AK1045">
        <v>7</v>
      </c>
      <c r="AL1045">
        <v>0</v>
      </c>
      <c r="AM1045">
        <v>0.12</v>
      </c>
      <c r="AN1045">
        <v>0.63636363636363635</v>
      </c>
      <c r="AO1045">
        <v>0</v>
      </c>
      <c r="AP1045" t="s">
        <v>150</v>
      </c>
      <c r="AQ1045" t="s">
        <v>131</v>
      </c>
      <c r="AR1045" t="s">
        <v>1184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 t="s">
        <v>147</v>
      </c>
      <c r="BA1045">
        <v>6</v>
      </c>
      <c r="BB1045">
        <v>0</v>
      </c>
      <c r="BC1045" t="s">
        <v>133</v>
      </c>
      <c r="BD1045">
        <v>0</v>
      </c>
      <c r="BE1045" t="s">
        <v>133</v>
      </c>
      <c r="BF104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46" spans="1:58" x14ac:dyDescent="0.25">
      <c r="A1046" t="s">
        <v>1309</v>
      </c>
      <c r="B1046" t="s">
        <v>19</v>
      </c>
      <c r="C1046">
        <v>2</v>
      </c>
      <c r="D1046">
        <v>430</v>
      </c>
      <c r="E1046" t="s">
        <v>2111</v>
      </c>
      <c r="F1046" t="s">
        <v>123</v>
      </c>
      <c r="G1046" t="s">
        <v>124</v>
      </c>
      <c r="H1046" t="s">
        <v>125</v>
      </c>
      <c r="I1046" t="s">
        <v>148</v>
      </c>
      <c r="J1046" t="s">
        <v>149</v>
      </c>
      <c r="K1046" t="s">
        <v>127</v>
      </c>
      <c r="L1046">
        <v>50</v>
      </c>
      <c r="M1046">
        <v>1271231</v>
      </c>
      <c r="N1046">
        <v>6</v>
      </c>
      <c r="O1046">
        <v>4</v>
      </c>
      <c r="P1046" t="s">
        <v>168</v>
      </c>
      <c r="Q1046" t="s">
        <v>129</v>
      </c>
      <c r="R1046">
        <v>39</v>
      </c>
      <c r="T1046">
        <v>13</v>
      </c>
      <c r="U1046">
        <v>15</v>
      </c>
      <c r="V1046">
        <v>0</v>
      </c>
      <c r="W1046">
        <v>0</v>
      </c>
      <c r="X1046">
        <v>0</v>
      </c>
      <c r="Y1046">
        <v>0</v>
      </c>
      <c r="Z1046">
        <v>13</v>
      </c>
      <c r="AA1046">
        <v>15</v>
      </c>
      <c r="AB1046">
        <v>50</v>
      </c>
      <c r="AC1046">
        <v>42</v>
      </c>
      <c r="AD1046">
        <v>0</v>
      </c>
      <c r="AE1046">
        <v>0</v>
      </c>
      <c r="AF1046">
        <v>42</v>
      </c>
      <c r="AG1046">
        <v>0</v>
      </c>
      <c r="AH1046">
        <v>8</v>
      </c>
      <c r="AI1046">
        <v>8</v>
      </c>
      <c r="AJ1046">
        <v>8</v>
      </c>
      <c r="AK1046">
        <v>8</v>
      </c>
      <c r="AL1046">
        <v>0</v>
      </c>
      <c r="AM1046">
        <v>0.12</v>
      </c>
      <c r="AN1046">
        <v>0.72727272727272729</v>
      </c>
      <c r="AO1046">
        <v>0</v>
      </c>
      <c r="AP1046" t="s">
        <v>150</v>
      </c>
      <c r="AQ1046" t="s">
        <v>131</v>
      </c>
      <c r="AR1046" t="s">
        <v>1184</v>
      </c>
      <c r="AS1046">
        <v>0</v>
      </c>
      <c r="AT1046">
        <v>0</v>
      </c>
      <c r="AU1046">
        <v>0</v>
      </c>
      <c r="AV1046">
        <v>0</v>
      </c>
      <c r="AW1046">
        <v>0</v>
      </c>
      <c r="AX1046">
        <v>0</v>
      </c>
      <c r="AY1046">
        <v>0</v>
      </c>
      <c r="AZ1046" t="s">
        <v>147</v>
      </c>
      <c r="BA1046">
        <v>6</v>
      </c>
      <c r="BB1046">
        <v>0</v>
      </c>
      <c r="BC1046" t="s">
        <v>133</v>
      </c>
      <c r="BD1046">
        <v>0</v>
      </c>
      <c r="BE1046" t="s">
        <v>133</v>
      </c>
      <c r="BF104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47" spans="1:58" x14ac:dyDescent="0.25">
      <c r="A1047" t="s">
        <v>1310</v>
      </c>
      <c r="B1047" t="s">
        <v>19</v>
      </c>
      <c r="C1047">
        <v>2</v>
      </c>
      <c r="D1047">
        <v>431</v>
      </c>
      <c r="E1047" t="s">
        <v>2111</v>
      </c>
      <c r="F1047" t="s">
        <v>123</v>
      </c>
      <c r="G1047" t="s">
        <v>124</v>
      </c>
      <c r="H1047" t="s">
        <v>125</v>
      </c>
      <c r="I1047" t="s">
        <v>148</v>
      </c>
      <c r="J1047" t="s">
        <v>149</v>
      </c>
      <c r="K1047" t="s">
        <v>127</v>
      </c>
      <c r="L1047">
        <v>50</v>
      </c>
      <c r="M1047">
        <v>1271233</v>
      </c>
      <c r="N1047">
        <v>6</v>
      </c>
      <c r="O1047">
        <v>4</v>
      </c>
      <c r="P1047" t="s">
        <v>168</v>
      </c>
      <c r="Q1047" t="s">
        <v>129</v>
      </c>
      <c r="R1047">
        <v>39</v>
      </c>
      <c r="T1047">
        <v>13</v>
      </c>
      <c r="U1047">
        <v>13</v>
      </c>
      <c r="V1047">
        <v>0</v>
      </c>
      <c r="W1047">
        <v>0</v>
      </c>
      <c r="X1047">
        <v>0</v>
      </c>
      <c r="Y1047">
        <v>0</v>
      </c>
      <c r="Z1047">
        <v>13</v>
      </c>
      <c r="AA1047">
        <v>13</v>
      </c>
      <c r="AB1047">
        <v>50</v>
      </c>
      <c r="AC1047">
        <v>40</v>
      </c>
      <c r="AD1047">
        <v>0</v>
      </c>
      <c r="AE1047">
        <v>0</v>
      </c>
      <c r="AF1047">
        <v>40</v>
      </c>
      <c r="AG1047">
        <v>0</v>
      </c>
      <c r="AH1047">
        <v>10</v>
      </c>
      <c r="AI1047">
        <v>10</v>
      </c>
      <c r="AJ1047">
        <v>10</v>
      </c>
      <c r="AK1047">
        <v>10</v>
      </c>
      <c r="AL1047">
        <v>0</v>
      </c>
      <c r="AM1047">
        <v>0.12</v>
      </c>
      <c r="AN1047">
        <v>0.90909090909090917</v>
      </c>
      <c r="AO1047">
        <v>0</v>
      </c>
      <c r="AP1047" t="s">
        <v>150</v>
      </c>
      <c r="AQ1047" t="s">
        <v>131</v>
      </c>
      <c r="AR1047" t="s">
        <v>1184</v>
      </c>
      <c r="AS1047">
        <v>0</v>
      </c>
      <c r="AT1047">
        <v>0</v>
      </c>
      <c r="AU1047">
        <v>0</v>
      </c>
      <c r="AV1047">
        <v>0</v>
      </c>
      <c r="AW1047">
        <v>0</v>
      </c>
      <c r="AX1047">
        <v>0</v>
      </c>
      <c r="AY1047">
        <v>0</v>
      </c>
      <c r="AZ1047" t="s">
        <v>147</v>
      </c>
      <c r="BA1047">
        <v>6</v>
      </c>
      <c r="BB1047">
        <v>0</v>
      </c>
      <c r="BC1047" t="s">
        <v>144</v>
      </c>
      <c r="BD1047">
        <v>0</v>
      </c>
      <c r="BE1047" t="s">
        <v>133</v>
      </c>
      <c r="BF104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48" spans="1:58" x14ac:dyDescent="0.25">
      <c r="A1048" t="s">
        <v>1311</v>
      </c>
      <c r="B1048" t="s">
        <v>19</v>
      </c>
      <c r="C1048">
        <v>2</v>
      </c>
      <c r="D1048">
        <v>432</v>
      </c>
      <c r="E1048" t="s">
        <v>2111</v>
      </c>
      <c r="F1048" t="s">
        <v>123</v>
      </c>
      <c r="G1048" t="s">
        <v>124</v>
      </c>
      <c r="H1048" t="s">
        <v>136</v>
      </c>
      <c r="I1048" t="s">
        <v>137</v>
      </c>
      <c r="J1048" t="s">
        <v>153</v>
      </c>
      <c r="K1048" t="s">
        <v>127</v>
      </c>
      <c r="L1048">
        <v>50</v>
      </c>
      <c r="M1048">
        <v>1271235</v>
      </c>
      <c r="N1048">
        <v>9.1</v>
      </c>
      <c r="O1048">
        <v>4</v>
      </c>
      <c r="P1048" t="s">
        <v>168</v>
      </c>
      <c r="Q1048" t="s">
        <v>129</v>
      </c>
      <c r="R1048">
        <v>40</v>
      </c>
      <c r="S1048" t="s">
        <v>1312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50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50</v>
      </c>
      <c r="AI1048">
        <v>50</v>
      </c>
      <c r="AJ1048">
        <v>50</v>
      </c>
      <c r="AK1048">
        <v>50</v>
      </c>
      <c r="AL1048">
        <v>0</v>
      </c>
      <c r="AM1048">
        <v>0.182</v>
      </c>
      <c r="AN1048">
        <v>4.5454545454545459</v>
      </c>
      <c r="AO1048">
        <v>0</v>
      </c>
      <c r="AP1048" t="s">
        <v>139</v>
      </c>
      <c r="AQ1048" t="s">
        <v>155</v>
      </c>
      <c r="AR1048" t="s">
        <v>1184</v>
      </c>
      <c r="AS1048">
        <v>0</v>
      </c>
      <c r="AT1048">
        <v>0</v>
      </c>
      <c r="AU1048">
        <v>0</v>
      </c>
      <c r="AV1048">
        <v>0</v>
      </c>
      <c r="AW1048">
        <v>0</v>
      </c>
      <c r="AX1048">
        <v>0</v>
      </c>
      <c r="AY1048">
        <v>0</v>
      </c>
      <c r="AZ1048" t="s">
        <v>147</v>
      </c>
      <c r="BA1048">
        <v>9.1</v>
      </c>
      <c r="BB1048">
        <v>0</v>
      </c>
      <c r="BC1048" t="s">
        <v>132</v>
      </c>
      <c r="BD1048">
        <v>1</v>
      </c>
      <c r="BE1048" t="s">
        <v>133</v>
      </c>
      <c r="BF104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49" spans="1:58" x14ac:dyDescent="0.25">
      <c r="A1049" t="s">
        <v>1313</v>
      </c>
      <c r="B1049" t="s">
        <v>19</v>
      </c>
      <c r="C1049">
        <v>2</v>
      </c>
      <c r="D1049">
        <v>433</v>
      </c>
      <c r="E1049" t="s">
        <v>2111</v>
      </c>
      <c r="F1049" t="s">
        <v>123</v>
      </c>
      <c r="G1049" t="s">
        <v>124</v>
      </c>
      <c r="H1049" t="s">
        <v>136</v>
      </c>
      <c r="I1049" t="s">
        <v>137</v>
      </c>
      <c r="J1049" t="s">
        <v>153</v>
      </c>
      <c r="K1049" t="s">
        <v>127</v>
      </c>
      <c r="L1049">
        <v>50</v>
      </c>
      <c r="M1049">
        <v>1271237</v>
      </c>
      <c r="N1049">
        <v>9.1</v>
      </c>
      <c r="O1049">
        <v>4</v>
      </c>
      <c r="P1049" t="s">
        <v>168</v>
      </c>
      <c r="Q1049" t="s">
        <v>129</v>
      </c>
      <c r="R1049">
        <v>40</v>
      </c>
      <c r="S1049" t="s">
        <v>1312</v>
      </c>
      <c r="T1049">
        <v>0</v>
      </c>
      <c r="U1049">
        <v>2</v>
      </c>
      <c r="V1049">
        <v>1</v>
      </c>
      <c r="W1049">
        <v>0</v>
      </c>
      <c r="X1049">
        <v>1</v>
      </c>
      <c r="Y1049">
        <v>0</v>
      </c>
      <c r="Z1049">
        <v>0</v>
      </c>
      <c r="AA1049">
        <v>3</v>
      </c>
      <c r="AB1049">
        <v>50</v>
      </c>
      <c r="AC1049">
        <v>12</v>
      </c>
      <c r="AD1049">
        <v>1</v>
      </c>
      <c r="AE1049">
        <v>0</v>
      </c>
      <c r="AF1049">
        <v>13</v>
      </c>
      <c r="AG1049">
        <v>0</v>
      </c>
      <c r="AH1049">
        <v>38</v>
      </c>
      <c r="AI1049">
        <v>37</v>
      </c>
      <c r="AJ1049">
        <v>38</v>
      </c>
      <c r="AK1049">
        <v>38</v>
      </c>
      <c r="AL1049">
        <v>0</v>
      </c>
      <c r="AM1049">
        <v>0.182</v>
      </c>
      <c r="AN1049">
        <v>3.4545454545454546</v>
      </c>
      <c r="AO1049">
        <v>0</v>
      </c>
      <c r="AP1049" t="s">
        <v>139</v>
      </c>
      <c r="AQ1049" t="s">
        <v>131</v>
      </c>
      <c r="AR1049" t="s">
        <v>1184</v>
      </c>
      <c r="AS1049">
        <v>0</v>
      </c>
      <c r="AT1049">
        <v>0</v>
      </c>
      <c r="AU1049">
        <v>0</v>
      </c>
      <c r="AV1049">
        <v>0</v>
      </c>
      <c r="AW1049">
        <v>0</v>
      </c>
      <c r="AX1049">
        <v>0</v>
      </c>
      <c r="AY1049">
        <v>0</v>
      </c>
      <c r="AZ1049" t="s">
        <v>147</v>
      </c>
      <c r="BA1049">
        <v>9.1</v>
      </c>
      <c r="BB1049">
        <v>0</v>
      </c>
      <c r="BC1049" t="s">
        <v>133</v>
      </c>
      <c r="BD1049">
        <v>0</v>
      </c>
      <c r="BE1049" t="s">
        <v>133</v>
      </c>
      <c r="BF104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50" spans="1:58" x14ac:dyDescent="0.25">
      <c r="A1050" t="s">
        <v>1314</v>
      </c>
      <c r="B1050" t="s">
        <v>19</v>
      </c>
      <c r="C1050">
        <v>2</v>
      </c>
      <c r="D1050">
        <v>434</v>
      </c>
      <c r="E1050" t="s">
        <v>2111</v>
      </c>
      <c r="F1050" t="s">
        <v>123</v>
      </c>
      <c r="G1050" t="s">
        <v>124</v>
      </c>
      <c r="H1050" t="s">
        <v>136</v>
      </c>
      <c r="I1050" t="s">
        <v>137</v>
      </c>
      <c r="J1050" t="s">
        <v>153</v>
      </c>
      <c r="K1050" t="s">
        <v>127</v>
      </c>
      <c r="L1050">
        <v>50</v>
      </c>
      <c r="M1050">
        <v>1271239</v>
      </c>
      <c r="N1050">
        <v>9.1</v>
      </c>
      <c r="O1050">
        <v>4</v>
      </c>
      <c r="P1050" t="s">
        <v>168</v>
      </c>
      <c r="Q1050" t="s">
        <v>129</v>
      </c>
      <c r="R1050">
        <v>40</v>
      </c>
      <c r="S1050" t="s">
        <v>1312</v>
      </c>
      <c r="T1050">
        <v>2</v>
      </c>
      <c r="U1050">
        <v>2</v>
      </c>
      <c r="V1050">
        <v>0</v>
      </c>
      <c r="W1050">
        <v>0</v>
      </c>
      <c r="X1050">
        <v>0</v>
      </c>
      <c r="Y1050">
        <v>0</v>
      </c>
      <c r="Z1050">
        <v>2</v>
      </c>
      <c r="AA1050">
        <v>2</v>
      </c>
      <c r="AB1050">
        <v>50</v>
      </c>
      <c r="AC1050">
        <v>2</v>
      </c>
      <c r="AD1050">
        <v>0</v>
      </c>
      <c r="AE1050">
        <v>0</v>
      </c>
      <c r="AF1050">
        <v>2</v>
      </c>
      <c r="AG1050">
        <v>0</v>
      </c>
      <c r="AH1050">
        <v>48</v>
      </c>
      <c r="AI1050">
        <v>48</v>
      </c>
      <c r="AJ1050">
        <v>48</v>
      </c>
      <c r="AK1050">
        <v>48</v>
      </c>
      <c r="AL1050">
        <v>0</v>
      </c>
      <c r="AM1050">
        <v>0.182</v>
      </c>
      <c r="AN1050">
        <v>4.3636363636363633</v>
      </c>
      <c r="AO1050">
        <v>0</v>
      </c>
      <c r="AP1050" t="s">
        <v>139</v>
      </c>
      <c r="AQ1050" t="s">
        <v>131</v>
      </c>
      <c r="AR1050" t="s">
        <v>1184</v>
      </c>
      <c r="AS1050">
        <v>0</v>
      </c>
      <c r="AT1050">
        <v>0</v>
      </c>
      <c r="AU1050">
        <v>0</v>
      </c>
      <c r="AV1050">
        <v>0</v>
      </c>
      <c r="AW1050">
        <v>0</v>
      </c>
      <c r="AX1050">
        <v>0</v>
      </c>
      <c r="AY1050">
        <v>0</v>
      </c>
      <c r="AZ1050" t="s">
        <v>147</v>
      </c>
      <c r="BA1050">
        <v>9.1</v>
      </c>
      <c r="BB1050">
        <v>0</v>
      </c>
      <c r="BC1050" t="s">
        <v>133</v>
      </c>
      <c r="BD1050">
        <v>0</v>
      </c>
      <c r="BE1050" t="s">
        <v>133</v>
      </c>
      <c r="BF105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51" spans="1:58" x14ac:dyDescent="0.25">
      <c r="A1051" t="s">
        <v>1315</v>
      </c>
      <c r="B1051" t="s">
        <v>19</v>
      </c>
      <c r="C1051">
        <v>2</v>
      </c>
      <c r="D1051">
        <v>435</v>
      </c>
      <c r="E1051" t="s">
        <v>2111</v>
      </c>
      <c r="F1051" t="s">
        <v>123</v>
      </c>
      <c r="G1051" t="s">
        <v>124</v>
      </c>
      <c r="H1051" t="s">
        <v>136</v>
      </c>
      <c r="I1051" t="s">
        <v>137</v>
      </c>
      <c r="J1051" t="s">
        <v>153</v>
      </c>
      <c r="K1051" t="s">
        <v>127</v>
      </c>
      <c r="L1051">
        <v>50</v>
      </c>
      <c r="M1051">
        <v>1271241</v>
      </c>
      <c r="N1051">
        <v>9.1</v>
      </c>
      <c r="O1051">
        <v>4</v>
      </c>
      <c r="P1051" t="s">
        <v>168</v>
      </c>
      <c r="Q1051" t="s">
        <v>129</v>
      </c>
      <c r="R1051">
        <v>40</v>
      </c>
      <c r="S1051" t="s">
        <v>1312</v>
      </c>
      <c r="T1051">
        <v>0</v>
      </c>
      <c r="U1051">
        <v>0</v>
      </c>
      <c r="V1051">
        <v>19</v>
      </c>
      <c r="W1051">
        <v>0</v>
      </c>
      <c r="X1051">
        <v>19</v>
      </c>
      <c r="Y1051">
        <v>0</v>
      </c>
      <c r="Z1051">
        <v>0</v>
      </c>
      <c r="AA1051">
        <v>19</v>
      </c>
      <c r="AB1051">
        <v>50</v>
      </c>
      <c r="AC1051">
        <v>0</v>
      </c>
      <c r="AD1051">
        <v>19</v>
      </c>
      <c r="AE1051">
        <v>0</v>
      </c>
      <c r="AF1051">
        <v>19</v>
      </c>
      <c r="AG1051">
        <v>0</v>
      </c>
      <c r="AH1051">
        <v>50</v>
      </c>
      <c r="AI1051">
        <v>31</v>
      </c>
      <c r="AJ1051">
        <v>50</v>
      </c>
      <c r="AK1051">
        <v>50</v>
      </c>
      <c r="AL1051">
        <v>0</v>
      </c>
      <c r="AM1051">
        <v>0.182</v>
      </c>
      <c r="AN1051">
        <v>4.5454545454545459</v>
      </c>
      <c r="AO1051">
        <v>0</v>
      </c>
      <c r="AP1051" t="s">
        <v>139</v>
      </c>
      <c r="AQ1051" t="s">
        <v>131</v>
      </c>
      <c r="AR1051" t="s">
        <v>1184</v>
      </c>
      <c r="AS1051">
        <v>0</v>
      </c>
      <c r="AT1051">
        <v>0</v>
      </c>
      <c r="AU1051">
        <v>0</v>
      </c>
      <c r="AV1051">
        <v>0</v>
      </c>
      <c r="AW1051">
        <v>0</v>
      </c>
      <c r="AX1051">
        <v>0</v>
      </c>
      <c r="AY1051">
        <v>0</v>
      </c>
      <c r="AZ1051" t="s">
        <v>147</v>
      </c>
      <c r="BA1051">
        <v>9.1</v>
      </c>
      <c r="BB1051">
        <v>0</v>
      </c>
      <c r="BC1051" t="s">
        <v>133</v>
      </c>
      <c r="BD1051">
        <v>1</v>
      </c>
      <c r="BE1051" t="s">
        <v>133</v>
      </c>
      <c r="BF105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52" spans="1:58" x14ac:dyDescent="0.25">
      <c r="A1052" t="s">
        <v>1316</v>
      </c>
      <c r="B1052" t="s">
        <v>19</v>
      </c>
      <c r="C1052">
        <v>2</v>
      </c>
      <c r="D1052">
        <v>436</v>
      </c>
      <c r="E1052" t="s">
        <v>2111</v>
      </c>
      <c r="F1052" t="s">
        <v>123</v>
      </c>
      <c r="G1052" t="s">
        <v>124</v>
      </c>
      <c r="H1052" t="s">
        <v>136</v>
      </c>
      <c r="I1052" t="s">
        <v>137</v>
      </c>
      <c r="J1052" t="s">
        <v>153</v>
      </c>
      <c r="K1052" t="s">
        <v>127</v>
      </c>
      <c r="L1052">
        <v>50</v>
      </c>
      <c r="M1052">
        <v>1271243</v>
      </c>
      <c r="N1052">
        <v>9.1</v>
      </c>
      <c r="O1052">
        <v>4</v>
      </c>
      <c r="P1052" t="s">
        <v>168</v>
      </c>
      <c r="Q1052" t="s">
        <v>129</v>
      </c>
      <c r="R1052">
        <v>40</v>
      </c>
      <c r="S1052" t="s">
        <v>1312</v>
      </c>
      <c r="T1052">
        <v>7</v>
      </c>
      <c r="U1052">
        <v>14</v>
      </c>
      <c r="V1052">
        <v>0</v>
      </c>
      <c r="W1052">
        <v>0</v>
      </c>
      <c r="X1052">
        <v>0</v>
      </c>
      <c r="Y1052">
        <v>1</v>
      </c>
      <c r="Z1052">
        <v>8</v>
      </c>
      <c r="AA1052">
        <v>15</v>
      </c>
      <c r="AB1052">
        <v>50</v>
      </c>
      <c r="AC1052">
        <v>24</v>
      </c>
      <c r="AD1052">
        <v>0</v>
      </c>
      <c r="AE1052">
        <v>2</v>
      </c>
      <c r="AF1052">
        <v>26</v>
      </c>
      <c r="AG1052">
        <v>0</v>
      </c>
      <c r="AH1052">
        <v>26</v>
      </c>
      <c r="AI1052">
        <v>24</v>
      </c>
      <c r="AJ1052">
        <v>24</v>
      </c>
      <c r="AK1052">
        <v>26</v>
      </c>
      <c r="AL1052">
        <v>0</v>
      </c>
      <c r="AM1052">
        <v>0.182</v>
      </c>
      <c r="AN1052">
        <v>2.1818181818181817</v>
      </c>
      <c r="AO1052">
        <v>0</v>
      </c>
      <c r="AP1052" t="s">
        <v>139</v>
      </c>
      <c r="AQ1052" t="s">
        <v>131</v>
      </c>
      <c r="AR1052" t="s">
        <v>1184</v>
      </c>
      <c r="AS1052">
        <v>0</v>
      </c>
      <c r="AT1052">
        <v>0</v>
      </c>
      <c r="AU1052">
        <v>0</v>
      </c>
      <c r="AV1052">
        <v>0</v>
      </c>
      <c r="AW1052">
        <v>0</v>
      </c>
      <c r="AX1052">
        <v>0</v>
      </c>
      <c r="AY1052">
        <v>0</v>
      </c>
      <c r="AZ1052" t="s">
        <v>147</v>
      </c>
      <c r="BA1052">
        <v>9.1</v>
      </c>
      <c r="BB1052">
        <v>0</v>
      </c>
      <c r="BC1052" t="s">
        <v>133</v>
      </c>
      <c r="BD1052">
        <v>0</v>
      </c>
      <c r="BE1052" t="s">
        <v>133</v>
      </c>
      <c r="BF105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53" spans="1:58" x14ac:dyDescent="0.25">
      <c r="A1053" t="s">
        <v>1317</v>
      </c>
      <c r="B1053" t="s">
        <v>19</v>
      </c>
      <c r="C1053">
        <v>2</v>
      </c>
      <c r="D1053">
        <v>437</v>
      </c>
      <c r="E1053" t="s">
        <v>2111</v>
      </c>
      <c r="F1053" t="s">
        <v>123</v>
      </c>
      <c r="G1053" t="s">
        <v>124</v>
      </c>
      <c r="H1053" t="s">
        <v>136</v>
      </c>
      <c r="I1053" t="s">
        <v>137</v>
      </c>
      <c r="J1053" t="s">
        <v>153</v>
      </c>
      <c r="K1053" t="s">
        <v>127</v>
      </c>
      <c r="L1053">
        <v>50</v>
      </c>
      <c r="M1053">
        <v>1271245</v>
      </c>
      <c r="N1053">
        <v>9.1</v>
      </c>
      <c r="O1053">
        <v>4</v>
      </c>
      <c r="P1053" t="s">
        <v>168</v>
      </c>
      <c r="Q1053" t="s">
        <v>129</v>
      </c>
      <c r="R1053">
        <v>40</v>
      </c>
      <c r="S1053" t="s">
        <v>1312</v>
      </c>
      <c r="T1053">
        <v>0</v>
      </c>
      <c r="U1053">
        <v>2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2</v>
      </c>
      <c r="AB1053">
        <v>50</v>
      </c>
      <c r="AC1053">
        <v>23</v>
      </c>
      <c r="AD1053">
        <v>0</v>
      </c>
      <c r="AE1053">
        <v>0</v>
      </c>
      <c r="AF1053">
        <v>23</v>
      </c>
      <c r="AG1053">
        <v>0</v>
      </c>
      <c r="AH1053">
        <v>27</v>
      </c>
      <c r="AI1053">
        <v>27</v>
      </c>
      <c r="AJ1053">
        <v>27</v>
      </c>
      <c r="AK1053">
        <v>27</v>
      </c>
      <c r="AL1053">
        <v>0</v>
      </c>
      <c r="AM1053">
        <v>0.182</v>
      </c>
      <c r="AN1053">
        <v>2.4545454545454546</v>
      </c>
      <c r="AO1053">
        <v>0</v>
      </c>
      <c r="AP1053" t="s">
        <v>139</v>
      </c>
      <c r="AQ1053" t="s">
        <v>131</v>
      </c>
      <c r="AR1053" t="s">
        <v>1184</v>
      </c>
      <c r="AS1053">
        <v>0</v>
      </c>
      <c r="AT1053">
        <v>0</v>
      </c>
      <c r="AU1053">
        <v>0</v>
      </c>
      <c r="AV1053">
        <v>0</v>
      </c>
      <c r="AW1053">
        <v>0</v>
      </c>
      <c r="AX1053">
        <v>0</v>
      </c>
      <c r="AY1053">
        <v>0</v>
      </c>
      <c r="AZ1053" t="s">
        <v>147</v>
      </c>
      <c r="BA1053">
        <v>9.1</v>
      </c>
      <c r="BB1053">
        <v>0</v>
      </c>
      <c r="BC1053" t="s">
        <v>133</v>
      </c>
      <c r="BD1053">
        <v>0</v>
      </c>
      <c r="BE1053" t="s">
        <v>133</v>
      </c>
      <c r="BF105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54" spans="1:58" x14ac:dyDescent="0.25">
      <c r="A1054" t="s">
        <v>1318</v>
      </c>
      <c r="B1054" t="s">
        <v>19</v>
      </c>
      <c r="C1054">
        <v>2</v>
      </c>
      <c r="D1054">
        <v>438</v>
      </c>
      <c r="E1054" t="s">
        <v>2111</v>
      </c>
      <c r="F1054" t="s">
        <v>123</v>
      </c>
      <c r="G1054" t="s">
        <v>124</v>
      </c>
      <c r="H1054" t="s">
        <v>136</v>
      </c>
      <c r="I1054" t="s">
        <v>137</v>
      </c>
      <c r="J1054" t="s">
        <v>153</v>
      </c>
      <c r="K1054" t="s">
        <v>127</v>
      </c>
      <c r="L1054">
        <v>50</v>
      </c>
      <c r="M1054">
        <v>1271247</v>
      </c>
      <c r="N1054">
        <v>9.1</v>
      </c>
      <c r="O1054">
        <v>4</v>
      </c>
      <c r="P1054" t="s">
        <v>168</v>
      </c>
      <c r="Q1054" t="s">
        <v>129</v>
      </c>
      <c r="R1054">
        <v>40</v>
      </c>
      <c r="S1054" t="s">
        <v>1312</v>
      </c>
      <c r="T1054">
        <v>0</v>
      </c>
      <c r="U1054">
        <v>1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1</v>
      </c>
      <c r="AB1054">
        <v>50</v>
      </c>
      <c r="AC1054">
        <v>22</v>
      </c>
      <c r="AD1054">
        <v>0</v>
      </c>
      <c r="AE1054">
        <v>0</v>
      </c>
      <c r="AF1054">
        <v>22</v>
      </c>
      <c r="AG1054">
        <v>0</v>
      </c>
      <c r="AH1054">
        <v>28</v>
      </c>
      <c r="AI1054">
        <v>28</v>
      </c>
      <c r="AJ1054">
        <v>28</v>
      </c>
      <c r="AK1054">
        <v>28</v>
      </c>
      <c r="AL1054">
        <v>0</v>
      </c>
      <c r="AM1054">
        <v>0.182</v>
      </c>
      <c r="AN1054">
        <v>2.5454545454545454</v>
      </c>
      <c r="AO1054">
        <v>0</v>
      </c>
      <c r="AP1054" t="s">
        <v>139</v>
      </c>
      <c r="AQ1054" t="s">
        <v>131</v>
      </c>
      <c r="AR1054" t="s">
        <v>1184</v>
      </c>
      <c r="AS1054">
        <v>0</v>
      </c>
      <c r="AT1054">
        <v>0</v>
      </c>
      <c r="AU1054">
        <v>0</v>
      </c>
      <c r="AV1054">
        <v>0</v>
      </c>
      <c r="AW1054">
        <v>0</v>
      </c>
      <c r="AX1054">
        <v>0</v>
      </c>
      <c r="AY1054">
        <v>0</v>
      </c>
      <c r="AZ1054" t="s">
        <v>147</v>
      </c>
      <c r="BA1054">
        <v>9.1</v>
      </c>
      <c r="BB1054">
        <v>0</v>
      </c>
      <c r="BC1054" t="s">
        <v>133</v>
      </c>
      <c r="BD1054">
        <v>0</v>
      </c>
      <c r="BE1054" t="s">
        <v>133</v>
      </c>
      <c r="BF105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55" spans="1:58" x14ac:dyDescent="0.25">
      <c r="A1055" t="s">
        <v>1319</v>
      </c>
      <c r="B1055" t="s">
        <v>19</v>
      </c>
      <c r="C1055">
        <v>2</v>
      </c>
      <c r="D1055">
        <v>439</v>
      </c>
      <c r="E1055" t="s">
        <v>2111</v>
      </c>
      <c r="F1055" t="s">
        <v>123</v>
      </c>
      <c r="G1055" t="s">
        <v>124</v>
      </c>
      <c r="H1055" t="s">
        <v>136</v>
      </c>
      <c r="I1055" t="s">
        <v>137</v>
      </c>
      <c r="J1055" t="s">
        <v>153</v>
      </c>
      <c r="K1055" t="s">
        <v>127</v>
      </c>
      <c r="L1055">
        <v>50</v>
      </c>
      <c r="M1055">
        <v>1271249</v>
      </c>
      <c r="N1055">
        <v>9.1</v>
      </c>
      <c r="O1055">
        <v>4</v>
      </c>
      <c r="P1055" t="s">
        <v>168</v>
      </c>
      <c r="Q1055" t="s">
        <v>129</v>
      </c>
      <c r="R1055">
        <v>40</v>
      </c>
      <c r="S1055" t="s">
        <v>1312</v>
      </c>
      <c r="T1055">
        <v>0</v>
      </c>
      <c r="U1055">
        <v>1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1</v>
      </c>
      <c r="AB1055">
        <v>50</v>
      </c>
      <c r="AC1055">
        <v>22</v>
      </c>
      <c r="AD1055">
        <v>0</v>
      </c>
      <c r="AE1055">
        <v>0</v>
      </c>
      <c r="AF1055">
        <v>22</v>
      </c>
      <c r="AG1055">
        <v>0</v>
      </c>
      <c r="AH1055">
        <v>28</v>
      </c>
      <c r="AI1055">
        <v>28</v>
      </c>
      <c r="AJ1055">
        <v>28</v>
      </c>
      <c r="AK1055">
        <v>28</v>
      </c>
      <c r="AL1055">
        <v>0</v>
      </c>
      <c r="AM1055">
        <v>0.182</v>
      </c>
      <c r="AN1055">
        <v>2.5454545454545454</v>
      </c>
      <c r="AO1055">
        <v>0</v>
      </c>
      <c r="AP1055" t="s">
        <v>139</v>
      </c>
      <c r="AQ1055" t="s">
        <v>131</v>
      </c>
      <c r="AR1055" t="s">
        <v>1184</v>
      </c>
      <c r="AS1055">
        <v>0</v>
      </c>
      <c r="AT1055">
        <v>0</v>
      </c>
      <c r="AU1055">
        <v>0</v>
      </c>
      <c r="AV1055">
        <v>0</v>
      </c>
      <c r="AW1055">
        <v>0</v>
      </c>
      <c r="AX1055">
        <v>0</v>
      </c>
      <c r="AY1055">
        <v>0</v>
      </c>
      <c r="AZ1055" t="s">
        <v>147</v>
      </c>
      <c r="BA1055">
        <v>9.1</v>
      </c>
      <c r="BB1055">
        <v>0</v>
      </c>
      <c r="BC1055" t="s">
        <v>133</v>
      </c>
      <c r="BD1055">
        <v>0</v>
      </c>
      <c r="BE1055" t="s">
        <v>133</v>
      </c>
      <c r="BF105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56" spans="1:58" x14ac:dyDescent="0.25">
      <c r="A1056" t="s">
        <v>1320</v>
      </c>
      <c r="B1056" t="s">
        <v>19</v>
      </c>
      <c r="C1056">
        <v>2</v>
      </c>
      <c r="D1056">
        <v>440</v>
      </c>
      <c r="E1056" t="s">
        <v>2111</v>
      </c>
      <c r="F1056" t="s">
        <v>123</v>
      </c>
      <c r="G1056" t="s">
        <v>124</v>
      </c>
      <c r="H1056" t="s">
        <v>136</v>
      </c>
      <c r="I1056" t="s">
        <v>137</v>
      </c>
      <c r="J1056" t="s">
        <v>153</v>
      </c>
      <c r="K1056" t="s">
        <v>127</v>
      </c>
      <c r="L1056">
        <v>50</v>
      </c>
      <c r="M1056">
        <v>1271251</v>
      </c>
      <c r="N1056">
        <v>9.1</v>
      </c>
      <c r="O1056">
        <v>4</v>
      </c>
      <c r="P1056" t="s">
        <v>168</v>
      </c>
      <c r="Q1056" t="s">
        <v>129</v>
      </c>
      <c r="R1056">
        <v>40</v>
      </c>
      <c r="S1056" t="s">
        <v>1312</v>
      </c>
      <c r="T1056">
        <v>0</v>
      </c>
      <c r="U1056">
        <v>1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1</v>
      </c>
      <c r="AB1056">
        <v>50</v>
      </c>
      <c r="AC1056">
        <v>22</v>
      </c>
      <c r="AD1056">
        <v>0</v>
      </c>
      <c r="AE1056">
        <v>0</v>
      </c>
      <c r="AF1056">
        <v>22</v>
      </c>
      <c r="AG1056">
        <v>0</v>
      </c>
      <c r="AH1056">
        <v>28</v>
      </c>
      <c r="AI1056">
        <v>28</v>
      </c>
      <c r="AJ1056">
        <v>28</v>
      </c>
      <c r="AK1056">
        <v>28</v>
      </c>
      <c r="AL1056">
        <v>0</v>
      </c>
      <c r="AM1056">
        <v>0.182</v>
      </c>
      <c r="AN1056">
        <v>2.5454545454545454</v>
      </c>
      <c r="AO1056">
        <v>0</v>
      </c>
      <c r="AP1056" t="s">
        <v>139</v>
      </c>
      <c r="AQ1056" t="s">
        <v>131</v>
      </c>
      <c r="AR1056" t="s">
        <v>1184</v>
      </c>
      <c r="AS1056">
        <v>0</v>
      </c>
      <c r="AT1056">
        <v>0</v>
      </c>
      <c r="AU1056">
        <v>0</v>
      </c>
      <c r="AV1056">
        <v>0</v>
      </c>
      <c r="AW1056">
        <v>0</v>
      </c>
      <c r="AX1056">
        <v>0</v>
      </c>
      <c r="AY1056">
        <v>0</v>
      </c>
      <c r="AZ1056" t="s">
        <v>147</v>
      </c>
      <c r="BA1056">
        <v>9.1</v>
      </c>
      <c r="BB1056">
        <v>0</v>
      </c>
      <c r="BC1056" t="s">
        <v>133</v>
      </c>
      <c r="BD1056">
        <v>0</v>
      </c>
      <c r="BE1056" t="s">
        <v>133</v>
      </c>
      <c r="BF105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57" spans="1:58" x14ac:dyDescent="0.25">
      <c r="A1057" t="s">
        <v>1321</v>
      </c>
      <c r="B1057" t="s">
        <v>19</v>
      </c>
      <c r="C1057">
        <v>2</v>
      </c>
      <c r="D1057">
        <v>441</v>
      </c>
      <c r="E1057" t="s">
        <v>2111</v>
      </c>
      <c r="F1057" t="s">
        <v>123</v>
      </c>
      <c r="G1057" t="s">
        <v>124</v>
      </c>
      <c r="H1057" t="s">
        <v>136</v>
      </c>
      <c r="I1057" t="s">
        <v>137</v>
      </c>
      <c r="J1057" t="s">
        <v>153</v>
      </c>
      <c r="K1057" t="s">
        <v>127</v>
      </c>
      <c r="L1057">
        <v>50</v>
      </c>
      <c r="M1057">
        <v>1271253</v>
      </c>
      <c r="N1057">
        <v>9.1</v>
      </c>
      <c r="O1057">
        <v>4</v>
      </c>
      <c r="P1057" t="s">
        <v>168</v>
      </c>
      <c r="Q1057" t="s">
        <v>129</v>
      </c>
      <c r="R1057">
        <v>40</v>
      </c>
      <c r="S1057" t="s">
        <v>1312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50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50</v>
      </c>
      <c r="AI1057">
        <v>50</v>
      </c>
      <c r="AJ1057">
        <v>50</v>
      </c>
      <c r="AK1057">
        <v>50</v>
      </c>
      <c r="AL1057">
        <v>0</v>
      </c>
      <c r="AM1057">
        <v>0.182</v>
      </c>
      <c r="AN1057">
        <v>4.5454545454545459</v>
      </c>
      <c r="AO1057">
        <v>0</v>
      </c>
      <c r="AP1057" t="s">
        <v>139</v>
      </c>
      <c r="AQ1057" t="s">
        <v>155</v>
      </c>
      <c r="AR1057" t="s">
        <v>1184</v>
      </c>
      <c r="AS1057">
        <v>0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0</v>
      </c>
      <c r="AZ1057" t="s">
        <v>147</v>
      </c>
      <c r="BA1057">
        <v>9.1</v>
      </c>
      <c r="BB1057">
        <v>0</v>
      </c>
      <c r="BC1057" t="s">
        <v>133</v>
      </c>
      <c r="BD1057">
        <v>1</v>
      </c>
      <c r="BE1057" t="s">
        <v>133</v>
      </c>
      <c r="BF105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58" spans="1:58" x14ac:dyDescent="0.25">
      <c r="A1058" t="s">
        <v>1322</v>
      </c>
      <c r="B1058" t="s">
        <v>19</v>
      </c>
      <c r="C1058">
        <v>2</v>
      </c>
      <c r="D1058">
        <v>442</v>
      </c>
      <c r="E1058" t="s">
        <v>2111</v>
      </c>
      <c r="F1058" t="s">
        <v>123</v>
      </c>
      <c r="G1058" t="s">
        <v>124</v>
      </c>
      <c r="H1058" t="s">
        <v>136</v>
      </c>
      <c r="I1058" t="s">
        <v>137</v>
      </c>
      <c r="J1058" t="s">
        <v>153</v>
      </c>
      <c r="K1058" t="s">
        <v>127</v>
      </c>
      <c r="L1058">
        <v>50</v>
      </c>
      <c r="M1058">
        <v>1271255</v>
      </c>
      <c r="N1058">
        <v>9.1</v>
      </c>
      <c r="O1058">
        <v>4</v>
      </c>
      <c r="P1058" t="s">
        <v>168</v>
      </c>
      <c r="Q1058" t="s">
        <v>129</v>
      </c>
      <c r="R1058">
        <v>40</v>
      </c>
      <c r="S1058" t="s">
        <v>1312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50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50</v>
      </c>
      <c r="AI1058">
        <v>50</v>
      </c>
      <c r="AJ1058">
        <v>50</v>
      </c>
      <c r="AK1058">
        <v>50</v>
      </c>
      <c r="AL1058">
        <v>0</v>
      </c>
      <c r="AM1058">
        <v>0.182</v>
      </c>
      <c r="AN1058">
        <v>4.5454545454545459</v>
      </c>
      <c r="AO1058">
        <v>0</v>
      </c>
      <c r="AP1058" t="s">
        <v>139</v>
      </c>
      <c r="AQ1058" t="s">
        <v>155</v>
      </c>
      <c r="AR1058" t="s">
        <v>1184</v>
      </c>
      <c r="AS1058">
        <v>0</v>
      </c>
      <c r="AT1058">
        <v>0</v>
      </c>
      <c r="AU1058">
        <v>0</v>
      </c>
      <c r="AV1058">
        <v>0</v>
      </c>
      <c r="AW1058">
        <v>0</v>
      </c>
      <c r="AX1058">
        <v>0</v>
      </c>
      <c r="AY1058">
        <v>0</v>
      </c>
      <c r="AZ1058" t="s">
        <v>147</v>
      </c>
      <c r="BA1058">
        <v>9.1</v>
      </c>
      <c r="BB1058">
        <v>0</v>
      </c>
      <c r="BC1058" t="s">
        <v>133</v>
      </c>
      <c r="BD1058">
        <v>2</v>
      </c>
      <c r="BE1058" t="s">
        <v>133</v>
      </c>
      <c r="BF105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59" spans="1:58" x14ac:dyDescent="0.25">
      <c r="A1059" t="s">
        <v>1323</v>
      </c>
      <c r="B1059" t="s">
        <v>19</v>
      </c>
      <c r="C1059">
        <v>2</v>
      </c>
      <c r="D1059">
        <v>443</v>
      </c>
      <c r="E1059" t="s">
        <v>2111</v>
      </c>
      <c r="F1059" t="s">
        <v>123</v>
      </c>
      <c r="G1059" t="s">
        <v>124</v>
      </c>
      <c r="H1059" t="s">
        <v>136</v>
      </c>
      <c r="I1059" t="s">
        <v>137</v>
      </c>
      <c r="J1059" t="s">
        <v>152</v>
      </c>
      <c r="K1059" t="s">
        <v>127</v>
      </c>
      <c r="L1059">
        <v>50</v>
      </c>
      <c r="M1059">
        <v>1271257</v>
      </c>
      <c r="N1059">
        <v>0</v>
      </c>
      <c r="O1059">
        <v>4</v>
      </c>
      <c r="P1059" t="s">
        <v>168</v>
      </c>
      <c r="Q1059" t="s">
        <v>129</v>
      </c>
      <c r="R1059">
        <v>40</v>
      </c>
      <c r="S1059" t="s">
        <v>1312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50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50</v>
      </c>
      <c r="AI1059">
        <v>50</v>
      </c>
      <c r="AJ1059">
        <v>50</v>
      </c>
      <c r="AK1059">
        <v>50</v>
      </c>
      <c r="AL1059">
        <v>0</v>
      </c>
      <c r="AM1059">
        <v>0</v>
      </c>
      <c r="AN1059">
        <v>4.5454545454545459</v>
      </c>
      <c r="AO1059">
        <v>0</v>
      </c>
      <c r="AP1059" t="s">
        <v>139</v>
      </c>
      <c r="AQ1059" t="s">
        <v>155</v>
      </c>
      <c r="AR1059" t="s">
        <v>1184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 t="s">
        <v>147</v>
      </c>
      <c r="BA1059">
        <v>0</v>
      </c>
      <c r="BB1059">
        <v>0</v>
      </c>
      <c r="BC1059" t="s">
        <v>144</v>
      </c>
      <c r="BD1059">
        <v>3</v>
      </c>
      <c r="BE1059" t="s">
        <v>133</v>
      </c>
      <c r="BF105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60" spans="1:58" x14ac:dyDescent="0.25">
      <c r="A1060" t="s">
        <v>1324</v>
      </c>
      <c r="B1060" t="s">
        <v>19</v>
      </c>
      <c r="C1060">
        <v>2</v>
      </c>
      <c r="D1060">
        <v>444</v>
      </c>
      <c r="E1060" t="s">
        <v>2111</v>
      </c>
      <c r="F1060" t="s">
        <v>123</v>
      </c>
      <c r="G1060" t="s">
        <v>124</v>
      </c>
      <c r="H1060" t="s">
        <v>125</v>
      </c>
      <c r="I1060" t="s">
        <v>148</v>
      </c>
      <c r="J1060" t="s">
        <v>176</v>
      </c>
      <c r="K1060" t="s">
        <v>170</v>
      </c>
      <c r="L1060">
        <v>50</v>
      </c>
      <c r="M1060">
        <v>1271259</v>
      </c>
      <c r="N1060">
        <v>0</v>
      </c>
      <c r="O1060">
        <v>4</v>
      </c>
      <c r="P1060" t="s">
        <v>168</v>
      </c>
      <c r="Q1060" t="s">
        <v>129</v>
      </c>
      <c r="R1060">
        <v>41</v>
      </c>
      <c r="S1060" t="s">
        <v>1325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50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50</v>
      </c>
      <c r="AJ1060">
        <v>50</v>
      </c>
      <c r="AK1060">
        <v>50</v>
      </c>
      <c r="AL1060">
        <v>50</v>
      </c>
      <c r="AM1060">
        <v>0</v>
      </c>
      <c r="AN1060">
        <v>4.5454545454545459</v>
      </c>
      <c r="AO1060">
        <v>0</v>
      </c>
      <c r="AP1060" t="s">
        <v>1326</v>
      </c>
      <c r="AQ1060" t="s">
        <v>155</v>
      </c>
      <c r="AR1060" t="s">
        <v>1184</v>
      </c>
      <c r="AS1060">
        <v>0</v>
      </c>
      <c r="AT1060">
        <v>0</v>
      </c>
      <c r="AU1060">
        <v>0</v>
      </c>
      <c r="AV1060">
        <v>0</v>
      </c>
      <c r="AW1060">
        <v>0</v>
      </c>
      <c r="AX1060">
        <v>0</v>
      </c>
      <c r="AY1060">
        <v>0</v>
      </c>
      <c r="AZ1060" t="s">
        <v>134</v>
      </c>
      <c r="BA1060">
        <v>0</v>
      </c>
      <c r="BB1060">
        <v>0</v>
      </c>
      <c r="BC1060" t="s">
        <v>132</v>
      </c>
      <c r="BD1060">
        <v>1</v>
      </c>
      <c r="BE1060" t="s">
        <v>133</v>
      </c>
      <c r="BF106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61" spans="1:58" x14ac:dyDescent="0.25">
      <c r="A1061" t="s">
        <v>1327</v>
      </c>
      <c r="B1061" t="s">
        <v>19</v>
      </c>
      <c r="C1061">
        <v>2</v>
      </c>
      <c r="D1061">
        <v>445</v>
      </c>
      <c r="E1061" t="s">
        <v>2111</v>
      </c>
      <c r="F1061" t="s">
        <v>123</v>
      </c>
      <c r="G1061" t="s">
        <v>124</v>
      </c>
      <c r="H1061" t="s">
        <v>125</v>
      </c>
      <c r="I1061" t="s">
        <v>148</v>
      </c>
      <c r="J1061" t="s">
        <v>176</v>
      </c>
      <c r="K1061" t="s">
        <v>170</v>
      </c>
      <c r="L1061">
        <v>50</v>
      </c>
      <c r="M1061">
        <v>1271261</v>
      </c>
      <c r="N1061">
        <v>0</v>
      </c>
      <c r="O1061">
        <v>4</v>
      </c>
      <c r="P1061" t="s">
        <v>168</v>
      </c>
      <c r="Q1061" t="s">
        <v>129</v>
      </c>
      <c r="R1061">
        <v>41</v>
      </c>
      <c r="S1061" t="s">
        <v>1325</v>
      </c>
      <c r="T1061">
        <v>0</v>
      </c>
      <c r="U1061">
        <v>1</v>
      </c>
      <c r="V1061">
        <v>1</v>
      </c>
      <c r="W1061">
        <v>0</v>
      </c>
      <c r="X1061">
        <v>1</v>
      </c>
      <c r="Y1061">
        <v>0</v>
      </c>
      <c r="Z1061">
        <v>0</v>
      </c>
      <c r="AA1061">
        <v>2</v>
      </c>
      <c r="AB1061">
        <v>50</v>
      </c>
      <c r="AC1061">
        <v>1</v>
      </c>
      <c r="AD1061">
        <v>1</v>
      </c>
      <c r="AE1061">
        <v>0</v>
      </c>
      <c r="AF1061">
        <v>2</v>
      </c>
      <c r="AG1061">
        <v>0</v>
      </c>
      <c r="AH1061">
        <v>0</v>
      </c>
      <c r="AI1061">
        <v>48</v>
      </c>
      <c r="AJ1061">
        <v>49</v>
      </c>
      <c r="AK1061">
        <v>49</v>
      </c>
      <c r="AL1061">
        <v>49</v>
      </c>
      <c r="AM1061">
        <v>0</v>
      </c>
      <c r="AN1061">
        <v>4.454545454545455</v>
      </c>
      <c r="AO1061">
        <v>0</v>
      </c>
      <c r="AP1061" t="s">
        <v>1326</v>
      </c>
      <c r="AQ1061" t="s">
        <v>131</v>
      </c>
      <c r="AR1061" t="s">
        <v>1184</v>
      </c>
      <c r="AS1061">
        <v>0</v>
      </c>
      <c r="AT1061">
        <v>0</v>
      </c>
      <c r="AU1061">
        <v>0</v>
      </c>
      <c r="AV1061">
        <v>0</v>
      </c>
      <c r="AW1061">
        <v>0</v>
      </c>
      <c r="AX1061">
        <v>0</v>
      </c>
      <c r="AY1061">
        <v>0</v>
      </c>
      <c r="AZ1061" t="s">
        <v>147</v>
      </c>
      <c r="BA1061">
        <v>0</v>
      </c>
      <c r="BB1061">
        <v>0</v>
      </c>
      <c r="BC1061" t="s">
        <v>133</v>
      </c>
      <c r="BD1061">
        <v>0</v>
      </c>
      <c r="BE1061" t="s">
        <v>133</v>
      </c>
      <c r="BF106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62" spans="1:58" x14ac:dyDescent="0.25">
      <c r="A1062" t="s">
        <v>1328</v>
      </c>
      <c r="B1062" t="s">
        <v>19</v>
      </c>
      <c r="C1062">
        <v>2</v>
      </c>
      <c r="D1062">
        <v>446</v>
      </c>
      <c r="E1062" t="s">
        <v>2111</v>
      </c>
      <c r="F1062" t="s">
        <v>123</v>
      </c>
      <c r="G1062" t="s">
        <v>124</v>
      </c>
      <c r="H1062" t="s">
        <v>125</v>
      </c>
      <c r="I1062" t="s">
        <v>148</v>
      </c>
      <c r="J1062" t="s">
        <v>176</v>
      </c>
      <c r="K1062" t="s">
        <v>170</v>
      </c>
      <c r="L1062">
        <v>50</v>
      </c>
      <c r="M1062">
        <v>1271263</v>
      </c>
      <c r="N1062">
        <v>0</v>
      </c>
      <c r="O1062">
        <v>4</v>
      </c>
      <c r="P1062" t="s">
        <v>168</v>
      </c>
      <c r="Q1062" t="s">
        <v>129</v>
      </c>
      <c r="R1062">
        <v>41</v>
      </c>
      <c r="S1062" t="s">
        <v>1325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50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50</v>
      </c>
      <c r="AJ1062">
        <v>50</v>
      </c>
      <c r="AK1062">
        <v>50</v>
      </c>
      <c r="AL1062">
        <v>50</v>
      </c>
      <c r="AM1062">
        <v>0</v>
      </c>
      <c r="AN1062">
        <v>4.5454545454545459</v>
      </c>
      <c r="AO1062">
        <v>0</v>
      </c>
      <c r="AP1062" t="s">
        <v>1326</v>
      </c>
      <c r="AQ1062" t="s">
        <v>155</v>
      </c>
      <c r="AR1062" t="s">
        <v>1184</v>
      </c>
      <c r="AS1062">
        <v>0</v>
      </c>
      <c r="AT1062">
        <v>0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 t="s">
        <v>147</v>
      </c>
      <c r="BA1062">
        <v>0</v>
      </c>
      <c r="BB1062">
        <v>0</v>
      </c>
      <c r="BC1062" t="s">
        <v>133</v>
      </c>
      <c r="BD1062">
        <v>1</v>
      </c>
      <c r="BE1062" t="s">
        <v>133</v>
      </c>
      <c r="BF106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63" spans="1:58" x14ac:dyDescent="0.25">
      <c r="A1063" t="s">
        <v>1329</v>
      </c>
      <c r="B1063" t="s">
        <v>19</v>
      </c>
      <c r="C1063">
        <v>2</v>
      </c>
      <c r="D1063">
        <v>447</v>
      </c>
      <c r="E1063" t="s">
        <v>2111</v>
      </c>
      <c r="F1063" t="s">
        <v>123</v>
      </c>
      <c r="G1063" t="s">
        <v>124</v>
      </c>
      <c r="H1063" t="s">
        <v>125</v>
      </c>
      <c r="I1063" t="s">
        <v>148</v>
      </c>
      <c r="J1063" t="s">
        <v>176</v>
      </c>
      <c r="K1063" t="s">
        <v>170</v>
      </c>
      <c r="L1063">
        <v>50</v>
      </c>
      <c r="M1063">
        <v>1271265</v>
      </c>
      <c r="N1063">
        <v>0</v>
      </c>
      <c r="O1063">
        <v>4</v>
      </c>
      <c r="P1063" t="s">
        <v>168</v>
      </c>
      <c r="Q1063" t="s">
        <v>129</v>
      </c>
      <c r="R1063">
        <v>41</v>
      </c>
      <c r="S1063" t="s">
        <v>1325</v>
      </c>
      <c r="T1063">
        <v>0</v>
      </c>
      <c r="U1063">
        <v>2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2</v>
      </c>
      <c r="AB1063">
        <v>50</v>
      </c>
      <c r="AC1063">
        <v>2</v>
      </c>
      <c r="AD1063">
        <v>0</v>
      </c>
      <c r="AE1063">
        <v>0</v>
      </c>
      <c r="AF1063">
        <v>2</v>
      </c>
      <c r="AG1063">
        <v>0</v>
      </c>
      <c r="AH1063">
        <v>0</v>
      </c>
      <c r="AI1063">
        <v>48</v>
      </c>
      <c r="AJ1063">
        <v>48</v>
      </c>
      <c r="AK1063">
        <v>48</v>
      </c>
      <c r="AL1063">
        <v>48</v>
      </c>
      <c r="AM1063">
        <v>0</v>
      </c>
      <c r="AN1063">
        <v>4.3636363636363633</v>
      </c>
      <c r="AO1063">
        <v>0</v>
      </c>
      <c r="AP1063" t="s">
        <v>1326</v>
      </c>
      <c r="AQ1063" t="s">
        <v>131</v>
      </c>
      <c r="AR1063" t="s">
        <v>1184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 t="s">
        <v>147</v>
      </c>
      <c r="BA1063">
        <v>0</v>
      </c>
      <c r="BB1063">
        <v>0</v>
      </c>
      <c r="BC1063" t="s">
        <v>133</v>
      </c>
      <c r="BD1063">
        <v>0</v>
      </c>
      <c r="BE1063" t="s">
        <v>133</v>
      </c>
      <c r="BF106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64" spans="1:58" x14ac:dyDescent="0.25">
      <c r="A1064" t="s">
        <v>1330</v>
      </c>
      <c r="B1064" t="s">
        <v>19</v>
      </c>
      <c r="C1064">
        <v>2</v>
      </c>
      <c r="D1064">
        <v>448</v>
      </c>
      <c r="E1064" t="s">
        <v>2111</v>
      </c>
      <c r="F1064" t="s">
        <v>123</v>
      </c>
      <c r="G1064" t="s">
        <v>124</v>
      </c>
      <c r="H1064" t="s">
        <v>125</v>
      </c>
      <c r="I1064" t="s">
        <v>148</v>
      </c>
      <c r="J1064" t="s">
        <v>176</v>
      </c>
      <c r="K1064" t="s">
        <v>170</v>
      </c>
      <c r="L1064">
        <v>50</v>
      </c>
      <c r="M1064">
        <v>1271267</v>
      </c>
      <c r="N1064">
        <v>0</v>
      </c>
      <c r="O1064">
        <v>4</v>
      </c>
      <c r="P1064" t="s">
        <v>168</v>
      </c>
      <c r="Q1064" t="s">
        <v>129</v>
      </c>
      <c r="R1064">
        <v>41</v>
      </c>
      <c r="S1064" t="s">
        <v>1325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50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50</v>
      </c>
      <c r="AJ1064">
        <v>50</v>
      </c>
      <c r="AK1064">
        <v>50</v>
      </c>
      <c r="AL1064">
        <v>50</v>
      </c>
      <c r="AM1064">
        <v>0</v>
      </c>
      <c r="AN1064">
        <v>4.5454545454545459</v>
      </c>
      <c r="AO1064">
        <v>0</v>
      </c>
      <c r="AP1064" t="s">
        <v>1326</v>
      </c>
      <c r="AQ1064" t="s">
        <v>155</v>
      </c>
      <c r="AR1064" t="s">
        <v>1184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 t="s">
        <v>147</v>
      </c>
      <c r="BA1064">
        <v>0</v>
      </c>
      <c r="BB1064">
        <v>0</v>
      </c>
      <c r="BC1064" t="s">
        <v>133</v>
      </c>
      <c r="BD1064">
        <v>1</v>
      </c>
      <c r="BE1064" t="s">
        <v>133</v>
      </c>
      <c r="BF106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65" spans="1:58" x14ac:dyDescent="0.25">
      <c r="A1065" t="s">
        <v>1331</v>
      </c>
      <c r="B1065" t="s">
        <v>19</v>
      </c>
      <c r="C1065">
        <v>2</v>
      </c>
      <c r="D1065">
        <v>449</v>
      </c>
      <c r="E1065" t="s">
        <v>2111</v>
      </c>
      <c r="F1065" t="s">
        <v>123</v>
      </c>
      <c r="G1065" t="s">
        <v>124</v>
      </c>
      <c r="H1065" t="s">
        <v>125</v>
      </c>
      <c r="I1065" t="s">
        <v>148</v>
      </c>
      <c r="J1065" t="s">
        <v>176</v>
      </c>
      <c r="K1065" t="s">
        <v>170</v>
      </c>
      <c r="L1065">
        <v>50</v>
      </c>
      <c r="M1065">
        <v>1271269</v>
      </c>
      <c r="N1065">
        <v>0</v>
      </c>
      <c r="O1065">
        <v>4</v>
      </c>
      <c r="P1065" t="s">
        <v>168</v>
      </c>
      <c r="Q1065" t="s">
        <v>129</v>
      </c>
      <c r="R1065">
        <v>41</v>
      </c>
      <c r="S1065" t="s">
        <v>1325</v>
      </c>
      <c r="T1065">
        <v>0</v>
      </c>
      <c r="U1065">
        <v>3</v>
      </c>
      <c r="V1065">
        <v>0</v>
      </c>
      <c r="W1065">
        <v>0</v>
      </c>
      <c r="X1065">
        <v>0</v>
      </c>
      <c r="Y1065">
        <v>8</v>
      </c>
      <c r="Z1065">
        <v>8</v>
      </c>
      <c r="AA1065">
        <v>11</v>
      </c>
      <c r="AB1065">
        <v>50</v>
      </c>
      <c r="AC1065">
        <v>3</v>
      </c>
      <c r="AD1065">
        <v>0</v>
      </c>
      <c r="AE1065">
        <v>32</v>
      </c>
      <c r="AF1065">
        <v>35</v>
      </c>
      <c r="AG1065">
        <v>0</v>
      </c>
      <c r="AH1065">
        <v>0</v>
      </c>
      <c r="AI1065">
        <v>15</v>
      </c>
      <c r="AJ1065">
        <v>15</v>
      </c>
      <c r="AK1065">
        <v>47</v>
      </c>
      <c r="AL1065">
        <v>47</v>
      </c>
      <c r="AM1065">
        <v>0</v>
      </c>
      <c r="AN1065">
        <v>1.3636363636363638</v>
      </c>
      <c r="AO1065">
        <v>0</v>
      </c>
      <c r="AP1065" t="s">
        <v>1326</v>
      </c>
      <c r="AQ1065" t="s">
        <v>131</v>
      </c>
      <c r="AR1065" t="s">
        <v>1184</v>
      </c>
      <c r="AS1065">
        <v>0</v>
      </c>
      <c r="AT1065">
        <v>0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 t="s">
        <v>147</v>
      </c>
      <c r="BA1065">
        <v>0</v>
      </c>
      <c r="BB1065">
        <v>0</v>
      </c>
      <c r="BC1065" t="s">
        <v>133</v>
      </c>
      <c r="BD1065">
        <v>0</v>
      </c>
      <c r="BE1065" t="s">
        <v>133</v>
      </c>
      <c r="BF106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66" spans="1:58" x14ac:dyDescent="0.25">
      <c r="A1066" t="s">
        <v>1332</v>
      </c>
      <c r="B1066" t="s">
        <v>19</v>
      </c>
      <c r="C1066">
        <v>2</v>
      </c>
      <c r="D1066">
        <v>450</v>
      </c>
      <c r="E1066" t="s">
        <v>2111</v>
      </c>
      <c r="F1066" t="s">
        <v>123</v>
      </c>
      <c r="G1066" t="s">
        <v>124</v>
      </c>
      <c r="H1066" t="s">
        <v>125</v>
      </c>
      <c r="I1066" t="s">
        <v>148</v>
      </c>
      <c r="J1066" t="s">
        <v>176</v>
      </c>
      <c r="K1066" t="s">
        <v>170</v>
      </c>
      <c r="L1066">
        <v>50</v>
      </c>
      <c r="M1066">
        <v>1271271</v>
      </c>
      <c r="N1066">
        <v>0</v>
      </c>
      <c r="O1066">
        <v>4</v>
      </c>
      <c r="P1066" t="s">
        <v>168</v>
      </c>
      <c r="Q1066" t="s">
        <v>129</v>
      </c>
      <c r="R1066">
        <v>41</v>
      </c>
      <c r="S1066" t="s">
        <v>1325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8</v>
      </c>
      <c r="Z1066">
        <v>8</v>
      </c>
      <c r="AA1066">
        <v>8</v>
      </c>
      <c r="AB1066">
        <v>50</v>
      </c>
      <c r="AC1066">
        <v>0</v>
      </c>
      <c r="AD1066">
        <v>0</v>
      </c>
      <c r="AE1066">
        <v>32</v>
      </c>
      <c r="AF1066">
        <v>32</v>
      </c>
      <c r="AG1066">
        <v>0</v>
      </c>
      <c r="AH1066">
        <v>0</v>
      </c>
      <c r="AI1066">
        <v>18</v>
      </c>
      <c r="AJ1066">
        <v>18</v>
      </c>
      <c r="AK1066">
        <v>50</v>
      </c>
      <c r="AL1066">
        <v>50</v>
      </c>
      <c r="AM1066">
        <v>0</v>
      </c>
      <c r="AN1066">
        <v>1.6363636363636365</v>
      </c>
      <c r="AO1066">
        <v>0</v>
      </c>
      <c r="AP1066" t="s">
        <v>1326</v>
      </c>
      <c r="AQ1066" t="s">
        <v>131</v>
      </c>
      <c r="AR1066" t="s">
        <v>1184</v>
      </c>
      <c r="AS1066">
        <v>0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 t="s">
        <v>147</v>
      </c>
      <c r="BA1066">
        <v>0</v>
      </c>
      <c r="BB1066">
        <v>0</v>
      </c>
      <c r="BC1066" t="s">
        <v>133</v>
      </c>
      <c r="BD1066">
        <v>1</v>
      </c>
      <c r="BE1066" t="s">
        <v>133</v>
      </c>
      <c r="BF106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67" spans="1:58" x14ac:dyDescent="0.25">
      <c r="A1067" t="s">
        <v>1333</v>
      </c>
      <c r="B1067" t="s">
        <v>19</v>
      </c>
      <c r="C1067">
        <v>2</v>
      </c>
      <c r="D1067">
        <v>451</v>
      </c>
      <c r="E1067" t="s">
        <v>2111</v>
      </c>
      <c r="F1067" t="s">
        <v>123</v>
      </c>
      <c r="G1067" t="s">
        <v>124</v>
      </c>
      <c r="H1067" t="s">
        <v>125</v>
      </c>
      <c r="I1067" t="s">
        <v>148</v>
      </c>
      <c r="J1067" t="s">
        <v>176</v>
      </c>
      <c r="K1067" t="s">
        <v>170</v>
      </c>
      <c r="L1067">
        <v>50</v>
      </c>
      <c r="M1067">
        <v>1271273</v>
      </c>
      <c r="N1067">
        <v>0</v>
      </c>
      <c r="O1067">
        <v>4</v>
      </c>
      <c r="P1067" t="s">
        <v>168</v>
      </c>
      <c r="Q1067" t="s">
        <v>129</v>
      </c>
      <c r="R1067">
        <v>41</v>
      </c>
      <c r="S1067" t="s">
        <v>1325</v>
      </c>
      <c r="T1067">
        <v>0</v>
      </c>
      <c r="U1067">
        <v>2</v>
      </c>
      <c r="V1067">
        <v>0</v>
      </c>
      <c r="W1067">
        <v>0</v>
      </c>
      <c r="X1067">
        <v>0</v>
      </c>
      <c r="Y1067">
        <v>8</v>
      </c>
      <c r="Z1067">
        <v>8</v>
      </c>
      <c r="AA1067">
        <v>10</v>
      </c>
      <c r="AB1067">
        <v>50</v>
      </c>
      <c r="AC1067">
        <v>2</v>
      </c>
      <c r="AD1067">
        <v>0</v>
      </c>
      <c r="AE1067">
        <v>32</v>
      </c>
      <c r="AF1067">
        <v>34</v>
      </c>
      <c r="AG1067">
        <v>0</v>
      </c>
      <c r="AH1067">
        <v>0</v>
      </c>
      <c r="AI1067">
        <v>16</v>
      </c>
      <c r="AJ1067">
        <v>16</v>
      </c>
      <c r="AK1067">
        <v>48</v>
      </c>
      <c r="AL1067">
        <v>48</v>
      </c>
      <c r="AM1067">
        <v>0</v>
      </c>
      <c r="AN1067">
        <v>1.4545454545454546</v>
      </c>
      <c r="AO1067">
        <v>0</v>
      </c>
      <c r="AP1067" t="s">
        <v>1326</v>
      </c>
      <c r="AQ1067" t="s">
        <v>131</v>
      </c>
      <c r="AR1067" t="s">
        <v>1184</v>
      </c>
      <c r="AS1067">
        <v>0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 t="s">
        <v>147</v>
      </c>
      <c r="BA1067">
        <v>0</v>
      </c>
      <c r="BB1067">
        <v>0</v>
      </c>
      <c r="BC1067" t="s">
        <v>133</v>
      </c>
      <c r="BD1067">
        <v>0</v>
      </c>
      <c r="BE1067" t="s">
        <v>133</v>
      </c>
      <c r="BF106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68" spans="1:58" x14ac:dyDescent="0.25">
      <c r="A1068" t="s">
        <v>1334</v>
      </c>
      <c r="B1068" t="s">
        <v>19</v>
      </c>
      <c r="C1068">
        <v>2</v>
      </c>
      <c r="D1068">
        <v>452</v>
      </c>
      <c r="E1068" t="s">
        <v>2111</v>
      </c>
      <c r="F1068" t="s">
        <v>123</v>
      </c>
      <c r="G1068" t="s">
        <v>124</v>
      </c>
      <c r="H1068" t="s">
        <v>125</v>
      </c>
      <c r="I1068" t="s">
        <v>148</v>
      </c>
      <c r="J1068" t="s">
        <v>176</v>
      </c>
      <c r="K1068" t="s">
        <v>170</v>
      </c>
      <c r="L1068">
        <v>50</v>
      </c>
      <c r="M1068">
        <v>1271293</v>
      </c>
      <c r="N1068">
        <v>0</v>
      </c>
      <c r="O1068">
        <v>4</v>
      </c>
      <c r="P1068" t="s">
        <v>168</v>
      </c>
      <c r="Q1068" t="s">
        <v>129</v>
      </c>
      <c r="R1068">
        <v>41</v>
      </c>
      <c r="S1068" t="s">
        <v>1325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8</v>
      </c>
      <c r="Z1068">
        <v>8</v>
      </c>
      <c r="AA1068">
        <v>8</v>
      </c>
      <c r="AB1068">
        <v>50</v>
      </c>
      <c r="AC1068">
        <v>0</v>
      </c>
      <c r="AD1068">
        <v>0</v>
      </c>
      <c r="AE1068">
        <v>32</v>
      </c>
      <c r="AF1068">
        <v>32</v>
      </c>
      <c r="AG1068">
        <v>0</v>
      </c>
      <c r="AH1068">
        <v>0</v>
      </c>
      <c r="AI1068">
        <v>18</v>
      </c>
      <c r="AJ1068">
        <v>18</v>
      </c>
      <c r="AK1068">
        <v>50</v>
      </c>
      <c r="AL1068">
        <v>50</v>
      </c>
      <c r="AM1068">
        <v>0</v>
      </c>
      <c r="AN1068">
        <v>1.6363636363636365</v>
      </c>
      <c r="AO1068">
        <v>0</v>
      </c>
      <c r="AP1068" t="s">
        <v>1326</v>
      </c>
      <c r="AQ1068" t="s">
        <v>131</v>
      </c>
      <c r="AR1068" t="s">
        <v>1184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 t="s">
        <v>147</v>
      </c>
      <c r="BA1068">
        <v>0</v>
      </c>
      <c r="BB1068">
        <v>0</v>
      </c>
      <c r="BC1068" t="s">
        <v>133</v>
      </c>
      <c r="BD1068">
        <v>1</v>
      </c>
      <c r="BE1068" t="s">
        <v>133</v>
      </c>
      <c r="BF106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69" spans="1:58" x14ac:dyDescent="0.25">
      <c r="A1069" t="s">
        <v>1335</v>
      </c>
      <c r="B1069" t="s">
        <v>19</v>
      </c>
      <c r="C1069">
        <v>2</v>
      </c>
      <c r="D1069">
        <v>453</v>
      </c>
      <c r="E1069" t="s">
        <v>2111</v>
      </c>
      <c r="F1069" t="s">
        <v>123</v>
      </c>
      <c r="G1069" t="s">
        <v>124</v>
      </c>
      <c r="H1069" t="s">
        <v>125</v>
      </c>
      <c r="I1069" t="s">
        <v>148</v>
      </c>
      <c r="J1069" t="s">
        <v>176</v>
      </c>
      <c r="K1069" t="s">
        <v>170</v>
      </c>
      <c r="L1069">
        <v>50</v>
      </c>
      <c r="M1069">
        <v>1271295</v>
      </c>
      <c r="N1069">
        <v>0</v>
      </c>
      <c r="O1069">
        <v>4</v>
      </c>
      <c r="P1069" t="s">
        <v>168</v>
      </c>
      <c r="Q1069" t="s">
        <v>129</v>
      </c>
      <c r="R1069">
        <v>41</v>
      </c>
      <c r="S1069" t="s">
        <v>1325</v>
      </c>
      <c r="T1069">
        <v>0</v>
      </c>
      <c r="U1069">
        <v>2</v>
      </c>
      <c r="V1069">
        <v>0</v>
      </c>
      <c r="W1069">
        <v>0</v>
      </c>
      <c r="X1069">
        <v>0</v>
      </c>
      <c r="Y1069">
        <v>8</v>
      </c>
      <c r="Z1069">
        <v>8</v>
      </c>
      <c r="AA1069">
        <v>10</v>
      </c>
      <c r="AB1069">
        <v>50</v>
      </c>
      <c r="AC1069">
        <v>2</v>
      </c>
      <c r="AD1069">
        <v>0</v>
      </c>
      <c r="AE1069">
        <v>32</v>
      </c>
      <c r="AF1069">
        <v>34</v>
      </c>
      <c r="AG1069">
        <v>0</v>
      </c>
      <c r="AH1069">
        <v>0</v>
      </c>
      <c r="AI1069">
        <v>16</v>
      </c>
      <c r="AJ1069">
        <v>16</v>
      </c>
      <c r="AK1069">
        <v>48</v>
      </c>
      <c r="AL1069">
        <v>48</v>
      </c>
      <c r="AM1069">
        <v>0</v>
      </c>
      <c r="AN1069">
        <v>1.4545454545454546</v>
      </c>
      <c r="AO1069">
        <v>0</v>
      </c>
      <c r="AP1069" t="s">
        <v>1326</v>
      </c>
      <c r="AQ1069" t="s">
        <v>131</v>
      </c>
      <c r="AR1069" t="s">
        <v>1184</v>
      </c>
      <c r="AS1069">
        <v>0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 t="s">
        <v>147</v>
      </c>
      <c r="BA1069">
        <v>0</v>
      </c>
      <c r="BB1069">
        <v>0</v>
      </c>
      <c r="BC1069" t="s">
        <v>133</v>
      </c>
      <c r="BD1069">
        <v>0</v>
      </c>
      <c r="BE1069" t="s">
        <v>133</v>
      </c>
      <c r="BF106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70" spans="1:58" x14ac:dyDescent="0.25">
      <c r="A1070" t="s">
        <v>1336</v>
      </c>
      <c r="B1070" t="s">
        <v>19</v>
      </c>
      <c r="C1070">
        <v>2</v>
      </c>
      <c r="D1070">
        <v>454</v>
      </c>
      <c r="E1070" t="s">
        <v>2111</v>
      </c>
      <c r="F1070" t="s">
        <v>123</v>
      </c>
      <c r="G1070" t="s">
        <v>124</v>
      </c>
      <c r="H1070" t="s">
        <v>125</v>
      </c>
      <c r="I1070" t="s">
        <v>148</v>
      </c>
      <c r="J1070" t="s">
        <v>176</v>
      </c>
      <c r="K1070" t="s">
        <v>170</v>
      </c>
      <c r="L1070">
        <v>50</v>
      </c>
      <c r="M1070">
        <v>1271297</v>
      </c>
      <c r="N1070">
        <v>0</v>
      </c>
      <c r="O1070">
        <v>4</v>
      </c>
      <c r="P1070" t="s">
        <v>168</v>
      </c>
      <c r="Q1070" t="s">
        <v>129</v>
      </c>
      <c r="R1070">
        <v>41</v>
      </c>
      <c r="S1070" t="s">
        <v>1325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6</v>
      </c>
      <c r="Z1070">
        <v>6</v>
      </c>
      <c r="AA1070">
        <v>6</v>
      </c>
      <c r="AB1070">
        <v>50</v>
      </c>
      <c r="AC1070">
        <v>0</v>
      </c>
      <c r="AD1070">
        <v>0</v>
      </c>
      <c r="AE1070">
        <v>24</v>
      </c>
      <c r="AF1070">
        <v>24</v>
      </c>
      <c r="AG1070">
        <v>0</v>
      </c>
      <c r="AH1070">
        <v>0</v>
      </c>
      <c r="AI1070">
        <v>26</v>
      </c>
      <c r="AJ1070">
        <v>26</v>
      </c>
      <c r="AK1070">
        <v>50</v>
      </c>
      <c r="AL1070">
        <v>50</v>
      </c>
      <c r="AM1070">
        <v>0</v>
      </c>
      <c r="AN1070">
        <v>2.3636363636363638</v>
      </c>
      <c r="AO1070">
        <v>0</v>
      </c>
      <c r="AP1070" t="s">
        <v>1326</v>
      </c>
      <c r="AQ1070" t="s">
        <v>131</v>
      </c>
      <c r="AR1070" t="s">
        <v>1184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 t="s">
        <v>147</v>
      </c>
      <c r="BA1070">
        <v>0</v>
      </c>
      <c r="BB1070">
        <v>0</v>
      </c>
      <c r="BC1070" t="s">
        <v>144</v>
      </c>
      <c r="BD1070">
        <v>1</v>
      </c>
      <c r="BE1070" t="s">
        <v>133</v>
      </c>
      <c r="BF107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71" spans="1:58" x14ac:dyDescent="0.25">
      <c r="A1071" t="s">
        <v>1337</v>
      </c>
      <c r="B1071" t="s">
        <v>19</v>
      </c>
      <c r="C1071">
        <v>2</v>
      </c>
      <c r="D1071">
        <v>455</v>
      </c>
      <c r="E1071" t="s">
        <v>2109</v>
      </c>
      <c r="F1071" t="s">
        <v>123</v>
      </c>
      <c r="G1071" t="s">
        <v>124</v>
      </c>
      <c r="H1071" t="s">
        <v>125</v>
      </c>
      <c r="I1071" t="s">
        <v>183</v>
      </c>
      <c r="J1071" t="s">
        <v>140</v>
      </c>
      <c r="K1071" t="s">
        <v>127</v>
      </c>
      <c r="L1071">
        <v>50</v>
      </c>
      <c r="M1071">
        <v>3485145</v>
      </c>
      <c r="N1071">
        <v>20</v>
      </c>
      <c r="O1071">
        <v>4</v>
      </c>
      <c r="P1071" t="s">
        <v>168</v>
      </c>
      <c r="Q1071" t="s">
        <v>129</v>
      </c>
      <c r="R1071">
        <v>42</v>
      </c>
      <c r="S1071" t="s">
        <v>1338</v>
      </c>
      <c r="T1071">
        <v>22</v>
      </c>
      <c r="U1071">
        <v>25</v>
      </c>
      <c r="V1071">
        <v>0</v>
      </c>
      <c r="W1071">
        <v>0</v>
      </c>
      <c r="X1071">
        <v>0</v>
      </c>
      <c r="Y1071">
        <v>0</v>
      </c>
      <c r="Z1071">
        <v>22</v>
      </c>
      <c r="AA1071">
        <v>25</v>
      </c>
      <c r="AB1071">
        <v>50</v>
      </c>
      <c r="AC1071">
        <v>49</v>
      </c>
      <c r="AD1071">
        <v>0</v>
      </c>
      <c r="AE1071">
        <v>0</v>
      </c>
      <c r="AF1071">
        <v>49</v>
      </c>
      <c r="AG1071">
        <v>0</v>
      </c>
      <c r="AH1071">
        <v>1</v>
      </c>
      <c r="AI1071">
        <v>1</v>
      </c>
      <c r="AJ1071">
        <v>1</v>
      </c>
      <c r="AK1071">
        <v>1</v>
      </c>
      <c r="AL1071">
        <v>0</v>
      </c>
      <c r="AM1071">
        <v>0.4</v>
      </c>
      <c r="AN1071">
        <v>9.0909090909090912E-2</v>
      </c>
      <c r="AO1071">
        <v>0</v>
      </c>
      <c r="AP1071" t="s">
        <v>188</v>
      </c>
      <c r="AQ1071" t="s">
        <v>131</v>
      </c>
      <c r="AR1071" t="s">
        <v>229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 t="s">
        <v>147</v>
      </c>
      <c r="BA1071">
        <v>20</v>
      </c>
      <c r="BB1071">
        <v>0</v>
      </c>
      <c r="BC1071" t="s">
        <v>132</v>
      </c>
      <c r="BD1071">
        <v>0</v>
      </c>
      <c r="BE1071" t="s">
        <v>133</v>
      </c>
      <c r="BF107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72" spans="1:58" x14ac:dyDescent="0.25">
      <c r="A1072" t="s">
        <v>1339</v>
      </c>
      <c r="B1072" t="s">
        <v>19</v>
      </c>
      <c r="C1072">
        <v>2</v>
      </c>
      <c r="D1072">
        <v>456</v>
      </c>
      <c r="E1072" t="s">
        <v>2109</v>
      </c>
      <c r="F1072" t="s">
        <v>123</v>
      </c>
      <c r="G1072" t="s">
        <v>124</v>
      </c>
      <c r="H1072" t="s">
        <v>125</v>
      </c>
      <c r="I1072" t="s">
        <v>183</v>
      </c>
      <c r="J1072" t="s">
        <v>140</v>
      </c>
      <c r="K1072" t="s">
        <v>127</v>
      </c>
      <c r="L1072">
        <v>50</v>
      </c>
      <c r="M1072">
        <v>3472566</v>
      </c>
      <c r="N1072">
        <v>20</v>
      </c>
      <c r="O1072">
        <v>4</v>
      </c>
      <c r="P1072" t="s">
        <v>168</v>
      </c>
      <c r="Q1072" t="s">
        <v>129</v>
      </c>
      <c r="R1072">
        <v>42</v>
      </c>
      <c r="S1072" t="s">
        <v>1340</v>
      </c>
      <c r="T1072">
        <v>22</v>
      </c>
      <c r="U1072">
        <v>25</v>
      </c>
      <c r="V1072">
        <v>0</v>
      </c>
      <c r="W1072">
        <v>0</v>
      </c>
      <c r="X1072">
        <v>0</v>
      </c>
      <c r="Y1072">
        <v>0</v>
      </c>
      <c r="Z1072">
        <v>22</v>
      </c>
      <c r="AA1072">
        <v>25</v>
      </c>
      <c r="AB1072">
        <v>50</v>
      </c>
      <c r="AC1072">
        <v>49</v>
      </c>
      <c r="AD1072">
        <v>0</v>
      </c>
      <c r="AE1072">
        <v>0</v>
      </c>
      <c r="AF1072">
        <v>49</v>
      </c>
      <c r="AG1072">
        <v>0</v>
      </c>
      <c r="AH1072">
        <v>1</v>
      </c>
      <c r="AI1072">
        <v>1</v>
      </c>
      <c r="AJ1072">
        <v>1</v>
      </c>
      <c r="AK1072">
        <v>1</v>
      </c>
      <c r="AL1072">
        <v>0</v>
      </c>
      <c r="AM1072">
        <v>0.4</v>
      </c>
      <c r="AN1072">
        <v>9.0909090909090912E-2</v>
      </c>
      <c r="AO1072">
        <v>0</v>
      </c>
      <c r="AP1072" t="s">
        <v>188</v>
      </c>
      <c r="AQ1072" t="s">
        <v>131</v>
      </c>
      <c r="AR1072" t="s">
        <v>229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 t="s">
        <v>134</v>
      </c>
      <c r="BA1072">
        <v>20</v>
      </c>
      <c r="BB1072">
        <v>0</v>
      </c>
      <c r="BC1072" t="s">
        <v>133</v>
      </c>
      <c r="BD1072">
        <v>0</v>
      </c>
      <c r="BE1072" t="s">
        <v>133</v>
      </c>
      <c r="BF107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73" spans="1:58" x14ac:dyDescent="0.25">
      <c r="A1073" t="s">
        <v>1341</v>
      </c>
      <c r="B1073" t="s">
        <v>19</v>
      </c>
      <c r="C1073">
        <v>2</v>
      </c>
      <c r="D1073">
        <v>457</v>
      </c>
      <c r="E1073" t="s">
        <v>2109</v>
      </c>
      <c r="F1073" t="s">
        <v>123</v>
      </c>
      <c r="G1073" t="s">
        <v>124</v>
      </c>
      <c r="H1073" t="s">
        <v>125</v>
      </c>
      <c r="I1073" t="s">
        <v>183</v>
      </c>
      <c r="J1073" t="s">
        <v>140</v>
      </c>
      <c r="K1073" t="s">
        <v>127</v>
      </c>
      <c r="L1073">
        <v>50</v>
      </c>
      <c r="M1073">
        <v>3472568</v>
      </c>
      <c r="N1073">
        <v>20</v>
      </c>
      <c r="O1073">
        <v>4</v>
      </c>
      <c r="P1073" t="s">
        <v>168</v>
      </c>
      <c r="Q1073" t="s">
        <v>129</v>
      </c>
      <c r="R1073">
        <v>42</v>
      </c>
      <c r="S1073" t="s">
        <v>1340</v>
      </c>
      <c r="T1073">
        <v>22</v>
      </c>
      <c r="U1073">
        <v>25</v>
      </c>
      <c r="V1073">
        <v>0</v>
      </c>
      <c r="W1073">
        <v>0</v>
      </c>
      <c r="X1073">
        <v>0</v>
      </c>
      <c r="Y1073">
        <v>0</v>
      </c>
      <c r="Z1073">
        <v>22</v>
      </c>
      <c r="AA1073">
        <v>25</v>
      </c>
      <c r="AB1073">
        <v>50</v>
      </c>
      <c r="AC1073">
        <v>49</v>
      </c>
      <c r="AD1073">
        <v>0</v>
      </c>
      <c r="AE1073">
        <v>0</v>
      </c>
      <c r="AF1073">
        <v>49</v>
      </c>
      <c r="AG1073">
        <v>0</v>
      </c>
      <c r="AH1073">
        <v>1</v>
      </c>
      <c r="AI1073">
        <v>1</v>
      </c>
      <c r="AJ1073">
        <v>1</v>
      </c>
      <c r="AK1073">
        <v>1</v>
      </c>
      <c r="AL1073">
        <v>0</v>
      </c>
      <c r="AM1073">
        <v>0.4</v>
      </c>
      <c r="AN1073">
        <v>9.0909090909090912E-2</v>
      </c>
      <c r="AO1073">
        <v>0</v>
      </c>
      <c r="AP1073" t="s">
        <v>188</v>
      </c>
      <c r="AQ1073" t="s">
        <v>131</v>
      </c>
      <c r="AR1073" t="s">
        <v>229</v>
      </c>
      <c r="AS1073">
        <v>0</v>
      </c>
      <c r="AT1073">
        <v>0</v>
      </c>
      <c r="AU1073">
        <v>0</v>
      </c>
      <c r="AV1073">
        <v>0</v>
      </c>
      <c r="AW1073">
        <v>0</v>
      </c>
      <c r="AX1073">
        <v>0</v>
      </c>
      <c r="AY1073">
        <v>0</v>
      </c>
      <c r="AZ1073" t="s">
        <v>134</v>
      </c>
      <c r="BA1073">
        <v>20</v>
      </c>
      <c r="BB1073">
        <v>0</v>
      </c>
      <c r="BC1073" t="s">
        <v>133</v>
      </c>
      <c r="BD1073">
        <v>0</v>
      </c>
      <c r="BE1073" t="s">
        <v>133</v>
      </c>
      <c r="BF107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74" spans="1:58" x14ac:dyDescent="0.25">
      <c r="A1074" t="s">
        <v>1342</v>
      </c>
      <c r="B1074" t="s">
        <v>19</v>
      </c>
      <c r="C1074">
        <v>2</v>
      </c>
      <c r="D1074">
        <v>458</v>
      </c>
      <c r="E1074" t="s">
        <v>2109</v>
      </c>
      <c r="F1074" t="s">
        <v>123</v>
      </c>
      <c r="G1074" t="s">
        <v>124</v>
      </c>
      <c r="H1074" t="s">
        <v>125</v>
      </c>
      <c r="I1074" t="s">
        <v>183</v>
      </c>
      <c r="J1074" t="s">
        <v>140</v>
      </c>
      <c r="K1074" t="s">
        <v>127</v>
      </c>
      <c r="L1074">
        <v>50</v>
      </c>
      <c r="M1074">
        <v>3472570</v>
      </c>
      <c r="N1074">
        <v>20</v>
      </c>
      <c r="O1074">
        <v>4</v>
      </c>
      <c r="P1074" t="s">
        <v>168</v>
      </c>
      <c r="Q1074" t="s">
        <v>129</v>
      </c>
      <c r="R1074">
        <v>42</v>
      </c>
      <c r="S1074" t="s">
        <v>1340</v>
      </c>
      <c r="T1074">
        <v>22</v>
      </c>
      <c r="U1074">
        <v>25</v>
      </c>
      <c r="V1074">
        <v>0</v>
      </c>
      <c r="W1074">
        <v>0</v>
      </c>
      <c r="X1074">
        <v>0</v>
      </c>
      <c r="Y1074">
        <v>0</v>
      </c>
      <c r="Z1074">
        <v>22</v>
      </c>
      <c r="AA1074">
        <v>25</v>
      </c>
      <c r="AB1074">
        <v>50</v>
      </c>
      <c r="AC1074">
        <v>49</v>
      </c>
      <c r="AD1074">
        <v>0</v>
      </c>
      <c r="AE1074">
        <v>0</v>
      </c>
      <c r="AF1074">
        <v>49</v>
      </c>
      <c r="AG1074">
        <v>0</v>
      </c>
      <c r="AH1074">
        <v>1</v>
      </c>
      <c r="AI1074">
        <v>1</v>
      </c>
      <c r="AJ1074">
        <v>1</v>
      </c>
      <c r="AK1074">
        <v>1</v>
      </c>
      <c r="AL1074">
        <v>0</v>
      </c>
      <c r="AM1074">
        <v>0.4</v>
      </c>
      <c r="AN1074">
        <v>9.0909090909090912E-2</v>
      </c>
      <c r="AO1074">
        <v>0</v>
      </c>
      <c r="AP1074" t="s">
        <v>188</v>
      </c>
      <c r="AQ1074" t="s">
        <v>131</v>
      </c>
      <c r="AR1074" t="s">
        <v>229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 t="s">
        <v>134</v>
      </c>
      <c r="BA1074">
        <v>20</v>
      </c>
      <c r="BB1074">
        <v>0</v>
      </c>
      <c r="BC1074" t="s">
        <v>133</v>
      </c>
      <c r="BD1074">
        <v>0</v>
      </c>
      <c r="BE1074" t="s">
        <v>133</v>
      </c>
      <c r="BF107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75" spans="1:58" x14ac:dyDescent="0.25">
      <c r="A1075" t="s">
        <v>1343</v>
      </c>
      <c r="B1075" t="s">
        <v>19</v>
      </c>
      <c r="C1075">
        <v>2</v>
      </c>
      <c r="D1075">
        <v>459</v>
      </c>
      <c r="E1075" t="s">
        <v>2109</v>
      </c>
      <c r="F1075" t="s">
        <v>123</v>
      </c>
      <c r="G1075" t="s">
        <v>124</v>
      </c>
      <c r="H1075" t="s">
        <v>125</v>
      </c>
      <c r="I1075" t="s">
        <v>154</v>
      </c>
      <c r="J1075" t="s">
        <v>154</v>
      </c>
      <c r="K1075" t="s">
        <v>151</v>
      </c>
      <c r="L1075">
        <v>50</v>
      </c>
      <c r="M1075">
        <v>1271307</v>
      </c>
      <c r="N1075">
        <v>0</v>
      </c>
      <c r="O1075">
        <v>4</v>
      </c>
      <c r="P1075" t="s">
        <v>168</v>
      </c>
      <c r="Q1075" t="s">
        <v>129</v>
      </c>
      <c r="R1075">
        <v>42</v>
      </c>
      <c r="S1075" t="s">
        <v>189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50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50</v>
      </c>
      <c r="AJ1075">
        <v>50</v>
      </c>
      <c r="AK1075">
        <v>50</v>
      </c>
      <c r="AL1075">
        <v>50</v>
      </c>
      <c r="AM1075">
        <v>0</v>
      </c>
      <c r="AN1075">
        <v>4.5454545454545459</v>
      </c>
      <c r="AO1075">
        <v>0</v>
      </c>
      <c r="AP1075" t="s">
        <v>172</v>
      </c>
      <c r="AQ1075" t="s">
        <v>155</v>
      </c>
      <c r="AR1075" t="s">
        <v>229</v>
      </c>
      <c r="AS1075">
        <v>0</v>
      </c>
      <c r="AT1075">
        <v>0</v>
      </c>
      <c r="AU1075">
        <v>0</v>
      </c>
      <c r="AV1075">
        <v>0</v>
      </c>
      <c r="AW1075">
        <v>0</v>
      </c>
      <c r="AX1075">
        <v>0</v>
      </c>
      <c r="AY1075">
        <v>0</v>
      </c>
      <c r="AZ1075" t="s">
        <v>147</v>
      </c>
      <c r="BA1075">
        <v>0</v>
      </c>
      <c r="BB1075">
        <v>0</v>
      </c>
      <c r="BC1075" t="s">
        <v>133</v>
      </c>
      <c r="BD1075">
        <v>1</v>
      </c>
      <c r="BE1075" t="s">
        <v>133</v>
      </c>
      <c r="BF107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76" spans="1:58" x14ac:dyDescent="0.25">
      <c r="A1076" t="s">
        <v>1344</v>
      </c>
      <c r="B1076" t="s">
        <v>19</v>
      </c>
      <c r="C1076">
        <v>2</v>
      </c>
      <c r="D1076">
        <v>460</v>
      </c>
      <c r="E1076" t="s">
        <v>2109</v>
      </c>
      <c r="F1076" t="s">
        <v>123</v>
      </c>
      <c r="G1076" t="s">
        <v>124</v>
      </c>
      <c r="H1076" t="s">
        <v>125</v>
      </c>
      <c r="I1076" t="s">
        <v>154</v>
      </c>
      <c r="J1076" t="s">
        <v>154</v>
      </c>
      <c r="K1076" t="s">
        <v>151</v>
      </c>
      <c r="L1076">
        <v>50</v>
      </c>
      <c r="M1076">
        <v>1271309</v>
      </c>
      <c r="N1076">
        <v>0</v>
      </c>
      <c r="O1076">
        <v>4</v>
      </c>
      <c r="P1076" t="s">
        <v>168</v>
      </c>
      <c r="Q1076" t="s">
        <v>129</v>
      </c>
      <c r="R1076">
        <v>42</v>
      </c>
      <c r="S1076" t="s">
        <v>189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50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50</v>
      </c>
      <c r="AJ1076">
        <v>50</v>
      </c>
      <c r="AK1076">
        <v>50</v>
      </c>
      <c r="AL1076">
        <v>50</v>
      </c>
      <c r="AM1076">
        <v>0</v>
      </c>
      <c r="AN1076">
        <v>4.5454545454545459</v>
      </c>
      <c r="AO1076">
        <v>0</v>
      </c>
      <c r="AP1076" t="s">
        <v>172</v>
      </c>
      <c r="AQ1076" t="s">
        <v>155</v>
      </c>
      <c r="AR1076" t="s">
        <v>229</v>
      </c>
      <c r="AS1076">
        <v>0</v>
      </c>
      <c r="AT1076">
        <v>0</v>
      </c>
      <c r="AU1076">
        <v>0</v>
      </c>
      <c r="AV1076">
        <v>0</v>
      </c>
      <c r="AW1076">
        <v>0</v>
      </c>
      <c r="AX1076">
        <v>0</v>
      </c>
      <c r="AY1076">
        <v>0</v>
      </c>
      <c r="AZ1076" t="s">
        <v>147</v>
      </c>
      <c r="BA1076">
        <v>0</v>
      </c>
      <c r="BB1076">
        <v>0</v>
      </c>
      <c r="BC1076" t="s">
        <v>133</v>
      </c>
      <c r="BD1076">
        <v>2</v>
      </c>
      <c r="BE1076" t="s">
        <v>133</v>
      </c>
      <c r="BF107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77" spans="1:58" x14ac:dyDescent="0.25">
      <c r="A1077" t="s">
        <v>1345</v>
      </c>
      <c r="B1077" t="s">
        <v>19</v>
      </c>
      <c r="C1077">
        <v>2</v>
      </c>
      <c r="D1077">
        <v>461</v>
      </c>
      <c r="E1077" t="s">
        <v>2109</v>
      </c>
      <c r="F1077" t="s">
        <v>123</v>
      </c>
      <c r="G1077" t="s">
        <v>124</v>
      </c>
      <c r="H1077" t="s">
        <v>125</v>
      </c>
      <c r="I1077" t="s">
        <v>154</v>
      </c>
      <c r="J1077" t="s">
        <v>154</v>
      </c>
      <c r="K1077" t="s">
        <v>151</v>
      </c>
      <c r="L1077">
        <v>50</v>
      </c>
      <c r="M1077">
        <v>1271311</v>
      </c>
      <c r="N1077">
        <v>0</v>
      </c>
      <c r="O1077">
        <v>4</v>
      </c>
      <c r="P1077" t="s">
        <v>168</v>
      </c>
      <c r="Q1077" t="s">
        <v>129</v>
      </c>
      <c r="R1077">
        <v>42</v>
      </c>
      <c r="S1077" t="s">
        <v>189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50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50</v>
      </c>
      <c r="AJ1077">
        <v>50</v>
      </c>
      <c r="AK1077">
        <v>50</v>
      </c>
      <c r="AL1077">
        <v>50</v>
      </c>
      <c r="AM1077">
        <v>0</v>
      </c>
      <c r="AN1077">
        <v>4.5454545454545459</v>
      </c>
      <c r="AO1077">
        <v>0</v>
      </c>
      <c r="AP1077" t="s">
        <v>172</v>
      </c>
      <c r="AQ1077" t="s">
        <v>155</v>
      </c>
      <c r="AR1077" t="s">
        <v>229</v>
      </c>
      <c r="AS1077">
        <v>0</v>
      </c>
      <c r="AT1077">
        <v>0</v>
      </c>
      <c r="AU1077">
        <v>0</v>
      </c>
      <c r="AV1077">
        <v>0</v>
      </c>
      <c r="AW1077">
        <v>0</v>
      </c>
      <c r="AX1077">
        <v>0</v>
      </c>
      <c r="AY1077">
        <v>0</v>
      </c>
      <c r="AZ1077" t="s">
        <v>147</v>
      </c>
      <c r="BA1077">
        <v>0</v>
      </c>
      <c r="BB1077">
        <v>0</v>
      </c>
      <c r="BC1077" t="s">
        <v>133</v>
      </c>
      <c r="BD1077">
        <v>3</v>
      </c>
      <c r="BE1077" t="s">
        <v>133</v>
      </c>
      <c r="BF107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78" spans="1:58" x14ac:dyDescent="0.25">
      <c r="A1078" t="s">
        <v>1346</v>
      </c>
      <c r="B1078" t="s">
        <v>19</v>
      </c>
      <c r="C1078">
        <v>2</v>
      </c>
      <c r="D1078">
        <v>462</v>
      </c>
      <c r="E1078" t="s">
        <v>2109</v>
      </c>
      <c r="F1078" t="s">
        <v>123</v>
      </c>
      <c r="G1078" t="s">
        <v>124</v>
      </c>
      <c r="H1078" t="s">
        <v>125</v>
      </c>
      <c r="I1078" t="s">
        <v>154</v>
      </c>
      <c r="J1078" t="s">
        <v>154</v>
      </c>
      <c r="K1078" t="s">
        <v>151</v>
      </c>
      <c r="L1078">
        <v>50</v>
      </c>
      <c r="M1078">
        <v>1271313</v>
      </c>
      <c r="N1078">
        <v>0</v>
      </c>
      <c r="O1078">
        <v>4</v>
      </c>
      <c r="P1078" t="s">
        <v>168</v>
      </c>
      <c r="Q1078" t="s">
        <v>129</v>
      </c>
      <c r="R1078">
        <v>42</v>
      </c>
      <c r="S1078" t="s">
        <v>189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50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50</v>
      </c>
      <c r="AJ1078">
        <v>50</v>
      </c>
      <c r="AK1078">
        <v>50</v>
      </c>
      <c r="AL1078">
        <v>50</v>
      </c>
      <c r="AM1078">
        <v>0</v>
      </c>
      <c r="AN1078">
        <v>4.5454545454545459</v>
      </c>
      <c r="AO1078">
        <v>0</v>
      </c>
      <c r="AP1078" t="s">
        <v>172</v>
      </c>
      <c r="AQ1078" t="s">
        <v>155</v>
      </c>
      <c r="AR1078" t="s">
        <v>229</v>
      </c>
      <c r="AS1078">
        <v>0</v>
      </c>
      <c r="AT1078">
        <v>0</v>
      </c>
      <c r="AU1078">
        <v>0</v>
      </c>
      <c r="AV1078">
        <v>0</v>
      </c>
      <c r="AW1078">
        <v>0</v>
      </c>
      <c r="AX1078">
        <v>0</v>
      </c>
      <c r="AY1078">
        <v>0</v>
      </c>
      <c r="AZ1078" t="s">
        <v>147</v>
      </c>
      <c r="BA1078">
        <v>0</v>
      </c>
      <c r="BB1078">
        <v>0</v>
      </c>
      <c r="BC1078" t="s">
        <v>133</v>
      </c>
      <c r="BD1078">
        <v>4</v>
      </c>
      <c r="BE1078" t="s">
        <v>133</v>
      </c>
      <c r="BF107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79" spans="1:58" x14ac:dyDescent="0.25">
      <c r="A1079" t="s">
        <v>1347</v>
      </c>
      <c r="B1079" t="s">
        <v>19</v>
      </c>
      <c r="C1079">
        <v>2</v>
      </c>
      <c r="D1079">
        <v>463</v>
      </c>
      <c r="E1079" t="s">
        <v>2109</v>
      </c>
      <c r="F1079" t="s">
        <v>123</v>
      </c>
      <c r="G1079" t="s">
        <v>124</v>
      </c>
      <c r="H1079" t="s">
        <v>125</v>
      </c>
      <c r="I1079" t="s">
        <v>154</v>
      </c>
      <c r="J1079" t="s">
        <v>154</v>
      </c>
      <c r="K1079" t="s">
        <v>151</v>
      </c>
      <c r="L1079">
        <v>50</v>
      </c>
      <c r="M1079">
        <v>1271315</v>
      </c>
      <c r="N1079">
        <v>0</v>
      </c>
      <c r="O1079">
        <v>4</v>
      </c>
      <c r="P1079" t="s">
        <v>168</v>
      </c>
      <c r="Q1079" t="s">
        <v>129</v>
      </c>
      <c r="R1079">
        <v>42</v>
      </c>
      <c r="S1079" t="s">
        <v>189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50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50</v>
      </c>
      <c r="AJ1079">
        <v>50</v>
      </c>
      <c r="AK1079">
        <v>50</v>
      </c>
      <c r="AL1079">
        <v>50</v>
      </c>
      <c r="AM1079">
        <v>0</v>
      </c>
      <c r="AN1079">
        <v>4.5454545454545459</v>
      </c>
      <c r="AO1079">
        <v>0</v>
      </c>
      <c r="AP1079" t="s">
        <v>172</v>
      </c>
      <c r="AQ1079" t="s">
        <v>155</v>
      </c>
      <c r="AR1079" t="s">
        <v>229</v>
      </c>
      <c r="AS1079">
        <v>0</v>
      </c>
      <c r="AT1079">
        <v>0</v>
      </c>
      <c r="AU1079">
        <v>0</v>
      </c>
      <c r="AV1079">
        <v>0</v>
      </c>
      <c r="AW1079">
        <v>0</v>
      </c>
      <c r="AX1079">
        <v>0</v>
      </c>
      <c r="AY1079">
        <v>0</v>
      </c>
      <c r="AZ1079" t="s">
        <v>147</v>
      </c>
      <c r="BA1079">
        <v>0</v>
      </c>
      <c r="BB1079">
        <v>0</v>
      </c>
      <c r="BC1079" t="s">
        <v>133</v>
      </c>
      <c r="BD1079">
        <v>5</v>
      </c>
      <c r="BE1079" t="s">
        <v>133</v>
      </c>
      <c r="BF107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80" spans="1:58" x14ac:dyDescent="0.25">
      <c r="A1080" t="s">
        <v>1348</v>
      </c>
      <c r="B1080" t="s">
        <v>19</v>
      </c>
      <c r="C1080">
        <v>2</v>
      </c>
      <c r="D1080">
        <v>464</v>
      </c>
      <c r="E1080" t="s">
        <v>2109</v>
      </c>
      <c r="F1080" t="s">
        <v>123</v>
      </c>
      <c r="G1080" t="s">
        <v>124</v>
      </c>
      <c r="H1080" t="s">
        <v>125</v>
      </c>
      <c r="I1080" t="s">
        <v>154</v>
      </c>
      <c r="J1080" t="s">
        <v>154</v>
      </c>
      <c r="K1080" t="s">
        <v>151</v>
      </c>
      <c r="L1080">
        <v>50</v>
      </c>
      <c r="M1080">
        <v>1271317</v>
      </c>
      <c r="N1080">
        <v>0</v>
      </c>
      <c r="O1080">
        <v>4</v>
      </c>
      <c r="P1080" t="s">
        <v>168</v>
      </c>
      <c r="Q1080" t="s">
        <v>129</v>
      </c>
      <c r="R1080">
        <v>42</v>
      </c>
      <c r="S1080" t="s">
        <v>189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50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50</v>
      </c>
      <c r="AJ1080">
        <v>50</v>
      </c>
      <c r="AK1080">
        <v>50</v>
      </c>
      <c r="AL1080">
        <v>50</v>
      </c>
      <c r="AM1080">
        <v>0</v>
      </c>
      <c r="AN1080">
        <v>4.5454545454545459</v>
      </c>
      <c r="AO1080">
        <v>0</v>
      </c>
      <c r="AP1080" t="s">
        <v>172</v>
      </c>
      <c r="AQ1080" t="s">
        <v>155</v>
      </c>
      <c r="AR1080" t="s">
        <v>229</v>
      </c>
      <c r="AS1080">
        <v>0</v>
      </c>
      <c r="AT1080">
        <v>0</v>
      </c>
      <c r="AU1080">
        <v>0</v>
      </c>
      <c r="AV1080">
        <v>0</v>
      </c>
      <c r="AW1080">
        <v>0</v>
      </c>
      <c r="AX1080">
        <v>0</v>
      </c>
      <c r="AY1080">
        <v>0</v>
      </c>
      <c r="AZ1080" t="s">
        <v>147</v>
      </c>
      <c r="BA1080">
        <v>0</v>
      </c>
      <c r="BB1080">
        <v>0</v>
      </c>
      <c r="BC1080" t="s">
        <v>133</v>
      </c>
      <c r="BD1080">
        <v>6</v>
      </c>
      <c r="BE1080" t="s">
        <v>133</v>
      </c>
      <c r="BF108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81" spans="1:58" x14ac:dyDescent="0.25">
      <c r="A1081" t="s">
        <v>1349</v>
      </c>
      <c r="B1081" t="s">
        <v>19</v>
      </c>
      <c r="C1081">
        <v>2</v>
      </c>
      <c r="D1081">
        <v>465</v>
      </c>
      <c r="E1081" t="s">
        <v>2109</v>
      </c>
      <c r="F1081" t="s">
        <v>123</v>
      </c>
      <c r="G1081" t="s">
        <v>124</v>
      </c>
      <c r="H1081" t="s">
        <v>125</v>
      </c>
      <c r="I1081" t="s">
        <v>154</v>
      </c>
      <c r="J1081" t="s">
        <v>154</v>
      </c>
      <c r="K1081" t="s">
        <v>151</v>
      </c>
      <c r="L1081">
        <v>50</v>
      </c>
      <c r="M1081">
        <v>1271319</v>
      </c>
      <c r="N1081">
        <v>0</v>
      </c>
      <c r="O1081">
        <v>4</v>
      </c>
      <c r="P1081" t="s">
        <v>168</v>
      </c>
      <c r="Q1081" t="s">
        <v>129</v>
      </c>
      <c r="R1081">
        <v>42</v>
      </c>
      <c r="S1081" t="s">
        <v>189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50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50</v>
      </c>
      <c r="AJ1081">
        <v>50</v>
      </c>
      <c r="AK1081">
        <v>50</v>
      </c>
      <c r="AL1081">
        <v>50</v>
      </c>
      <c r="AM1081">
        <v>0</v>
      </c>
      <c r="AN1081">
        <v>4.5454545454545459</v>
      </c>
      <c r="AO1081">
        <v>0</v>
      </c>
      <c r="AP1081" t="s">
        <v>172</v>
      </c>
      <c r="AQ1081" t="s">
        <v>155</v>
      </c>
      <c r="AR1081" t="s">
        <v>229</v>
      </c>
      <c r="AS1081">
        <v>0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 t="s">
        <v>147</v>
      </c>
      <c r="BA1081">
        <v>0</v>
      </c>
      <c r="BB1081">
        <v>0</v>
      </c>
      <c r="BC1081" t="s">
        <v>133</v>
      </c>
      <c r="BD1081">
        <v>7</v>
      </c>
      <c r="BE1081" t="s">
        <v>133</v>
      </c>
      <c r="BF108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82" spans="1:58" x14ac:dyDescent="0.25">
      <c r="A1082" t="s">
        <v>1350</v>
      </c>
      <c r="B1082" t="s">
        <v>19</v>
      </c>
      <c r="C1082">
        <v>2</v>
      </c>
      <c r="D1082">
        <v>466</v>
      </c>
      <c r="E1082" t="s">
        <v>2109</v>
      </c>
      <c r="F1082" t="s">
        <v>123</v>
      </c>
      <c r="G1082" t="s">
        <v>124</v>
      </c>
      <c r="H1082" t="s">
        <v>125</v>
      </c>
      <c r="I1082" t="s">
        <v>154</v>
      </c>
      <c r="J1082" t="s">
        <v>154</v>
      </c>
      <c r="K1082" t="s">
        <v>151</v>
      </c>
      <c r="L1082">
        <v>50</v>
      </c>
      <c r="M1082">
        <v>1271321</v>
      </c>
      <c r="N1082">
        <v>0</v>
      </c>
      <c r="O1082">
        <v>4</v>
      </c>
      <c r="P1082" t="s">
        <v>168</v>
      </c>
      <c r="Q1082" t="s">
        <v>129</v>
      </c>
      <c r="R1082">
        <v>42</v>
      </c>
      <c r="S1082" t="s">
        <v>189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50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50</v>
      </c>
      <c r="AJ1082">
        <v>50</v>
      </c>
      <c r="AK1082">
        <v>50</v>
      </c>
      <c r="AL1082">
        <v>50</v>
      </c>
      <c r="AM1082">
        <v>0</v>
      </c>
      <c r="AN1082">
        <v>4.5454545454545459</v>
      </c>
      <c r="AO1082">
        <v>0</v>
      </c>
      <c r="AP1082" t="s">
        <v>172</v>
      </c>
      <c r="AQ1082" t="s">
        <v>155</v>
      </c>
      <c r="AR1082" t="s">
        <v>229</v>
      </c>
      <c r="AS1082">
        <v>0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 t="s">
        <v>147</v>
      </c>
      <c r="BA1082">
        <v>0</v>
      </c>
      <c r="BB1082">
        <v>0</v>
      </c>
      <c r="BC1082" t="s">
        <v>144</v>
      </c>
      <c r="BD1082">
        <v>8</v>
      </c>
      <c r="BE1082" t="s">
        <v>133</v>
      </c>
      <c r="BF108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83" spans="1:58" x14ac:dyDescent="0.25">
      <c r="A1083" t="s">
        <v>1351</v>
      </c>
      <c r="B1083" t="s">
        <v>19</v>
      </c>
      <c r="C1083">
        <v>2</v>
      </c>
      <c r="D1083">
        <v>467</v>
      </c>
      <c r="E1083" t="s">
        <v>2111</v>
      </c>
      <c r="F1083" t="s">
        <v>123</v>
      </c>
      <c r="G1083" t="s">
        <v>124</v>
      </c>
      <c r="H1083" t="s">
        <v>125</v>
      </c>
      <c r="I1083" t="s">
        <v>148</v>
      </c>
      <c r="J1083" t="s">
        <v>157</v>
      </c>
      <c r="K1083" t="s">
        <v>166</v>
      </c>
      <c r="L1083">
        <v>50</v>
      </c>
      <c r="M1083">
        <v>1271323</v>
      </c>
      <c r="N1083">
        <v>6</v>
      </c>
      <c r="O1083">
        <v>4</v>
      </c>
      <c r="P1083" t="s">
        <v>168</v>
      </c>
      <c r="Q1083" t="s">
        <v>129</v>
      </c>
      <c r="R1083">
        <v>43</v>
      </c>
      <c r="S1083" t="s">
        <v>1352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50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50</v>
      </c>
      <c r="AI1083">
        <v>50</v>
      </c>
      <c r="AJ1083">
        <v>50</v>
      </c>
      <c r="AK1083">
        <v>50</v>
      </c>
      <c r="AL1083">
        <v>0</v>
      </c>
      <c r="AM1083">
        <v>0.12</v>
      </c>
      <c r="AN1083">
        <v>4.5454545454545459</v>
      </c>
      <c r="AO1083">
        <v>0</v>
      </c>
      <c r="AP1083" t="s">
        <v>169</v>
      </c>
      <c r="AQ1083" t="s">
        <v>155</v>
      </c>
      <c r="AR1083" t="s">
        <v>1184</v>
      </c>
      <c r="AS1083">
        <v>0</v>
      </c>
      <c r="AT1083">
        <v>0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 t="s">
        <v>135</v>
      </c>
      <c r="BA1083">
        <v>6</v>
      </c>
      <c r="BB1083">
        <v>0</v>
      </c>
      <c r="BC1083" t="s">
        <v>132</v>
      </c>
      <c r="BD1083">
        <v>1</v>
      </c>
      <c r="BE1083" t="s">
        <v>133</v>
      </c>
      <c r="BF108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84" spans="1:58" x14ac:dyDescent="0.25">
      <c r="A1084" t="s">
        <v>1353</v>
      </c>
      <c r="B1084" t="s">
        <v>19</v>
      </c>
      <c r="C1084">
        <v>2</v>
      </c>
      <c r="D1084">
        <v>468</v>
      </c>
      <c r="E1084" t="s">
        <v>2111</v>
      </c>
      <c r="F1084" t="s">
        <v>123</v>
      </c>
      <c r="G1084" t="s">
        <v>124</v>
      </c>
      <c r="H1084" t="s">
        <v>125</v>
      </c>
      <c r="I1084" t="s">
        <v>148</v>
      </c>
      <c r="J1084" t="s">
        <v>157</v>
      </c>
      <c r="K1084" t="s">
        <v>166</v>
      </c>
      <c r="L1084">
        <v>50</v>
      </c>
      <c r="M1084">
        <v>1271325</v>
      </c>
      <c r="N1084">
        <v>6</v>
      </c>
      <c r="O1084">
        <v>4</v>
      </c>
      <c r="P1084" t="s">
        <v>168</v>
      </c>
      <c r="Q1084" t="s">
        <v>129</v>
      </c>
      <c r="R1084">
        <v>43</v>
      </c>
      <c r="S1084" t="s">
        <v>1352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50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50</v>
      </c>
      <c r="AI1084">
        <v>50</v>
      </c>
      <c r="AJ1084">
        <v>50</v>
      </c>
      <c r="AK1084">
        <v>50</v>
      </c>
      <c r="AL1084">
        <v>0</v>
      </c>
      <c r="AM1084">
        <v>0.12</v>
      </c>
      <c r="AN1084">
        <v>4.5454545454545459</v>
      </c>
      <c r="AO1084">
        <v>0</v>
      </c>
      <c r="AP1084" t="s">
        <v>169</v>
      </c>
      <c r="AQ1084" t="s">
        <v>155</v>
      </c>
      <c r="AR1084" t="s">
        <v>1184</v>
      </c>
      <c r="AS1084">
        <v>0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 t="s">
        <v>135</v>
      </c>
      <c r="BA1084">
        <v>6</v>
      </c>
      <c r="BB1084">
        <v>0</v>
      </c>
      <c r="BC1084" t="s">
        <v>133</v>
      </c>
      <c r="BD1084">
        <v>2</v>
      </c>
      <c r="BE1084" t="s">
        <v>133</v>
      </c>
      <c r="BF108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85" spans="1:58" x14ac:dyDescent="0.25">
      <c r="A1085" t="s">
        <v>1354</v>
      </c>
      <c r="B1085" t="s">
        <v>19</v>
      </c>
      <c r="C1085">
        <v>2</v>
      </c>
      <c r="D1085">
        <v>469</v>
      </c>
      <c r="E1085" t="s">
        <v>2111</v>
      </c>
      <c r="F1085" t="s">
        <v>123</v>
      </c>
      <c r="G1085" t="s">
        <v>124</v>
      </c>
      <c r="H1085" t="s">
        <v>125</v>
      </c>
      <c r="I1085" t="s">
        <v>148</v>
      </c>
      <c r="J1085" t="s">
        <v>157</v>
      </c>
      <c r="K1085" t="s">
        <v>127</v>
      </c>
      <c r="L1085">
        <v>50</v>
      </c>
      <c r="M1085">
        <v>1271327</v>
      </c>
      <c r="N1085">
        <v>6</v>
      </c>
      <c r="O1085">
        <v>4</v>
      </c>
      <c r="P1085" t="s">
        <v>168</v>
      </c>
      <c r="Q1085" t="s">
        <v>129</v>
      </c>
      <c r="R1085">
        <v>43</v>
      </c>
      <c r="S1085" t="s">
        <v>1352</v>
      </c>
      <c r="T1085">
        <v>0</v>
      </c>
      <c r="U1085">
        <v>4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4</v>
      </c>
      <c r="AB1085">
        <v>50</v>
      </c>
      <c r="AC1085">
        <v>6</v>
      </c>
      <c r="AD1085">
        <v>0</v>
      </c>
      <c r="AE1085">
        <v>0</v>
      </c>
      <c r="AF1085">
        <v>6</v>
      </c>
      <c r="AG1085">
        <v>0</v>
      </c>
      <c r="AH1085">
        <v>44</v>
      </c>
      <c r="AI1085">
        <v>44</v>
      </c>
      <c r="AJ1085">
        <v>44</v>
      </c>
      <c r="AK1085">
        <v>44</v>
      </c>
      <c r="AL1085">
        <v>0</v>
      </c>
      <c r="AM1085">
        <v>0.12</v>
      </c>
      <c r="AN1085">
        <v>4</v>
      </c>
      <c r="AO1085">
        <v>0</v>
      </c>
      <c r="AP1085" t="s">
        <v>150</v>
      </c>
      <c r="AQ1085" t="s">
        <v>131</v>
      </c>
      <c r="AR1085" t="s">
        <v>1184</v>
      </c>
      <c r="AS1085">
        <v>0</v>
      </c>
      <c r="AT1085">
        <v>0</v>
      </c>
      <c r="AU1085">
        <v>0</v>
      </c>
      <c r="AV1085">
        <v>0</v>
      </c>
      <c r="AW1085">
        <v>0</v>
      </c>
      <c r="AX1085">
        <v>0</v>
      </c>
      <c r="AY1085">
        <v>0</v>
      </c>
      <c r="AZ1085" t="s">
        <v>147</v>
      </c>
      <c r="BA1085">
        <v>6</v>
      </c>
      <c r="BB1085">
        <v>0</v>
      </c>
      <c r="BC1085" t="s">
        <v>133</v>
      </c>
      <c r="BD1085">
        <v>0</v>
      </c>
      <c r="BE1085" t="s">
        <v>133</v>
      </c>
      <c r="BF108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86" spans="1:58" x14ac:dyDescent="0.25">
      <c r="A1086" t="s">
        <v>1355</v>
      </c>
      <c r="B1086" t="s">
        <v>19</v>
      </c>
      <c r="C1086">
        <v>2</v>
      </c>
      <c r="D1086">
        <v>470</v>
      </c>
      <c r="E1086" t="s">
        <v>2111</v>
      </c>
      <c r="F1086" t="s">
        <v>123</v>
      </c>
      <c r="G1086" t="s">
        <v>124</v>
      </c>
      <c r="H1086" t="s">
        <v>125</v>
      </c>
      <c r="I1086" t="s">
        <v>148</v>
      </c>
      <c r="J1086" t="s">
        <v>157</v>
      </c>
      <c r="K1086" t="s">
        <v>127</v>
      </c>
      <c r="L1086">
        <v>50</v>
      </c>
      <c r="M1086">
        <v>1271329</v>
      </c>
      <c r="N1086">
        <v>6</v>
      </c>
      <c r="O1086">
        <v>4</v>
      </c>
      <c r="P1086" t="s">
        <v>168</v>
      </c>
      <c r="Q1086" t="s">
        <v>129</v>
      </c>
      <c r="R1086">
        <v>43</v>
      </c>
      <c r="S1086" t="s">
        <v>1352</v>
      </c>
      <c r="T1086">
        <v>0</v>
      </c>
      <c r="U1086">
        <v>6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6</v>
      </c>
      <c r="AB1086">
        <v>50</v>
      </c>
      <c r="AC1086">
        <v>22</v>
      </c>
      <c r="AD1086">
        <v>0</v>
      </c>
      <c r="AE1086">
        <v>0</v>
      </c>
      <c r="AF1086">
        <v>22</v>
      </c>
      <c r="AG1086">
        <v>0</v>
      </c>
      <c r="AH1086">
        <v>28</v>
      </c>
      <c r="AI1086">
        <v>28</v>
      </c>
      <c r="AJ1086">
        <v>28</v>
      </c>
      <c r="AK1086">
        <v>28</v>
      </c>
      <c r="AL1086">
        <v>0</v>
      </c>
      <c r="AM1086">
        <v>0.12</v>
      </c>
      <c r="AN1086">
        <v>2.5454545454545454</v>
      </c>
      <c r="AO1086">
        <v>0</v>
      </c>
      <c r="AP1086" t="s">
        <v>150</v>
      </c>
      <c r="AQ1086" t="s">
        <v>131</v>
      </c>
      <c r="AR1086" t="s">
        <v>1184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 t="s">
        <v>147</v>
      </c>
      <c r="BA1086">
        <v>6</v>
      </c>
      <c r="BB1086">
        <v>0</v>
      </c>
      <c r="BC1086" t="s">
        <v>133</v>
      </c>
      <c r="BD1086">
        <v>0</v>
      </c>
      <c r="BE1086" t="s">
        <v>133</v>
      </c>
      <c r="BF108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87" spans="1:58" x14ac:dyDescent="0.25">
      <c r="A1087" t="s">
        <v>1356</v>
      </c>
      <c r="B1087" t="s">
        <v>19</v>
      </c>
      <c r="C1087">
        <v>2</v>
      </c>
      <c r="D1087">
        <v>471</v>
      </c>
      <c r="E1087" t="s">
        <v>2111</v>
      </c>
      <c r="F1087" t="s">
        <v>123</v>
      </c>
      <c r="G1087" t="s">
        <v>124</v>
      </c>
      <c r="H1087" t="s">
        <v>125</v>
      </c>
      <c r="I1087" t="s">
        <v>148</v>
      </c>
      <c r="J1087" t="s">
        <v>157</v>
      </c>
      <c r="K1087" t="s">
        <v>166</v>
      </c>
      <c r="L1087">
        <v>50</v>
      </c>
      <c r="M1087">
        <v>1271331</v>
      </c>
      <c r="N1087">
        <v>6</v>
      </c>
      <c r="O1087">
        <v>4</v>
      </c>
      <c r="P1087" t="s">
        <v>168</v>
      </c>
      <c r="Q1087" t="s">
        <v>129</v>
      </c>
      <c r="R1087">
        <v>43</v>
      </c>
      <c r="S1087" t="s">
        <v>1352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50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50</v>
      </c>
      <c r="AI1087">
        <v>50</v>
      </c>
      <c r="AJ1087">
        <v>50</v>
      </c>
      <c r="AK1087">
        <v>50</v>
      </c>
      <c r="AL1087">
        <v>0</v>
      </c>
      <c r="AM1087">
        <v>0.12</v>
      </c>
      <c r="AN1087">
        <v>4.5454545454545459</v>
      </c>
      <c r="AO1087">
        <v>0</v>
      </c>
      <c r="AP1087" t="s">
        <v>169</v>
      </c>
      <c r="AQ1087" t="s">
        <v>155</v>
      </c>
      <c r="AR1087" t="s">
        <v>1184</v>
      </c>
      <c r="AS1087">
        <v>0</v>
      </c>
      <c r="AT1087">
        <v>0</v>
      </c>
      <c r="AU1087">
        <v>0</v>
      </c>
      <c r="AV1087">
        <v>0</v>
      </c>
      <c r="AW1087">
        <v>0</v>
      </c>
      <c r="AX1087">
        <v>0</v>
      </c>
      <c r="AY1087">
        <v>0</v>
      </c>
      <c r="AZ1087" t="s">
        <v>135</v>
      </c>
      <c r="BA1087">
        <v>6</v>
      </c>
      <c r="BB1087">
        <v>0</v>
      </c>
      <c r="BC1087" t="s">
        <v>133</v>
      </c>
      <c r="BD1087">
        <v>1</v>
      </c>
      <c r="BE1087" t="s">
        <v>133</v>
      </c>
      <c r="BF108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88" spans="1:58" x14ac:dyDescent="0.25">
      <c r="A1088" t="s">
        <v>1357</v>
      </c>
      <c r="B1088" t="s">
        <v>19</v>
      </c>
      <c r="C1088">
        <v>2</v>
      </c>
      <c r="D1088">
        <v>472</v>
      </c>
      <c r="E1088" t="s">
        <v>2111</v>
      </c>
      <c r="F1088" t="s">
        <v>123</v>
      </c>
      <c r="G1088" t="s">
        <v>124</v>
      </c>
      <c r="H1088" t="s">
        <v>125</v>
      </c>
      <c r="I1088" t="s">
        <v>148</v>
      </c>
      <c r="J1088" t="s">
        <v>157</v>
      </c>
      <c r="K1088" t="s">
        <v>127</v>
      </c>
      <c r="L1088">
        <v>50</v>
      </c>
      <c r="M1088">
        <v>1271333</v>
      </c>
      <c r="N1088">
        <v>6</v>
      </c>
      <c r="O1088">
        <v>4</v>
      </c>
      <c r="P1088" t="s">
        <v>168</v>
      </c>
      <c r="Q1088" t="s">
        <v>129</v>
      </c>
      <c r="R1088">
        <v>43</v>
      </c>
      <c r="S1088" t="s">
        <v>1352</v>
      </c>
      <c r="T1088">
        <v>0</v>
      </c>
      <c r="U1088">
        <v>1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1</v>
      </c>
      <c r="AB1088">
        <v>50</v>
      </c>
      <c r="AC1088">
        <v>1</v>
      </c>
      <c r="AD1088">
        <v>0</v>
      </c>
      <c r="AE1088">
        <v>0</v>
      </c>
      <c r="AF1088">
        <v>1</v>
      </c>
      <c r="AG1088">
        <v>0</v>
      </c>
      <c r="AH1088">
        <v>49</v>
      </c>
      <c r="AI1088">
        <v>49</v>
      </c>
      <c r="AJ1088">
        <v>49</v>
      </c>
      <c r="AK1088">
        <v>49</v>
      </c>
      <c r="AL1088">
        <v>0</v>
      </c>
      <c r="AM1088">
        <v>0.12</v>
      </c>
      <c r="AN1088">
        <v>4.454545454545455</v>
      </c>
      <c r="AO1088">
        <v>0</v>
      </c>
      <c r="AP1088" t="s">
        <v>150</v>
      </c>
      <c r="AQ1088" t="s">
        <v>131</v>
      </c>
      <c r="AR1088" t="s">
        <v>1184</v>
      </c>
      <c r="AS1088">
        <v>0</v>
      </c>
      <c r="AT1088">
        <v>0</v>
      </c>
      <c r="AU1088">
        <v>0</v>
      </c>
      <c r="AV1088">
        <v>0</v>
      </c>
      <c r="AW1088">
        <v>0</v>
      </c>
      <c r="AX1088">
        <v>0</v>
      </c>
      <c r="AY1088">
        <v>0</v>
      </c>
      <c r="AZ1088" t="s">
        <v>147</v>
      </c>
      <c r="BA1088">
        <v>6</v>
      </c>
      <c r="BB1088">
        <v>0</v>
      </c>
      <c r="BC1088" t="s">
        <v>133</v>
      </c>
      <c r="BD1088">
        <v>0</v>
      </c>
      <c r="BE1088" t="s">
        <v>133</v>
      </c>
      <c r="BF108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89" spans="1:58" x14ac:dyDescent="0.25">
      <c r="A1089" t="s">
        <v>1358</v>
      </c>
      <c r="B1089" t="s">
        <v>19</v>
      </c>
      <c r="C1089">
        <v>2</v>
      </c>
      <c r="D1089">
        <v>473</v>
      </c>
      <c r="E1089" t="s">
        <v>2111</v>
      </c>
      <c r="F1089" t="s">
        <v>123</v>
      </c>
      <c r="G1089" t="s">
        <v>124</v>
      </c>
      <c r="H1089" t="s">
        <v>125</v>
      </c>
      <c r="I1089" t="s">
        <v>148</v>
      </c>
      <c r="J1089" t="s">
        <v>157</v>
      </c>
      <c r="K1089" t="s">
        <v>127</v>
      </c>
      <c r="L1089">
        <v>50</v>
      </c>
      <c r="M1089">
        <v>1271335</v>
      </c>
      <c r="N1089">
        <v>6</v>
      </c>
      <c r="O1089">
        <v>4</v>
      </c>
      <c r="P1089" t="s">
        <v>168</v>
      </c>
      <c r="Q1089" t="s">
        <v>129</v>
      </c>
      <c r="R1089">
        <v>43</v>
      </c>
      <c r="S1089" t="s">
        <v>1352</v>
      </c>
      <c r="T1089">
        <v>0</v>
      </c>
      <c r="U1089">
        <v>1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1</v>
      </c>
      <c r="AB1089">
        <v>50</v>
      </c>
      <c r="AC1089">
        <v>1</v>
      </c>
      <c r="AD1089">
        <v>0</v>
      </c>
      <c r="AE1089">
        <v>0</v>
      </c>
      <c r="AF1089">
        <v>1</v>
      </c>
      <c r="AG1089">
        <v>0</v>
      </c>
      <c r="AH1089">
        <v>49</v>
      </c>
      <c r="AI1089">
        <v>49</v>
      </c>
      <c r="AJ1089">
        <v>49</v>
      </c>
      <c r="AK1089">
        <v>49</v>
      </c>
      <c r="AL1089">
        <v>0</v>
      </c>
      <c r="AM1089">
        <v>0.12</v>
      </c>
      <c r="AN1089">
        <v>4.454545454545455</v>
      </c>
      <c r="AO1089">
        <v>0</v>
      </c>
      <c r="AP1089" t="s">
        <v>150</v>
      </c>
      <c r="AQ1089" t="s">
        <v>131</v>
      </c>
      <c r="AR1089" t="s">
        <v>1184</v>
      </c>
      <c r="AS1089">
        <v>0</v>
      </c>
      <c r="AT1089">
        <v>0</v>
      </c>
      <c r="AU1089">
        <v>0</v>
      </c>
      <c r="AV1089">
        <v>0</v>
      </c>
      <c r="AW1089">
        <v>0</v>
      </c>
      <c r="AX1089">
        <v>0</v>
      </c>
      <c r="AY1089">
        <v>0</v>
      </c>
      <c r="AZ1089" t="s">
        <v>147</v>
      </c>
      <c r="BA1089">
        <v>6</v>
      </c>
      <c r="BB1089">
        <v>0</v>
      </c>
      <c r="BC1089" t="s">
        <v>133</v>
      </c>
      <c r="BD1089">
        <v>0</v>
      </c>
      <c r="BE1089" t="s">
        <v>133</v>
      </c>
      <c r="BF108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90" spans="1:58" x14ac:dyDescent="0.25">
      <c r="A1090" t="s">
        <v>1359</v>
      </c>
      <c r="B1090" t="s">
        <v>19</v>
      </c>
      <c r="C1090">
        <v>2</v>
      </c>
      <c r="D1090">
        <v>474</v>
      </c>
      <c r="E1090" t="s">
        <v>2111</v>
      </c>
      <c r="F1090" t="s">
        <v>123</v>
      </c>
      <c r="G1090" t="s">
        <v>124</v>
      </c>
      <c r="H1090" t="s">
        <v>125</v>
      </c>
      <c r="I1090" t="s">
        <v>148</v>
      </c>
      <c r="J1090" t="s">
        <v>157</v>
      </c>
      <c r="K1090" t="s">
        <v>166</v>
      </c>
      <c r="L1090">
        <v>50</v>
      </c>
      <c r="M1090">
        <v>1271337</v>
      </c>
      <c r="N1090">
        <v>6</v>
      </c>
      <c r="O1090">
        <v>4</v>
      </c>
      <c r="P1090" t="s">
        <v>168</v>
      </c>
      <c r="Q1090" t="s">
        <v>129</v>
      </c>
      <c r="R1090">
        <v>43</v>
      </c>
      <c r="S1090" t="s">
        <v>1352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50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50</v>
      </c>
      <c r="AI1090">
        <v>50</v>
      </c>
      <c r="AJ1090">
        <v>50</v>
      </c>
      <c r="AK1090">
        <v>50</v>
      </c>
      <c r="AL1090">
        <v>0</v>
      </c>
      <c r="AM1090">
        <v>0.12</v>
      </c>
      <c r="AN1090">
        <v>4.5454545454545459</v>
      </c>
      <c r="AO1090">
        <v>0</v>
      </c>
      <c r="AP1090" t="s">
        <v>169</v>
      </c>
      <c r="AQ1090" t="s">
        <v>155</v>
      </c>
      <c r="AR1090" t="s">
        <v>1184</v>
      </c>
      <c r="AS1090">
        <v>0</v>
      </c>
      <c r="AT1090">
        <v>0</v>
      </c>
      <c r="AU1090">
        <v>0</v>
      </c>
      <c r="AV1090">
        <v>0</v>
      </c>
      <c r="AW1090">
        <v>0</v>
      </c>
      <c r="AX1090">
        <v>0</v>
      </c>
      <c r="AY1090">
        <v>0</v>
      </c>
      <c r="AZ1090" t="s">
        <v>135</v>
      </c>
      <c r="BA1090">
        <v>6</v>
      </c>
      <c r="BB1090">
        <v>0</v>
      </c>
      <c r="BC1090" t="s">
        <v>133</v>
      </c>
      <c r="BD1090">
        <v>1</v>
      </c>
      <c r="BE1090" t="s">
        <v>133</v>
      </c>
      <c r="BF109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91" spans="1:58" x14ac:dyDescent="0.25">
      <c r="A1091" t="s">
        <v>1360</v>
      </c>
      <c r="B1091" t="s">
        <v>19</v>
      </c>
      <c r="C1091">
        <v>2</v>
      </c>
      <c r="D1091">
        <v>475</v>
      </c>
      <c r="E1091" t="s">
        <v>2111</v>
      </c>
      <c r="F1091" t="s">
        <v>123</v>
      </c>
      <c r="G1091" t="s">
        <v>124</v>
      </c>
      <c r="H1091" t="s">
        <v>125</v>
      </c>
      <c r="I1091" t="s">
        <v>148</v>
      </c>
      <c r="J1091" t="s">
        <v>157</v>
      </c>
      <c r="K1091" t="s">
        <v>166</v>
      </c>
      <c r="L1091">
        <v>50</v>
      </c>
      <c r="M1091">
        <v>1271339</v>
      </c>
      <c r="N1091">
        <v>6</v>
      </c>
      <c r="O1091">
        <v>4</v>
      </c>
      <c r="P1091" t="s">
        <v>168</v>
      </c>
      <c r="Q1091" t="s">
        <v>129</v>
      </c>
      <c r="R1091">
        <v>43</v>
      </c>
      <c r="S1091" t="s">
        <v>1352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50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50</v>
      </c>
      <c r="AI1091">
        <v>50</v>
      </c>
      <c r="AJ1091">
        <v>50</v>
      </c>
      <c r="AK1091">
        <v>50</v>
      </c>
      <c r="AL1091">
        <v>0</v>
      </c>
      <c r="AM1091">
        <v>0.12</v>
      </c>
      <c r="AN1091">
        <v>4.5454545454545459</v>
      </c>
      <c r="AO1091">
        <v>0</v>
      </c>
      <c r="AP1091" t="s">
        <v>169</v>
      </c>
      <c r="AQ1091" t="s">
        <v>155</v>
      </c>
      <c r="AR1091" t="s">
        <v>1184</v>
      </c>
      <c r="AS1091">
        <v>0</v>
      </c>
      <c r="AT1091">
        <v>0</v>
      </c>
      <c r="AU1091">
        <v>0</v>
      </c>
      <c r="AV1091">
        <v>0</v>
      </c>
      <c r="AW1091">
        <v>0</v>
      </c>
      <c r="AX1091">
        <v>0</v>
      </c>
      <c r="AY1091">
        <v>0</v>
      </c>
      <c r="AZ1091" t="s">
        <v>135</v>
      </c>
      <c r="BA1091">
        <v>6</v>
      </c>
      <c r="BB1091">
        <v>0</v>
      </c>
      <c r="BC1091" t="s">
        <v>133</v>
      </c>
      <c r="BD1091">
        <v>2</v>
      </c>
      <c r="BE1091" t="s">
        <v>133</v>
      </c>
      <c r="BF109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92" spans="1:58" x14ac:dyDescent="0.25">
      <c r="A1092" t="s">
        <v>1361</v>
      </c>
      <c r="B1092" t="s">
        <v>19</v>
      </c>
      <c r="C1092">
        <v>2</v>
      </c>
      <c r="D1092">
        <v>476</v>
      </c>
      <c r="E1092" t="s">
        <v>2111</v>
      </c>
      <c r="F1092" t="s">
        <v>123</v>
      </c>
      <c r="G1092" t="s">
        <v>124</v>
      </c>
      <c r="H1092" t="s">
        <v>125</v>
      </c>
      <c r="I1092" t="s">
        <v>148</v>
      </c>
      <c r="J1092" t="s">
        <v>157</v>
      </c>
      <c r="K1092" t="s">
        <v>127</v>
      </c>
      <c r="L1092">
        <v>50</v>
      </c>
      <c r="M1092">
        <v>1271341</v>
      </c>
      <c r="N1092">
        <v>6</v>
      </c>
      <c r="O1092">
        <v>4</v>
      </c>
      <c r="P1092" t="s">
        <v>168</v>
      </c>
      <c r="Q1092" t="s">
        <v>129</v>
      </c>
      <c r="R1092">
        <v>43</v>
      </c>
      <c r="S1092" t="s">
        <v>1352</v>
      </c>
      <c r="T1092">
        <v>0</v>
      </c>
      <c r="U1092">
        <v>4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4</v>
      </c>
      <c r="AB1092">
        <v>50</v>
      </c>
      <c r="AC1092">
        <v>6</v>
      </c>
      <c r="AD1092">
        <v>0</v>
      </c>
      <c r="AE1092">
        <v>0</v>
      </c>
      <c r="AF1092">
        <v>6</v>
      </c>
      <c r="AG1092">
        <v>0</v>
      </c>
      <c r="AH1092">
        <v>44</v>
      </c>
      <c r="AI1092">
        <v>44</v>
      </c>
      <c r="AJ1092">
        <v>44</v>
      </c>
      <c r="AK1092">
        <v>44</v>
      </c>
      <c r="AL1092">
        <v>0</v>
      </c>
      <c r="AM1092">
        <v>0.12</v>
      </c>
      <c r="AN1092">
        <v>4</v>
      </c>
      <c r="AO1092">
        <v>0</v>
      </c>
      <c r="AP1092" t="s">
        <v>150</v>
      </c>
      <c r="AQ1092" t="s">
        <v>131</v>
      </c>
      <c r="AR1092" t="s">
        <v>1184</v>
      </c>
      <c r="AS1092">
        <v>0</v>
      </c>
      <c r="AT1092">
        <v>0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 t="s">
        <v>147</v>
      </c>
      <c r="BA1092">
        <v>6</v>
      </c>
      <c r="BB1092">
        <v>0</v>
      </c>
      <c r="BC1092" t="s">
        <v>133</v>
      </c>
      <c r="BD1092">
        <v>0</v>
      </c>
      <c r="BE1092" t="s">
        <v>133</v>
      </c>
      <c r="BF109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93" spans="1:58" x14ac:dyDescent="0.25">
      <c r="A1093" t="s">
        <v>1362</v>
      </c>
      <c r="B1093" t="s">
        <v>19</v>
      </c>
      <c r="C1093">
        <v>2</v>
      </c>
      <c r="D1093">
        <v>477</v>
      </c>
      <c r="E1093" t="s">
        <v>2111</v>
      </c>
      <c r="F1093" t="s">
        <v>123</v>
      </c>
      <c r="G1093" t="s">
        <v>124</v>
      </c>
      <c r="H1093" t="s">
        <v>125</v>
      </c>
      <c r="I1093" t="s">
        <v>148</v>
      </c>
      <c r="J1093" t="s">
        <v>157</v>
      </c>
      <c r="K1093" t="s">
        <v>127</v>
      </c>
      <c r="L1093">
        <v>50</v>
      </c>
      <c r="M1093">
        <v>1271343</v>
      </c>
      <c r="N1093">
        <v>6</v>
      </c>
      <c r="O1093">
        <v>4</v>
      </c>
      <c r="P1093" t="s">
        <v>168</v>
      </c>
      <c r="Q1093" t="s">
        <v>129</v>
      </c>
      <c r="R1093">
        <v>43</v>
      </c>
      <c r="S1093" t="s">
        <v>1352</v>
      </c>
      <c r="T1093">
        <v>0</v>
      </c>
      <c r="U1093">
        <v>12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12</v>
      </c>
      <c r="AB1093">
        <v>50</v>
      </c>
      <c r="AC1093">
        <v>46</v>
      </c>
      <c r="AD1093">
        <v>0</v>
      </c>
      <c r="AE1093">
        <v>0</v>
      </c>
      <c r="AF1093">
        <v>46</v>
      </c>
      <c r="AG1093">
        <v>0</v>
      </c>
      <c r="AH1093">
        <v>4</v>
      </c>
      <c r="AI1093">
        <v>4</v>
      </c>
      <c r="AJ1093">
        <v>4</v>
      </c>
      <c r="AK1093">
        <v>4</v>
      </c>
      <c r="AL1093">
        <v>0</v>
      </c>
      <c r="AM1093">
        <v>0.12</v>
      </c>
      <c r="AN1093">
        <v>0.36363636363636365</v>
      </c>
      <c r="AO1093">
        <v>0</v>
      </c>
      <c r="AP1093" t="s">
        <v>150</v>
      </c>
      <c r="AQ1093" t="s">
        <v>131</v>
      </c>
      <c r="AR1093" t="s">
        <v>1184</v>
      </c>
      <c r="AS1093">
        <v>0</v>
      </c>
      <c r="AT1093">
        <v>0</v>
      </c>
      <c r="AU1093">
        <v>0</v>
      </c>
      <c r="AV1093">
        <v>0</v>
      </c>
      <c r="AW1093">
        <v>0</v>
      </c>
      <c r="AX1093">
        <v>0</v>
      </c>
      <c r="AY1093">
        <v>0</v>
      </c>
      <c r="AZ1093" t="s">
        <v>147</v>
      </c>
      <c r="BA1093">
        <v>6</v>
      </c>
      <c r="BB1093">
        <v>0</v>
      </c>
      <c r="BC1093" t="s">
        <v>144</v>
      </c>
      <c r="BD1093">
        <v>0</v>
      </c>
      <c r="BE1093" t="s">
        <v>133</v>
      </c>
      <c r="BF109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94" spans="1:58" x14ac:dyDescent="0.25">
      <c r="A1094" t="s">
        <v>1363</v>
      </c>
      <c r="B1094" t="s">
        <v>19</v>
      </c>
      <c r="C1094">
        <v>2</v>
      </c>
      <c r="D1094">
        <v>478</v>
      </c>
      <c r="E1094" t="s">
        <v>2111</v>
      </c>
      <c r="F1094" t="s">
        <v>123</v>
      </c>
      <c r="G1094" t="s">
        <v>124</v>
      </c>
      <c r="H1094" t="s">
        <v>125</v>
      </c>
      <c r="I1094" t="s">
        <v>126</v>
      </c>
      <c r="J1094" t="s">
        <v>126</v>
      </c>
      <c r="K1094" t="s">
        <v>127</v>
      </c>
      <c r="L1094">
        <v>50</v>
      </c>
      <c r="M1094">
        <v>1271345</v>
      </c>
      <c r="N1094">
        <v>6</v>
      </c>
      <c r="O1094">
        <v>4</v>
      </c>
      <c r="P1094" t="s">
        <v>168</v>
      </c>
      <c r="Q1094" t="s">
        <v>129</v>
      </c>
      <c r="R1094">
        <v>44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50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50</v>
      </c>
      <c r="AI1094">
        <v>50</v>
      </c>
      <c r="AJ1094">
        <v>50</v>
      </c>
      <c r="AK1094">
        <v>50</v>
      </c>
      <c r="AL1094">
        <v>0</v>
      </c>
      <c r="AM1094">
        <v>0.12</v>
      </c>
      <c r="AN1094">
        <v>4.5454545454545459</v>
      </c>
      <c r="AO1094">
        <v>0</v>
      </c>
      <c r="AP1094" t="s">
        <v>130</v>
      </c>
      <c r="AQ1094" t="s">
        <v>155</v>
      </c>
      <c r="AR1094" t="s">
        <v>1184</v>
      </c>
      <c r="AS1094">
        <v>0</v>
      </c>
      <c r="AT1094">
        <v>0</v>
      </c>
      <c r="AU1094">
        <v>0</v>
      </c>
      <c r="AV1094">
        <v>0</v>
      </c>
      <c r="AW1094">
        <v>0</v>
      </c>
      <c r="AX1094">
        <v>0</v>
      </c>
      <c r="AY1094">
        <v>0</v>
      </c>
      <c r="AZ1094" t="s">
        <v>147</v>
      </c>
      <c r="BA1094">
        <v>6</v>
      </c>
      <c r="BB1094">
        <v>0</v>
      </c>
      <c r="BC1094" t="s">
        <v>132</v>
      </c>
      <c r="BD1094">
        <v>1</v>
      </c>
      <c r="BE1094" t="s">
        <v>133</v>
      </c>
      <c r="BF109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95" spans="1:58" x14ac:dyDescent="0.25">
      <c r="A1095" t="s">
        <v>1364</v>
      </c>
      <c r="B1095" t="s">
        <v>19</v>
      </c>
      <c r="C1095">
        <v>2</v>
      </c>
      <c r="D1095">
        <v>479</v>
      </c>
      <c r="E1095" t="s">
        <v>2111</v>
      </c>
      <c r="F1095" t="s">
        <v>123</v>
      </c>
      <c r="G1095" t="s">
        <v>124</v>
      </c>
      <c r="H1095" t="s">
        <v>125</v>
      </c>
      <c r="I1095" t="s">
        <v>126</v>
      </c>
      <c r="J1095" t="s">
        <v>126</v>
      </c>
      <c r="K1095" t="s">
        <v>127</v>
      </c>
      <c r="L1095">
        <v>50</v>
      </c>
      <c r="M1095">
        <v>1271347</v>
      </c>
      <c r="N1095">
        <v>6</v>
      </c>
      <c r="O1095">
        <v>4</v>
      </c>
      <c r="P1095" t="s">
        <v>168</v>
      </c>
      <c r="Q1095" t="s">
        <v>129</v>
      </c>
      <c r="R1095">
        <v>44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50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50</v>
      </c>
      <c r="AI1095">
        <v>50</v>
      </c>
      <c r="AJ1095">
        <v>50</v>
      </c>
      <c r="AK1095">
        <v>50</v>
      </c>
      <c r="AL1095">
        <v>0</v>
      </c>
      <c r="AM1095">
        <v>0.12</v>
      </c>
      <c r="AN1095">
        <v>4.5454545454545459</v>
      </c>
      <c r="AO1095">
        <v>0</v>
      </c>
      <c r="AP1095" t="s">
        <v>130</v>
      </c>
      <c r="AQ1095" t="s">
        <v>155</v>
      </c>
      <c r="AR1095" t="s">
        <v>1184</v>
      </c>
      <c r="AS1095">
        <v>0</v>
      </c>
      <c r="AT1095">
        <v>0</v>
      </c>
      <c r="AU1095">
        <v>0</v>
      </c>
      <c r="AV1095">
        <v>0</v>
      </c>
      <c r="AW1095">
        <v>0</v>
      </c>
      <c r="AX1095">
        <v>0</v>
      </c>
      <c r="AY1095">
        <v>0</v>
      </c>
      <c r="AZ1095" t="s">
        <v>147</v>
      </c>
      <c r="BA1095">
        <v>6</v>
      </c>
      <c r="BB1095">
        <v>0</v>
      </c>
      <c r="BC1095" t="s">
        <v>133</v>
      </c>
      <c r="BD1095">
        <v>2</v>
      </c>
      <c r="BE1095" t="s">
        <v>133</v>
      </c>
      <c r="BF109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96" spans="1:58" x14ac:dyDescent="0.25">
      <c r="A1096" t="s">
        <v>1365</v>
      </c>
      <c r="B1096" t="s">
        <v>19</v>
      </c>
      <c r="C1096">
        <v>2</v>
      </c>
      <c r="D1096">
        <v>480</v>
      </c>
      <c r="E1096" t="s">
        <v>2111</v>
      </c>
      <c r="F1096" t="s">
        <v>123</v>
      </c>
      <c r="G1096" t="s">
        <v>124</v>
      </c>
      <c r="H1096" t="s">
        <v>125</v>
      </c>
      <c r="I1096" t="s">
        <v>126</v>
      </c>
      <c r="J1096" t="s">
        <v>126</v>
      </c>
      <c r="K1096" t="s">
        <v>127</v>
      </c>
      <c r="L1096">
        <v>50</v>
      </c>
      <c r="M1096">
        <v>1271349</v>
      </c>
      <c r="N1096">
        <v>6</v>
      </c>
      <c r="O1096">
        <v>4</v>
      </c>
      <c r="P1096" t="s">
        <v>168</v>
      </c>
      <c r="Q1096" t="s">
        <v>129</v>
      </c>
      <c r="R1096">
        <v>44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50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50</v>
      </c>
      <c r="AI1096">
        <v>50</v>
      </c>
      <c r="AJ1096">
        <v>50</v>
      </c>
      <c r="AK1096">
        <v>50</v>
      </c>
      <c r="AL1096">
        <v>0</v>
      </c>
      <c r="AM1096">
        <v>0.12</v>
      </c>
      <c r="AN1096">
        <v>4.5454545454545459</v>
      </c>
      <c r="AO1096">
        <v>0</v>
      </c>
      <c r="AP1096" t="s">
        <v>130</v>
      </c>
      <c r="AQ1096" t="s">
        <v>155</v>
      </c>
      <c r="AR1096" t="s">
        <v>1184</v>
      </c>
      <c r="AS1096">
        <v>0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 t="s">
        <v>147</v>
      </c>
      <c r="BA1096">
        <v>6</v>
      </c>
      <c r="BB1096">
        <v>0</v>
      </c>
      <c r="BC1096" t="s">
        <v>133</v>
      </c>
      <c r="BD1096">
        <v>3</v>
      </c>
      <c r="BE1096" t="s">
        <v>133</v>
      </c>
      <c r="BF109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97" spans="1:58" x14ac:dyDescent="0.25">
      <c r="A1097" t="s">
        <v>1366</v>
      </c>
      <c r="B1097" t="s">
        <v>19</v>
      </c>
      <c r="C1097">
        <v>2</v>
      </c>
      <c r="D1097">
        <v>481</v>
      </c>
      <c r="E1097" t="s">
        <v>2111</v>
      </c>
      <c r="F1097" t="s">
        <v>123</v>
      </c>
      <c r="G1097" t="s">
        <v>124</v>
      </c>
      <c r="H1097" t="s">
        <v>125</v>
      </c>
      <c r="I1097" t="s">
        <v>126</v>
      </c>
      <c r="J1097" t="s">
        <v>126</v>
      </c>
      <c r="K1097" t="s">
        <v>127</v>
      </c>
      <c r="L1097">
        <v>50</v>
      </c>
      <c r="M1097">
        <v>1271351</v>
      </c>
      <c r="N1097">
        <v>6</v>
      </c>
      <c r="O1097">
        <v>4</v>
      </c>
      <c r="P1097" t="s">
        <v>168</v>
      </c>
      <c r="Q1097" t="s">
        <v>129</v>
      </c>
      <c r="R1097">
        <v>44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50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50</v>
      </c>
      <c r="AI1097">
        <v>50</v>
      </c>
      <c r="AJ1097">
        <v>50</v>
      </c>
      <c r="AK1097">
        <v>50</v>
      </c>
      <c r="AL1097">
        <v>0</v>
      </c>
      <c r="AM1097">
        <v>0.12</v>
      </c>
      <c r="AN1097">
        <v>4.5454545454545459</v>
      </c>
      <c r="AO1097">
        <v>0</v>
      </c>
      <c r="AP1097" t="s">
        <v>130</v>
      </c>
      <c r="AQ1097" t="s">
        <v>155</v>
      </c>
      <c r="AR1097" t="s">
        <v>1184</v>
      </c>
      <c r="AS1097">
        <v>0</v>
      </c>
      <c r="AT1097">
        <v>0</v>
      </c>
      <c r="AU1097">
        <v>0</v>
      </c>
      <c r="AV1097">
        <v>0</v>
      </c>
      <c r="AW1097">
        <v>0</v>
      </c>
      <c r="AX1097">
        <v>0</v>
      </c>
      <c r="AY1097">
        <v>0</v>
      </c>
      <c r="AZ1097" t="s">
        <v>147</v>
      </c>
      <c r="BA1097">
        <v>6</v>
      </c>
      <c r="BB1097">
        <v>0</v>
      </c>
      <c r="BC1097" t="s">
        <v>133</v>
      </c>
      <c r="BD1097">
        <v>4</v>
      </c>
      <c r="BE1097" t="s">
        <v>133</v>
      </c>
      <c r="BF109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98" spans="1:58" x14ac:dyDescent="0.25">
      <c r="A1098" t="s">
        <v>1367</v>
      </c>
      <c r="B1098" t="s">
        <v>19</v>
      </c>
      <c r="C1098">
        <v>2</v>
      </c>
      <c r="D1098">
        <v>482</v>
      </c>
      <c r="E1098" t="s">
        <v>2111</v>
      </c>
      <c r="F1098" t="s">
        <v>123</v>
      </c>
      <c r="G1098" t="s">
        <v>124</v>
      </c>
      <c r="H1098" t="s">
        <v>125</v>
      </c>
      <c r="I1098" t="s">
        <v>126</v>
      </c>
      <c r="J1098" t="s">
        <v>126</v>
      </c>
      <c r="K1098" t="s">
        <v>127</v>
      </c>
      <c r="L1098">
        <v>50</v>
      </c>
      <c r="M1098">
        <v>1271353</v>
      </c>
      <c r="N1098">
        <v>6</v>
      </c>
      <c r="O1098">
        <v>4</v>
      </c>
      <c r="P1098" t="s">
        <v>168</v>
      </c>
      <c r="Q1098" t="s">
        <v>129</v>
      </c>
      <c r="R1098">
        <v>44</v>
      </c>
      <c r="S1098" t="s">
        <v>1368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50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50</v>
      </c>
      <c r="AI1098">
        <v>50</v>
      </c>
      <c r="AJ1098">
        <v>50</v>
      </c>
      <c r="AK1098">
        <v>50</v>
      </c>
      <c r="AL1098">
        <v>0</v>
      </c>
      <c r="AM1098">
        <v>0.12</v>
      </c>
      <c r="AN1098">
        <v>4.5454545454545459</v>
      </c>
      <c r="AO1098">
        <v>0</v>
      </c>
      <c r="AP1098" t="s">
        <v>130</v>
      </c>
      <c r="AQ1098" t="s">
        <v>155</v>
      </c>
      <c r="AR1098" t="s">
        <v>1184</v>
      </c>
      <c r="AS1098">
        <v>0</v>
      </c>
      <c r="AT1098">
        <v>0</v>
      </c>
      <c r="AU1098">
        <v>0</v>
      </c>
      <c r="AV1098">
        <v>0</v>
      </c>
      <c r="AW1098">
        <v>0</v>
      </c>
      <c r="AX1098">
        <v>0</v>
      </c>
      <c r="AY1098">
        <v>0</v>
      </c>
      <c r="AZ1098" t="s">
        <v>143</v>
      </c>
      <c r="BA1098">
        <v>6</v>
      </c>
      <c r="BB1098">
        <v>0</v>
      </c>
      <c r="BC1098" t="s">
        <v>133</v>
      </c>
      <c r="BD1098">
        <v>5</v>
      </c>
      <c r="BE1098" t="s">
        <v>133</v>
      </c>
      <c r="BF109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099" spans="1:58" x14ac:dyDescent="0.25">
      <c r="A1099" t="s">
        <v>1369</v>
      </c>
      <c r="B1099" t="s">
        <v>19</v>
      </c>
      <c r="C1099">
        <v>2</v>
      </c>
      <c r="D1099">
        <v>483</v>
      </c>
      <c r="E1099" t="s">
        <v>2111</v>
      </c>
      <c r="F1099" t="s">
        <v>123</v>
      </c>
      <c r="G1099" t="s">
        <v>124</v>
      </c>
      <c r="H1099" t="s">
        <v>136</v>
      </c>
      <c r="I1099" t="s">
        <v>137</v>
      </c>
      <c r="J1099" t="s">
        <v>138</v>
      </c>
      <c r="K1099" t="s">
        <v>127</v>
      </c>
      <c r="L1099">
        <v>50</v>
      </c>
      <c r="M1099">
        <v>1271355</v>
      </c>
      <c r="N1099">
        <v>5</v>
      </c>
      <c r="O1099">
        <v>4</v>
      </c>
      <c r="P1099" t="s">
        <v>168</v>
      </c>
      <c r="Q1099" t="s">
        <v>129</v>
      </c>
      <c r="R1099">
        <v>44</v>
      </c>
      <c r="T1099">
        <v>0</v>
      </c>
      <c r="U1099">
        <v>3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3</v>
      </c>
      <c r="AB1099">
        <v>50</v>
      </c>
      <c r="AC1099">
        <v>3</v>
      </c>
      <c r="AD1099">
        <v>0</v>
      </c>
      <c r="AE1099">
        <v>0</v>
      </c>
      <c r="AF1099">
        <v>3</v>
      </c>
      <c r="AG1099">
        <v>0</v>
      </c>
      <c r="AH1099">
        <v>47</v>
      </c>
      <c r="AI1099">
        <v>47</v>
      </c>
      <c r="AJ1099">
        <v>47</v>
      </c>
      <c r="AK1099">
        <v>47</v>
      </c>
      <c r="AL1099">
        <v>0</v>
      </c>
      <c r="AM1099">
        <v>0.1</v>
      </c>
      <c r="AN1099">
        <v>4.2727272727272725</v>
      </c>
      <c r="AO1099">
        <v>0</v>
      </c>
      <c r="AP1099" t="s">
        <v>139</v>
      </c>
      <c r="AQ1099" t="s">
        <v>131</v>
      </c>
      <c r="AR1099" t="s">
        <v>1184</v>
      </c>
      <c r="AS1099">
        <v>0</v>
      </c>
      <c r="AT1099">
        <v>0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 t="s">
        <v>134</v>
      </c>
      <c r="BA1099">
        <v>5</v>
      </c>
      <c r="BB1099">
        <v>0</v>
      </c>
      <c r="BC1099" t="s">
        <v>133</v>
      </c>
      <c r="BD1099">
        <v>0</v>
      </c>
      <c r="BE1099" t="s">
        <v>133</v>
      </c>
      <c r="BF109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00" spans="1:58" x14ac:dyDescent="0.25">
      <c r="A1100" t="s">
        <v>1370</v>
      </c>
      <c r="B1100" t="s">
        <v>19</v>
      </c>
      <c r="C1100">
        <v>2</v>
      </c>
      <c r="D1100">
        <v>484</v>
      </c>
      <c r="E1100" t="s">
        <v>2111</v>
      </c>
      <c r="F1100" t="s">
        <v>123</v>
      </c>
      <c r="G1100" t="s">
        <v>124</v>
      </c>
      <c r="H1100" t="s">
        <v>125</v>
      </c>
      <c r="I1100" t="s">
        <v>126</v>
      </c>
      <c r="J1100" t="s">
        <v>126</v>
      </c>
      <c r="K1100" t="s">
        <v>127</v>
      </c>
      <c r="L1100">
        <v>50</v>
      </c>
      <c r="M1100">
        <v>1271357</v>
      </c>
      <c r="N1100">
        <v>6</v>
      </c>
      <c r="O1100">
        <v>4</v>
      </c>
      <c r="P1100" t="s">
        <v>168</v>
      </c>
      <c r="Q1100" t="s">
        <v>129</v>
      </c>
      <c r="R1100">
        <v>44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50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50</v>
      </c>
      <c r="AI1100">
        <v>50</v>
      </c>
      <c r="AJ1100">
        <v>50</v>
      </c>
      <c r="AK1100">
        <v>50</v>
      </c>
      <c r="AL1100">
        <v>0</v>
      </c>
      <c r="AM1100">
        <v>0.12</v>
      </c>
      <c r="AN1100">
        <v>4.5454545454545459</v>
      </c>
      <c r="AO1100">
        <v>0</v>
      </c>
      <c r="AP1100" t="s">
        <v>130</v>
      </c>
      <c r="AQ1100" t="s">
        <v>155</v>
      </c>
      <c r="AR1100" t="s">
        <v>1184</v>
      </c>
      <c r="AS1100">
        <v>0</v>
      </c>
      <c r="AT1100">
        <v>0</v>
      </c>
      <c r="AU1100">
        <v>0</v>
      </c>
      <c r="AV1100">
        <v>0</v>
      </c>
      <c r="AW1100">
        <v>0</v>
      </c>
      <c r="AX1100">
        <v>0</v>
      </c>
      <c r="AY1100">
        <v>0</v>
      </c>
      <c r="AZ1100" t="s">
        <v>147</v>
      </c>
      <c r="BA1100">
        <v>6</v>
      </c>
      <c r="BB1100">
        <v>0</v>
      </c>
      <c r="BC1100" t="s">
        <v>133</v>
      </c>
      <c r="BD1100">
        <v>1</v>
      </c>
      <c r="BE1100" t="s">
        <v>133</v>
      </c>
      <c r="BF110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01" spans="1:58" x14ac:dyDescent="0.25">
      <c r="A1101" t="s">
        <v>1371</v>
      </c>
      <c r="B1101" t="s">
        <v>19</v>
      </c>
      <c r="C1101">
        <v>2</v>
      </c>
      <c r="D1101">
        <v>485</v>
      </c>
      <c r="E1101" t="s">
        <v>2111</v>
      </c>
      <c r="F1101" t="s">
        <v>123</v>
      </c>
      <c r="G1101" t="s">
        <v>124</v>
      </c>
      <c r="H1101" t="s">
        <v>125</v>
      </c>
      <c r="I1101" t="s">
        <v>126</v>
      </c>
      <c r="J1101" t="s">
        <v>126</v>
      </c>
      <c r="K1101" t="s">
        <v>127</v>
      </c>
      <c r="L1101">
        <v>50</v>
      </c>
      <c r="M1101">
        <v>1271359</v>
      </c>
      <c r="N1101">
        <v>6</v>
      </c>
      <c r="O1101">
        <v>4</v>
      </c>
      <c r="P1101" t="s">
        <v>168</v>
      </c>
      <c r="Q1101" t="s">
        <v>129</v>
      </c>
      <c r="R1101">
        <v>44</v>
      </c>
      <c r="T1101">
        <v>0</v>
      </c>
      <c r="U1101">
        <v>1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1</v>
      </c>
      <c r="AB1101">
        <v>50</v>
      </c>
      <c r="AC1101">
        <v>1</v>
      </c>
      <c r="AD1101">
        <v>0</v>
      </c>
      <c r="AE1101">
        <v>0</v>
      </c>
      <c r="AF1101">
        <v>1</v>
      </c>
      <c r="AG1101">
        <v>0</v>
      </c>
      <c r="AH1101">
        <v>49</v>
      </c>
      <c r="AI1101">
        <v>49</v>
      </c>
      <c r="AJ1101">
        <v>49</v>
      </c>
      <c r="AK1101">
        <v>49</v>
      </c>
      <c r="AL1101">
        <v>0</v>
      </c>
      <c r="AM1101">
        <v>0.12</v>
      </c>
      <c r="AN1101">
        <v>4.454545454545455</v>
      </c>
      <c r="AO1101">
        <v>0</v>
      </c>
      <c r="AP1101" t="s">
        <v>130</v>
      </c>
      <c r="AQ1101" t="s">
        <v>131</v>
      </c>
      <c r="AR1101" t="s">
        <v>1184</v>
      </c>
      <c r="AS1101">
        <v>0</v>
      </c>
      <c r="AT1101">
        <v>0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 t="s">
        <v>147</v>
      </c>
      <c r="BA1101">
        <v>6</v>
      </c>
      <c r="BB1101">
        <v>0</v>
      </c>
      <c r="BC1101" t="s">
        <v>133</v>
      </c>
      <c r="BD1101">
        <v>2</v>
      </c>
      <c r="BE1101" t="s">
        <v>133</v>
      </c>
      <c r="BF110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02" spans="1:58" x14ac:dyDescent="0.25">
      <c r="A1102" t="s">
        <v>1372</v>
      </c>
      <c r="B1102" t="s">
        <v>19</v>
      </c>
      <c r="C1102">
        <v>2</v>
      </c>
      <c r="D1102">
        <v>486</v>
      </c>
      <c r="E1102" t="s">
        <v>2111</v>
      </c>
      <c r="F1102" t="s">
        <v>123</v>
      </c>
      <c r="G1102" t="s">
        <v>124</v>
      </c>
      <c r="H1102" t="s">
        <v>125</v>
      </c>
      <c r="I1102" t="s">
        <v>126</v>
      </c>
      <c r="J1102" t="s">
        <v>126</v>
      </c>
      <c r="K1102" t="s">
        <v>127</v>
      </c>
      <c r="L1102">
        <v>50</v>
      </c>
      <c r="M1102">
        <v>1271361</v>
      </c>
      <c r="N1102">
        <v>6</v>
      </c>
      <c r="O1102">
        <v>4</v>
      </c>
      <c r="P1102" t="s">
        <v>168</v>
      </c>
      <c r="Q1102" t="s">
        <v>129</v>
      </c>
      <c r="R1102">
        <v>44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50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50</v>
      </c>
      <c r="AI1102">
        <v>50</v>
      </c>
      <c r="AJ1102">
        <v>50</v>
      </c>
      <c r="AK1102">
        <v>50</v>
      </c>
      <c r="AL1102">
        <v>0</v>
      </c>
      <c r="AM1102">
        <v>0.12</v>
      </c>
      <c r="AN1102">
        <v>4.5454545454545459</v>
      </c>
      <c r="AO1102">
        <v>0</v>
      </c>
      <c r="AP1102" t="s">
        <v>130</v>
      </c>
      <c r="AQ1102" t="s">
        <v>155</v>
      </c>
      <c r="AR1102" t="s">
        <v>1184</v>
      </c>
      <c r="AS1102">
        <v>0</v>
      </c>
      <c r="AT1102">
        <v>0</v>
      </c>
      <c r="AU1102">
        <v>0</v>
      </c>
      <c r="AV1102">
        <v>0</v>
      </c>
      <c r="AW1102">
        <v>0</v>
      </c>
      <c r="AX1102">
        <v>0</v>
      </c>
      <c r="AY1102">
        <v>0</v>
      </c>
      <c r="AZ1102" t="s">
        <v>147</v>
      </c>
      <c r="BA1102">
        <v>6</v>
      </c>
      <c r="BB1102">
        <v>0</v>
      </c>
      <c r="BC1102" t="s">
        <v>133</v>
      </c>
      <c r="BD1102">
        <v>3</v>
      </c>
      <c r="BE1102" t="s">
        <v>133</v>
      </c>
      <c r="BF110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03" spans="1:58" x14ac:dyDescent="0.25">
      <c r="A1103" t="s">
        <v>1373</v>
      </c>
      <c r="B1103" t="s">
        <v>19</v>
      </c>
      <c r="C1103">
        <v>2</v>
      </c>
      <c r="D1103">
        <v>487</v>
      </c>
      <c r="E1103" t="s">
        <v>2111</v>
      </c>
      <c r="F1103" t="s">
        <v>123</v>
      </c>
      <c r="G1103" t="s">
        <v>124</v>
      </c>
      <c r="H1103" t="s">
        <v>125</v>
      </c>
      <c r="I1103" t="s">
        <v>126</v>
      </c>
      <c r="J1103" t="s">
        <v>126</v>
      </c>
      <c r="K1103" t="s">
        <v>127</v>
      </c>
      <c r="L1103">
        <v>50</v>
      </c>
      <c r="M1103">
        <v>1271363</v>
      </c>
      <c r="N1103">
        <v>6</v>
      </c>
      <c r="O1103">
        <v>4</v>
      </c>
      <c r="P1103" t="s">
        <v>168</v>
      </c>
      <c r="Q1103" t="s">
        <v>129</v>
      </c>
      <c r="R1103">
        <v>44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50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50</v>
      </c>
      <c r="AI1103">
        <v>50</v>
      </c>
      <c r="AJ1103">
        <v>50</v>
      </c>
      <c r="AK1103">
        <v>50</v>
      </c>
      <c r="AL1103">
        <v>0</v>
      </c>
      <c r="AM1103">
        <v>0.12</v>
      </c>
      <c r="AN1103">
        <v>4.5454545454545459</v>
      </c>
      <c r="AO1103">
        <v>0</v>
      </c>
      <c r="AP1103" t="s">
        <v>130</v>
      </c>
      <c r="AQ1103" t="s">
        <v>155</v>
      </c>
      <c r="AR1103" t="s">
        <v>1184</v>
      </c>
      <c r="AS1103">
        <v>0</v>
      </c>
      <c r="AT1103">
        <v>0</v>
      </c>
      <c r="AU1103">
        <v>0</v>
      </c>
      <c r="AV1103">
        <v>0</v>
      </c>
      <c r="AW1103">
        <v>0</v>
      </c>
      <c r="AX1103">
        <v>0</v>
      </c>
      <c r="AY1103">
        <v>0</v>
      </c>
      <c r="AZ1103" t="s">
        <v>147</v>
      </c>
      <c r="BA1103">
        <v>6</v>
      </c>
      <c r="BB1103">
        <v>0</v>
      </c>
      <c r="BC1103" t="s">
        <v>133</v>
      </c>
      <c r="BD1103">
        <v>4</v>
      </c>
      <c r="BE1103" t="s">
        <v>133</v>
      </c>
      <c r="BF110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04" spans="1:58" x14ac:dyDescent="0.25">
      <c r="A1104" t="s">
        <v>1374</v>
      </c>
      <c r="B1104" t="s">
        <v>19</v>
      </c>
      <c r="C1104">
        <v>2</v>
      </c>
      <c r="D1104">
        <v>488</v>
      </c>
      <c r="E1104" t="s">
        <v>2111</v>
      </c>
      <c r="F1104" t="s">
        <v>123</v>
      </c>
      <c r="G1104" t="s">
        <v>124</v>
      </c>
      <c r="H1104" t="s">
        <v>125</v>
      </c>
      <c r="I1104" t="s">
        <v>126</v>
      </c>
      <c r="J1104" t="s">
        <v>126</v>
      </c>
      <c r="K1104" t="s">
        <v>127</v>
      </c>
      <c r="L1104">
        <v>50</v>
      </c>
      <c r="M1104">
        <v>1271365</v>
      </c>
      <c r="N1104">
        <v>6</v>
      </c>
      <c r="O1104">
        <v>4</v>
      </c>
      <c r="P1104" t="s">
        <v>168</v>
      </c>
      <c r="Q1104" t="s">
        <v>129</v>
      </c>
      <c r="R1104">
        <v>44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50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50</v>
      </c>
      <c r="AI1104">
        <v>50</v>
      </c>
      <c r="AJ1104">
        <v>50</v>
      </c>
      <c r="AK1104">
        <v>50</v>
      </c>
      <c r="AL1104">
        <v>0</v>
      </c>
      <c r="AM1104">
        <v>0.12</v>
      </c>
      <c r="AN1104">
        <v>4.5454545454545459</v>
      </c>
      <c r="AO1104">
        <v>0</v>
      </c>
      <c r="AP1104" t="s">
        <v>130</v>
      </c>
      <c r="AQ1104" t="s">
        <v>155</v>
      </c>
      <c r="AR1104" t="s">
        <v>1184</v>
      </c>
      <c r="AS1104">
        <v>0</v>
      </c>
      <c r="AT1104">
        <v>0</v>
      </c>
      <c r="AU1104">
        <v>0</v>
      </c>
      <c r="AV1104">
        <v>0</v>
      </c>
      <c r="AW1104">
        <v>0</v>
      </c>
      <c r="AX1104">
        <v>0</v>
      </c>
      <c r="AY1104">
        <v>0</v>
      </c>
      <c r="AZ1104" t="s">
        <v>147</v>
      </c>
      <c r="BA1104">
        <v>6</v>
      </c>
      <c r="BB1104">
        <v>0</v>
      </c>
      <c r="BC1104" t="s">
        <v>144</v>
      </c>
      <c r="BD1104">
        <v>5</v>
      </c>
      <c r="BE1104" t="s">
        <v>133</v>
      </c>
      <c r="BF110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05" spans="1:58" x14ac:dyDescent="0.25">
      <c r="A1105" t="s">
        <v>1375</v>
      </c>
      <c r="B1105" t="s">
        <v>19</v>
      </c>
      <c r="C1105">
        <v>2</v>
      </c>
      <c r="D1105">
        <v>489</v>
      </c>
      <c r="E1105" t="s">
        <v>2109</v>
      </c>
      <c r="F1105" t="s">
        <v>123</v>
      </c>
      <c r="G1105" t="s">
        <v>124</v>
      </c>
      <c r="H1105" t="s">
        <v>125</v>
      </c>
      <c r="I1105" t="s">
        <v>183</v>
      </c>
      <c r="J1105" t="s">
        <v>191</v>
      </c>
      <c r="K1105" t="s">
        <v>166</v>
      </c>
      <c r="L1105">
        <v>50</v>
      </c>
      <c r="M1105">
        <v>1271367</v>
      </c>
      <c r="N1105">
        <v>15</v>
      </c>
      <c r="O1105">
        <v>4</v>
      </c>
      <c r="P1105" t="s">
        <v>168</v>
      </c>
      <c r="Q1105" t="s">
        <v>129</v>
      </c>
      <c r="R1105">
        <v>45</v>
      </c>
      <c r="S1105" t="s">
        <v>1376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50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50</v>
      </c>
      <c r="AI1105">
        <v>50</v>
      </c>
      <c r="AJ1105">
        <v>50</v>
      </c>
      <c r="AK1105">
        <v>50</v>
      </c>
      <c r="AL1105">
        <v>0</v>
      </c>
      <c r="AM1105">
        <v>0.3</v>
      </c>
      <c r="AN1105">
        <v>4.5454545454545459</v>
      </c>
      <c r="AO1105">
        <v>0</v>
      </c>
      <c r="AP1105" t="s">
        <v>184</v>
      </c>
      <c r="AQ1105" t="s">
        <v>155</v>
      </c>
      <c r="AR1105" t="s">
        <v>229</v>
      </c>
      <c r="AS1105">
        <v>0</v>
      </c>
      <c r="AT1105">
        <v>0</v>
      </c>
      <c r="AU1105">
        <v>0</v>
      </c>
      <c r="AV1105">
        <v>0</v>
      </c>
      <c r="AW1105">
        <v>0</v>
      </c>
      <c r="AX1105">
        <v>0</v>
      </c>
      <c r="AY1105">
        <v>0</v>
      </c>
      <c r="AZ1105" t="s">
        <v>135</v>
      </c>
      <c r="BA1105">
        <v>15</v>
      </c>
      <c r="BB1105">
        <v>0</v>
      </c>
      <c r="BC1105" t="s">
        <v>132</v>
      </c>
      <c r="BD1105">
        <v>0</v>
      </c>
      <c r="BE1105" t="s">
        <v>133</v>
      </c>
      <c r="BF110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06" spans="1:58" x14ac:dyDescent="0.25">
      <c r="A1106" t="s">
        <v>1377</v>
      </c>
      <c r="B1106" t="s">
        <v>19</v>
      </c>
      <c r="C1106">
        <v>2</v>
      </c>
      <c r="D1106">
        <v>490</v>
      </c>
      <c r="E1106" t="s">
        <v>2109</v>
      </c>
      <c r="F1106" t="s">
        <v>123</v>
      </c>
      <c r="G1106" t="s">
        <v>124</v>
      </c>
      <c r="H1106" t="s">
        <v>125</v>
      </c>
      <c r="I1106" t="s">
        <v>183</v>
      </c>
      <c r="J1106" t="s">
        <v>191</v>
      </c>
      <c r="K1106" t="s">
        <v>166</v>
      </c>
      <c r="L1106">
        <v>50</v>
      </c>
      <c r="M1106">
        <v>1271369</v>
      </c>
      <c r="N1106">
        <v>15</v>
      </c>
      <c r="O1106">
        <v>4</v>
      </c>
      <c r="P1106" t="s">
        <v>168</v>
      </c>
      <c r="Q1106" t="s">
        <v>129</v>
      </c>
      <c r="R1106">
        <v>45</v>
      </c>
      <c r="S1106" t="s">
        <v>1378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50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50</v>
      </c>
      <c r="AI1106">
        <v>50</v>
      </c>
      <c r="AJ1106">
        <v>50</v>
      </c>
      <c r="AK1106">
        <v>50</v>
      </c>
      <c r="AL1106">
        <v>0</v>
      </c>
      <c r="AM1106">
        <v>0.3</v>
      </c>
      <c r="AN1106">
        <v>4.5454545454545459</v>
      </c>
      <c r="AO1106">
        <v>0</v>
      </c>
      <c r="AP1106" t="s">
        <v>184</v>
      </c>
      <c r="AQ1106" t="s">
        <v>155</v>
      </c>
      <c r="AR1106" t="s">
        <v>229</v>
      </c>
      <c r="AS1106">
        <v>0</v>
      </c>
      <c r="AT1106">
        <v>0</v>
      </c>
      <c r="AU1106">
        <v>0</v>
      </c>
      <c r="AV1106">
        <v>0</v>
      </c>
      <c r="AW1106">
        <v>0</v>
      </c>
      <c r="AX1106">
        <v>0</v>
      </c>
      <c r="AY1106">
        <v>0</v>
      </c>
      <c r="AZ1106" t="s">
        <v>135</v>
      </c>
      <c r="BA1106">
        <v>15</v>
      </c>
      <c r="BB1106">
        <v>0</v>
      </c>
      <c r="BC1106" t="s">
        <v>133</v>
      </c>
      <c r="BD1106">
        <v>0</v>
      </c>
      <c r="BE1106" t="s">
        <v>133</v>
      </c>
      <c r="BF110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07" spans="1:58" x14ac:dyDescent="0.25">
      <c r="A1107" t="s">
        <v>1379</v>
      </c>
      <c r="B1107" t="s">
        <v>19</v>
      </c>
      <c r="C1107">
        <v>2</v>
      </c>
      <c r="D1107">
        <v>491</v>
      </c>
      <c r="E1107" t="s">
        <v>2109</v>
      </c>
      <c r="F1107" t="s">
        <v>123</v>
      </c>
      <c r="G1107" t="s">
        <v>124</v>
      </c>
      <c r="H1107" t="s">
        <v>125</v>
      </c>
      <c r="I1107" t="s">
        <v>183</v>
      </c>
      <c r="J1107" t="s">
        <v>191</v>
      </c>
      <c r="K1107" t="s">
        <v>166</v>
      </c>
      <c r="L1107">
        <v>50</v>
      </c>
      <c r="M1107">
        <v>1271371</v>
      </c>
      <c r="N1107">
        <v>15</v>
      </c>
      <c r="O1107">
        <v>4</v>
      </c>
      <c r="P1107" t="s">
        <v>168</v>
      </c>
      <c r="Q1107" t="s">
        <v>129</v>
      </c>
      <c r="R1107">
        <v>45</v>
      </c>
      <c r="S1107" t="s">
        <v>1378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50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50</v>
      </c>
      <c r="AI1107">
        <v>50</v>
      </c>
      <c r="AJ1107">
        <v>50</v>
      </c>
      <c r="AK1107">
        <v>50</v>
      </c>
      <c r="AL1107">
        <v>0</v>
      </c>
      <c r="AM1107">
        <v>0.3</v>
      </c>
      <c r="AN1107">
        <v>4.5454545454545459</v>
      </c>
      <c r="AO1107">
        <v>0</v>
      </c>
      <c r="AP1107" t="s">
        <v>184</v>
      </c>
      <c r="AQ1107" t="s">
        <v>155</v>
      </c>
      <c r="AR1107" t="s">
        <v>229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0</v>
      </c>
      <c r="AZ1107" t="s">
        <v>135</v>
      </c>
      <c r="BA1107">
        <v>15</v>
      </c>
      <c r="BB1107">
        <v>0</v>
      </c>
      <c r="BC1107" t="s">
        <v>133</v>
      </c>
      <c r="BD1107">
        <v>0</v>
      </c>
      <c r="BE1107" t="s">
        <v>133</v>
      </c>
      <c r="BF110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08" spans="1:58" x14ac:dyDescent="0.25">
      <c r="A1108" t="s">
        <v>1380</v>
      </c>
      <c r="B1108" t="s">
        <v>19</v>
      </c>
      <c r="C1108">
        <v>2</v>
      </c>
      <c r="D1108">
        <v>492</v>
      </c>
      <c r="E1108" t="s">
        <v>2109</v>
      </c>
      <c r="F1108" t="s">
        <v>123</v>
      </c>
      <c r="G1108" t="s">
        <v>124</v>
      </c>
      <c r="H1108" t="s">
        <v>125</v>
      </c>
      <c r="I1108" t="s">
        <v>183</v>
      </c>
      <c r="J1108" t="s">
        <v>191</v>
      </c>
      <c r="K1108" t="s">
        <v>166</v>
      </c>
      <c r="L1108">
        <v>50</v>
      </c>
      <c r="M1108">
        <v>1271373</v>
      </c>
      <c r="N1108">
        <v>15</v>
      </c>
      <c r="O1108">
        <v>4</v>
      </c>
      <c r="P1108" t="s">
        <v>168</v>
      </c>
      <c r="Q1108" t="s">
        <v>129</v>
      </c>
      <c r="R1108">
        <v>45</v>
      </c>
      <c r="S1108" t="s">
        <v>1378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50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50</v>
      </c>
      <c r="AI1108">
        <v>50</v>
      </c>
      <c r="AJ1108">
        <v>50</v>
      </c>
      <c r="AK1108">
        <v>50</v>
      </c>
      <c r="AL1108">
        <v>0</v>
      </c>
      <c r="AM1108">
        <v>0.3</v>
      </c>
      <c r="AN1108">
        <v>4.5454545454545459</v>
      </c>
      <c r="AO1108">
        <v>0</v>
      </c>
      <c r="AP1108" t="s">
        <v>184</v>
      </c>
      <c r="AQ1108" t="s">
        <v>155</v>
      </c>
      <c r="AR1108" t="s">
        <v>229</v>
      </c>
      <c r="AS1108">
        <v>0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 t="s">
        <v>135</v>
      </c>
      <c r="BA1108">
        <v>15</v>
      </c>
      <c r="BB1108">
        <v>0</v>
      </c>
      <c r="BC1108" t="s">
        <v>133</v>
      </c>
      <c r="BD1108">
        <v>0</v>
      </c>
      <c r="BE1108" t="s">
        <v>133</v>
      </c>
      <c r="BF110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09" spans="1:58" x14ac:dyDescent="0.25">
      <c r="A1109" t="s">
        <v>1381</v>
      </c>
      <c r="B1109" t="s">
        <v>19</v>
      </c>
      <c r="C1109">
        <v>2</v>
      </c>
      <c r="D1109">
        <v>493</v>
      </c>
      <c r="E1109" t="s">
        <v>2109</v>
      </c>
      <c r="F1109" t="s">
        <v>123</v>
      </c>
      <c r="G1109" t="s">
        <v>124</v>
      </c>
      <c r="H1109" t="s">
        <v>125</v>
      </c>
      <c r="I1109" t="s">
        <v>154</v>
      </c>
      <c r="J1109" t="s">
        <v>154</v>
      </c>
      <c r="K1109" t="s">
        <v>151</v>
      </c>
      <c r="L1109">
        <v>50</v>
      </c>
      <c r="M1109">
        <v>1271375</v>
      </c>
      <c r="N1109">
        <v>0</v>
      </c>
      <c r="O1109">
        <v>4</v>
      </c>
      <c r="P1109" t="s">
        <v>168</v>
      </c>
      <c r="Q1109" t="s">
        <v>129</v>
      </c>
      <c r="R1109">
        <v>45</v>
      </c>
      <c r="S1109" t="s">
        <v>189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50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50</v>
      </c>
      <c r="AJ1109">
        <v>50</v>
      </c>
      <c r="AK1109">
        <v>50</v>
      </c>
      <c r="AL1109">
        <v>50</v>
      </c>
      <c r="AM1109">
        <v>0</v>
      </c>
      <c r="AN1109">
        <v>4.5454545454545459</v>
      </c>
      <c r="AO1109">
        <v>0</v>
      </c>
      <c r="AP1109" t="s">
        <v>172</v>
      </c>
      <c r="AQ1109" t="s">
        <v>155</v>
      </c>
      <c r="AR1109" t="s">
        <v>229</v>
      </c>
      <c r="AS1109">
        <v>0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 t="s">
        <v>147</v>
      </c>
      <c r="BA1109">
        <v>0</v>
      </c>
      <c r="BB1109">
        <v>0</v>
      </c>
      <c r="BC1109" t="s">
        <v>133</v>
      </c>
      <c r="BD1109">
        <v>1</v>
      </c>
      <c r="BE1109" t="s">
        <v>133</v>
      </c>
      <c r="BF110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10" spans="1:58" x14ac:dyDescent="0.25">
      <c r="A1110" t="s">
        <v>1382</v>
      </c>
      <c r="B1110" t="s">
        <v>19</v>
      </c>
      <c r="C1110">
        <v>2</v>
      </c>
      <c r="D1110">
        <v>494</v>
      </c>
      <c r="E1110" t="s">
        <v>2109</v>
      </c>
      <c r="F1110" t="s">
        <v>123</v>
      </c>
      <c r="G1110" t="s">
        <v>124</v>
      </c>
      <c r="H1110" t="s">
        <v>125</v>
      </c>
      <c r="I1110" t="s">
        <v>154</v>
      </c>
      <c r="J1110" t="s">
        <v>154</v>
      </c>
      <c r="K1110" t="s">
        <v>151</v>
      </c>
      <c r="L1110">
        <v>50</v>
      </c>
      <c r="M1110">
        <v>1271377</v>
      </c>
      <c r="N1110">
        <v>0</v>
      </c>
      <c r="O1110">
        <v>4</v>
      </c>
      <c r="P1110" t="s">
        <v>168</v>
      </c>
      <c r="Q1110" t="s">
        <v>129</v>
      </c>
      <c r="R1110">
        <v>45</v>
      </c>
      <c r="S1110" t="s">
        <v>189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50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50</v>
      </c>
      <c r="AJ1110">
        <v>50</v>
      </c>
      <c r="AK1110">
        <v>50</v>
      </c>
      <c r="AL1110">
        <v>50</v>
      </c>
      <c r="AM1110">
        <v>0</v>
      </c>
      <c r="AN1110">
        <v>4.5454545454545459</v>
      </c>
      <c r="AO1110">
        <v>0</v>
      </c>
      <c r="AP1110" t="s">
        <v>172</v>
      </c>
      <c r="AQ1110" t="s">
        <v>155</v>
      </c>
      <c r="AR1110" t="s">
        <v>229</v>
      </c>
      <c r="AS1110">
        <v>0</v>
      </c>
      <c r="AT1110">
        <v>0</v>
      </c>
      <c r="AU1110">
        <v>0</v>
      </c>
      <c r="AV1110">
        <v>0</v>
      </c>
      <c r="AW1110">
        <v>0</v>
      </c>
      <c r="AX1110">
        <v>0</v>
      </c>
      <c r="AY1110">
        <v>0</v>
      </c>
      <c r="AZ1110" t="s">
        <v>147</v>
      </c>
      <c r="BA1110">
        <v>0</v>
      </c>
      <c r="BB1110">
        <v>0</v>
      </c>
      <c r="BC1110" t="s">
        <v>133</v>
      </c>
      <c r="BD1110">
        <v>2</v>
      </c>
      <c r="BE1110" t="s">
        <v>133</v>
      </c>
      <c r="BF111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11" spans="1:58" x14ac:dyDescent="0.25">
      <c r="A1111" t="s">
        <v>1383</v>
      </c>
      <c r="B1111" t="s">
        <v>19</v>
      </c>
      <c r="C1111">
        <v>2</v>
      </c>
      <c r="D1111">
        <v>495</v>
      </c>
      <c r="E1111" t="s">
        <v>2109</v>
      </c>
      <c r="F1111" t="s">
        <v>123</v>
      </c>
      <c r="G1111" t="s">
        <v>124</v>
      </c>
      <c r="H1111" t="s">
        <v>125</v>
      </c>
      <c r="I1111" t="s">
        <v>154</v>
      </c>
      <c r="J1111" t="s">
        <v>154</v>
      </c>
      <c r="K1111" t="s">
        <v>151</v>
      </c>
      <c r="L1111">
        <v>50</v>
      </c>
      <c r="M1111">
        <v>1271379</v>
      </c>
      <c r="N1111">
        <v>0</v>
      </c>
      <c r="O1111">
        <v>4</v>
      </c>
      <c r="P1111" t="s">
        <v>168</v>
      </c>
      <c r="Q1111" t="s">
        <v>129</v>
      </c>
      <c r="R1111">
        <v>45</v>
      </c>
      <c r="S1111" t="s">
        <v>189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50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50</v>
      </c>
      <c r="AJ1111">
        <v>50</v>
      </c>
      <c r="AK1111">
        <v>50</v>
      </c>
      <c r="AL1111">
        <v>50</v>
      </c>
      <c r="AM1111">
        <v>0</v>
      </c>
      <c r="AN1111">
        <v>4.5454545454545459</v>
      </c>
      <c r="AO1111">
        <v>0</v>
      </c>
      <c r="AP1111" t="s">
        <v>172</v>
      </c>
      <c r="AQ1111" t="s">
        <v>155</v>
      </c>
      <c r="AR1111" t="s">
        <v>229</v>
      </c>
      <c r="AS1111">
        <v>0</v>
      </c>
      <c r="AT1111">
        <v>0</v>
      </c>
      <c r="AU1111">
        <v>0</v>
      </c>
      <c r="AV1111">
        <v>0</v>
      </c>
      <c r="AW1111">
        <v>0</v>
      </c>
      <c r="AX1111">
        <v>0</v>
      </c>
      <c r="AY1111">
        <v>0</v>
      </c>
      <c r="AZ1111" t="s">
        <v>147</v>
      </c>
      <c r="BA1111">
        <v>0</v>
      </c>
      <c r="BB1111">
        <v>0</v>
      </c>
      <c r="BC1111" t="s">
        <v>133</v>
      </c>
      <c r="BD1111">
        <v>3</v>
      </c>
      <c r="BE1111" t="s">
        <v>133</v>
      </c>
      <c r="BF111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12" spans="1:58" x14ac:dyDescent="0.25">
      <c r="A1112" t="s">
        <v>1384</v>
      </c>
      <c r="B1112" t="s">
        <v>19</v>
      </c>
      <c r="C1112">
        <v>2</v>
      </c>
      <c r="D1112">
        <v>496</v>
      </c>
      <c r="E1112" t="s">
        <v>2109</v>
      </c>
      <c r="F1112" t="s">
        <v>123</v>
      </c>
      <c r="G1112" t="s">
        <v>124</v>
      </c>
      <c r="H1112" t="s">
        <v>125</v>
      </c>
      <c r="I1112" t="s">
        <v>154</v>
      </c>
      <c r="J1112" t="s">
        <v>154</v>
      </c>
      <c r="K1112" t="s">
        <v>151</v>
      </c>
      <c r="L1112">
        <v>50</v>
      </c>
      <c r="M1112">
        <v>1271381</v>
      </c>
      <c r="N1112">
        <v>0</v>
      </c>
      <c r="O1112">
        <v>4</v>
      </c>
      <c r="P1112" t="s">
        <v>168</v>
      </c>
      <c r="Q1112" t="s">
        <v>129</v>
      </c>
      <c r="R1112">
        <v>45</v>
      </c>
      <c r="S1112" t="s">
        <v>189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50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50</v>
      </c>
      <c r="AJ1112">
        <v>50</v>
      </c>
      <c r="AK1112">
        <v>50</v>
      </c>
      <c r="AL1112">
        <v>50</v>
      </c>
      <c r="AM1112">
        <v>0</v>
      </c>
      <c r="AN1112">
        <v>4.5454545454545459</v>
      </c>
      <c r="AO1112">
        <v>0</v>
      </c>
      <c r="AP1112" t="s">
        <v>172</v>
      </c>
      <c r="AQ1112" t="s">
        <v>155</v>
      </c>
      <c r="AR1112" t="s">
        <v>229</v>
      </c>
      <c r="AS1112">
        <v>0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0</v>
      </c>
      <c r="AZ1112" t="s">
        <v>147</v>
      </c>
      <c r="BA1112">
        <v>0</v>
      </c>
      <c r="BB1112">
        <v>0</v>
      </c>
      <c r="BC1112" t="s">
        <v>133</v>
      </c>
      <c r="BD1112">
        <v>4</v>
      </c>
      <c r="BE1112" t="s">
        <v>133</v>
      </c>
      <c r="BF111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13" spans="1:58" x14ac:dyDescent="0.25">
      <c r="A1113" t="s">
        <v>1385</v>
      </c>
      <c r="B1113" t="s">
        <v>19</v>
      </c>
      <c r="C1113">
        <v>2</v>
      </c>
      <c r="D1113">
        <v>497</v>
      </c>
      <c r="E1113" t="s">
        <v>2109</v>
      </c>
      <c r="F1113" t="s">
        <v>123</v>
      </c>
      <c r="G1113" t="s">
        <v>124</v>
      </c>
      <c r="H1113" t="s">
        <v>125</v>
      </c>
      <c r="I1113" t="s">
        <v>154</v>
      </c>
      <c r="J1113" t="s">
        <v>154</v>
      </c>
      <c r="K1113" t="s">
        <v>151</v>
      </c>
      <c r="L1113">
        <v>50</v>
      </c>
      <c r="M1113">
        <v>1271383</v>
      </c>
      <c r="N1113">
        <v>0</v>
      </c>
      <c r="O1113">
        <v>4</v>
      </c>
      <c r="P1113" t="s">
        <v>168</v>
      </c>
      <c r="Q1113" t="s">
        <v>129</v>
      </c>
      <c r="R1113">
        <v>45</v>
      </c>
      <c r="S1113" t="s">
        <v>189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50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0</v>
      </c>
      <c r="AI1113">
        <v>50</v>
      </c>
      <c r="AJ1113">
        <v>50</v>
      </c>
      <c r="AK1113">
        <v>50</v>
      </c>
      <c r="AL1113">
        <v>50</v>
      </c>
      <c r="AM1113">
        <v>0</v>
      </c>
      <c r="AN1113">
        <v>4.5454545454545459</v>
      </c>
      <c r="AO1113">
        <v>0</v>
      </c>
      <c r="AP1113" t="s">
        <v>172</v>
      </c>
      <c r="AQ1113" t="s">
        <v>155</v>
      </c>
      <c r="AR1113" t="s">
        <v>229</v>
      </c>
      <c r="AS1113">
        <v>0</v>
      </c>
      <c r="AT1113">
        <v>0</v>
      </c>
      <c r="AU1113">
        <v>0</v>
      </c>
      <c r="AV1113">
        <v>0</v>
      </c>
      <c r="AW1113">
        <v>0</v>
      </c>
      <c r="AX1113">
        <v>0</v>
      </c>
      <c r="AY1113">
        <v>0</v>
      </c>
      <c r="AZ1113" t="s">
        <v>147</v>
      </c>
      <c r="BA1113">
        <v>0</v>
      </c>
      <c r="BB1113">
        <v>0</v>
      </c>
      <c r="BC1113" t="s">
        <v>133</v>
      </c>
      <c r="BD1113">
        <v>5</v>
      </c>
      <c r="BE1113" t="s">
        <v>133</v>
      </c>
      <c r="BF111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14" spans="1:58" x14ac:dyDescent="0.25">
      <c r="A1114" t="s">
        <v>1386</v>
      </c>
      <c r="B1114" t="s">
        <v>19</v>
      </c>
      <c r="C1114">
        <v>2</v>
      </c>
      <c r="D1114">
        <v>498</v>
      </c>
      <c r="E1114" t="s">
        <v>2109</v>
      </c>
      <c r="F1114" t="s">
        <v>123</v>
      </c>
      <c r="G1114" t="s">
        <v>124</v>
      </c>
      <c r="H1114" t="s">
        <v>125</v>
      </c>
      <c r="I1114" t="s">
        <v>154</v>
      </c>
      <c r="J1114" t="s">
        <v>154</v>
      </c>
      <c r="K1114" t="s">
        <v>151</v>
      </c>
      <c r="L1114">
        <v>50</v>
      </c>
      <c r="M1114">
        <v>1271385</v>
      </c>
      <c r="N1114">
        <v>0</v>
      </c>
      <c r="O1114">
        <v>4</v>
      </c>
      <c r="P1114" t="s">
        <v>168</v>
      </c>
      <c r="Q1114" t="s">
        <v>129</v>
      </c>
      <c r="R1114">
        <v>45</v>
      </c>
      <c r="S1114" t="s">
        <v>189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50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50</v>
      </c>
      <c r="AJ1114">
        <v>50</v>
      </c>
      <c r="AK1114">
        <v>50</v>
      </c>
      <c r="AL1114">
        <v>50</v>
      </c>
      <c r="AM1114">
        <v>0</v>
      </c>
      <c r="AN1114">
        <v>4.5454545454545459</v>
      </c>
      <c r="AO1114">
        <v>0</v>
      </c>
      <c r="AP1114" t="s">
        <v>172</v>
      </c>
      <c r="AQ1114" t="s">
        <v>155</v>
      </c>
      <c r="AR1114" t="s">
        <v>229</v>
      </c>
      <c r="AS1114">
        <v>0</v>
      </c>
      <c r="AT1114">
        <v>0</v>
      </c>
      <c r="AU1114">
        <v>0</v>
      </c>
      <c r="AV1114">
        <v>0</v>
      </c>
      <c r="AW1114">
        <v>0</v>
      </c>
      <c r="AX1114">
        <v>0</v>
      </c>
      <c r="AY1114">
        <v>0</v>
      </c>
      <c r="AZ1114" t="s">
        <v>147</v>
      </c>
      <c r="BA1114">
        <v>0</v>
      </c>
      <c r="BB1114">
        <v>0</v>
      </c>
      <c r="BC1114" t="s">
        <v>133</v>
      </c>
      <c r="BD1114">
        <v>6</v>
      </c>
      <c r="BE1114" t="s">
        <v>133</v>
      </c>
      <c r="BF111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15" spans="1:58" x14ac:dyDescent="0.25">
      <c r="A1115" t="s">
        <v>1387</v>
      </c>
      <c r="B1115" t="s">
        <v>19</v>
      </c>
      <c r="C1115">
        <v>2</v>
      </c>
      <c r="D1115">
        <v>499</v>
      </c>
      <c r="E1115" t="s">
        <v>2109</v>
      </c>
      <c r="F1115" t="s">
        <v>123</v>
      </c>
      <c r="G1115" t="s">
        <v>124</v>
      </c>
      <c r="H1115" t="s">
        <v>125</v>
      </c>
      <c r="I1115" t="s">
        <v>154</v>
      </c>
      <c r="J1115" t="s">
        <v>154</v>
      </c>
      <c r="K1115" t="s">
        <v>151</v>
      </c>
      <c r="L1115">
        <v>50</v>
      </c>
      <c r="M1115">
        <v>1271387</v>
      </c>
      <c r="N1115">
        <v>0</v>
      </c>
      <c r="O1115">
        <v>4</v>
      </c>
      <c r="P1115" t="s">
        <v>168</v>
      </c>
      <c r="Q1115" t="s">
        <v>129</v>
      </c>
      <c r="R1115">
        <v>45</v>
      </c>
      <c r="S1115" t="s">
        <v>189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50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50</v>
      </c>
      <c r="AJ1115">
        <v>50</v>
      </c>
      <c r="AK1115">
        <v>50</v>
      </c>
      <c r="AL1115">
        <v>50</v>
      </c>
      <c r="AM1115">
        <v>0</v>
      </c>
      <c r="AN1115">
        <v>4.5454545454545459</v>
      </c>
      <c r="AO1115">
        <v>0</v>
      </c>
      <c r="AP1115" t="s">
        <v>172</v>
      </c>
      <c r="AQ1115" t="s">
        <v>155</v>
      </c>
      <c r="AR1115" t="s">
        <v>229</v>
      </c>
      <c r="AS1115">
        <v>0</v>
      </c>
      <c r="AT1115">
        <v>0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 t="s">
        <v>147</v>
      </c>
      <c r="BA1115">
        <v>0</v>
      </c>
      <c r="BB1115">
        <v>0</v>
      </c>
      <c r="BC1115" t="s">
        <v>144</v>
      </c>
      <c r="BD1115">
        <v>7</v>
      </c>
      <c r="BE1115" t="s">
        <v>133</v>
      </c>
      <c r="BF111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16" spans="1:58" x14ac:dyDescent="0.25">
      <c r="A1116" t="s">
        <v>1388</v>
      </c>
      <c r="B1116" t="s">
        <v>19</v>
      </c>
      <c r="C1116">
        <v>2</v>
      </c>
      <c r="D1116">
        <v>500</v>
      </c>
      <c r="E1116" t="s">
        <v>2111</v>
      </c>
      <c r="F1116" t="s">
        <v>1389</v>
      </c>
      <c r="G1116" t="s">
        <v>124</v>
      </c>
      <c r="H1116" t="s">
        <v>125</v>
      </c>
      <c r="I1116" t="s">
        <v>126</v>
      </c>
      <c r="J1116" t="s">
        <v>126</v>
      </c>
      <c r="K1116" t="s">
        <v>127</v>
      </c>
      <c r="L1116">
        <v>50</v>
      </c>
      <c r="M1116">
        <v>1271389</v>
      </c>
      <c r="N1116">
        <v>9</v>
      </c>
      <c r="O1116">
        <v>4</v>
      </c>
      <c r="P1116" t="s">
        <v>168</v>
      </c>
      <c r="Q1116" t="s">
        <v>129</v>
      </c>
      <c r="R1116">
        <v>46</v>
      </c>
      <c r="S1116" t="s">
        <v>1390</v>
      </c>
      <c r="T1116">
        <v>15</v>
      </c>
      <c r="U1116">
        <v>20</v>
      </c>
      <c r="V1116">
        <v>5</v>
      </c>
      <c r="W1116">
        <v>0</v>
      </c>
      <c r="X1116">
        <v>5</v>
      </c>
      <c r="Y1116">
        <v>0</v>
      </c>
      <c r="Z1116">
        <v>20</v>
      </c>
      <c r="AA1116">
        <v>25</v>
      </c>
      <c r="AB1116">
        <v>50</v>
      </c>
      <c r="AC1116">
        <v>35</v>
      </c>
      <c r="AD1116">
        <v>10</v>
      </c>
      <c r="AE1116">
        <v>0</v>
      </c>
      <c r="AF1116">
        <v>45</v>
      </c>
      <c r="AG1116">
        <v>0</v>
      </c>
      <c r="AH1116">
        <v>15</v>
      </c>
      <c r="AI1116">
        <v>5</v>
      </c>
      <c r="AJ1116">
        <v>15</v>
      </c>
      <c r="AK1116">
        <v>15</v>
      </c>
      <c r="AL1116">
        <v>0</v>
      </c>
      <c r="AM1116">
        <v>0.18</v>
      </c>
      <c r="AN1116">
        <v>1.3636363636363638</v>
      </c>
      <c r="AO1116">
        <v>0</v>
      </c>
      <c r="AP1116" t="s">
        <v>130</v>
      </c>
      <c r="AQ1116" t="s">
        <v>131</v>
      </c>
      <c r="AR1116" t="s">
        <v>1184</v>
      </c>
      <c r="AS1116">
        <v>4465</v>
      </c>
      <c r="AT1116">
        <v>4414</v>
      </c>
      <c r="AU1116">
        <v>0</v>
      </c>
      <c r="AV1116">
        <v>0</v>
      </c>
      <c r="AW1116">
        <v>8.8789999999999996</v>
      </c>
      <c r="AX1116">
        <v>0.25368571428571429</v>
      </c>
      <c r="AY1116">
        <v>11.415857142857144</v>
      </c>
      <c r="AZ1116" t="s">
        <v>135</v>
      </c>
      <c r="BA1116">
        <v>-2.4158571428571438</v>
      </c>
      <c r="BB1116">
        <v>-9.5230318729586703</v>
      </c>
      <c r="BC1116" t="s">
        <v>132</v>
      </c>
      <c r="BD1116">
        <v>0</v>
      </c>
      <c r="BE1116" t="s">
        <v>133</v>
      </c>
      <c r="BF111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8.8789999999999996</v>
      </c>
    </row>
    <row r="1117" spans="1:58" x14ac:dyDescent="0.25">
      <c r="A1117" t="s">
        <v>1391</v>
      </c>
      <c r="B1117" t="s">
        <v>19</v>
      </c>
      <c r="C1117">
        <v>2</v>
      </c>
      <c r="D1117">
        <v>501</v>
      </c>
      <c r="E1117" t="s">
        <v>2111</v>
      </c>
      <c r="F1117" t="s">
        <v>1389</v>
      </c>
      <c r="G1117" t="s">
        <v>124</v>
      </c>
      <c r="H1117" t="s">
        <v>125</v>
      </c>
      <c r="I1117" t="s">
        <v>126</v>
      </c>
      <c r="J1117" t="s">
        <v>126</v>
      </c>
      <c r="K1117" t="s">
        <v>127</v>
      </c>
      <c r="L1117">
        <v>50</v>
      </c>
      <c r="M1117">
        <v>1271275</v>
      </c>
      <c r="N1117">
        <v>9</v>
      </c>
      <c r="O1117">
        <v>4</v>
      </c>
      <c r="P1117" t="s">
        <v>168</v>
      </c>
      <c r="Q1117" t="s">
        <v>129</v>
      </c>
      <c r="R1117">
        <v>46</v>
      </c>
      <c r="S1117" t="s">
        <v>1390</v>
      </c>
      <c r="T1117">
        <v>14</v>
      </c>
      <c r="U1117">
        <v>19</v>
      </c>
      <c r="V1117">
        <v>5</v>
      </c>
      <c r="W1117">
        <v>0</v>
      </c>
      <c r="X1117">
        <v>5</v>
      </c>
      <c r="Y1117">
        <v>0</v>
      </c>
      <c r="Z1117">
        <v>19</v>
      </c>
      <c r="AA1117">
        <v>24</v>
      </c>
      <c r="AB1117">
        <v>50</v>
      </c>
      <c r="AC1117">
        <v>33</v>
      </c>
      <c r="AD1117">
        <v>10</v>
      </c>
      <c r="AE1117">
        <v>0</v>
      </c>
      <c r="AF1117">
        <v>43</v>
      </c>
      <c r="AG1117">
        <v>0</v>
      </c>
      <c r="AH1117">
        <v>17</v>
      </c>
      <c r="AI1117">
        <v>7</v>
      </c>
      <c r="AJ1117">
        <v>17</v>
      </c>
      <c r="AK1117">
        <v>17</v>
      </c>
      <c r="AL1117">
        <v>0</v>
      </c>
      <c r="AM1117">
        <v>0.18</v>
      </c>
      <c r="AN1117">
        <v>1.5454545454545454</v>
      </c>
      <c r="AO1117">
        <v>0</v>
      </c>
      <c r="AP1117" t="s">
        <v>130</v>
      </c>
      <c r="AQ1117" t="s">
        <v>131</v>
      </c>
      <c r="AR1117" t="s">
        <v>1184</v>
      </c>
      <c r="AS1117">
        <v>2949</v>
      </c>
      <c r="AT1117">
        <v>2825</v>
      </c>
      <c r="AU1117">
        <v>0</v>
      </c>
      <c r="AV1117">
        <v>0</v>
      </c>
      <c r="AW1117">
        <v>5.774</v>
      </c>
      <c r="AX1117">
        <v>0.17496969696969697</v>
      </c>
      <c r="AY1117">
        <v>7.52369696969697</v>
      </c>
      <c r="AZ1117" t="s">
        <v>135</v>
      </c>
      <c r="BA1117">
        <v>1.47630303030303</v>
      </c>
      <c r="BB1117">
        <v>8.4374783512296485</v>
      </c>
      <c r="BC1117" t="s">
        <v>133</v>
      </c>
      <c r="BD1117">
        <v>0</v>
      </c>
      <c r="BE1117" t="s">
        <v>133</v>
      </c>
      <c r="BF111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5.774</v>
      </c>
    </row>
    <row r="1118" spans="1:58" x14ac:dyDescent="0.25">
      <c r="A1118" t="s">
        <v>1392</v>
      </c>
      <c r="B1118" t="s">
        <v>19</v>
      </c>
      <c r="C1118">
        <v>2</v>
      </c>
      <c r="D1118">
        <v>502</v>
      </c>
      <c r="E1118" t="s">
        <v>2111</v>
      </c>
      <c r="F1118" t="s">
        <v>1389</v>
      </c>
      <c r="G1118" t="s">
        <v>124</v>
      </c>
      <c r="H1118" t="s">
        <v>125</v>
      </c>
      <c r="I1118" t="s">
        <v>126</v>
      </c>
      <c r="J1118" t="s">
        <v>126</v>
      </c>
      <c r="K1118" t="s">
        <v>127</v>
      </c>
      <c r="L1118">
        <v>50</v>
      </c>
      <c r="M1118">
        <v>1271277</v>
      </c>
      <c r="N1118">
        <v>9</v>
      </c>
      <c r="O1118">
        <v>4</v>
      </c>
      <c r="P1118" t="s">
        <v>168</v>
      </c>
      <c r="Q1118" t="s">
        <v>129</v>
      </c>
      <c r="R1118">
        <v>46</v>
      </c>
      <c r="S1118" t="s">
        <v>1390</v>
      </c>
      <c r="T1118">
        <v>20</v>
      </c>
      <c r="U1118">
        <v>25</v>
      </c>
      <c r="V1118">
        <v>0</v>
      </c>
      <c r="W1118">
        <v>0</v>
      </c>
      <c r="X1118">
        <v>0</v>
      </c>
      <c r="Y1118">
        <v>0</v>
      </c>
      <c r="Z1118">
        <v>20</v>
      </c>
      <c r="AA1118">
        <v>25</v>
      </c>
      <c r="AB1118">
        <v>50</v>
      </c>
      <c r="AC1118">
        <v>45</v>
      </c>
      <c r="AD1118">
        <v>0</v>
      </c>
      <c r="AE1118">
        <v>0</v>
      </c>
      <c r="AF1118">
        <v>45</v>
      </c>
      <c r="AG1118">
        <v>0</v>
      </c>
      <c r="AH1118">
        <v>5</v>
      </c>
      <c r="AI1118">
        <v>5</v>
      </c>
      <c r="AJ1118">
        <v>5</v>
      </c>
      <c r="AK1118">
        <v>5</v>
      </c>
      <c r="AL1118">
        <v>0</v>
      </c>
      <c r="AM1118">
        <v>0.18</v>
      </c>
      <c r="AN1118">
        <v>0.45454545454545459</v>
      </c>
      <c r="AO1118">
        <v>0</v>
      </c>
      <c r="AP1118" t="s">
        <v>130</v>
      </c>
      <c r="AQ1118" t="s">
        <v>131</v>
      </c>
      <c r="AR1118" t="s">
        <v>1184</v>
      </c>
      <c r="AS1118">
        <v>3323</v>
      </c>
      <c r="AT1118">
        <v>3224</v>
      </c>
      <c r="AU1118">
        <v>0</v>
      </c>
      <c r="AV1118">
        <v>0</v>
      </c>
      <c r="AW1118">
        <v>6.5469999999999997</v>
      </c>
      <c r="AX1118">
        <v>0.14548888888888889</v>
      </c>
      <c r="AY1118">
        <v>6.5469999999999997</v>
      </c>
      <c r="AZ1118" t="s">
        <v>135</v>
      </c>
      <c r="BA1118">
        <v>2.4530000000000003</v>
      </c>
      <c r="BB1118">
        <v>16.860394073621507</v>
      </c>
      <c r="BC1118" t="s">
        <v>133</v>
      </c>
      <c r="BD1118">
        <v>0</v>
      </c>
      <c r="BE1118" t="s">
        <v>133</v>
      </c>
      <c r="BF111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6.5469999999999997</v>
      </c>
    </row>
    <row r="1119" spans="1:58" x14ac:dyDescent="0.25">
      <c r="A1119" t="s">
        <v>1393</v>
      </c>
      <c r="B1119" t="s">
        <v>19</v>
      </c>
      <c r="C1119">
        <v>2</v>
      </c>
      <c r="D1119">
        <v>503</v>
      </c>
      <c r="E1119" t="s">
        <v>2111</v>
      </c>
      <c r="F1119" t="s">
        <v>1389</v>
      </c>
      <c r="G1119" t="s">
        <v>124</v>
      </c>
      <c r="H1119" t="s">
        <v>125</v>
      </c>
      <c r="I1119" t="s">
        <v>126</v>
      </c>
      <c r="J1119" t="s">
        <v>126</v>
      </c>
      <c r="K1119" t="s">
        <v>127</v>
      </c>
      <c r="L1119">
        <v>50</v>
      </c>
      <c r="M1119">
        <v>1271279</v>
      </c>
      <c r="N1119">
        <v>9</v>
      </c>
      <c r="O1119">
        <v>4</v>
      </c>
      <c r="P1119" t="s">
        <v>168</v>
      </c>
      <c r="Q1119" t="s">
        <v>129</v>
      </c>
      <c r="R1119">
        <v>46</v>
      </c>
      <c r="S1119" t="s">
        <v>1390</v>
      </c>
      <c r="T1119">
        <v>20</v>
      </c>
      <c r="U1119">
        <v>25</v>
      </c>
      <c r="V1119">
        <v>0</v>
      </c>
      <c r="W1119">
        <v>0</v>
      </c>
      <c r="X1119">
        <v>0</v>
      </c>
      <c r="Y1119">
        <v>0</v>
      </c>
      <c r="Z1119">
        <v>20</v>
      </c>
      <c r="AA1119">
        <v>25</v>
      </c>
      <c r="AB1119">
        <v>50</v>
      </c>
      <c r="AC1119">
        <v>45</v>
      </c>
      <c r="AD1119">
        <v>0</v>
      </c>
      <c r="AE1119">
        <v>0</v>
      </c>
      <c r="AF1119">
        <v>45</v>
      </c>
      <c r="AG1119">
        <v>0</v>
      </c>
      <c r="AH1119">
        <v>5</v>
      </c>
      <c r="AI1119">
        <v>5</v>
      </c>
      <c r="AJ1119">
        <v>5</v>
      </c>
      <c r="AK1119">
        <v>5</v>
      </c>
      <c r="AL1119">
        <v>0</v>
      </c>
      <c r="AM1119">
        <v>0.18</v>
      </c>
      <c r="AN1119">
        <v>0.45454545454545459</v>
      </c>
      <c r="AO1119">
        <v>0</v>
      </c>
      <c r="AP1119" t="s">
        <v>130</v>
      </c>
      <c r="AQ1119" t="s">
        <v>131</v>
      </c>
      <c r="AR1119" t="s">
        <v>1184</v>
      </c>
      <c r="AS1119">
        <v>4407</v>
      </c>
      <c r="AT1119">
        <v>4430</v>
      </c>
      <c r="AU1119">
        <v>0</v>
      </c>
      <c r="AV1119">
        <v>0</v>
      </c>
      <c r="AW1119">
        <v>8.8369999999999997</v>
      </c>
      <c r="AX1119">
        <v>0.19637777777777776</v>
      </c>
      <c r="AY1119">
        <v>8.8369999999999997</v>
      </c>
      <c r="AZ1119" t="s">
        <v>135</v>
      </c>
      <c r="BA1119">
        <v>0.16300000000000026</v>
      </c>
      <c r="BB1119">
        <v>0.83003281656670957</v>
      </c>
      <c r="BC1119" t="s">
        <v>133</v>
      </c>
      <c r="BD1119">
        <v>0</v>
      </c>
      <c r="BE1119" t="s">
        <v>133</v>
      </c>
      <c r="BF111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8.8369999999999997</v>
      </c>
    </row>
    <row r="1120" spans="1:58" x14ac:dyDescent="0.25">
      <c r="A1120" t="s">
        <v>1394</v>
      </c>
      <c r="B1120" t="s">
        <v>19</v>
      </c>
      <c r="C1120">
        <v>2</v>
      </c>
      <c r="D1120">
        <v>504</v>
      </c>
      <c r="E1120" t="s">
        <v>2111</v>
      </c>
      <c r="F1120" t="s">
        <v>1389</v>
      </c>
      <c r="G1120" t="s">
        <v>124</v>
      </c>
      <c r="H1120" t="s">
        <v>125</v>
      </c>
      <c r="I1120" t="s">
        <v>126</v>
      </c>
      <c r="J1120" t="s">
        <v>126</v>
      </c>
      <c r="K1120" t="s">
        <v>127</v>
      </c>
      <c r="L1120">
        <v>50</v>
      </c>
      <c r="M1120">
        <v>1271281</v>
      </c>
      <c r="N1120">
        <v>9</v>
      </c>
      <c r="O1120">
        <v>4</v>
      </c>
      <c r="P1120" t="s">
        <v>168</v>
      </c>
      <c r="Q1120" t="s">
        <v>129</v>
      </c>
      <c r="R1120">
        <v>46</v>
      </c>
      <c r="S1120" t="s">
        <v>1390</v>
      </c>
      <c r="T1120">
        <v>19</v>
      </c>
      <c r="U1120">
        <v>24</v>
      </c>
      <c r="V1120">
        <v>1</v>
      </c>
      <c r="W1120">
        <v>0</v>
      </c>
      <c r="X1120">
        <v>1</v>
      </c>
      <c r="Y1120">
        <v>0</v>
      </c>
      <c r="Z1120">
        <v>20</v>
      </c>
      <c r="AA1120">
        <v>25</v>
      </c>
      <c r="AB1120">
        <v>50</v>
      </c>
      <c r="AC1120">
        <v>43</v>
      </c>
      <c r="AD1120">
        <v>2</v>
      </c>
      <c r="AE1120">
        <v>0</v>
      </c>
      <c r="AF1120">
        <v>45</v>
      </c>
      <c r="AG1120">
        <v>0</v>
      </c>
      <c r="AH1120">
        <v>7</v>
      </c>
      <c r="AI1120">
        <v>5</v>
      </c>
      <c r="AJ1120">
        <v>7</v>
      </c>
      <c r="AK1120">
        <v>7</v>
      </c>
      <c r="AL1120">
        <v>0</v>
      </c>
      <c r="AM1120">
        <v>0.18</v>
      </c>
      <c r="AN1120">
        <v>0.63636363636363635</v>
      </c>
      <c r="AO1120">
        <v>0</v>
      </c>
      <c r="AP1120" t="s">
        <v>130</v>
      </c>
      <c r="AQ1120" t="s">
        <v>131</v>
      </c>
      <c r="AR1120" t="s">
        <v>1184</v>
      </c>
      <c r="AS1120">
        <v>2668</v>
      </c>
      <c r="AT1120">
        <v>2693</v>
      </c>
      <c r="AU1120">
        <v>0</v>
      </c>
      <c r="AV1120">
        <v>0</v>
      </c>
      <c r="AW1120">
        <v>5.3609999999999998</v>
      </c>
      <c r="AX1120">
        <v>0.12467441860465116</v>
      </c>
      <c r="AY1120">
        <v>5.610348837209302</v>
      </c>
      <c r="AZ1120" t="s">
        <v>135</v>
      </c>
      <c r="BA1120">
        <v>3.389651162790698</v>
      </c>
      <c r="BB1120">
        <v>27.188024622271968</v>
      </c>
      <c r="BC1120" t="s">
        <v>133</v>
      </c>
      <c r="BD1120">
        <v>0</v>
      </c>
      <c r="BE1120" t="s">
        <v>133</v>
      </c>
      <c r="BF112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5.3609999999999998</v>
      </c>
    </row>
    <row r="1121" spans="1:58" x14ac:dyDescent="0.25">
      <c r="A1121" t="s">
        <v>1395</v>
      </c>
      <c r="B1121" t="s">
        <v>19</v>
      </c>
      <c r="C1121">
        <v>2</v>
      </c>
      <c r="D1121">
        <v>505</v>
      </c>
      <c r="E1121" t="s">
        <v>2111</v>
      </c>
      <c r="F1121" t="s">
        <v>1389</v>
      </c>
      <c r="G1121" t="s">
        <v>124</v>
      </c>
      <c r="H1121" t="s">
        <v>136</v>
      </c>
      <c r="I1121" t="s">
        <v>137</v>
      </c>
      <c r="J1121" t="s">
        <v>138</v>
      </c>
      <c r="K1121" t="s">
        <v>127</v>
      </c>
      <c r="L1121">
        <v>50</v>
      </c>
      <c r="M1121">
        <v>1271283</v>
      </c>
      <c r="N1121">
        <v>5</v>
      </c>
      <c r="O1121">
        <v>4</v>
      </c>
      <c r="P1121" t="s">
        <v>168</v>
      </c>
      <c r="Q1121" t="s">
        <v>129</v>
      </c>
      <c r="R1121">
        <v>46</v>
      </c>
      <c r="S1121" t="s">
        <v>1396</v>
      </c>
      <c r="T1121">
        <v>0</v>
      </c>
      <c r="U1121">
        <v>4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4</v>
      </c>
      <c r="AB1121">
        <v>50</v>
      </c>
      <c r="AC1121">
        <v>8</v>
      </c>
      <c r="AD1121">
        <v>0</v>
      </c>
      <c r="AE1121">
        <v>0</v>
      </c>
      <c r="AF1121">
        <v>8</v>
      </c>
      <c r="AG1121">
        <v>0</v>
      </c>
      <c r="AH1121">
        <v>42</v>
      </c>
      <c r="AI1121">
        <v>42</v>
      </c>
      <c r="AJ1121">
        <v>42</v>
      </c>
      <c r="AK1121">
        <v>42</v>
      </c>
      <c r="AL1121">
        <v>0</v>
      </c>
      <c r="AM1121">
        <v>0.1</v>
      </c>
      <c r="AN1121">
        <v>3.8181818181818183</v>
      </c>
      <c r="AO1121">
        <v>0</v>
      </c>
      <c r="AP1121" t="s">
        <v>139</v>
      </c>
      <c r="AQ1121" t="s">
        <v>131</v>
      </c>
      <c r="AR1121" t="s">
        <v>1184</v>
      </c>
      <c r="AS1121">
        <v>0</v>
      </c>
      <c r="AT1121">
        <v>0</v>
      </c>
      <c r="AU1121">
        <v>0</v>
      </c>
      <c r="AV1121">
        <v>0</v>
      </c>
      <c r="AW1121">
        <v>0</v>
      </c>
      <c r="AX1121">
        <v>0</v>
      </c>
      <c r="AY1121">
        <v>0</v>
      </c>
      <c r="AZ1121" t="s">
        <v>134</v>
      </c>
      <c r="BA1121">
        <v>5</v>
      </c>
      <c r="BB1121">
        <v>0</v>
      </c>
      <c r="BC1121" t="s">
        <v>133</v>
      </c>
      <c r="BD1121">
        <v>0</v>
      </c>
      <c r="BE1121" t="s">
        <v>133</v>
      </c>
      <c r="BF112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22" spans="1:58" x14ac:dyDescent="0.25">
      <c r="A1122" t="s">
        <v>1397</v>
      </c>
      <c r="B1122" t="s">
        <v>19</v>
      </c>
      <c r="C1122">
        <v>2</v>
      </c>
      <c r="D1122">
        <v>506</v>
      </c>
      <c r="E1122" t="s">
        <v>2111</v>
      </c>
      <c r="F1122" t="s">
        <v>1389</v>
      </c>
      <c r="G1122" t="s">
        <v>124</v>
      </c>
      <c r="H1122" t="s">
        <v>125</v>
      </c>
      <c r="I1122" t="s">
        <v>126</v>
      </c>
      <c r="J1122" t="s">
        <v>126</v>
      </c>
      <c r="K1122" t="s">
        <v>127</v>
      </c>
      <c r="L1122">
        <v>50</v>
      </c>
      <c r="M1122">
        <v>1271285</v>
      </c>
      <c r="N1122">
        <v>9</v>
      </c>
      <c r="O1122">
        <v>4</v>
      </c>
      <c r="P1122" t="s">
        <v>168</v>
      </c>
      <c r="Q1122" t="s">
        <v>129</v>
      </c>
      <c r="R1122">
        <v>46</v>
      </c>
      <c r="S1122" t="s">
        <v>1390</v>
      </c>
      <c r="T1122">
        <v>15</v>
      </c>
      <c r="U1122">
        <v>20</v>
      </c>
      <c r="V1122">
        <v>4</v>
      </c>
      <c r="W1122">
        <v>0</v>
      </c>
      <c r="X1122">
        <v>4</v>
      </c>
      <c r="Y1122">
        <v>0</v>
      </c>
      <c r="Z1122">
        <v>17</v>
      </c>
      <c r="AA1122">
        <v>24</v>
      </c>
      <c r="AB1122">
        <v>50</v>
      </c>
      <c r="AC1122">
        <v>35</v>
      </c>
      <c r="AD1122">
        <v>8</v>
      </c>
      <c r="AE1122">
        <v>0</v>
      </c>
      <c r="AF1122">
        <v>43</v>
      </c>
      <c r="AG1122">
        <v>0</v>
      </c>
      <c r="AH1122">
        <v>15</v>
      </c>
      <c r="AI1122">
        <v>7</v>
      </c>
      <c r="AJ1122">
        <v>15</v>
      </c>
      <c r="AK1122">
        <v>15</v>
      </c>
      <c r="AL1122">
        <v>0</v>
      </c>
      <c r="AM1122">
        <v>0.18</v>
      </c>
      <c r="AN1122">
        <v>1.3636363636363638</v>
      </c>
      <c r="AO1122">
        <v>0</v>
      </c>
      <c r="AP1122" t="s">
        <v>130</v>
      </c>
      <c r="AQ1122" t="s">
        <v>131</v>
      </c>
      <c r="AR1122" t="s">
        <v>1184</v>
      </c>
      <c r="AS1122">
        <v>2918</v>
      </c>
      <c r="AT1122">
        <v>2974</v>
      </c>
      <c r="AU1122">
        <v>0</v>
      </c>
      <c r="AV1122">
        <v>0</v>
      </c>
      <c r="AW1122">
        <v>5.8920000000000003</v>
      </c>
      <c r="AX1122">
        <v>0.16834285714285716</v>
      </c>
      <c r="AY1122">
        <v>7.2387428571428574</v>
      </c>
      <c r="AZ1122" t="s">
        <v>135</v>
      </c>
      <c r="BA1122">
        <v>1.7612571428571426</v>
      </c>
      <c r="BB1122">
        <v>10.46232179226069</v>
      </c>
      <c r="BC1122" t="s">
        <v>133</v>
      </c>
      <c r="BD1122">
        <v>0</v>
      </c>
      <c r="BE1122" t="s">
        <v>133</v>
      </c>
      <c r="BF112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5.8920000000000003</v>
      </c>
    </row>
    <row r="1123" spans="1:58" x14ac:dyDescent="0.25">
      <c r="A1123" t="s">
        <v>1398</v>
      </c>
      <c r="B1123" t="s">
        <v>19</v>
      </c>
      <c r="C1123">
        <v>2</v>
      </c>
      <c r="D1123">
        <v>507</v>
      </c>
      <c r="E1123" t="s">
        <v>2111</v>
      </c>
      <c r="F1123" t="s">
        <v>1389</v>
      </c>
      <c r="G1123" t="s">
        <v>124</v>
      </c>
      <c r="H1123" t="s">
        <v>125</v>
      </c>
      <c r="I1123" t="s">
        <v>126</v>
      </c>
      <c r="J1123" t="s">
        <v>126</v>
      </c>
      <c r="K1123" t="s">
        <v>127</v>
      </c>
      <c r="L1123">
        <v>50</v>
      </c>
      <c r="M1123">
        <v>1271287</v>
      </c>
      <c r="N1123">
        <v>9</v>
      </c>
      <c r="O1123">
        <v>4</v>
      </c>
      <c r="P1123" t="s">
        <v>168</v>
      </c>
      <c r="Q1123" t="s">
        <v>129</v>
      </c>
      <c r="R1123">
        <v>46</v>
      </c>
      <c r="S1123" t="s">
        <v>1390</v>
      </c>
      <c r="T1123">
        <v>10</v>
      </c>
      <c r="U1123">
        <v>21</v>
      </c>
      <c r="V1123">
        <v>3</v>
      </c>
      <c r="W1123">
        <v>0</v>
      </c>
      <c r="X1123">
        <v>3</v>
      </c>
      <c r="Y1123">
        <v>1</v>
      </c>
      <c r="Z1123">
        <v>12</v>
      </c>
      <c r="AA1123">
        <v>25</v>
      </c>
      <c r="AB1123">
        <v>50</v>
      </c>
      <c r="AC1123">
        <v>37</v>
      </c>
      <c r="AD1123">
        <v>6</v>
      </c>
      <c r="AE1123">
        <v>2</v>
      </c>
      <c r="AF1123">
        <v>45</v>
      </c>
      <c r="AG1123">
        <v>0</v>
      </c>
      <c r="AH1123">
        <v>13</v>
      </c>
      <c r="AI1123">
        <v>5</v>
      </c>
      <c r="AJ1123">
        <v>11</v>
      </c>
      <c r="AK1123">
        <v>13</v>
      </c>
      <c r="AL1123">
        <v>0</v>
      </c>
      <c r="AM1123">
        <v>0.18</v>
      </c>
      <c r="AN1123">
        <v>1</v>
      </c>
      <c r="AO1123">
        <v>0</v>
      </c>
      <c r="AP1123" t="s">
        <v>130</v>
      </c>
      <c r="AQ1123" t="s">
        <v>131</v>
      </c>
      <c r="AR1123" t="s">
        <v>1184</v>
      </c>
      <c r="AS1123">
        <v>2086</v>
      </c>
      <c r="AT1123">
        <v>2110</v>
      </c>
      <c r="AU1123">
        <v>0</v>
      </c>
      <c r="AV1123">
        <v>0</v>
      </c>
      <c r="AW1123">
        <v>4.1959999999999997</v>
      </c>
      <c r="AX1123">
        <v>0.1134054054054054</v>
      </c>
      <c r="AY1123">
        <v>5.1032432432432433</v>
      </c>
      <c r="AZ1123" t="s">
        <v>135</v>
      </c>
      <c r="BA1123">
        <v>3.8967567567567567</v>
      </c>
      <c r="BB1123">
        <v>34.36129647283127</v>
      </c>
      <c r="BC1123" t="s">
        <v>133</v>
      </c>
      <c r="BD1123">
        <v>0</v>
      </c>
      <c r="BE1123" t="s">
        <v>133</v>
      </c>
      <c r="BF112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4.1959999999999997</v>
      </c>
    </row>
    <row r="1124" spans="1:58" x14ac:dyDescent="0.25">
      <c r="A1124" t="s">
        <v>1399</v>
      </c>
      <c r="B1124" t="s">
        <v>19</v>
      </c>
      <c r="C1124">
        <v>2</v>
      </c>
      <c r="D1124">
        <v>508</v>
      </c>
      <c r="E1124" t="s">
        <v>2111</v>
      </c>
      <c r="F1124" t="s">
        <v>1389</v>
      </c>
      <c r="G1124" t="s">
        <v>124</v>
      </c>
      <c r="H1124" t="s">
        <v>125</v>
      </c>
      <c r="I1124" t="s">
        <v>126</v>
      </c>
      <c r="J1124" t="s">
        <v>126</v>
      </c>
      <c r="K1124" t="s">
        <v>127</v>
      </c>
      <c r="L1124">
        <v>50</v>
      </c>
      <c r="M1124">
        <v>1271289</v>
      </c>
      <c r="N1124">
        <v>9</v>
      </c>
      <c r="O1124">
        <v>4</v>
      </c>
      <c r="P1124" t="s">
        <v>168</v>
      </c>
      <c r="Q1124" t="s">
        <v>129</v>
      </c>
      <c r="R1124">
        <v>46</v>
      </c>
      <c r="S1124" t="s">
        <v>1390</v>
      </c>
      <c r="T1124">
        <v>19</v>
      </c>
      <c r="U1124">
        <v>24</v>
      </c>
      <c r="V1124">
        <v>2</v>
      </c>
      <c r="W1124">
        <v>0</v>
      </c>
      <c r="X1124">
        <v>2</v>
      </c>
      <c r="Y1124">
        <v>0</v>
      </c>
      <c r="Z1124">
        <v>21</v>
      </c>
      <c r="AA1124">
        <v>26</v>
      </c>
      <c r="AB1124">
        <v>50</v>
      </c>
      <c r="AC1124">
        <v>43</v>
      </c>
      <c r="AD1124">
        <v>4</v>
      </c>
      <c r="AE1124">
        <v>0</v>
      </c>
      <c r="AF1124">
        <v>47</v>
      </c>
      <c r="AG1124">
        <v>0</v>
      </c>
      <c r="AH1124">
        <v>7</v>
      </c>
      <c r="AI1124">
        <v>3</v>
      </c>
      <c r="AJ1124">
        <v>7</v>
      </c>
      <c r="AK1124">
        <v>7</v>
      </c>
      <c r="AL1124">
        <v>0</v>
      </c>
      <c r="AM1124">
        <v>0.18</v>
      </c>
      <c r="AN1124">
        <v>0.63636363636363635</v>
      </c>
      <c r="AO1124">
        <v>0</v>
      </c>
      <c r="AP1124" t="s">
        <v>130</v>
      </c>
      <c r="AQ1124" t="s">
        <v>131</v>
      </c>
      <c r="AR1124" t="s">
        <v>1184</v>
      </c>
      <c r="AS1124">
        <v>3906</v>
      </c>
      <c r="AT1124">
        <v>3657</v>
      </c>
      <c r="AU1124">
        <v>0</v>
      </c>
      <c r="AV1124">
        <v>0</v>
      </c>
      <c r="AW1124">
        <v>7.5629999999999997</v>
      </c>
      <c r="AX1124">
        <v>0.17588372093023255</v>
      </c>
      <c r="AY1124">
        <v>8.2665348837209294</v>
      </c>
      <c r="AZ1124" t="s">
        <v>135</v>
      </c>
      <c r="BA1124">
        <v>0.73346511627907063</v>
      </c>
      <c r="BB1124">
        <v>4.1701705672352292</v>
      </c>
      <c r="BC1124" t="s">
        <v>133</v>
      </c>
      <c r="BD1124">
        <v>0</v>
      </c>
      <c r="BE1124" t="s">
        <v>133</v>
      </c>
      <c r="BF112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7.5629999999999997</v>
      </c>
    </row>
    <row r="1125" spans="1:58" x14ac:dyDescent="0.25">
      <c r="A1125" t="s">
        <v>1400</v>
      </c>
      <c r="B1125" t="s">
        <v>19</v>
      </c>
      <c r="C1125">
        <v>2</v>
      </c>
      <c r="D1125">
        <v>509</v>
      </c>
      <c r="E1125" t="s">
        <v>2111</v>
      </c>
      <c r="F1125" t="s">
        <v>1389</v>
      </c>
      <c r="G1125" t="s">
        <v>124</v>
      </c>
      <c r="H1125" t="s">
        <v>125</v>
      </c>
      <c r="I1125" t="s">
        <v>126</v>
      </c>
      <c r="J1125" t="s">
        <v>126</v>
      </c>
      <c r="K1125" t="s">
        <v>127</v>
      </c>
      <c r="L1125">
        <v>50</v>
      </c>
      <c r="M1125">
        <v>1271291</v>
      </c>
      <c r="N1125">
        <v>9</v>
      </c>
      <c r="O1125">
        <v>4</v>
      </c>
      <c r="P1125" t="s">
        <v>168</v>
      </c>
      <c r="Q1125" t="s">
        <v>129</v>
      </c>
      <c r="R1125">
        <v>46</v>
      </c>
      <c r="S1125" t="s">
        <v>1390</v>
      </c>
      <c r="T1125">
        <v>19</v>
      </c>
      <c r="U1125">
        <v>24</v>
      </c>
      <c r="V1125">
        <v>2</v>
      </c>
      <c r="W1125">
        <v>0</v>
      </c>
      <c r="X1125">
        <v>2</v>
      </c>
      <c r="Y1125">
        <v>0</v>
      </c>
      <c r="Z1125">
        <v>19</v>
      </c>
      <c r="AA1125">
        <v>26</v>
      </c>
      <c r="AB1125">
        <v>50</v>
      </c>
      <c r="AC1125">
        <v>43</v>
      </c>
      <c r="AD1125">
        <v>4</v>
      </c>
      <c r="AE1125">
        <v>0</v>
      </c>
      <c r="AF1125">
        <v>47</v>
      </c>
      <c r="AG1125">
        <v>0</v>
      </c>
      <c r="AH1125">
        <v>7</v>
      </c>
      <c r="AI1125">
        <v>3</v>
      </c>
      <c r="AJ1125">
        <v>7</v>
      </c>
      <c r="AK1125">
        <v>7</v>
      </c>
      <c r="AL1125">
        <v>0</v>
      </c>
      <c r="AM1125">
        <v>0.18</v>
      </c>
      <c r="AN1125">
        <v>0.63636363636363635</v>
      </c>
      <c r="AO1125">
        <v>0</v>
      </c>
      <c r="AP1125" t="s">
        <v>130</v>
      </c>
      <c r="AQ1125" t="s">
        <v>131</v>
      </c>
      <c r="AR1125" t="s">
        <v>1184</v>
      </c>
      <c r="AS1125">
        <v>3887</v>
      </c>
      <c r="AT1125">
        <v>3793</v>
      </c>
      <c r="AU1125">
        <v>0</v>
      </c>
      <c r="AV1125">
        <v>0</v>
      </c>
      <c r="AW1125">
        <v>7.68</v>
      </c>
      <c r="AX1125">
        <v>0.1786046511627907</v>
      </c>
      <c r="AY1125">
        <v>8.3944186046511629</v>
      </c>
      <c r="AZ1125" t="s">
        <v>135</v>
      </c>
      <c r="BA1125">
        <v>0.60558139534883715</v>
      </c>
      <c r="BB1125">
        <v>3.3906249999999996</v>
      </c>
      <c r="BC1125" t="s">
        <v>133</v>
      </c>
      <c r="BD1125">
        <v>0</v>
      </c>
      <c r="BE1125" t="s">
        <v>133</v>
      </c>
      <c r="BF112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7.68</v>
      </c>
    </row>
    <row r="1126" spans="1:58" x14ac:dyDescent="0.25">
      <c r="A1126" t="s">
        <v>1401</v>
      </c>
      <c r="B1126" t="s">
        <v>19</v>
      </c>
      <c r="C1126">
        <v>2</v>
      </c>
      <c r="D1126">
        <v>510</v>
      </c>
      <c r="E1126" t="s">
        <v>2111</v>
      </c>
      <c r="F1126" t="s">
        <v>1389</v>
      </c>
      <c r="G1126" t="s">
        <v>124</v>
      </c>
      <c r="H1126" t="s">
        <v>125</v>
      </c>
      <c r="I1126" t="s">
        <v>126</v>
      </c>
      <c r="J1126" t="s">
        <v>126</v>
      </c>
      <c r="K1126" t="s">
        <v>127</v>
      </c>
      <c r="L1126">
        <v>50</v>
      </c>
      <c r="M1126">
        <v>1271393</v>
      </c>
      <c r="N1126">
        <v>9</v>
      </c>
      <c r="O1126">
        <v>4</v>
      </c>
      <c r="P1126" t="s">
        <v>168</v>
      </c>
      <c r="Q1126" t="s">
        <v>129</v>
      </c>
      <c r="R1126">
        <v>46</v>
      </c>
      <c r="S1126" t="s">
        <v>1390</v>
      </c>
      <c r="T1126">
        <v>20</v>
      </c>
      <c r="U1126">
        <v>25</v>
      </c>
      <c r="V1126">
        <v>1</v>
      </c>
      <c r="W1126">
        <v>0</v>
      </c>
      <c r="X1126">
        <v>1</v>
      </c>
      <c r="Y1126">
        <v>0</v>
      </c>
      <c r="Z1126">
        <v>21</v>
      </c>
      <c r="AA1126">
        <v>26</v>
      </c>
      <c r="AB1126">
        <v>50</v>
      </c>
      <c r="AC1126">
        <v>45</v>
      </c>
      <c r="AD1126">
        <v>2</v>
      </c>
      <c r="AE1126">
        <v>0</v>
      </c>
      <c r="AF1126">
        <v>47</v>
      </c>
      <c r="AG1126">
        <v>0</v>
      </c>
      <c r="AH1126">
        <v>5</v>
      </c>
      <c r="AI1126">
        <v>3</v>
      </c>
      <c r="AJ1126">
        <v>5</v>
      </c>
      <c r="AK1126">
        <v>5</v>
      </c>
      <c r="AL1126">
        <v>0</v>
      </c>
      <c r="AM1126">
        <v>0.18</v>
      </c>
      <c r="AN1126">
        <v>0.45454545454545459</v>
      </c>
      <c r="AO1126">
        <v>0</v>
      </c>
      <c r="AP1126" t="s">
        <v>130</v>
      </c>
      <c r="AQ1126" t="s">
        <v>131</v>
      </c>
      <c r="AR1126" t="s">
        <v>1184</v>
      </c>
      <c r="AS1126">
        <v>3927</v>
      </c>
      <c r="AT1126">
        <v>3814</v>
      </c>
      <c r="AU1126">
        <v>0</v>
      </c>
      <c r="AV1126">
        <v>0</v>
      </c>
      <c r="AW1126">
        <v>7.7409999999999997</v>
      </c>
      <c r="AX1126">
        <v>0.17202222222222222</v>
      </c>
      <c r="AY1126">
        <v>8.0850444444444438</v>
      </c>
      <c r="AZ1126" t="s">
        <v>135</v>
      </c>
      <c r="BA1126">
        <v>0.91495555555555619</v>
      </c>
      <c r="BB1126">
        <v>5.3188218576411357</v>
      </c>
      <c r="BC1126" t="s">
        <v>144</v>
      </c>
      <c r="BD1126">
        <v>0</v>
      </c>
      <c r="BE1126" t="s">
        <v>133</v>
      </c>
      <c r="BF112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7.7409999999999997</v>
      </c>
    </row>
    <row r="1127" spans="1:58" x14ac:dyDescent="0.25">
      <c r="A1127" t="s">
        <v>1402</v>
      </c>
      <c r="B1127" t="s">
        <v>19</v>
      </c>
      <c r="C1127">
        <v>2</v>
      </c>
      <c r="D1127">
        <v>511</v>
      </c>
      <c r="E1127" t="s">
        <v>2111</v>
      </c>
      <c r="F1127" t="s">
        <v>123</v>
      </c>
      <c r="G1127" t="s">
        <v>124</v>
      </c>
      <c r="H1127" t="s">
        <v>125</v>
      </c>
      <c r="I1127" t="s">
        <v>126</v>
      </c>
      <c r="J1127" t="s">
        <v>126</v>
      </c>
      <c r="K1127" t="s">
        <v>127</v>
      </c>
      <c r="L1127">
        <v>50</v>
      </c>
      <c r="M1127">
        <v>1271395</v>
      </c>
      <c r="N1127">
        <v>6</v>
      </c>
      <c r="O1127">
        <v>4</v>
      </c>
      <c r="P1127" t="s">
        <v>168</v>
      </c>
      <c r="Q1127" t="s">
        <v>129</v>
      </c>
      <c r="R1127">
        <v>47</v>
      </c>
      <c r="T1127">
        <v>32</v>
      </c>
      <c r="U1127">
        <v>37</v>
      </c>
      <c r="V1127">
        <v>4</v>
      </c>
      <c r="W1127">
        <v>0</v>
      </c>
      <c r="X1127">
        <v>4</v>
      </c>
      <c r="Y1127">
        <v>0</v>
      </c>
      <c r="Z1127">
        <v>36</v>
      </c>
      <c r="AA1127">
        <v>41</v>
      </c>
      <c r="AB1127">
        <v>50</v>
      </c>
      <c r="AC1127">
        <v>40</v>
      </c>
      <c r="AD1127">
        <v>4</v>
      </c>
      <c r="AE1127">
        <v>0</v>
      </c>
      <c r="AF1127">
        <v>44</v>
      </c>
      <c r="AG1127">
        <v>0</v>
      </c>
      <c r="AH1127">
        <v>10</v>
      </c>
      <c r="AI1127">
        <v>6</v>
      </c>
      <c r="AJ1127">
        <v>10</v>
      </c>
      <c r="AK1127">
        <v>10</v>
      </c>
      <c r="AL1127">
        <v>0</v>
      </c>
      <c r="AM1127">
        <v>0.12</v>
      </c>
      <c r="AN1127">
        <v>0.90909090909090917</v>
      </c>
      <c r="AO1127">
        <v>0</v>
      </c>
      <c r="AP1127" t="s">
        <v>130</v>
      </c>
      <c r="AQ1127" t="s">
        <v>131</v>
      </c>
      <c r="AR1127" t="s">
        <v>1184</v>
      </c>
      <c r="AS1127">
        <v>4363</v>
      </c>
      <c r="AT1127">
        <v>4367</v>
      </c>
      <c r="AU1127">
        <v>0</v>
      </c>
      <c r="AV1127">
        <v>0</v>
      </c>
      <c r="AW1127">
        <v>8.73</v>
      </c>
      <c r="AX1127">
        <v>0.21825</v>
      </c>
      <c r="AY1127">
        <v>9.6029999999999998</v>
      </c>
      <c r="AZ1127" t="s">
        <v>135</v>
      </c>
      <c r="BA1127">
        <v>-3.6029999999999998</v>
      </c>
      <c r="BB1127">
        <v>-16.508591065292094</v>
      </c>
      <c r="BC1127" t="s">
        <v>132</v>
      </c>
      <c r="BD1127">
        <v>0</v>
      </c>
      <c r="BE1127" t="s">
        <v>133</v>
      </c>
      <c r="BF112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8.73</v>
      </c>
    </row>
    <row r="1128" spans="1:58" x14ac:dyDescent="0.25">
      <c r="A1128" t="s">
        <v>1403</v>
      </c>
      <c r="B1128" t="s">
        <v>19</v>
      </c>
      <c r="C1128">
        <v>2</v>
      </c>
      <c r="D1128">
        <v>512</v>
      </c>
      <c r="E1128" t="s">
        <v>2111</v>
      </c>
      <c r="F1128" t="s">
        <v>123</v>
      </c>
      <c r="G1128" t="s">
        <v>124</v>
      </c>
      <c r="H1128" t="s">
        <v>125</v>
      </c>
      <c r="I1128" t="s">
        <v>126</v>
      </c>
      <c r="J1128" t="s">
        <v>126</v>
      </c>
      <c r="K1128" t="s">
        <v>127</v>
      </c>
      <c r="L1128">
        <v>50</v>
      </c>
      <c r="M1128">
        <v>1271397</v>
      </c>
      <c r="N1128">
        <v>6</v>
      </c>
      <c r="O1128">
        <v>4</v>
      </c>
      <c r="P1128" t="s">
        <v>168</v>
      </c>
      <c r="Q1128" t="s">
        <v>129</v>
      </c>
      <c r="R1128">
        <v>47</v>
      </c>
      <c r="T1128">
        <v>29</v>
      </c>
      <c r="U1128">
        <v>34</v>
      </c>
      <c r="V1128">
        <v>6</v>
      </c>
      <c r="W1128">
        <v>0</v>
      </c>
      <c r="X1128">
        <v>6</v>
      </c>
      <c r="Y1128">
        <v>2</v>
      </c>
      <c r="Z1128">
        <v>37</v>
      </c>
      <c r="AA1128">
        <v>42</v>
      </c>
      <c r="AB1128">
        <v>50</v>
      </c>
      <c r="AC1128">
        <v>35</v>
      </c>
      <c r="AD1128">
        <v>7</v>
      </c>
      <c r="AE1128">
        <v>2</v>
      </c>
      <c r="AF1128">
        <v>44</v>
      </c>
      <c r="AG1128">
        <v>0</v>
      </c>
      <c r="AH1128">
        <v>15</v>
      </c>
      <c r="AI1128">
        <v>6</v>
      </c>
      <c r="AJ1128">
        <v>13</v>
      </c>
      <c r="AK1128">
        <v>15</v>
      </c>
      <c r="AL1128">
        <v>0</v>
      </c>
      <c r="AM1128">
        <v>0.12</v>
      </c>
      <c r="AN1128">
        <v>1.1818181818181819</v>
      </c>
      <c r="AO1128">
        <v>0</v>
      </c>
      <c r="AP1128" t="s">
        <v>130</v>
      </c>
      <c r="AQ1128" t="s">
        <v>131</v>
      </c>
      <c r="AR1128" t="s">
        <v>1184</v>
      </c>
      <c r="AS1128">
        <v>3821</v>
      </c>
      <c r="AT1128">
        <v>3729</v>
      </c>
      <c r="AU1128">
        <v>0</v>
      </c>
      <c r="AV1128">
        <v>0</v>
      </c>
      <c r="AW1128">
        <v>7.55</v>
      </c>
      <c r="AX1128">
        <v>0.21571428571428572</v>
      </c>
      <c r="AY1128">
        <v>9.4914285714285711</v>
      </c>
      <c r="AZ1128" t="s">
        <v>135</v>
      </c>
      <c r="BA1128">
        <v>-3.4914285714285711</v>
      </c>
      <c r="BB1128">
        <v>-16.185430463576157</v>
      </c>
      <c r="BC1128" t="s">
        <v>133</v>
      </c>
      <c r="BD1128">
        <v>0</v>
      </c>
      <c r="BE1128" t="s">
        <v>133</v>
      </c>
      <c r="BF112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7.55</v>
      </c>
    </row>
    <row r="1129" spans="1:58" x14ac:dyDescent="0.25">
      <c r="A1129" t="s">
        <v>1404</v>
      </c>
      <c r="B1129" t="s">
        <v>19</v>
      </c>
      <c r="C1129">
        <v>2</v>
      </c>
      <c r="D1129">
        <v>513</v>
      </c>
      <c r="E1129" t="s">
        <v>2111</v>
      </c>
      <c r="F1129" t="s">
        <v>123</v>
      </c>
      <c r="G1129" t="s">
        <v>124</v>
      </c>
      <c r="H1129" t="s">
        <v>125</v>
      </c>
      <c r="I1129" t="s">
        <v>126</v>
      </c>
      <c r="J1129" t="s">
        <v>126</v>
      </c>
      <c r="K1129" t="s">
        <v>127</v>
      </c>
      <c r="L1129">
        <v>50</v>
      </c>
      <c r="M1129">
        <v>1271399</v>
      </c>
      <c r="N1129">
        <v>6</v>
      </c>
      <c r="O1129">
        <v>4</v>
      </c>
      <c r="P1129" t="s">
        <v>168</v>
      </c>
      <c r="Q1129" t="s">
        <v>129</v>
      </c>
      <c r="R1129">
        <v>47</v>
      </c>
      <c r="T1129">
        <v>33</v>
      </c>
      <c r="U1129">
        <v>38</v>
      </c>
      <c r="V1129">
        <v>4</v>
      </c>
      <c r="W1129">
        <v>0</v>
      </c>
      <c r="X1129">
        <v>4</v>
      </c>
      <c r="Y1129">
        <v>2</v>
      </c>
      <c r="Z1129">
        <v>39</v>
      </c>
      <c r="AA1129">
        <v>44</v>
      </c>
      <c r="AB1129">
        <v>50</v>
      </c>
      <c r="AC1129">
        <v>38</v>
      </c>
      <c r="AD1129">
        <v>7</v>
      </c>
      <c r="AE1129">
        <v>2</v>
      </c>
      <c r="AF1129">
        <v>47</v>
      </c>
      <c r="AG1129">
        <v>0</v>
      </c>
      <c r="AH1129">
        <v>12</v>
      </c>
      <c r="AI1129">
        <v>3</v>
      </c>
      <c r="AJ1129">
        <v>10</v>
      </c>
      <c r="AK1129">
        <v>12</v>
      </c>
      <c r="AL1129">
        <v>0</v>
      </c>
      <c r="AM1129">
        <v>0.12</v>
      </c>
      <c r="AN1129">
        <v>0.90909090909090917</v>
      </c>
      <c r="AO1129">
        <v>0</v>
      </c>
      <c r="AP1129" t="s">
        <v>130</v>
      </c>
      <c r="AQ1129" t="s">
        <v>131</v>
      </c>
      <c r="AR1129" t="s">
        <v>1184</v>
      </c>
      <c r="AS1129">
        <v>4014</v>
      </c>
      <c r="AT1129">
        <v>3951</v>
      </c>
      <c r="AU1129">
        <v>0</v>
      </c>
      <c r="AV1129">
        <v>0</v>
      </c>
      <c r="AW1129">
        <v>7.9649999999999999</v>
      </c>
      <c r="AX1129">
        <v>0.20960526315789474</v>
      </c>
      <c r="AY1129">
        <v>9.8514473684210522</v>
      </c>
      <c r="AZ1129" t="s">
        <v>135</v>
      </c>
      <c r="BA1129">
        <v>-3.8514473684210522</v>
      </c>
      <c r="BB1129">
        <v>-18.374764595103574</v>
      </c>
      <c r="BC1129" t="s">
        <v>133</v>
      </c>
      <c r="BD1129">
        <v>0</v>
      </c>
      <c r="BE1129" t="s">
        <v>133</v>
      </c>
      <c r="BF112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7.9649999999999999</v>
      </c>
    </row>
    <row r="1130" spans="1:58" x14ac:dyDescent="0.25">
      <c r="A1130" t="s">
        <v>1405</v>
      </c>
      <c r="B1130" t="s">
        <v>19</v>
      </c>
      <c r="C1130">
        <v>2</v>
      </c>
      <c r="D1130">
        <v>514</v>
      </c>
      <c r="E1130" t="s">
        <v>2111</v>
      </c>
      <c r="F1130" t="s">
        <v>123</v>
      </c>
      <c r="G1130" t="s">
        <v>124</v>
      </c>
      <c r="H1130" t="s">
        <v>125</v>
      </c>
      <c r="I1130" t="s">
        <v>126</v>
      </c>
      <c r="J1130" t="s">
        <v>126</v>
      </c>
      <c r="K1130" t="s">
        <v>127</v>
      </c>
      <c r="L1130">
        <v>50</v>
      </c>
      <c r="M1130">
        <v>1271401</v>
      </c>
      <c r="N1130">
        <v>6</v>
      </c>
      <c r="O1130">
        <v>4</v>
      </c>
      <c r="P1130" t="s">
        <v>168</v>
      </c>
      <c r="Q1130" t="s">
        <v>129</v>
      </c>
      <c r="R1130">
        <v>47</v>
      </c>
      <c r="T1130">
        <v>25</v>
      </c>
      <c r="U1130">
        <v>30</v>
      </c>
      <c r="V1130">
        <v>11</v>
      </c>
      <c r="W1130">
        <v>0</v>
      </c>
      <c r="X1130">
        <v>11</v>
      </c>
      <c r="Y1130">
        <v>1</v>
      </c>
      <c r="Z1130">
        <v>37</v>
      </c>
      <c r="AA1130">
        <v>42</v>
      </c>
      <c r="AB1130">
        <v>50</v>
      </c>
      <c r="AC1130">
        <v>31</v>
      </c>
      <c r="AD1130">
        <v>11</v>
      </c>
      <c r="AE1130">
        <v>1</v>
      </c>
      <c r="AF1130">
        <v>43</v>
      </c>
      <c r="AG1130">
        <v>0</v>
      </c>
      <c r="AH1130">
        <v>19</v>
      </c>
      <c r="AI1130">
        <v>7</v>
      </c>
      <c r="AJ1130">
        <v>18</v>
      </c>
      <c r="AK1130">
        <v>19</v>
      </c>
      <c r="AL1130">
        <v>0</v>
      </c>
      <c r="AM1130">
        <v>0.12</v>
      </c>
      <c r="AN1130">
        <v>1.6363636363636365</v>
      </c>
      <c r="AO1130">
        <v>0</v>
      </c>
      <c r="AP1130" t="s">
        <v>130</v>
      </c>
      <c r="AQ1130" t="s">
        <v>131</v>
      </c>
      <c r="AR1130" t="s">
        <v>1184</v>
      </c>
      <c r="AS1130">
        <v>4713</v>
      </c>
      <c r="AT1130">
        <v>4493</v>
      </c>
      <c r="AU1130">
        <v>0</v>
      </c>
      <c r="AV1130">
        <v>0</v>
      </c>
      <c r="AW1130">
        <v>9.2059999999999995</v>
      </c>
      <c r="AX1130">
        <v>0.29696774193548386</v>
      </c>
      <c r="AY1130">
        <v>12.769612903225806</v>
      </c>
      <c r="AZ1130" t="s">
        <v>135</v>
      </c>
      <c r="BA1130">
        <v>-6.7696129032258057</v>
      </c>
      <c r="BB1130">
        <v>-22.795785357375621</v>
      </c>
      <c r="BC1130" t="s">
        <v>133</v>
      </c>
      <c r="BD1130">
        <v>0</v>
      </c>
      <c r="BE1130" t="s">
        <v>133</v>
      </c>
      <c r="BF113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9.2059999999999995</v>
      </c>
    </row>
    <row r="1131" spans="1:58" x14ac:dyDescent="0.25">
      <c r="A1131" t="s">
        <v>1406</v>
      </c>
      <c r="B1131" t="s">
        <v>19</v>
      </c>
      <c r="C1131">
        <v>2</v>
      </c>
      <c r="D1131">
        <v>515</v>
      </c>
      <c r="E1131" t="s">
        <v>2111</v>
      </c>
      <c r="F1131" t="s">
        <v>123</v>
      </c>
      <c r="G1131" t="s">
        <v>124</v>
      </c>
      <c r="H1131" t="s">
        <v>125</v>
      </c>
      <c r="I1131" t="s">
        <v>126</v>
      </c>
      <c r="J1131" t="s">
        <v>126</v>
      </c>
      <c r="K1131" t="s">
        <v>127</v>
      </c>
      <c r="L1131">
        <v>50</v>
      </c>
      <c r="M1131">
        <v>1271403</v>
      </c>
      <c r="N1131">
        <v>6</v>
      </c>
      <c r="O1131">
        <v>4</v>
      </c>
      <c r="P1131" t="s">
        <v>168</v>
      </c>
      <c r="Q1131" t="s">
        <v>129</v>
      </c>
      <c r="R1131">
        <v>47</v>
      </c>
      <c r="T1131">
        <v>20</v>
      </c>
      <c r="U1131">
        <v>25</v>
      </c>
      <c r="V1131">
        <v>9</v>
      </c>
      <c r="W1131">
        <v>0</v>
      </c>
      <c r="X1131">
        <v>9</v>
      </c>
      <c r="Y1131">
        <v>1</v>
      </c>
      <c r="Z1131">
        <v>30</v>
      </c>
      <c r="AA1131">
        <v>35</v>
      </c>
      <c r="AB1131">
        <v>50</v>
      </c>
      <c r="AC1131">
        <v>25</v>
      </c>
      <c r="AD1131">
        <v>9</v>
      </c>
      <c r="AE1131">
        <v>2</v>
      </c>
      <c r="AF1131">
        <v>36</v>
      </c>
      <c r="AG1131">
        <v>0</v>
      </c>
      <c r="AH1131">
        <v>25</v>
      </c>
      <c r="AI1131">
        <v>14</v>
      </c>
      <c r="AJ1131">
        <v>23</v>
      </c>
      <c r="AK1131">
        <v>25</v>
      </c>
      <c r="AL1131">
        <v>0</v>
      </c>
      <c r="AM1131">
        <v>0.12</v>
      </c>
      <c r="AN1131">
        <v>2.0909090909090908</v>
      </c>
      <c r="AO1131">
        <v>0</v>
      </c>
      <c r="AP1131" t="s">
        <v>130</v>
      </c>
      <c r="AQ1131" t="s">
        <v>131</v>
      </c>
      <c r="AR1131" t="s">
        <v>1184</v>
      </c>
      <c r="AS1131">
        <v>3165</v>
      </c>
      <c r="AT1131">
        <v>3184</v>
      </c>
      <c r="AU1131">
        <v>0</v>
      </c>
      <c r="AV1131">
        <v>0</v>
      </c>
      <c r="AW1131">
        <v>6.3490000000000002</v>
      </c>
      <c r="AX1131">
        <v>0.25396000000000002</v>
      </c>
      <c r="AY1131">
        <v>9.1425600000000014</v>
      </c>
      <c r="AZ1131" t="s">
        <v>135</v>
      </c>
      <c r="BA1131">
        <v>-3.1425600000000014</v>
      </c>
      <c r="BB1131">
        <v>-12.374232162545287</v>
      </c>
      <c r="BC1131" t="s">
        <v>133</v>
      </c>
      <c r="BD1131">
        <v>0</v>
      </c>
      <c r="BE1131" t="s">
        <v>133</v>
      </c>
      <c r="BF113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6.3490000000000002</v>
      </c>
    </row>
    <row r="1132" spans="1:58" x14ac:dyDescent="0.25">
      <c r="A1132" t="s">
        <v>1407</v>
      </c>
      <c r="B1132" t="s">
        <v>19</v>
      </c>
      <c r="C1132">
        <v>2</v>
      </c>
      <c r="D1132">
        <v>516</v>
      </c>
      <c r="E1132" t="s">
        <v>2111</v>
      </c>
      <c r="F1132" t="s">
        <v>123</v>
      </c>
      <c r="G1132" t="s">
        <v>124</v>
      </c>
      <c r="H1132" t="s">
        <v>136</v>
      </c>
      <c r="I1132" t="s">
        <v>137</v>
      </c>
      <c r="J1132" t="s">
        <v>138</v>
      </c>
      <c r="K1132" t="s">
        <v>127</v>
      </c>
      <c r="L1132">
        <v>50</v>
      </c>
      <c r="M1132">
        <v>1271405</v>
      </c>
      <c r="N1132">
        <v>5</v>
      </c>
      <c r="O1132">
        <v>4</v>
      </c>
      <c r="P1132" t="s">
        <v>168</v>
      </c>
      <c r="Q1132" t="s">
        <v>129</v>
      </c>
      <c r="R1132">
        <v>47</v>
      </c>
      <c r="T1132">
        <v>0</v>
      </c>
      <c r="U1132">
        <v>4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4</v>
      </c>
      <c r="AB1132">
        <v>50</v>
      </c>
      <c r="AC1132">
        <v>4</v>
      </c>
      <c r="AD1132">
        <v>0</v>
      </c>
      <c r="AE1132">
        <v>0</v>
      </c>
      <c r="AF1132">
        <v>4</v>
      </c>
      <c r="AG1132">
        <v>0</v>
      </c>
      <c r="AH1132">
        <v>46</v>
      </c>
      <c r="AI1132">
        <v>46</v>
      </c>
      <c r="AJ1132">
        <v>46</v>
      </c>
      <c r="AK1132">
        <v>46</v>
      </c>
      <c r="AL1132">
        <v>0</v>
      </c>
      <c r="AM1132">
        <v>0.1</v>
      </c>
      <c r="AN1132">
        <v>4.1818181818181817</v>
      </c>
      <c r="AO1132">
        <v>0</v>
      </c>
      <c r="AP1132" t="s">
        <v>139</v>
      </c>
      <c r="AQ1132" t="s">
        <v>131</v>
      </c>
      <c r="AR1132" t="s">
        <v>1184</v>
      </c>
      <c r="AS1132">
        <v>0</v>
      </c>
      <c r="AT1132">
        <v>0</v>
      </c>
      <c r="AU1132">
        <v>0</v>
      </c>
      <c r="AV1132">
        <v>0</v>
      </c>
      <c r="AW1132">
        <v>0</v>
      </c>
      <c r="AX1132">
        <v>0</v>
      </c>
      <c r="AY1132">
        <v>0</v>
      </c>
      <c r="AZ1132" t="s">
        <v>134</v>
      </c>
      <c r="BA1132">
        <v>5</v>
      </c>
      <c r="BB1132">
        <v>0</v>
      </c>
      <c r="BC1132" t="s">
        <v>133</v>
      </c>
      <c r="BD1132">
        <v>0</v>
      </c>
      <c r="BE1132" t="s">
        <v>133</v>
      </c>
      <c r="BF113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33" spans="1:58" x14ac:dyDescent="0.25">
      <c r="A1133" t="s">
        <v>1408</v>
      </c>
      <c r="B1133" t="s">
        <v>19</v>
      </c>
      <c r="C1133">
        <v>2</v>
      </c>
      <c r="D1133">
        <v>517</v>
      </c>
      <c r="E1133" t="s">
        <v>2111</v>
      </c>
      <c r="F1133" t="s">
        <v>123</v>
      </c>
      <c r="G1133" t="s">
        <v>124</v>
      </c>
      <c r="H1133" t="s">
        <v>125</v>
      </c>
      <c r="I1133" t="s">
        <v>140</v>
      </c>
      <c r="J1133" t="s">
        <v>141</v>
      </c>
      <c r="K1133" t="s">
        <v>127</v>
      </c>
      <c r="L1133">
        <v>50</v>
      </c>
      <c r="M1133">
        <v>1271407</v>
      </c>
      <c r="N1133">
        <v>10</v>
      </c>
      <c r="O1133">
        <v>4</v>
      </c>
      <c r="P1133" t="s">
        <v>168</v>
      </c>
      <c r="Q1133" t="s">
        <v>129</v>
      </c>
      <c r="R1133">
        <v>47</v>
      </c>
      <c r="T1133">
        <v>42</v>
      </c>
      <c r="U1133">
        <v>47</v>
      </c>
      <c r="V1133">
        <v>0</v>
      </c>
      <c r="W1133">
        <v>0</v>
      </c>
      <c r="X1133">
        <v>0</v>
      </c>
      <c r="Y1133">
        <v>0</v>
      </c>
      <c r="Z1133">
        <v>42</v>
      </c>
      <c r="AA1133">
        <v>47</v>
      </c>
      <c r="AB1133">
        <v>50</v>
      </c>
      <c r="AC1133">
        <v>47</v>
      </c>
      <c r="AD1133">
        <v>0</v>
      </c>
      <c r="AE1133">
        <v>0</v>
      </c>
      <c r="AF1133">
        <v>47</v>
      </c>
      <c r="AG1133">
        <v>0</v>
      </c>
      <c r="AH1133">
        <v>3</v>
      </c>
      <c r="AI1133">
        <v>3</v>
      </c>
      <c r="AJ1133">
        <v>3</v>
      </c>
      <c r="AK1133">
        <v>3</v>
      </c>
      <c r="AL1133">
        <v>0</v>
      </c>
      <c r="AM1133">
        <v>0.2</v>
      </c>
      <c r="AN1133">
        <v>0.27272727272727271</v>
      </c>
      <c r="AO1133">
        <v>0</v>
      </c>
      <c r="AP1133" t="s">
        <v>142</v>
      </c>
      <c r="AQ1133" t="s">
        <v>131</v>
      </c>
      <c r="AR1133" t="s">
        <v>1184</v>
      </c>
      <c r="AS1133">
        <v>5522</v>
      </c>
      <c r="AT1133">
        <v>5591</v>
      </c>
      <c r="AU1133">
        <v>0</v>
      </c>
      <c r="AV1133">
        <v>0</v>
      </c>
      <c r="AW1133">
        <v>11.113</v>
      </c>
      <c r="AX1133">
        <v>0.23644680851063829</v>
      </c>
      <c r="AY1133">
        <v>11.113</v>
      </c>
      <c r="AZ1133" t="s">
        <v>135</v>
      </c>
      <c r="BA1133">
        <v>-1.1129999999999995</v>
      </c>
      <c r="BB1133">
        <v>-4.7071897777377831</v>
      </c>
      <c r="BC1133" t="s">
        <v>133</v>
      </c>
      <c r="BD1133">
        <v>0</v>
      </c>
      <c r="BE1133" t="s">
        <v>133</v>
      </c>
      <c r="BF113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11.113</v>
      </c>
    </row>
    <row r="1134" spans="1:58" x14ac:dyDescent="0.25">
      <c r="A1134" t="s">
        <v>1409</v>
      </c>
      <c r="B1134" t="s">
        <v>19</v>
      </c>
      <c r="C1134">
        <v>2</v>
      </c>
      <c r="D1134">
        <v>518</v>
      </c>
      <c r="E1134" t="s">
        <v>2111</v>
      </c>
      <c r="F1134" t="s">
        <v>123</v>
      </c>
      <c r="G1134" t="s">
        <v>124</v>
      </c>
      <c r="H1134" t="s">
        <v>125</v>
      </c>
      <c r="I1134" t="s">
        <v>140</v>
      </c>
      <c r="J1134" t="s">
        <v>141</v>
      </c>
      <c r="K1134" t="s">
        <v>127</v>
      </c>
      <c r="L1134">
        <v>50</v>
      </c>
      <c r="M1134">
        <v>1271409</v>
      </c>
      <c r="N1134">
        <v>10</v>
      </c>
      <c r="O1134">
        <v>4</v>
      </c>
      <c r="P1134" t="s">
        <v>168</v>
      </c>
      <c r="Q1134" t="s">
        <v>129</v>
      </c>
      <c r="R1134">
        <v>47</v>
      </c>
      <c r="T1134">
        <v>28</v>
      </c>
      <c r="U1134">
        <v>33</v>
      </c>
      <c r="V1134">
        <v>2</v>
      </c>
      <c r="W1134">
        <v>0</v>
      </c>
      <c r="X1134">
        <v>2</v>
      </c>
      <c r="Y1134">
        <v>0</v>
      </c>
      <c r="Z1134">
        <v>30</v>
      </c>
      <c r="AA1134">
        <v>35</v>
      </c>
      <c r="AB1134">
        <v>50</v>
      </c>
      <c r="AC1134">
        <v>36</v>
      </c>
      <c r="AD1134">
        <v>3</v>
      </c>
      <c r="AE1134">
        <v>0</v>
      </c>
      <c r="AF1134">
        <v>39</v>
      </c>
      <c r="AG1134">
        <v>0</v>
      </c>
      <c r="AH1134">
        <v>14</v>
      </c>
      <c r="AI1134">
        <v>11</v>
      </c>
      <c r="AJ1134">
        <v>14</v>
      </c>
      <c r="AK1134">
        <v>14</v>
      </c>
      <c r="AL1134">
        <v>0</v>
      </c>
      <c r="AM1134">
        <v>0.2</v>
      </c>
      <c r="AN1134">
        <v>1.2727272727272727</v>
      </c>
      <c r="AO1134">
        <v>0</v>
      </c>
      <c r="AP1134" t="s">
        <v>142</v>
      </c>
      <c r="AQ1134" t="s">
        <v>131</v>
      </c>
      <c r="AR1134" t="s">
        <v>1184</v>
      </c>
      <c r="AS1134">
        <v>3472</v>
      </c>
      <c r="AT1134">
        <v>3406</v>
      </c>
      <c r="AU1134">
        <v>0</v>
      </c>
      <c r="AV1134">
        <v>0</v>
      </c>
      <c r="AW1134">
        <v>6.8780000000000001</v>
      </c>
      <c r="AX1134">
        <v>0.19105555555555556</v>
      </c>
      <c r="AY1134">
        <v>7.4511666666666665</v>
      </c>
      <c r="AZ1134" t="s">
        <v>135</v>
      </c>
      <c r="BA1134">
        <v>2.5488333333333335</v>
      </c>
      <c r="BB1134">
        <v>13.340796743239315</v>
      </c>
      <c r="BC1134" t="s">
        <v>133</v>
      </c>
      <c r="BD1134">
        <v>0</v>
      </c>
      <c r="BE1134" t="s">
        <v>133</v>
      </c>
      <c r="BF113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6.8780000000000001</v>
      </c>
    </row>
    <row r="1135" spans="1:58" x14ac:dyDescent="0.25">
      <c r="A1135" t="s">
        <v>1410</v>
      </c>
      <c r="B1135" t="s">
        <v>19</v>
      </c>
      <c r="C1135">
        <v>2</v>
      </c>
      <c r="D1135">
        <v>519</v>
      </c>
      <c r="E1135" t="s">
        <v>2111</v>
      </c>
      <c r="F1135" t="s">
        <v>123</v>
      </c>
      <c r="G1135" t="s">
        <v>124</v>
      </c>
      <c r="H1135" t="s">
        <v>125</v>
      </c>
      <c r="I1135" t="s">
        <v>126</v>
      </c>
      <c r="J1135" t="s">
        <v>126</v>
      </c>
      <c r="K1135" t="s">
        <v>127</v>
      </c>
      <c r="L1135">
        <v>50</v>
      </c>
      <c r="M1135">
        <v>1271411</v>
      </c>
      <c r="N1135">
        <v>6</v>
      </c>
      <c r="O1135">
        <v>4</v>
      </c>
      <c r="P1135" t="s">
        <v>168</v>
      </c>
      <c r="Q1135" t="s">
        <v>129</v>
      </c>
      <c r="R1135">
        <v>47</v>
      </c>
      <c r="T1135">
        <v>14</v>
      </c>
      <c r="U1135">
        <v>19</v>
      </c>
      <c r="V1135">
        <v>10</v>
      </c>
      <c r="W1135">
        <v>0</v>
      </c>
      <c r="X1135">
        <v>10</v>
      </c>
      <c r="Y1135">
        <v>2</v>
      </c>
      <c r="Z1135">
        <v>26</v>
      </c>
      <c r="AA1135">
        <v>31</v>
      </c>
      <c r="AB1135">
        <v>50</v>
      </c>
      <c r="AC1135">
        <v>22</v>
      </c>
      <c r="AD1135">
        <v>14</v>
      </c>
      <c r="AE1135">
        <v>4</v>
      </c>
      <c r="AF1135">
        <v>40</v>
      </c>
      <c r="AG1135">
        <v>0</v>
      </c>
      <c r="AH1135">
        <v>28</v>
      </c>
      <c r="AI1135">
        <v>10</v>
      </c>
      <c r="AJ1135">
        <v>24</v>
      </c>
      <c r="AK1135">
        <v>28</v>
      </c>
      <c r="AL1135">
        <v>0</v>
      </c>
      <c r="AM1135">
        <v>0.12</v>
      </c>
      <c r="AN1135">
        <v>2.1818181818181817</v>
      </c>
      <c r="AO1135">
        <v>0</v>
      </c>
      <c r="AP1135" t="s">
        <v>130</v>
      </c>
      <c r="AQ1135" t="s">
        <v>131</v>
      </c>
      <c r="AR1135" t="s">
        <v>1184</v>
      </c>
      <c r="AS1135">
        <v>2661</v>
      </c>
      <c r="AT1135">
        <v>2637</v>
      </c>
      <c r="AU1135">
        <v>0</v>
      </c>
      <c r="AV1135">
        <v>0</v>
      </c>
      <c r="AW1135">
        <v>5.298</v>
      </c>
      <c r="AX1135">
        <v>0.24081818181818182</v>
      </c>
      <c r="AY1135">
        <v>9.6327272727272728</v>
      </c>
      <c r="AZ1135" t="s">
        <v>135</v>
      </c>
      <c r="BA1135">
        <v>-3.6327272727272728</v>
      </c>
      <c r="BB1135">
        <v>-15.084937712344281</v>
      </c>
      <c r="BC1135" t="s">
        <v>133</v>
      </c>
      <c r="BD1135">
        <v>0</v>
      </c>
      <c r="BE1135" t="s">
        <v>133</v>
      </c>
      <c r="BF113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5.298</v>
      </c>
    </row>
    <row r="1136" spans="1:58" x14ac:dyDescent="0.25">
      <c r="A1136" t="s">
        <v>1411</v>
      </c>
      <c r="B1136" t="s">
        <v>19</v>
      </c>
      <c r="C1136">
        <v>2</v>
      </c>
      <c r="D1136">
        <v>520</v>
      </c>
      <c r="E1136" t="s">
        <v>2111</v>
      </c>
      <c r="F1136" t="s">
        <v>123</v>
      </c>
      <c r="G1136" t="s">
        <v>124</v>
      </c>
      <c r="H1136" t="s">
        <v>125</v>
      </c>
      <c r="I1136" t="s">
        <v>126</v>
      </c>
      <c r="J1136" t="s">
        <v>126</v>
      </c>
      <c r="K1136" t="s">
        <v>127</v>
      </c>
      <c r="L1136">
        <v>50</v>
      </c>
      <c r="M1136">
        <v>1271413</v>
      </c>
      <c r="N1136">
        <v>6</v>
      </c>
      <c r="O1136">
        <v>4</v>
      </c>
      <c r="P1136" t="s">
        <v>168</v>
      </c>
      <c r="Q1136" t="s">
        <v>129</v>
      </c>
      <c r="R1136">
        <v>47</v>
      </c>
      <c r="T1136">
        <v>19</v>
      </c>
      <c r="U1136">
        <v>24</v>
      </c>
      <c r="V1136">
        <v>6</v>
      </c>
      <c r="W1136">
        <v>0</v>
      </c>
      <c r="X1136">
        <v>6</v>
      </c>
      <c r="Y1136">
        <v>0</v>
      </c>
      <c r="Z1136">
        <v>25</v>
      </c>
      <c r="AA1136">
        <v>30</v>
      </c>
      <c r="AB1136">
        <v>50</v>
      </c>
      <c r="AC1136">
        <v>26</v>
      </c>
      <c r="AD1136">
        <v>6</v>
      </c>
      <c r="AE1136">
        <v>0</v>
      </c>
      <c r="AF1136">
        <v>32</v>
      </c>
      <c r="AG1136">
        <v>0</v>
      </c>
      <c r="AH1136">
        <v>24</v>
      </c>
      <c r="AI1136">
        <v>18</v>
      </c>
      <c r="AJ1136">
        <v>24</v>
      </c>
      <c r="AK1136">
        <v>24</v>
      </c>
      <c r="AL1136">
        <v>0</v>
      </c>
      <c r="AM1136">
        <v>0.12</v>
      </c>
      <c r="AN1136">
        <v>2.1818181818181817</v>
      </c>
      <c r="AO1136">
        <v>0</v>
      </c>
      <c r="AP1136" t="s">
        <v>130</v>
      </c>
      <c r="AQ1136" t="s">
        <v>131</v>
      </c>
      <c r="AR1136" t="s">
        <v>1184</v>
      </c>
      <c r="AS1136">
        <v>2399</v>
      </c>
      <c r="AT1136">
        <v>2317</v>
      </c>
      <c r="AU1136">
        <v>0</v>
      </c>
      <c r="AV1136">
        <v>0</v>
      </c>
      <c r="AW1136">
        <v>4.7160000000000002</v>
      </c>
      <c r="AX1136">
        <v>0.18138461538461539</v>
      </c>
      <c r="AY1136">
        <v>5.8043076923076926</v>
      </c>
      <c r="AZ1136" t="s">
        <v>135</v>
      </c>
      <c r="BA1136">
        <v>0.19569230769230739</v>
      </c>
      <c r="BB1136">
        <v>1.0788804071246803</v>
      </c>
      <c r="BC1136" t="s">
        <v>133</v>
      </c>
      <c r="BD1136">
        <v>0</v>
      </c>
      <c r="BE1136" t="s">
        <v>133</v>
      </c>
      <c r="BF113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4.7160000000000002</v>
      </c>
    </row>
    <row r="1137" spans="1:58" x14ac:dyDescent="0.25">
      <c r="A1137" t="s">
        <v>1412</v>
      </c>
      <c r="B1137" t="s">
        <v>19</v>
      </c>
      <c r="C1137">
        <v>2</v>
      </c>
      <c r="D1137">
        <v>521</v>
      </c>
      <c r="E1137" t="s">
        <v>2111</v>
      </c>
      <c r="F1137" t="s">
        <v>123</v>
      </c>
      <c r="G1137" t="s">
        <v>124</v>
      </c>
      <c r="H1137" t="s">
        <v>125</v>
      </c>
      <c r="I1137" t="s">
        <v>126</v>
      </c>
      <c r="J1137" t="s">
        <v>126</v>
      </c>
      <c r="K1137" t="s">
        <v>127</v>
      </c>
      <c r="L1137">
        <v>50</v>
      </c>
      <c r="M1137">
        <v>1271415</v>
      </c>
      <c r="N1137">
        <v>6</v>
      </c>
      <c r="O1137">
        <v>4</v>
      </c>
      <c r="P1137" t="s">
        <v>168</v>
      </c>
      <c r="Q1137" t="s">
        <v>129</v>
      </c>
      <c r="R1137">
        <v>47</v>
      </c>
      <c r="T1137">
        <v>24</v>
      </c>
      <c r="U1137">
        <v>29</v>
      </c>
      <c r="V1137">
        <v>4</v>
      </c>
      <c r="W1137">
        <v>0</v>
      </c>
      <c r="X1137">
        <v>4</v>
      </c>
      <c r="Y1137">
        <v>0</v>
      </c>
      <c r="Z1137">
        <v>28</v>
      </c>
      <c r="AA1137">
        <v>33</v>
      </c>
      <c r="AB1137">
        <v>50</v>
      </c>
      <c r="AC1137">
        <v>32</v>
      </c>
      <c r="AD1137">
        <v>5</v>
      </c>
      <c r="AE1137">
        <v>0</v>
      </c>
      <c r="AF1137">
        <v>37</v>
      </c>
      <c r="AG1137">
        <v>0</v>
      </c>
      <c r="AH1137">
        <v>18</v>
      </c>
      <c r="AI1137">
        <v>13</v>
      </c>
      <c r="AJ1137">
        <v>18</v>
      </c>
      <c r="AK1137">
        <v>18</v>
      </c>
      <c r="AL1137">
        <v>0</v>
      </c>
      <c r="AM1137">
        <v>0.12</v>
      </c>
      <c r="AN1137">
        <v>1.6363636363636365</v>
      </c>
      <c r="AO1137">
        <v>0</v>
      </c>
      <c r="AP1137" t="s">
        <v>130</v>
      </c>
      <c r="AQ1137" t="s">
        <v>131</v>
      </c>
      <c r="AR1137" t="s">
        <v>1184</v>
      </c>
      <c r="AS1137">
        <v>3281</v>
      </c>
      <c r="AT1137">
        <v>3195</v>
      </c>
      <c r="AU1137">
        <v>0</v>
      </c>
      <c r="AV1137">
        <v>0</v>
      </c>
      <c r="AW1137">
        <v>6.476</v>
      </c>
      <c r="AX1137">
        <v>0.202375</v>
      </c>
      <c r="AY1137">
        <v>7.4878749999999998</v>
      </c>
      <c r="AZ1137" t="s">
        <v>135</v>
      </c>
      <c r="BA1137">
        <v>-1.4878749999999998</v>
      </c>
      <c r="BB1137">
        <v>-7.352069178505249</v>
      </c>
      <c r="BC1137" t="s">
        <v>144</v>
      </c>
      <c r="BD1137">
        <v>0</v>
      </c>
      <c r="BE1137" t="s">
        <v>133</v>
      </c>
      <c r="BF113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6.476</v>
      </c>
    </row>
    <row r="1138" spans="1:58" x14ac:dyDescent="0.25">
      <c r="A1138" t="s">
        <v>1413</v>
      </c>
      <c r="B1138" t="s">
        <v>19</v>
      </c>
      <c r="C1138">
        <v>2</v>
      </c>
      <c r="D1138">
        <v>522</v>
      </c>
      <c r="E1138" t="s">
        <v>2111</v>
      </c>
      <c r="F1138" t="s">
        <v>123</v>
      </c>
      <c r="G1138" t="s">
        <v>124</v>
      </c>
      <c r="H1138" t="s">
        <v>125</v>
      </c>
      <c r="I1138" t="s">
        <v>126</v>
      </c>
      <c r="J1138" t="s">
        <v>126</v>
      </c>
      <c r="K1138" t="s">
        <v>127</v>
      </c>
      <c r="L1138">
        <v>50</v>
      </c>
      <c r="M1138">
        <v>1271417</v>
      </c>
      <c r="N1138">
        <v>6</v>
      </c>
      <c r="O1138">
        <v>4</v>
      </c>
      <c r="P1138" t="s">
        <v>168</v>
      </c>
      <c r="Q1138" t="s">
        <v>129</v>
      </c>
      <c r="R1138">
        <v>48</v>
      </c>
      <c r="T1138">
        <v>12</v>
      </c>
      <c r="U1138">
        <v>17</v>
      </c>
      <c r="V1138">
        <v>3</v>
      </c>
      <c r="W1138">
        <v>0</v>
      </c>
      <c r="X1138">
        <v>3</v>
      </c>
      <c r="Y1138">
        <v>1</v>
      </c>
      <c r="Z1138">
        <v>16</v>
      </c>
      <c r="AA1138">
        <v>21</v>
      </c>
      <c r="AB1138">
        <v>50</v>
      </c>
      <c r="AC1138">
        <v>26</v>
      </c>
      <c r="AD1138">
        <v>4</v>
      </c>
      <c r="AE1138">
        <v>2</v>
      </c>
      <c r="AF1138">
        <v>32</v>
      </c>
      <c r="AG1138">
        <v>0</v>
      </c>
      <c r="AH1138">
        <v>24</v>
      </c>
      <c r="AI1138">
        <v>18</v>
      </c>
      <c r="AJ1138">
        <v>22</v>
      </c>
      <c r="AK1138">
        <v>24</v>
      </c>
      <c r="AL1138">
        <v>0</v>
      </c>
      <c r="AM1138">
        <v>0.12</v>
      </c>
      <c r="AN1138">
        <v>2</v>
      </c>
      <c r="AO1138">
        <v>0</v>
      </c>
      <c r="AP1138" t="s">
        <v>130</v>
      </c>
      <c r="AQ1138" t="s">
        <v>131</v>
      </c>
      <c r="AR1138" t="s">
        <v>1184</v>
      </c>
      <c r="AS1138">
        <v>1985</v>
      </c>
      <c r="AT1138">
        <v>1969</v>
      </c>
      <c r="AU1138">
        <v>0</v>
      </c>
      <c r="AV1138">
        <v>0</v>
      </c>
      <c r="AW1138">
        <v>3.9540000000000002</v>
      </c>
      <c r="AX1138">
        <v>0.15207692307692308</v>
      </c>
      <c r="AY1138">
        <v>4.8664615384615386</v>
      </c>
      <c r="AZ1138" t="s">
        <v>135</v>
      </c>
      <c r="BA1138">
        <v>1.1335384615384614</v>
      </c>
      <c r="BB1138">
        <v>7.4537177541729882</v>
      </c>
      <c r="BC1138" t="s">
        <v>132</v>
      </c>
      <c r="BD1138">
        <v>0</v>
      </c>
      <c r="BE1138" t="s">
        <v>133</v>
      </c>
      <c r="BF113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3.9540000000000002</v>
      </c>
    </row>
    <row r="1139" spans="1:58" x14ac:dyDescent="0.25">
      <c r="A1139" t="s">
        <v>1414</v>
      </c>
      <c r="B1139" t="s">
        <v>19</v>
      </c>
      <c r="C1139">
        <v>2</v>
      </c>
      <c r="D1139">
        <v>523</v>
      </c>
      <c r="E1139" t="s">
        <v>2111</v>
      </c>
      <c r="F1139" t="s">
        <v>123</v>
      </c>
      <c r="G1139" t="s">
        <v>124</v>
      </c>
      <c r="H1139" t="s">
        <v>125</v>
      </c>
      <c r="I1139" t="s">
        <v>126</v>
      </c>
      <c r="J1139" t="s">
        <v>126</v>
      </c>
      <c r="K1139" t="s">
        <v>127</v>
      </c>
      <c r="L1139">
        <v>50</v>
      </c>
      <c r="M1139">
        <v>1271419</v>
      </c>
      <c r="N1139">
        <v>6</v>
      </c>
      <c r="O1139">
        <v>4</v>
      </c>
      <c r="P1139" t="s">
        <v>168</v>
      </c>
      <c r="Q1139" t="s">
        <v>129</v>
      </c>
      <c r="R1139">
        <v>48</v>
      </c>
      <c r="T1139">
        <v>8</v>
      </c>
      <c r="U1139">
        <v>13</v>
      </c>
      <c r="V1139">
        <v>7</v>
      </c>
      <c r="W1139">
        <v>0</v>
      </c>
      <c r="X1139">
        <v>7</v>
      </c>
      <c r="Y1139">
        <v>0</v>
      </c>
      <c r="Z1139">
        <v>15</v>
      </c>
      <c r="AA1139">
        <v>20</v>
      </c>
      <c r="AB1139">
        <v>50</v>
      </c>
      <c r="AC1139">
        <v>20</v>
      </c>
      <c r="AD1139">
        <v>11</v>
      </c>
      <c r="AE1139">
        <v>0</v>
      </c>
      <c r="AF1139">
        <v>31</v>
      </c>
      <c r="AG1139">
        <v>0</v>
      </c>
      <c r="AH1139">
        <v>30</v>
      </c>
      <c r="AI1139">
        <v>19</v>
      </c>
      <c r="AJ1139">
        <v>30</v>
      </c>
      <c r="AK1139">
        <v>30</v>
      </c>
      <c r="AL1139">
        <v>0</v>
      </c>
      <c r="AM1139">
        <v>0.12</v>
      </c>
      <c r="AN1139">
        <v>2.7272727272727275</v>
      </c>
      <c r="AO1139">
        <v>0</v>
      </c>
      <c r="AP1139" t="s">
        <v>130</v>
      </c>
      <c r="AQ1139" t="s">
        <v>131</v>
      </c>
      <c r="AR1139" t="s">
        <v>1184</v>
      </c>
      <c r="AS1139">
        <v>1891</v>
      </c>
      <c r="AT1139">
        <v>1777</v>
      </c>
      <c r="AU1139">
        <v>0</v>
      </c>
      <c r="AV1139">
        <v>0</v>
      </c>
      <c r="AW1139">
        <v>3.6680000000000001</v>
      </c>
      <c r="AX1139">
        <v>0.18340000000000001</v>
      </c>
      <c r="AY1139">
        <v>5.6854000000000005</v>
      </c>
      <c r="AZ1139" t="s">
        <v>135</v>
      </c>
      <c r="BA1139">
        <v>0.31459999999999955</v>
      </c>
      <c r="BB1139">
        <v>1.715376226826606</v>
      </c>
      <c r="BC1139" t="s">
        <v>133</v>
      </c>
      <c r="BD1139">
        <v>0</v>
      </c>
      <c r="BE1139" t="s">
        <v>133</v>
      </c>
      <c r="BF113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3.6680000000000001</v>
      </c>
    </row>
    <row r="1140" spans="1:58" x14ac:dyDescent="0.25">
      <c r="A1140" t="s">
        <v>1415</v>
      </c>
      <c r="B1140" t="s">
        <v>19</v>
      </c>
      <c r="C1140">
        <v>2</v>
      </c>
      <c r="D1140">
        <v>524</v>
      </c>
      <c r="E1140" t="s">
        <v>2111</v>
      </c>
      <c r="F1140" t="s">
        <v>123</v>
      </c>
      <c r="G1140" t="s">
        <v>124</v>
      </c>
      <c r="H1140" t="s">
        <v>125</v>
      </c>
      <c r="I1140" t="s">
        <v>126</v>
      </c>
      <c r="J1140" t="s">
        <v>126</v>
      </c>
      <c r="K1140" t="s">
        <v>127</v>
      </c>
      <c r="L1140">
        <v>50</v>
      </c>
      <c r="M1140">
        <v>1271421</v>
      </c>
      <c r="N1140">
        <v>6</v>
      </c>
      <c r="O1140">
        <v>4</v>
      </c>
      <c r="P1140" t="s">
        <v>168</v>
      </c>
      <c r="Q1140" t="s">
        <v>129</v>
      </c>
      <c r="R1140">
        <v>48</v>
      </c>
      <c r="T1140">
        <v>13</v>
      </c>
      <c r="U1140">
        <v>18</v>
      </c>
      <c r="V1140">
        <v>2</v>
      </c>
      <c r="W1140">
        <v>0</v>
      </c>
      <c r="X1140">
        <v>2</v>
      </c>
      <c r="Y1140">
        <v>1</v>
      </c>
      <c r="Z1140">
        <v>16</v>
      </c>
      <c r="AA1140">
        <v>21</v>
      </c>
      <c r="AB1140">
        <v>50</v>
      </c>
      <c r="AC1140">
        <v>26</v>
      </c>
      <c r="AD1140">
        <v>2</v>
      </c>
      <c r="AE1140">
        <v>2</v>
      </c>
      <c r="AF1140">
        <v>30</v>
      </c>
      <c r="AG1140">
        <v>0</v>
      </c>
      <c r="AH1140">
        <v>24</v>
      </c>
      <c r="AI1140">
        <v>20</v>
      </c>
      <c r="AJ1140">
        <v>22</v>
      </c>
      <c r="AK1140">
        <v>24</v>
      </c>
      <c r="AL1140">
        <v>0</v>
      </c>
      <c r="AM1140">
        <v>0.12</v>
      </c>
      <c r="AN1140">
        <v>2</v>
      </c>
      <c r="AO1140">
        <v>0</v>
      </c>
      <c r="AP1140" t="s">
        <v>130</v>
      </c>
      <c r="AQ1140" t="s">
        <v>131</v>
      </c>
      <c r="AR1140" t="s">
        <v>1184</v>
      </c>
      <c r="AS1140">
        <v>2229</v>
      </c>
      <c r="AT1140">
        <v>2131</v>
      </c>
      <c r="AU1140">
        <v>0</v>
      </c>
      <c r="AV1140">
        <v>0</v>
      </c>
      <c r="AW1140">
        <v>4.3600000000000003</v>
      </c>
      <c r="AX1140">
        <v>0.1676923076923077</v>
      </c>
      <c r="AY1140">
        <v>5.0307692307692307</v>
      </c>
      <c r="AZ1140" t="s">
        <v>135</v>
      </c>
      <c r="BA1140">
        <v>0.96923076923076934</v>
      </c>
      <c r="BB1140">
        <v>5.7798165137614683</v>
      </c>
      <c r="BC1140" t="s">
        <v>133</v>
      </c>
      <c r="BD1140">
        <v>0</v>
      </c>
      <c r="BE1140" t="s">
        <v>133</v>
      </c>
      <c r="BF114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4.3600000000000003</v>
      </c>
    </row>
    <row r="1141" spans="1:58" x14ac:dyDescent="0.25">
      <c r="A1141" t="s">
        <v>1416</v>
      </c>
      <c r="B1141" t="s">
        <v>19</v>
      </c>
      <c r="C1141">
        <v>2</v>
      </c>
      <c r="D1141">
        <v>525</v>
      </c>
      <c r="E1141" t="s">
        <v>2111</v>
      </c>
      <c r="F1141" t="s">
        <v>123</v>
      </c>
      <c r="G1141" t="s">
        <v>124</v>
      </c>
      <c r="H1141" t="s">
        <v>125</v>
      </c>
      <c r="I1141" t="s">
        <v>126</v>
      </c>
      <c r="J1141" t="s">
        <v>126</v>
      </c>
      <c r="K1141" t="s">
        <v>127</v>
      </c>
      <c r="L1141">
        <v>50</v>
      </c>
      <c r="M1141">
        <v>1271423</v>
      </c>
      <c r="N1141">
        <v>6</v>
      </c>
      <c r="O1141">
        <v>4</v>
      </c>
      <c r="P1141" t="s">
        <v>168</v>
      </c>
      <c r="Q1141" t="s">
        <v>129</v>
      </c>
      <c r="R1141">
        <v>48</v>
      </c>
      <c r="T1141">
        <v>13</v>
      </c>
      <c r="U1141">
        <v>18</v>
      </c>
      <c r="V1141">
        <v>0</v>
      </c>
      <c r="W1141">
        <v>0</v>
      </c>
      <c r="X1141">
        <v>0</v>
      </c>
      <c r="Y1141">
        <v>2</v>
      </c>
      <c r="Z1141">
        <v>15</v>
      </c>
      <c r="AA1141">
        <v>20</v>
      </c>
      <c r="AB1141">
        <v>50</v>
      </c>
      <c r="AC1141">
        <v>27</v>
      </c>
      <c r="AD1141">
        <v>0</v>
      </c>
      <c r="AE1141">
        <v>4</v>
      </c>
      <c r="AF1141">
        <v>31</v>
      </c>
      <c r="AG1141">
        <v>0</v>
      </c>
      <c r="AH1141">
        <v>23</v>
      </c>
      <c r="AI1141">
        <v>19</v>
      </c>
      <c r="AJ1141">
        <v>19</v>
      </c>
      <c r="AK1141">
        <v>23</v>
      </c>
      <c r="AL1141">
        <v>0</v>
      </c>
      <c r="AM1141">
        <v>0.12</v>
      </c>
      <c r="AN1141">
        <v>1.7272727272727273</v>
      </c>
      <c r="AO1141">
        <v>0</v>
      </c>
      <c r="AP1141" t="s">
        <v>130</v>
      </c>
      <c r="AQ1141" t="s">
        <v>131</v>
      </c>
      <c r="AR1141" t="s">
        <v>1184</v>
      </c>
      <c r="AS1141">
        <v>2015</v>
      </c>
      <c r="AT1141">
        <v>1968</v>
      </c>
      <c r="AU1141">
        <v>0</v>
      </c>
      <c r="AV1141">
        <v>0</v>
      </c>
      <c r="AW1141">
        <v>3.9830000000000001</v>
      </c>
      <c r="AX1141">
        <v>0.14751851851851852</v>
      </c>
      <c r="AY1141">
        <v>4.5730740740740741</v>
      </c>
      <c r="AZ1141" t="s">
        <v>135</v>
      </c>
      <c r="BA1141">
        <v>1.4269259259259259</v>
      </c>
      <c r="BB1141">
        <v>9.6728596535274924</v>
      </c>
      <c r="BC1141" t="s">
        <v>133</v>
      </c>
      <c r="BD1141">
        <v>0</v>
      </c>
      <c r="BE1141" t="s">
        <v>133</v>
      </c>
      <c r="BF114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3.9830000000000001</v>
      </c>
    </row>
    <row r="1142" spans="1:58" x14ac:dyDescent="0.25">
      <c r="A1142" t="s">
        <v>1417</v>
      </c>
      <c r="B1142" t="s">
        <v>19</v>
      </c>
      <c r="C1142">
        <v>2</v>
      </c>
      <c r="D1142">
        <v>526</v>
      </c>
      <c r="E1142" t="s">
        <v>2111</v>
      </c>
      <c r="F1142" t="s">
        <v>123</v>
      </c>
      <c r="G1142" t="s">
        <v>124</v>
      </c>
      <c r="H1142" t="s">
        <v>125</v>
      </c>
      <c r="I1142" t="s">
        <v>126</v>
      </c>
      <c r="J1142" t="s">
        <v>126</v>
      </c>
      <c r="K1142" t="s">
        <v>127</v>
      </c>
      <c r="L1142">
        <v>50</v>
      </c>
      <c r="M1142">
        <v>1271425</v>
      </c>
      <c r="N1142">
        <v>6</v>
      </c>
      <c r="O1142">
        <v>4</v>
      </c>
      <c r="P1142" t="s">
        <v>168</v>
      </c>
      <c r="Q1142" t="s">
        <v>129</v>
      </c>
      <c r="R1142">
        <v>48</v>
      </c>
      <c r="T1142">
        <v>12</v>
      </c>
      <c r="U1142">
        <v>17</v>
      </c>
      <c r="V1142">
        <v>3</v>
      </c>
      <c r="W1142">
        <v>0</v>
      </c>
      <c r="X1142">
        <v>3</v>
      </c>
      <c r="Y1142">
        <v>0</v>
      </c>
      <c r="Z1142">
        <v>15</v>
      </c>
      <c r="AA1142">
        <v>20</v>
      </c>
      <c r="AB1142">
        <v>50</v>
      </c>
      <c r="AC1142">
        <v>24</v>
      </c>
      <c r="AD1142">
        <v>5</v>
      </c>
      <c r="AE1142">
        <v>0</v>
      </c>
      <c r="AF1142">
        <v>29</v>
      </c>
      <c r="AG1142">
        <v>0</v>
      </c>
      <c r="AH1142">
        <v>26</v>
      </c>
      <c r="AI1142">
        <v>21</v>
      </c>
      <c r="AJ1142">
        <v>26</v>
      </c>
      <c r="AK1142">
        <v>26</v>
      </c>
      <c r="AL1142">
        <v>0</v>
      </c>
      <c r="AM1142">
        <v>0.12</v>
      </c>
      <c r="AN1142">
        <v>2.3636363636363638</v>
      </c>
      <c r="AO1142">
        <v>0</v>
      </c>
      <c r="AP1142" t="s">
        <v>130</v>
      </c>
      <c r="AQ1142" t="s">
        <v>131</v>
      </c>
      <c r="AR1142" t="s">
        <v>1184</v>
      </c>
      <c r="AS1142">
        <v>2404</v>
      </c>
      <c r="AT1142">
        <v>2325</v>
      </c>
      <c r="AU1142">
        <v>0</v>
      </c>
      <c r="AV1142">
        <v>0</v>
      </c>
      <c r="AW1142">
        <v>4.7290000000000001</v>
      </c>
      <c r="AX1142">
        <v>0.19704166666666667</v>
      </c>
      <c r="AY1142">
        <v>5.7142083333333336</v>
      </c>
      <c r="AZ1142" t="s">
        <v>135</v>
      </c>
      <c r="BA1142">
        <v>0.28579166666666644</v>
      </c>
      <c r="BB1142">
        <v>1.4504123493338961</v>
      </c>
      <c r="BC1142" t="s">
        <v>133</v>
      </c>
      <c r="BD1142">
        <v>0</v>
      </c>
      <c r="BE1142" t="s">
        <v>133</v>
      </c>
      <c r="BF114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4.7290000000000001</v>
      </c>
    </row>
    <row r="1143" spans="1:58" x14ac:dyDescent="0.25">
      <c r="A1143" t="s">
        <v>1418</v>
      </c>
      <c r="B1143" t="s">
        <v>19</v>
      </c>
      <c r="C1143">
        <v>2</v>
      </c>
      <c r="D1143">
        <v>527</v>
      </c>
      <c r="E1143" t="s">
        <v>2111</v>
      </c>
      <c r="F1143" t="s">
        <v>123</v>
      </c>
      <c r="G1143" t="s">
        <v>124</v>
      </c>
      <c r="H1143" t="s">
        <v>136</v>
      </c>
      <c r="I1143" t="s">
        <v>137</v>
      </c>
      <c r="J1143" t="s">
        <v>138</v>
      </c>
      <c r="K1143" t="s">
        <v>127</v>
      </c>
      <c r="L1143">
        <v>50</v>
      </c>
      <c r="M1143">
        <v>1271427</v>
      </c>
      <c r="N1143">
        <v>5</v>
      </c>
      <c r="O1143">
        <v>4</v>
      </c>
      <c r="P1143" t="s">
        <v>168</v>
      </c>
      <c r="Q1143" t="s">
        <v>129</v>
      </c>
      <c r="R1143">
        <v>48</v>
      </c>
      <c r="T1143">
        <v>0</v>
      </c>
      <c r="U1143">
        <v>4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4</v>
      </c>
      <c r="AB1143">
        <v>50</v>
      </c>
      <c r="AC1143">
        <v>4</v>
      </c>
      <c r="AD1143">
        <v>0</v>
      </c>
      <c r="AE1143">
        <v>0</v>
      </c>
      <c r="AF1143">
        <v>4</v>
      </c>
      <c r="AG1143">
        <v>0</v>
      </c>
      <c r="AH1143">
        <v>46</v>
      </c>
      <c r="AI1143">
        <v>46</v>
      </c>
      <c r="AJ1143">
        <v>46</v>
      </c>
      <c r="AK1143">
        <v>46</v>
      </c>
      <c r="AL1143">
        <v>0</v>
      </c>
      <c r="AM1143">
        <v>0.1</v>
      </c>
      <c r="AN1143">
        <v>4.1818181818181817</v>
      </c>
      <c r="AO1143">
        <v>0</v>
      </c>
      <c r="AP1143" t="s">
        <v>139</v>
      </c>
      <c r="AQ1143" t="s">
        <v>131</v>
      </c>
      <c r="AR1143" t="s">
        <v>1184</v>
      </c>
      <c r="AS1143">
        <v>0</v>
      </c>
      <c r="AT1143">
        <v>0</v>
      </c>
      <c r="AU1143">
        <v>0</v>
      </c>
      <c r="AV1143">
        <v>0</v>
      </c>
      <c r="AW1143">
        <v>0</v>
      </c>
      <c r="AX1143">
        <v>0</v>
      </c>
      <c r="AY1143">
        <v>0</v>
      </c>
      <c r="AZ1143" t="s">
        <v>134</v>
      </c>
      <c r="BA1143">
        <v>5</v>
      </c>
      <c r="BB1143">
        <v>0</v>
      </c>
      <c r="BC1143" t="s">
        <v>133</v>
      </c>
      <c r="BD1143">
        <v>0</v>
      </c>
      <c r="BE1143" t="s">
        <v>133</v>
      </c>
      <c r="BF114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44" spans="1:58" x14ac:dyDescent="0.25">
      <c r="A1144" t="s">
        <v>1419</v>
      </c>
      <c r="B1144" t="s">
        <v>19</v>
      </c>
      <c r="C1144">
        <v>2</v>
      </c>
      <c r="D1144">
        <v>528</v>
      </c>
      <c r="E1144" t="s">
        <v>2111</v>
      </c>
      <c r="F1144" t="s">
        <v>123</v>
      </c>
      <c r="G1144" t="s">
        <v>124</v>
      </c>
      <c r="H1144" t="s">
        <v>125</v>
      </c>
      <c r="I1144" t="s">
        <v>126</v>
      </c>
      <c r="J1144" t="s">
        <v>126</v>
      </c>
      <c r="K1144" t="s">
        <v>127</v>
      </c>
      <c r="L1144">
        <v>50</v>
      </c>
      <c r="M1144">
        <v>1271429</v>
      </c>
      <c r="N1144">
        <v>6</v>
      </c>
      <c r="O1144">
        <v>4</v>
      </c>
      <c r="P1144" t="s">
        <v>168</v>
      </c>
      <c r="Q1144" t="s">
        <v>129</v>
      </c>
      <c r="R1144">
        <v>48</v>
      </c>
      <c r="T1144">
        <v>10</v>
      </c>
      <c r="U1144">
        <v>15</v>
      </c>
      <c r="V1144">
        <v>2</v>
      </c>
      <c r="W1144">
        <v>0</v>
      </c>
      <c r="X1144">
        <v>2</v>
      </c>
      <c r="Y1144">
        <v>0</v>
      </c>
      <c r="Z1144">
        <v>12</v>
      </c>
      <c r="AA1144">
        <v>17</v>
      </c>
      <c r="AB1144">
        <v>50</v>
      </c>
      <c r="AC1144">
        <v>21</v>
      </c>
      <c r="AD1144">
        <v>2</v>
      </c>
      <c r="AE1144">
        <v>0</v>
      </c>
      <c r="AF1144">
        <v>23</v>
      </c>
      <c r="AG1144">
        <v>0</v>
      </c>
      <c r="AH1144">
        <v>29</v>
      </c>
      <c r="AI1144">
        <v>27</v>
      </c>
      <c r="AJ1144">
        <v>29</v>
      </c>
      <c r="AK1144">
        <v>29</v>
      </c>
      <c r="AL1144">
        <v>0</v>
      </c>
      <c r="AM1144">
        <v>0.12</v>
      </c>
      <c r="AN1144">
        <v>2.6363636363636362</v>
      </c>
      <c r="AO1144">
        <v>0</v>
      </c>
      <c r="AP1144" t="s">
        <v>130</v>
      </c>
      <c r="AQ1144" t="s">
        <v>131</v>
      </c>
      <c r="AR1144" t="s">
        <v>1184</v>
      </c>
      <c r="AS1144">
        <v>1769</v>
      </c>
      <c r="AT1144">
        <v>1680</v>
      </c>
      <c r="AU1144">
        <v>0</v>
      </c>
      <c r="AV1144">
        <v>0</v>
      </c>
      <c r="AW1144">
        <v>3.4489999999999998</v>
      </c>
      <c r="AX1144">
        <v>0.16423809523809524</v>
      </c>
      <c r="AY1144">
        <v>3.7774761904761904</v>
      </c>
      <c r="AZ1144" t="s">
        <v>135</v>
      </c>
      <c r="BA1144">
        <v>2.2225238095238096</v>
      </c>
      <c r="BB1144">
        <v>13.532328211075674</v>
      </c>
      <c r="BC1144" t="s">
        <v>133</v>
      </c>
      <c r="BD1144">
        <v>0</v>
      </c>
      <c r="BE1144" t="s">
        <v>133</v>
      </c>
      <c r="BF114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3.4489999999999998</v>
      </c>
    </row>
    <row r="1145" spans="1:58" x14ac:dyDescent="0.25">
      <c r="A1145" t="s">
        <v>1420</v>
      </c>
      <c r="B1145" t="s">
        <v>19</v>
      </c>
      <c r="C1145">
        <v>2</v>
      </c>
      <c r="D1145">
        <v>529</v>
      </c>
      <c r="E1145" t="s">
        <v>2111</v>
      </c>
      <c r="F1145" t="s">
        <v>123</v>
      </c>
      <c r="G1145" t="s">
        <v>124</v>
      </c>
      <c r="H1145" t="s">
        <v>125</v>
      </c>
      <c r="I1145" t="s">
        <v>126</v>
      </c>
      <c r="J1145" t="s">
        <v>126</v>
      </c>
      <c r="K1145" t="s">
        <v>127</v>
      </c>
      <c r="L1145">
        <v>50</v>
      </c>
      <c r="M1145">
        <v>1271431</v>
      </c>
      <c r="N1145">
        <v>6</v>
      </c>
      <c r="O1145">
        <v>4</v>
      </c>
      <c r="P1145" t="s">
        <v>168</v>
      </c>
      <c r="Q1145" t="s">
        <v>129</v>
      </c>
      <c r="R1145">
        <v>48</v>
      </c>
      <c r="T1145">
        <v>8</v>
      </c>
      <c r="U1145">
        <v>13</v>
      </c>
      <c r="V1145">
        <v>7</v>
      </c>
      <c r="W1145">
        <v>0</v>
      </c>
      <c r="X1145">
        <v>7</v>
      </c>
      <c r="Y1145">
        <v>1</v>
      </c>
      <c r="Z1145">
        <v>16</v>
      </c>
      <c r="AA1145">
        <v>21</v>
      </c>
      <c r="AB1145">
        <v>50</v>
      </c>
      <c r="AC1145">
        <v>17</v>
      </c>
      <c r="AD1145">
        <v>10</v>
      </c>
      <c r="AE1145">
        <v>1</v>
      </c>
      <c r="AF1145">
        <v>28</v>
      </c>
      <c r="AG1145">
        <v>0</v>
      </c>
      <c r="AH1145">
        <v>33</v>
      </c>
      <c r="AI1145">
        <v>22</v>
      </c>
      <c r="AJ1145">
        <v>32</v>
      </c>
      <c r="AK1145">
        <v>33</v>
      </c>
      <c r="AL1145">
        <v>0</v>
      </c>
      <c r="AM1145">
        <v>0.12</v>
      </c>
      <c r="AN1145">
        <v>2.9090909090909092</v>
      </c>
      <c r="AO1145">
        <v>0</v>
      </c>
      <c r="AP1145" t="s">
        <v>130</v>
      </c>
      <c r="AQ1145" t="s">
        <v>131</v>
      </c>
      <c r="AR1145" t="s">
        <v>1184</v>
      </c>
      <c r="AS1145">
        <v>1990</v>
      </c>
      <c r="AT1145">
        <v>1933</v>
      </c>
      <c r="AU1145">
        <v>0</v>
      </c>
      <c r="AV1145">
        <v>0</v>
      </c>
      <c r="AW1145">
        <v>3.923</v>
      </c>
      <c r="AX1145">
        <v>0.23076470588235296</v>
      </c>
      <c r="AY1145">
        <v>6.4614117647058826</v>
      </c>
      <c r="AZ1145" t="s">
        <v>135</v>
      </c>
      <c r="BA1145">
        <v>-0.46141176470588263</v>
      </c>
      <c r="BB1145">
        <v>-1.9994901860820811</v>
      </c>
      <c r="BC1145" t="s">
        <v>133</v>
      </c>
      <c r="BD1145">
        <v>0</v>
      </c>
      <c r="BE1145" t="s">
        <v>133</v>
      </c>
      <c r="BF114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3.923</v>
      </c>
    </row>
    <row r="1146" spans="1:58" x14ac:dyDescent="0.25">
      <c r="A1146" t="s">
        <v>1421</v>
      </c>
      <c r="B1146" t="s">
        <v>19</v>
      </c>
      <c r="C1146">
        <v>2</v>
      </c>
      <c r="D1146">
        <v>530</v>
      </c>
      <c r="E1146" t="s">
        <v>2111</v>
      </c>
      <c r="F1146" t="s">
        <v>123</v>
      </c>
      <c r="G1146" t="s">
        <v>124</v>
      </c>
      <c r="H1146" t="s">
        <v>125</v>
      </c>
      <c r="I1146" t="s">
        <v>126</v>
      </c>
      <c r="J1146" t="s">
        <v>126</v>
      </c>
      <c r="K1146" t="s">
        <v>127</v>
      </c>
      <c r="L1146">
        <v>50</v>
      </c>
      <c r="M1146">
        <v>1271433</v>
      </c>
      <c r="N1146">
        <v>6</v>
      </c>
      <c r="O1146">
        <v>4</v>
      </c>
      <c r="P1146" t="s">
        <v>168</v>
      </c>
      <c r="Q1146" t="s">
        <v>129</v>
      </c>
      <c r="R1146">
        <v>48</v>
      </c>
      <c r="T1146">
        <v>19</v>
      </c>
      <c r="U1146">
        <v>24</v>
      </c>
      <c r="V1146">
        <v>3</v>
      </c>
      <c r="W1146">
        <v>0</v>
      </c>
      <c r="X1146">
        <v>3</v>
      </c>
      <c r="Y1146">
        <v>0</v>
      </c>
      <c r="Z1146">
        <v>22</v>
      </c>
      <c r="AA1146">
        <v>27</v>
      </c>
      <c r="AB1146">
        <v>50</v>
      </c>
      <c r="AC1146">
        <v>29</v>
      </c>
      <c r="AD1146">
        <v>4</v>
      </c>
      <c r="AE1146">
        <v>0</v>
      </c>
      <c r="AF1146">
        <v>33</v>
      </c>
      <c r="AG1146">
        <v>0</v>
      </c>
      <c r="AH1146">
        <v>21</v>
      </c>
      <c r="AI1146">
        <v>17</v>
      </c>
      <c r="AJ1146">
        <v>21</v>
      </c>
      <c r="AK1146">
        <v>21</v>
      </c>
      <c r="AL1146">
        <v>0</v>
      </c>
      <c r="AM1146">
        <v>0.12</v>
      </c>
      <c r="AN1146">
        <v>1.9090909090909092</v>
      </c>
      <c r="AO1146">
        <v>0</v>
      </c>
      <c r="AP1146" t="s">
        <v>130</v>
      </c>
      <c r="AQ1146" t="s">
        <v>131</v>
      </c>
      <c r="AR1146" t="s">
        <v>1184</v>
      </c>
      <c r="AS1146">
        <v>2866</v>
      </c>
      <c r="AT1146">
        <v>2800</v>
      </c>
      <c r="AU1146">
        <v>0</v>
      </c>
      <c r="AV1146">
        <v>0</v>
      </c>
      <c r="AW1146">
        <v>5.6660000000000004</v>
      </c>
      <c r="AX1146">
        <v>0.19537931034482761</v>
      </c>
      <c r="AY1146">
        <v>6.4475172413793116</v>
      </c>
      <c r="AZ1146" t="s">
        <v>135</v>
      </c>
      <c r="BA1146">
        <v>-0.44751724137931159</v>
      </c>
      <c r="BB1146">
        <v>-2.2905047652665078</v>
      </c>
      <c r="BC1146" t="s">
        <v>133</v>
      </c>
      <c r="BD1146">
        <v>0</v>
      </c>
      <c r="BE1146" t="s">
        <v>133</v>
      </c>
      <c r="BF114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5.6660000000000004</v>
      </c>
    </row>
    <row r="1147" spans="1:58" x14ac:dyDescent="0.25">
      <c r="A1147" t="s">
        <v>1422</v>
      </c>
      <c r="B1147" t="s">
        <v>19</v>
      </c>
      <c r="C1147">
        <v>2</v>
      </c>
      <c r="D1147">
        <v>531</v>
      </c>
      <c r="E1147" t="s">
        <v>2111</v>
      </c>
      <c r="F1147" t="s">
        <v>123</v>
      </c>
      <c r="G1147" t="s">
        <v>124</v>
      </c>
      <c r="H1147" t="s">
        <v>125</v>
      </c>
      <c r="I1147" t="s">
        <v>126</v>
      </c>
      <c r="J1147" t="s">
        <v>126</v>
      </c>
      <c r="K1147" t="s">
        <v>127</v>
      </c>
      <c r="L1147">
        <v>50</v>
      </c>
      <c r="M1147">
        <v>1271435</v>
      </c>
      <c r="N1147">
        <v>6</v>
      </c>
      <c r="O1147">
        <v>4</v>
      </c>
      <c r="P1147" t="s">
        <v>168</v>
      </c>
      <c r="Q1147" t="s">
        <v>129</v>
      </c>
      <c r="R1147">
        <v>48</v>
      </c>
      <c r="T1147">
        <v>24</v>
      </c>
      <c r="U1147">
        <v>29</v>
      </c>
      <c r="V1147">
        <v>4</v>
      </c>
      <c r="W1147">
        <v>0</v>
      </c>
      <c r="X1147">
        <v>4</v>
      </c>
      <c r="Y1147">
        <v>0</v>
      </c>
      <c r="Z1147">
        <v>28</v>
      </c>
      <c r="AA1147">
        <v>33</v>
      </c>
      <c r="AB1147">
        <v>50</v>
      </c>
      <c r="AC1147">
        <v>31</v>
      </c>
      <c r="AD1147">
        <v>5</v>
      </c>
      <c r="AE1147">
        <v>0</v>
      </c>
      <c r="AF1147">
        <v>36</v>
      </c>
      <c r="AG1147">
        <v>0</v>
      </c>
      <c r="AH1147">
        <v>19</v>
      </c>
      <c r="AI1147">
        <v>14</v>
      </c>
      <c r="AJ1147">
        <v>19</v>
      </c>
      <c r="AK1147">
        <v>19</v>
      </c>
      <c r="AL1147">
        <v>0</v>
      </c>
      <c r="AM1147">
        <v>0.12</v>
      </c>
      <c r="AN1147">
        <v>1.7272727272727273</v>
      </c>
      <c r="AO1147">
        <v>0</v>
      </c>
      <c r="AP1147" t="s">
        <v>130</v>
      </c>
      <c r="AQ1147" t="s">
        <v>131</v>
      </c>
      <c r="AR1147" t="s">
        <v>1184</v>
      </c>
      <c r="AS1147">
        <v>3918</v>
      </c>
      <c r="AT1147">
        <v>3630</v>
      </c>
      <c r="AU1147">
        <v>0</v>
      </c>
      <c r="AV1147">
        <v>0</v>
      </c>
      <c r="AW1147">
        <v>7.548</v>
      </c>
      <c r="AX1147">
        <v>0.24348387096774193</v>
      </c>
      <c r="AY1147">
        <v>8.7654193548387092</v>
      </c>
      <c r="AZ1147" t="s">
        <v>135</v>
      </c>
      <c r="BA1147">
        <v>-2.7654193548387092</v>
      </c>
      <c r="BB1147">
        <v>-11.357710651828297</v>
      </c>
      <c r="BC1147" t="s">
        <v>133</v>
      </c>
      <c r="BD1147">
        <v>0</v>
      </c>
      <c r="BE1147" t="s">
        <v>133</v>
      </c>
      <c r="BF114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7.548</v>
      </c>
    </row>
    <row r="1148" spans="1:58" x14ac:dyDescent="0.25">
      <c r="A1148" t="s">
        <v>1423</v>
      </c>
      <c r="B1148" t="s">
        <v>19</v>
      </c>
      <c r="C1148">
        <v>2</v>
      </c>
      <c r="D1148">
        <v>532</v>
      </c>
      <c r="E1148" t="s">
        <v>2111</v>
      </c>
      <c r="F1148" t="s">
        <v>123</v>
      </c>
      <c r="G1148" t="s">
        <v>124</v>
      </c>
      <c r="H1148" t="s">
        <v>125</v>
      </c>
      <c r="I1148" t="s">
        <v>126</v>
      </c>
      <c r="J1148" t="s">
        <v>126</v>
      </c>
      <c r="K1148" t="s">
        <v>127</v>
      </c>
      <c r="L1148">
        <v>50</v>
      </c>
      <c r="M1148">
        <v>1271437</v>
      </c>
      <c r="N1148">
        <v>6</v>
      </c>
      <c r="O1148">
        <v>4</v>
      </c>
      <c r="P1148" t="s">
        <v>168</v>
      </c>
      <c r="Q1148" t="s">
        <v>129</v>
      </c>
      <c r="R1148">
        <v>48</v>
      </c>
      <c r="T1148">
        <v>31</v>
      </c>
      <c r="U1148">
        <v>36</v>
      </c>
      <c r="V1148">
        <v>5</v>
      </c>
      <c r="W1148">
        <v>0</v>
      </c>
      <c r="X1148">
        <v>5</v>
      </c>
      <c r="Y1148">
        <v>1</v>
      </c>
      <c r="Z1148">
        <v>37</v>
      </c>
      <c r="AA1148">
        <v>42</v>
      </c>
      <c r="AB1148">
        <v>50</v>
      </c>
      <c r="AC1148">
        <v>40</v>
      </c>
      <c r="AD1148">
        <v>6</v>
      </c>
      <c r="AE1148">
        <v>1</v>
      </c>
      <c r="AF1148">
        <v>47</v>
      </c>
      <c r="AG1148">
        <v>0</v>
      </c>
      <c r="AH1148">
        <v>10</v>
      </c>
      <c r="AI1148">
        <v>3</v>
      </c>
      <c r="AJ1148">
        <v>9</v>
      </c>
      <c r="AK1148">
        <v>10</v>
      </c>
      <c r="AL1148">
        <v>0</v>
      </c>
      <c r="AM1148">
        <v>0.12</v>
      </c>
      <c r="AN1148">
        <v>0.81818181818181823</v>
      </c>
      <c r="AO1148">
        <v>0</v>
      </c>
      <c r="AP1148" t="s">
        <v>130</v>
      </c>
      <c r="AQ1148" t="s">
        <v>131</v>
      </c>
      <c r="AR1148" t="s">
        <v>1184</v>
      </c>
      <c r="AS1148">
        <v>4475</v>
      </c>
      <c r="AT1148">
        <v>4322</v>
      </c>
      <c r="AU1148">
        <v>0</v>
      </c>
      <c r="AV1148">
        <v>0</v>
      </c>
      <c r="AW1148">
        <v>8.7970000000000006</v>
      </c>
      <c r="AX1148">
        <v>0.21992500000000001</v>
      </c>
      <c r="AY1148">
        <v>10.336475</v>
      </c>
      <c r="AZ1148" t="s">
        <v>135</v>
      </c>
      <c r="BA1148">
        <v>-4.3364750000000001</v>
      </c>
      <c r="BB1148">
        <v>-19.717972035921335</v>
      </c>
      <c r="BC1148" t="s">
        <v>144</v>
      </c>
      <c r="BD1148">
        <v>0</v>
      </c>
      <c r="BE1148" t="s">
        <v>133</v>
      </c>
      <c r="BF114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8.7970000000000006</v>
      </c>
    </row>
    <row r="1149" spans="1:58" x14ac:dyDescent="0.25">
      <c r="A1149" t="s">
        <v>1424</v>
      </c>
      <c r="B1149" t="s">
        <v>19</v>
      </c>
      <c r="C1149">
        <v>2</v>
      </c>
      <c r="D1149">
        <v>533</v>
      </c>
      <c r="E1149" t="s">
        <v>2111</v>
      </c>
      <c r="F1149" t="s">
        <v>123</v>
      </c>
      <c r="G1149" t="s">
        <v>124</v>
      </c>
      <c r="H1149" t="s">
        <v>125</v>
      </c>
      <c r="I1149" t="s">
        <v>126</v>
      </c>
      <c r="J1149" t="s">
        <v>126</v>
      </c>
      <c r="K1149" t="s">
        <v>127</v>
      </c>
      <c r="L1149">
        <v>50</v>
      </c>
      <c r="M1149">
        <v>1271439</v>
      </c>
      <c r="N1149">
        <v>6</v>
      </c>
      <c r="O1149">
        <v>4</v>
      </c>
      <c r="P1149" t="s">
        <v>168</v>
      </c>
      <c r="Q1149" t="s">
        <v>129</v>
      </c>
      <c r="R1149">
        <v>49</v>
      </c>
      <c r="T1149">
        <v>18</v>
      </c>
      <c r="U1149">
        <v>23</v>
      </c>
      <c r="V1149">
        <v>7</v>
      </c>
      <c r="W1149">
        <v>0</v>
      </c>
      <c r="X1149">
        <v>7</v>
      </c>
      <c r="Y1149">
        <v>0</v>
      </c>
      <c r="Z1149">
        <v>25</v>
      </c>
      <c r="AA1149">
        <v>30</v>
      </c>
      <c r="AB1149">
        <v>50</v>
      </c>
      <c r="AC1149">
        <v>34</v>
      </c>
      <c r="AD1149">
        <v>10</v>
      </c>
      <c r="AE1149">
        <v>0</v>
      </c>
      <c r="AF1149">
        <v>44</v>
      </c>
      <c r="AG1149">
        <v>0</v>
      </c>
      <c r="AH1149">
        <v>16</v>
      </c>
      <c r="AI1149">
        <v>6</v>
      </c>
      <c r="AJ1149">
        <v>16</v>
      </c>
      <c r="AK1149">
        <v>16</v>
      </c>
      <c r="AL1149">
        <v>0</v>
      </c>
      <c r="AM1149">
        <v>0.12</v>
      </c>
      <c r="AN1149">
        <v>1.4545454545454546</v>
      </c>
      <c r="AO1149">
        <v>0</v>
      </c>
      <c r="AP1149" t="s">
        <v>130</v>
      </c>
      <c r="AQ1149" t="s">
        <v>131</v>
      </c>
      <c r="AR1149" t="s">
        <v>1184</v>
      </c>
      <c r="AS1149">
        <v>3158</v>
      </c>
      <c r="AT1149">
        <v>3009</v>
      </c>
      <c r="AU1149">
        <v>0</v>
      </c>
      <c r="AV1149">
        <v>0</v>
      </c>
      <c r="AW1149">
        <v>6.1669999999999998</v>
      </c>
      <c r="AX1149">
        <v>0.18138235294117647</v>
      </c>
      <c r="AY1149">
        <v>7.9808235294117642</v>
      </c>
      <c r="AZ1149" t="s">
        <v>135</v>
      </c>
      <c r="BA1149">
        <v>-1.9808235294117642</v>
      </c>
      <c r="BB1149">
        <v>-10.920706988811412</v>
      </c>
      <c r="BC1149" t="s">
        <v>132</v>
      </c>
      <c r="BD1149">
        <v>0</v>
      </c>
      <c r="BE1149" t="s">
        <v>133</v>
      </c>
      <c r="BF114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6.1669999999999998</v>
      </c>
    </row>
    <row r="1150" spans="1:58" x14ac:dyDescent="0.25">
      <c r="A1150" t="s">
        <v>1425</v>
      </c>
      <c r="B1150" t="s">
        <v>19</v>
      </c>
      <c r="C1150">
        <v>2</v>
      </c>
      <c r="D1150">
        <v>534</v>
      </c>
      <c r="E1150" t="s">
        <v>2111</v>
      </c>
      <c r="F1150" t="s">
        <v>123</v>
      </c>
      <c r="G1150" t="s">
        <v>124</v>
      </c>
      <c r="H1150" t="s">
        <v>125</v>
      </c>
      <c r="I1150" t="s">
        <v>126</v>
      </c>
      <c r="J1150" t="s">
        <v>126</v>
      </c>
      <c r="K1150" t="s">
        <v>127</v>
      </c>
      <c r="L1150">
        <v>50</v>
      </c>
      <c r="M1150">
        <v>1271441</v>
      </c>
      <c r="N1150">
        <v>6</v>
      </c>
      <c r="O1150">
        <v>4</v>
      </c>
      <c r="P1150" t="s">
        <v>168</v>
      </c>
      <c r="Q1150" t="s">
        <v>129</v>
      </c>
      <c r="R1150">
        <v>49</v>
      </c>
      <c r="T1150">
        <v>10</v>
      </c>
      <c r="U1150">
        <v>15</v>
      </c>
      <c r="V1150">
        <v>4</v>
      </c>
      <c r="W1150">
        <v>0</v>
      </c>
      <c r="X1150">
        <v>4</v>
      </c>
      <c r="Y1150">
        <v>3</v>
      </c>
      <c r="Z1150">
        <v>17</v>
      </c>
      <c r="AA1150">
        <v>22</v>
      </c>
      <c r="AB1150">
        <v>50</v>
      </c>
      <c r="AC1150">
        <v>17</v>
      </c>
      <c r="AD1150">
        <v>6</v>
      </c>
      <c r="AE1150">
        <v>6</v>
      </c>
      <c r="AF1150">
        <v>29</v>
      </c>
      <c r="AG1150">
        <v>0</v>
      </c>
      <c r="AH1150">
        <v>33</v>
      </c>
      <c r="AI1150">
        <v>21</v>
      </c>
      <c r="AJ1150">
        <v>27</v>
      </c>
      <c r="AK1150">
        <v>33</v>
      </c>
      <c r="AL1150">
        <v>0</v>
      </c>
      <c r="AM1150">
        <v>0.12</v>
      </c>
      <c r="AN1150">
        <v>2.4545454545454546</v>
      </c>
      <c r="AO1150">
        <v>0</v>
      </c>
      <c r="AP1150" t="s">
        <v>130</v>
      </c>
      <c r="AQ1150" t="s">
        <v>131</v>
      </c>
      <c r="AR1150" t="s">
        <v>1184</v>
      </c>
      <c r="AS1150">
        <v>1808</v>
      </c>
      <c r="AT1150">
        <v>1742</v>
      </c>
      <c r="AU1150">
        <v>0</v>
      </c>
      <c r="AV1150">
        <v>0</v>
      </c>
      <c r="AW1150">
        <v>3.55</v>
      </c>
      <c r="AX1150">
        <v>0.20882352941176469</v>
      </c>
      <c r="AY1150">
        <v>6.0558823529411763</v>
      </c>
      <c r="AZ1150" t="s">
        <v>135</v>
      </c>
      <c r="BA1150">
        <v>-5.5882352941176272E-2</v>
      </c>
      <c r="BB1150">
        <v>-0.26760563380281599</v>
      </c>
      <c r="BC1150" t="s">
        <v>133</v>
      </c>
      <c r="BD1150">
        <v>0</v>
      </c>
      <c r="BE1150" t="s">
        <v>133</v>
      </c>
      <c r="BF115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3.55</v>
      </c>
    </row>
    <row r="1151" spans="1:58" x14ac:dyDescent="0.25">
      <c r="A1151" t="s">
        <v>1426</v>
      </c>
      <c r="B1151" t="s">
        <v>19</v>
      </c>
      <c r="C1151">
        <v>2</v>
      </c>
      <c r="D1151">
        <v>535</v>
      </c>
      <c r="E1151" t="s">
        <v>2111</v>
      </c>
      <c r="F1151" t="s">
        <v>123</v>
      </c>
      <c r="G1151" t="s">
        <v>124</v>
      </c>
      <c r="H1151" t="s">
        <v>125</v>
      </c>
      <c r="I1151" t="s">
        <v>126</v>
      </c>
      <c r="J1151" t="s">
        <v>126</v>
      </c>
      <c r="K1151" t="s">
        <v>127</v>
      </c>
      <c r="L1151">
        <v>50</v>
      </c>
      <c r="M1151">
        <v>1271443</v>
      </c>
      <c r="N1151">
        <v>6</v>
      </c>
      <c r="O1151">
        <v>4</v>
      </c>
      <c r="P1151" t="s">
        <v>168</v>
      </c>
      <c r="Q1151" t="s">
        <v>129</v>
      </c>
      <c r="R1151">
        <v>49</v>
      </c>
      <c r="T1151">
        <v>10</v>
      </c>
      <c r="U1151">
        <v>15</v>
      </c>
      <c r="V1151">
        <v>4</v>
      </c>
      <c r="W1151">
        <v>0</v>
      </c>
      <c r="X1151">
        <v>4</v>
      </c>
      <c r="Y1151">
        <v>3</v>
      </c>
      <c r="Z1151">
        <v>17</v>
      </c>
      <c r="AA1151">
        <v>22</v>
      </c>
      <c r="AB1151">
        <v>50</v>
      </c>
      <c r="AC1151">
        <v>22</v>
      </c>
      <c r="AD1151">
        <v>6</v>
      </c>
      <c r="AE1151">
        <v>6</v>
      </c>
      <c r="AF1151">
        <v>34</v>
      </c>
      <c r="AG1151">
        <v>0</v>
      </c>
      <c r="AH1151">
        <v>28</v>
      </c>
      <c r="AI1151">
        <v>16</v>
      </c>
      <c r="AJ1151">
        <v>22</v>
      </c>
      <c r="AK1151">
        <v>28</v>
      </c>
      <c r="AL1151">
        <v>0</v>
      </c>
      <c r="AM1151">
        <v>0.12</v>
      </c>
      <c r="AN1151">
        <v>2</v>
      </c>
      <c r="AO1151">
        <v>0</v>
      </c>
      <c r="AP1151" t="s">
        <v>130</v>
      </c>
      <c r="AQ1151" t="s">
        <v>131</v>
      </c>
      <c r="AR1151" t="s">
        <v>1184</v>
      </c>
      <c r="AS1151">
        <v>1688</v>
      </c>
      <c r="AT1151">
        <v>1451</v>
      </c>
      <c r="AU1151">
        <v>0</v>
      </c>
      <c r="AV1151">
        <v>0</v>
      </c>
      <c r="AW1151">
        <v>3.1389999999999998</v>
      </c>
      <c r="AX1151">
        <v>0.14268181818181816</v>
      </c>
      <c r="AY1151">
        <v>4.8511818181818178</v>
      </c>
      <c r="AZ1151" t="s">
        <v>135</v>
      </c>
      <c r="BA1151">
        <v>1.1488181818181822</v>
      </c>
      <c r="BB1151">
        <v>8.0516087926091142</v>
      </c>
      <c r="BC1151" t="s">
        <v>133</v>
      </c>
      <c r="BD1151">
        <v>0</v>
      </c>
      <c r="BE1151" t="s">
        <v>133</v>
      </c>
      <c r="BF115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3.1389999999999998</v>
      </c>
    </row>
    <row r="1152" spans="1:58" x14ac:dyDescent="0.25">
      <c r="A1152" t="s">
        <v>1427</v>
      </c>
      <c r="B1152" t="s">
        <v>19</v>
      </c>
      <c r="C1152">
        <v>2</v>
      </c>
      <c r="D1152">
        <v>536</v>
      </c>
      <c r="E1152" t="s">
        <v>2111</v>
      </c>
      <c r="F1152" t="s">
        <v>123</v>
      </c>
      <c r="G1152" t="s">
        <v>124</v>
      </c>
      <c r="H1152" t="s">
        <v>125</v>
      </c>
      <c r="I1152" t="s">
        <v>126</v>
      </c>
      <c r="J1152" t="s">
        <v>126</v>
      </c>
      <c r="K1152" t="s">
        <v>127</v>
      </c>
      <c r="L1152">
        <v>50</v>
      </c>
      <c r="M1152">
        <v>1271445</v>
      </c>
      <c r="N1152">
        <v>6</v>
      </c>
      <c r="O1152">
        <v>4</v>
      </c>
      <c r="P1152" t="s">
        <v>168</v>
      </c>
      <c r="Q1152" t="s">
        <v>129</v>
      </c>
      <c r="R1152">
        <v>49</v>
      </c>
      <c r="T1152">
        <v>11</v>
      </c>
      <c r="U1152">
        <v>16</v>
      </c>
      <c r="V1152">
        <v>5</v>
      </c>
      <c r="W1152">
        <v>0</v>
      </c>
      <c r="X1152">
        <v>5</v>
      </c>
      <c r="Y1152">
        <v>2</v>
      </c>
      <c r="Z1152">
        <v>18</v>
      </c>
      <c r="AA1152">
        <v>23</v>
      </c>
      <c r="AB1152">
        <v>50</v>
      </c>
      <c r="AC1152">
        <v>22</v>
      </c>
      <c r="AD1152">
        <v>7</v>
      </c>
      <c r="AE1152">
        <v>4</v>
      </c>
      <c r="AF1152">
        <v>33</v>
      </c>
      <c r="AG1152">
        <v>0</v>
      </c>
      <c r="AH1152">
        <v>28</v>
      </c>
      <c r="AI1152">
        <v>17</v>
      </c>
      <c r="AJ1152">
        <v>24</v>
      </c>
      <c r="AK1152">
        <v>28</v>
      </c>
      <c r="AL1152">
        <v>0</v>
      </c>
      <c r="AM1152">
        <v>0.12</v>
      </c>
      <c r="AN1152">
        <v>2.1818181818181817</v>
      </c>
      <c r="AO1152">
        <v>0</v>
      </c>
      <c r="AP1152" t="s">
        <v>130</v>
      </c>
      <c r="AQ1152" t="s">
        <v>131</v>
      </c>
      <c r="AR1152" t="s">
        <v>1184</v>
      </c>
      <c r="AS1152">
        <v>1970</v>
      </c>
      <c r="AT1152">
        <v>2177</v>
      </c>
      <c r="AU1152">
        <v>0</v>
      </c>
      <c r="AV1152">
        <v>0</v>
      </c>
      <c r="AW1152">
        <v>4.1470000000000002</v>
      </c>
      <c r="AX1152">
        <v>0.1885</v>
      </c>
      <c r="AY1152">
        <v>6.2205000000000004</v>
      </c>
      <c r="AZ1152" t="s">
        <v>135</v>
      </c>
      <c r="BA1152">
        <v>-0.22050000000000036</v>
      </c>
      <c r="BB1152">
        <v>-1.169761273209551</v>
      </c>
      <c r="BC1152" t="s">
        <v>133</v>
      </c>
      <c r="BD1152">
        <v>0</v>
      </c>
      <c r="BE1152" t="s">
        <v>133</v>
      </c>
      <c r="BF115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4.1470000000000002</v>
      </c>
    </row>
    <row r="1153" spans="1:58" x14ac:dyDescent="0.25">
      <c r="A1153" t="s">
        <v>1428</v>
      </c>
      <c r="B1153" t="s">
        <v>19</v>
      </c>
      <c r="C1153">
        <v>2</v>
      </c>
      <c r="D1153">
        <v>537</v>
      </c>
      <c r="E1153" t="s">
        <v>2111</v>
      </c>
      <c r="F1153" t="s">
        <v>123</v>
      </c>
      <c r="G1153" t="s">
        <v>124</v>
      </c>
      <c r="H1153" t="s">
        <v>125</v>
      </c>
      <c r="I1153" t="s">
        <v>126</v>
      </c>
      <c r="J1153" t="s">
        <v>126</v>
      </c>
      <c r="K1153" t="s">
        <v>127</v>
      </c>
      <c r="L1153">
        <v>50</v>
      </c>
      <c r="M1153">
        <v>1271447</v>
      </c>
      <c r="N1153">
        <v>6</v>
      </c>
      <c r="O1153">
        <v>4</v>
      </c>
      <c r="P1153" t="s">
        <v>168</v>
      </c>
      <c r="Q1153" t="s">
        <v>129</v>
      </c>
      <c r="R1153">
        <v>49</v>
      </c>
      <c r="T1153">
        <v>14</v>
      </c>
      <c r="U1153">
        <v>19</v>
      </c>
      <c r="V1153">
        <v>4</v>
      </c>
      <c r="W1153">
        <v>0</v>
      </c>
      <c r="X1153">
        <v>4</v>
      </c>
      <c r="Y1153">
        <v>2</v>
      </c>
      <c r="Z1153">
        <v>20</v>
      </c>
      <c r="AA1153">
        <v>25</v>
      </c>
      <c r="AB1153">
        <v>50</v>
      </c>
      <c r="AC1153">
        <v>26</v>
      </c>
      <c r="AD1153">
        <v>4</v>
      </c>
      <c r="AE1153">
        <v>6</v>
      </c>
      <c r="AF1153">
        <v>36</v>
      </c>
      <c r="AG1153">
        <v>0</v>
      </c>
      <c r="AH1153">
        <v>24</v>
      </c>
      <c r="AI1153">
        <v>14</v>
      </c>
      <c r="AJ1153">
        <v>18</v>
      </c>
      <c r="AK1153">
        <v>24</v>
      </c>
      <c r="AL1153">
        <v>0</v>
      </c>
      <c r="AM1153">
        <v>0.12</v>
      </c>
      <c r="AN1153">
        <v>1.6363636363636365</v>
      </c>
      <c r="AO1153">
        <v>0</v>
      </c>
      <c r="AP1153" t="s">
        <v>130</v>
      </c>
      <c r="AQ1153" t="s">
        <v>131</v>
      </c>
      <c r="AR1153" t="s">
        <v>1184</v>
      </c>
      <c r="AS1153">
        <v>3127</v>
      </c>
      <c r="AT1153">
        <v>2836</v>
      </c>
      <c r="AU1153">
        <v>0</v>
      </c>
      <c r="AV1153">
        <v>0</v>
      </c>
      <c r="AW1153">
        <v>5.9630000000000001</v>
      </c>
      <c r="AX1153">
        <v>0.22934615384615384</v>
      </c>
      <c r="AY1153">
        <v>8.2564615384615383</v>
      </c>
      <c r="AZ1153" t="s">
        <v>135</v>
      </c>
      <c r="BA1153">
        <v>-2.2564615384615383</v>
      </c>
      <c r="BB1153">
        <v>-9.8386718094918653</v>
      </c>
      <c r="BC1153" t="s">
        <v>133</v>
      </c>
      <c r="BD1153">
        <v>0</v>
      </c>
      <c r="BE1153" t="s">
        <v>133</v>
      </c>
      <c r="BF115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5.9630000000000001</v>
      </c>
    </row>
    <row r="1154" spans="1:58" x14ac:dyDescent="0.25">
      <c r="A1154" t="s">
        <v>1429</v>
      </c>
      <c r="B1154" t="s">
        <v>19</v>
      </c>
      <c r="C1154">
        <v>2</v>
      </c>
      <c r="D1154">
        <v>538</v>
      </c>
      <c r="E1154" t="s">
        <v>2111</v>
      </c>
      <c r="F1154" t="s">
        <v>123</v>
      </c>
      <c r="G1154" t="s">
        <v>124</v>
      </c>
      <c r="H1154" t="s">
        <v>136</v>
      </c>
      <c r="I1154" t="s">
        <v>137</v>
      </c>
      <c r="J1154" t="s">
        <v>138</v>
      </c>
      <c r="K1154" t="s">
        <v>127</v>
      </c>
      <c r="L1154">
        <v>50</v>
      </c>
      <c r="M1154">
        <v>1271449</v>
      </c>
      <c r="N1154">
        <v>5</v>
      </c>
      <c r="O1154">
        <v>4</v>
      </c>
      <c r="P1154" t="s">
        <v>168</v>
      </c>
      <c r="Q1154" t="s">
        <v>129</v>
      </c>
      <c r="R1154">
        <v>49</v>
      </c>
      <c r="T1154">
        <v>0</v>
      </c>
      <c r="U1154">
        <v>4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4</v>
      </c>
      <c r="AB1154">
        <v>50</v>
      </c>
      <c r="AC1154">
        <v>4</v>
      </c>
      <c r="AD1154">
        <v>0</v>
      </c>
      <c r="AE1154">
        <v>0</v>
      </c>
      <c r="AF1154">
        <v>4</v>
      </c>
      <c r="AG1154">
        <v>0</v>
      </c>
      <c r="AH1154">
        <v>46</v>
      </c>
      <c r="AI1154">
        <v>46</v>
      </c>
      <c r="AJ1154">
        <v>46</v>
      </c>
      <c r="AK1154">
        <v>46</v>
      </c>
      <c r="AL1154">
        <v>0</v>
      </c>
      <c r="AM1154">
        <v>0.1</v>
      </c>
      <c r="AN1154">
        <v>4.1818181818181817</v>
      </c>
      <c r="AO1154">
        <v>0</v>
      </c>
      <c r="AP1154" t="s">
        <v>139</v>
      </c>
      <c r="AQ1154" t="s">
        <v>131</v>
      </c>
      <c r="AR1154" t="s">
        <v>1184</v>
      </c>
      <c r="AS1154">
        <v>0</v>
      </c>
      <c r="AT1154">
        <v>0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 t="s">
        <v>134</v>
      </c>
      <c r="BA1154">
        <v>5</v>
      </c>
      <c r="BB1154">
        <v>0</v>
      </c>
      <c r="BC1154" t="s">
        <v>133</v>
      </c>
      <c r="BD1154">
        <v>0</v>
      </c>
      <c r="BE1154" t="s">
        <v>133</v>
      </c>
      <c r="BF115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55" spans="1:58" x14ac:dyDescent="0.25">
      <c r="A1155" t="s">
        <v>1430</v>
      </c>
      <c r="B1155" t="s">
        <v>19</v>
      </c>
      <c r="C1155">
        <v>2</v>
      </c>
      <c r="D1155">
        <v>539</v>
      </c>
      <c r="E1155" t="s">
        <v>2111</v>
      </c>
      <c r="F1155" t="s">
        <v>123</v>
      </c>
      <c r="G1155" t="s">
        <v>124</v>
      </c>
      <c r="H1155" t="s">
        <v>125</v>
      </c>
      <c r="I1155" t="s">
        <v>126</v>
      </c>
      <c r="J1155" t="s">
        <v>126</v>
      </c>
      <c r="K1155" t="s">
        <v>127</v>
      </c>
      <c r="L1155">
        <v>50</v>
      </c>
      <c r="M1155">
        <v>1271451</v>
      </c>
      <c r="N1155">
        <v>6</v>
      </c>
      <c r="O1155">
        <v>4</v>
      </c>
      <c r="P1155" t="s">
        <v>168</v>
      </c>
      <c r="Q1155" t="s">
        <v>129</v>
      </c>
      <c r="R1155">
        <v>49</v>
      </c>
      <c r="T1155">
        <v>12</v>
      </c>
      <c r="U1155">
        <v>17</v>
      </c>
      <c r="V1155">
        <v>6</v>
      </c>
      <c r="W1155">
        <v>0</v>
      </c>
      <c r="X1155">
        <v>6</v>
      </c>
      <c r="Y1155">
        <v>0</v>
      </c>
      <c r="Z1155">
        <v>18</v>
      </c>
      <c r="AA1155">
        <v>23</v>
      </c>
      <c r="AB1155">
        <v>50</v>
      </c>
      <c r="AC1155">
        <v>24</v>
      </c>
      <c r="AD1155">
        <v>9</v>
      </c>
      <c r="AE1155">
        <v>0</v>
      </c>
      <c r="AF1155">
        <v>33</v>
      </c>
      <c r="AG1155">
        <v>0</v>
      </c>
      <c r="AH1155">
        <v>26</v>
      </c>
      <c r="AI1155">
        <v>17</v>
      </c>
      <c r="AJ1155">
        <v>26</v>
      </c>
      <c r="AK1155">
        <v>26</v>
      </c>
      <c r="AL1155">
        <v>0</v>
      </c>
      <c r="AM1155">
        <v>0.12</v>
      </c>
      <c r="AN1155">
        <v>2.3636363636363638</v>
      </c>
      <c r="AO1155">
        <v>0</v>
      </c>
      <c r="AP1155" t="s">
        <v>130</v>
      </c>
      <c r="AQ1155" t="s">
        <v>131</v>
      </c>
      <c r="AR1155" t="s">
        <v>1184</v>
      </c>
      <c r="AS1155">
        <v>2067</v>
      </c>
      <c r="AT1155">
        <v>2061</v>
      </c>
      <c r="AU1155">
        <v>0</v>
      </c>
      <c r="AV1155">
        <v>0</v>
      </c>
      <c r="AW1155">
        <v>4.1280000000000001</v>
      </c>
      <c r="AX1155">
        <v>0.17200000000000001</v>
      </c>
      <c r="AY1155">
        <v>5.6760000000000002</v>
      </c>
      <c r="AZ1155" t="s">
        <v>135</v>
      </c>
      <c r="BA1155">
        <v>0.32399999999999984</v>
      </c>
      <c r="BB1155">
        <v>1.883720930232557</v>
      </c>
      <c r="BC1155" t="s">
        <v>133</v>
      </c>
      <c r="BD1155">
        <v>0</v>
      </c>
      <c r="BE1155" t="s">
        <v>133</v>
      </c>
      <c r="BF115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4.1280000000000001</v>
      </c>
    </row>
    <row r="1156" spans="1:58" x14ac:dyDescent="0.25">
      <c r="A1156" t="s">
        <v>1431</v>
      </c>
      <c r="B1156" t="s">
        <v>19</v>
      </c>
      <c r="C1156">
        <v>2</v>
      </c>
      <c r="D1156">
        <v>540</v>
      </c>
      <c r="E1156" t="s">
        <v>2111</v>
      </c>
      <c r="F1156" t="s">
        <v>123</v>
      </c>
      <c r="G1156" t="s">
        <v>124</v>
      </c>
      <c r="H1156" t="s">
        <v>125</v>
      </c>
      <c r="I1156" t="s">
        <v>126</v>
      </c>
      <c r="J1156" t="s">
        <v>126</v>
      </c>
      <c r="K1156" t="s">
        <v>127</v>
      </c>
      <c r="L1156">
        <v>50</v>
      </c>
      <c r="M1156">
        <v>1271453</v>
      </c>
      <c r="N1156">
        <v>6</v>
      </c>
      <c r="O1156">
        <v>4</v>
      </c>
      <c r="P1156" t="s">
        <v>168</v>
      </c>
      <c r="Q1156" t="s">
        <v>129</v>
      </c>
      <c r="R1156">
        <v>49</v>
      </c>
      <c r="T1156">
        <v>19</v>
      </c>
      <c r="U1156">
        <v>24</v>
      </c>
      <c r="V1156">
        <v>4</v>
      </c>
      <c r="W1156">
        <v>0</v>
      </c>
      <c r="X1156">
        <v>4</v>
      </c>
      <c r="Y1156">
        <v>1</v>
      </c>
      <c r="Z1156">
        <v>24</v>
      </c>
      <c r="AA1156">
        <v>29</v>
      </c>
      <c r="AB1156">
        <v>50</v>
      </c>
      <c r="AC1156">
        <v>26</v>
      </c>
      <c r="AD1156">
        <v>4</v>
      </c>
      <c r="AE1156">
        <v>1</v>
      </c>
      <c r="AF1156">
        <v>31</v>
      </c>
      <c r="AG1156">
        <v>0</v>
      </c>
      <c r="AH1156">
        <v>24</v>
      </c>
      <c r="AI1156">
        <v>19</v>
      </c>
      <c r="AJ1156">
        <v>23</v>
      </c>
      <c r="AK1156">
        <v>24</v>
      </c>
      <c r="AL1156">
        <v>0</v>
      </c>
      <c r="AM1156">
        <v>0.12</v>
      </c>
      <c r="AN1156">
        <v>2.0909090909090908</v>
      </c>
      <c r="AO1156">
        <v>0</v>
      </c>
      <c r="AP1156" t="s">
        <v>130</v>
      </c>
      <c r="AQ1156" t="s">
        <v>131</v>
      </c>
      <c r="AR1156" t="s">
        <v>1184</v>
      </c>
      <c r="AS1156">
        <v>2472</v>
      </c>
      <c r="AT1156">
        <v>2503</v>
      </c>
      <c r="AU1156">
        <v>0</v>
      </c>
      <c r="AV1156">
        <v>0</v>
      </c>
      <c r="AW1156">
        <v>4.9749999999999996</v>
      </c>
      <c r="AX1156">
        <v>0.19134615384615383</v>
      </c>
      <c r="AY1156">
        <v>5.9317307692307688</v>
      </c>
      <c r="AZ1156" t="s">
        <v>135</v>
      </c>
      <c r="BA1156">
        <v>6.8269230769231193E-2</v>
      </c>
      <c r="BB1156">
        <v>0.35678391959799222</v>
      </c>
      <c r="BC1156" t="s">
        <v>133</v>
      </c>
      <c r="BD1156">
        <v>0</v>
      </c>
      <c r="BE1156" t="s">
        <v>133</v>
      </c>
      <c r="BF115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4.9749999999999996</v>
      </c>
    </row>
    <row r="1157" spans="1:58" x14ac:dyDescent="0.25">
      <c r="A1157" t="s">
        <v>1432</v>
      </c>
      <c r="B1157" t="s">
        <v>19</v>
      </c>
      <c r="C1157">
        <v>2</v>
      </c>
      <c r="D1157">
        <v>541</v>
      </c>
      <c r="E1157" t="s">
        <v>2111</v>
      </c>
      <c r="F1157" t="s">
        <v>123</v>
      </c>
      <c r="G1157" t="s">
        <v>124</v>
      </c>
      <c r="H1157" t="s">
        <v>125</v>
      </c>
      <c r="I1157" t="s">
        <v>126</v>
      </c>
      <c r="J1157" t="s">
        <v>126</v>
      </c>
      <c r="K1157" t="s">
        <v>127</v>
      </c>
      <c r="L1157">
        <v>50</v>
      </c>
      <c r="M1157">
        <v>1271455</v>
      </c>
      <c r="N1157">
        <v>6</v>
      </c>
      <c r="O1157">
        <v>4</v>
      </c>
      <c r="P1157" t="s">
        <v>168</v>
      </c>
      <c r="Q1157" t="s">
        <v>129</v>
      </c>
      <c r="R1157">
        <v>49</v>
      </c>
      <c r="T1157">
        <v>15</v>
      </c>
      <c r="U1157">
        <v>20</v>
      </c>
      <c r="V1157">
        <v>2</v>
      </c>
      <c r="W1157">
        <v>0</v>
      </c>
      <c r="X1157">
        <v>2</v>
      </c>
      <c r="Y1157">
        <v>1</v>
      </c>
      <c r="Z1157">
        <v>18</v>
      </c>
      <c r="AA1157">
        <v>23</v>
      </c>
      <c r="AB1157">
        <v>50</v>
      </c>
      <c r="AC1157">
        <v>28</v>
      </c>
      <c r="AD1157">
        <v>3</v>
      </c>
      <c r="AE1157">
        <v>2</v>
      </c>
      <c r="AF1157">
        <v>33</v>
      </c>
      <c r="AG1157">
        <v>0</v>
      </c>
      <c r="AH1157">
        <v>22</v>
      </c>
      <c r="AI1157">
        <v>17</v>
      </c>
      <c r="AJ1157">
        <v>20</v>
      </c>
      <c r="AK1157">
        <v>22</v>
      </c>
      <c r="AL1157">
        <v>0</v>
      </c>
      <c r="AM1157">
        <v>0.12</v>
      </c>
      <c r="AN1157">
        <v>1.8181818181818183</v>
      </c>
      <c r="AO1157">
        <v>0</v>
      </c>
      <c r="AP1157" t="s">
        <v>130</v>
      </c>
      <c r="AQ1157" t="s">
        <v>131</v>
      </c>
      <c r="AR1157" t="s">
        <v>1184</v>
      </c>
      <c r="AS1157">
        <v>2440</v>
      </c>
      <c r="AT1157">
        <v>2394</v>
      </c>
      <c r="AU1157">
        <v>0</v>
      </c>
      <c r="AV1157">
        <v>0</v>
      </c>
      <c r="AW1157">
        <v>4.8339999999999996</v>
      </c>
      <c r="AX1157">
        <v>0.17264285714285713</v>
      </c>
      <c r="AY1157">
        <v>5.6972142857142849</v>
      </c>
      <c r="AZ1157" t="s">
        <v>135</v>
      </c>
      <c r="BA1157">
        <v>0.3027857142857151</v>
      </c>
      <c r="BB1157">
        <v>1.7538270583367861</v>
      </c>
      <c r="BC1157" t="s">
        <v>133</v>
      </c>
      <c r="BD1157">
        <v>0</v>
      </c>
      <c r="BE1157" t="s">
        <v>133</v>
      </c>
      <c r="BF115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4.8339999999999996</v>
      </c>
    </row>
    <row r="1158" spans="1:58" x14ac:dyDescent="0.25">
      <c r="A1158" t="s">
        <v>1433</v>
      </c>
      <c r="B1158" t="s">
        <v>19</v>
      </c>
      <c r="C1158">
        <v>2</v>
      </c>
      <c r="D1158">
        <v>542</v>
      </c>
      <c r="E1158" t="s">
        <v>2111</v>
      </c>
      <c r="F1158" t="s">
        <v>123</v>
      </c>
      <c r="G1158" t="s">
        <v>124</v>
      </c>
      <c r="H1158" t="s">
        <v>125</v>
      </c>
      <c r="I1158" t="s">
        <v>126</v>
      </c>
      <c r="J1158" t="s">
        <v>126</v>
      </c>
      <c r="K1158" t="s">
        <v>127</v>
      </c>
      <c r="L1158">
        <v>50</v>
      </c>
      <c r="M1158">
        <v>1271457</v>
      </c>
      <c r="N1158">
        <v>6</v>
      </c>
      <c r="O1158">
        <v>4</v>
      </c>
      <c r="P1158" t="s">
        <v>168</v>
      </c>
      <c r="Q1158" t="s">
        <v>129</v>
      </c>
      <c r="R1158">
        <v>49</v>
      </c>
      <c r="T1158">
        <v>8</v>
      </c>
      <c r="U1158">
        <v>13</v>
      </c>
      <c r="V1158">
        <v>6</v>
      </c>
      <c r="W1158">
        <v>0</v>
      </c>
      <c r="X1158">
        <v>6</v>
      </c>
      <c r="Y1158">
        <v>0</v>
      </c>
      <c r="Z1158">
        <v>14</v>
      </c>
      <c r="AA1158">
        <v>19</v>
      </c>
      <c r="AB1158">
        <v>50</v>
      </c>
      <c r="AC1158">
        <v>18</v>
      </c>
      <c r="AD1158">
        <v>11</v>
      </c>
      <c r="AE1158">
        <v>0</v>
      </c>
      <c r="AF1158">
        <v>29</v>
      </c>
      <c r="AG1158">
        <v>0</v>
      </c>
      <c r="AH1158">
        <v>32</v>
      </c>
      <c r="AI1158">
        <v>21</v>
      </c>
      <c r="AJ1158">
        <v>32</v>
      </c>
      <c r="AK1158">
        <v>32</v>
      </c>
      <c r="AL1158">
        <v>0</v>
      </c>
      <c r="AM1158">
        <v>0.12</v>
      </c>
      <c r="AN1158">
        <v>2.9090909090909092</v>
      </c>
      <c r="AO1158">
        <v>0</v>
      </c>
      <c r="AP1158" t="s">
        <v>130</v>
      </c>
      <c r="AQ1158" t="s">
        <v>131</v>
      </c>
      <c r="AR1158" t="s">
        <v>1184</v>
      </c>
      <c r="AS1158">
        <v>1594</v>
      </c>
      <c r="AT1158">
        <v>1490</v>
      </c>
      <c r="AU1158">
        <v>0</v>
      </c>
      <c r="AV1158">
        <v>0</v>
      </c>
      <c r="AW1158">
        <v>3.0840000000000001</v>
      </c>
      <c r="AX1158">
        <v>0.17133333333333334</v>
      </c>
      <c r="AY1158">
        <v>4.9686666666666666</v>
      </c>
      <c r="AZ1158" t="s">
        <v>135</v>
      </c>
      <c r="BA1158">
        <v>1.0313333333333334</v>
      </c>
      <c r="BB1158">
        <v>6.0194552529182888</v>
      </c>
      <c r="BC1158" t="s">
        <v>133</v>
      </c>
      <c r="BD1158">
        <v>0</v>
      </c>
      <c r="BE1158" t="s">
        <v>133</v>
      </c>
      <c r="BF115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3.0840000000000001</v>
      </c>
    </row>
    <row r="1159" spans="1:58" x14ac:dyDescent="0.25">
      <c r="A1159" t="s">
        <v>1434</v>
      </c>
      <c r="B1159" t="s">
        <v>19</v>
      </c>
      <c r="C1159">
        <v>2</v>
      </c>
      <c r="D1159">
        <v>543</v>
      </c>
      <c r="E1159" t="s">
        <v>2111</v>
      </c>
      <c r="F1159" t="s">
        <v>123</v>
      </c>
      <c r="G1159" t="s">
        <v>124</v>
      </c>
      <c r="H1159" t="s">
        <v>125</v>
      </c>
      <c r="I1159" t="s">
        <v>126</v>
      </c>
      <c r="J1159" t="s">
        <v>126</v>
      </c>
      <c r="K1159" t="s">
        <v>127</v>
      </c>
      <c r="L1159">
        <v>50</v>
      </c>
      <c r="M1159">
        <v>1271459</v>
      </c>
      <c r="N1159">
        <v>6</v>
      </c>
      <c r="O1159">
        <v>4</v>
      </c>
      <c r="P1159" t="s">
        <v>168</v>
      </c>
      <c r="Q1159" t="s">
        <v>129</v>
      </c>
      <c r="R1159">
        <v>49</v>
      </c>
      <c r="T1159">
        <v>5</v>
      </c>
      <c r="U1159">
        <v>10</v>
      </c>
      <c r="V1159">
        <v>9</v>
      </c>
      <c r="W1159">
        <v>0</v>
      </c>
      <c r="X1159">
        <v>9</v>
      </c>
      <c r="Y1159">
        <v>1</v>
      </c>
      <c r="Z1159">
        <v>15</v>
      </c>
      <c r="AA1159">
        <v>20</v>
      </c>
      <c r="AB1159">
        <v>50</v>
      </c>
      <c r="AC1159">
        <v>14</v>
      </c>
      <c r="AD1159">
        <v>15</v>
      </c>
      <c r="AE1159">
        <v>2</v>
      </c>
      <c r="AF1159">
        <v>31</v>
      </c>
      <c r="AG1159">
        <v>0</v>
      </c>
      <c r="AH1159">
        <v>36</v>
      </c>
      <c r="AI1159">
        <v>19</v>
      </c>
      <c r="AJ1159">
        <v>34</v>
      </c>
      <c r="AK1159">
        <v>36</v>
      </c>
      <c r="AL1159">
        <v>0</v>
      </c>
      <c r="AM1159">
        <v>0.12</v>
      </c>
      <c r="AN1159">
        <v>3.0909090909090908</v>
      </c>
      <c r="AO1159">
        <v>0</v>
      </c>
      <c r="AP1159" t="s">
        <v>130</v>
      </c>
      <c r="AQ1159" t="s">
        <v>131</v>
      </c>
      <c r="AR1159" t="s">
        <v>1184</v>
      </c>
      <c r="AS1159">
        <v>1523</v>
      </c>
      <c r="AT1159">
        <v>1505</v>
      </c>
      <c r="AU1159">
        <v>0</v>
      </c>
      <c r="AV1159">
        <v>0</v>
      </c>
      <c r="AW1159">
        <v>3.028</v>
      </c>
      <c r="AX1159">
        <v>0.21628571428571428</v>
      </c>
      <c r="AY1159">
        <v>6.7048571428571426</v>
      </c>
      <c r="AZ1159" t="s">
        <v>135</v>
      </c>
      <c r="BA1159">
        <v>-0.70485714285714263</v>
      </c>
      <c r="BB1159">
        <v>-3.2589167767503295</v>
      </c>
      <c r="BC1159" t="s">
        <v>144</v>
      </c>
      <c r="BD1159">
        <v>0</v>
      </c>
      <c r="BE1159" t="s">
        <v>133</v>
      </c>
      <c r="BF115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3.028</v>
      </c>
    </row>
    <row r="1160" spans="1:58" x14ac:dyDescent="0.25">
      <c r="A1160" t="s">
        <v>1435</v>
      </c>
      <c r="B1160" t="s">
        <v>19</v>
      </c>
      <c r="C1160">
        <v>2</v>
      </c>
      <c r="D1160">
        <v>544</v>
      </c>
      <c r="E1160" t="s">
        <v>2111</v>
      </c>
      <c r="F1160" t="s">
        <v>123</v>
      </c>
      <c r="G1160" t="s">
        <v>124</v>
      </c>
      <c r="H1160" t="s">
        <v>125</v>
      </c>
      <c r="I1160" t="s">
        <v>126</v>
      </c>
      <c r="J1160" t="s">
        <v>126</v>
      </c>
      <c r="K1160" t="s">
        <v>127</v>
      </c>
      <c r="L1160">
        <v>50</v>
      </c>
      <c r="M1160">
        <v>1271461</v>
      </c>
      <c r="N1160">
        <v>6</v>
      </c>
      <c r="O1160">
        <v>4</v>
      </c>
      <c r="P1160" t="s">
        <v>168</v>
      </c>
      <c r="Q1160" t="s">
        <v>129</v>
      </c>
      <c r="R1160">
        <v>50</v>
      </c>
      <c r="T1160">
        <v>0</v>
      </c>
      <c r="U1160">
        <v>5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5</v>
      </c>
      <c r="AB1160">
        <v>50</v>
      </c>
      <c r="AC1160">
        <v>5</v>
      </c>
      <c r="AD1160">
        <v>0</v>
      </c>
      <c r="AE1160">
        <v>0</v>
      </c>
      <c r="AF1160">
        <v>5</v>
      </c>
      <c r="AG1160">
        <v>0</v>
      </c>
      <c r="AH1160">
        <v>45</v>
      </c>
      <c r="AI1160">
        <v>45</v>
      </c>
      <c r="AJ1160">
        <v>45</v>
      </c>
      <c r="AK1160">
        <v>45</v>
      </c>
      <c r="AL1160">
        <v>0</v>
      </c>
      <c r="AM1160">
        <v>0.12</v>
      </c>
      <c r="AN1160">
        <v>4.0909090909090908</v>
      </c>
      <c r="AO1160">
        <v>0</v>
      </c>
      <c r="AP1160" t="s">
        <v>130</v>
      </c>
      <c r="AQ1160" t="s">
        <v>131</v>
      </c>
      <c r="AR1160" t="s">
        <v>1184</v>
      </c>
      <c r="AS1160">
        <v>163</v>
      </c>
      <c r="AT1160">
        <v>147</v>
      </c>
      <c r="AU1160">
        <v>0</v>
      </c>
      <c r="AV1160">
        <v>0</v>
      </c>
      <c r="AW1160">
        <v>0.31</v>
      </c>
      <c r="AX1160">
        <v>6.2E-2</v>
      </c>
      <c r="AY1160">
        <v>0.31</v>
      </c>
      <c r="AZ1160" t="s">
        <v>135</v>
      </c>
      <c r="BA1160">
        <v>5.69</v>
      </c>
      <c r="BB1160">
        <v>91.774193548387103</v>
      </c>
      <c r="BC1160" t="s">
        <v>132</v>
      </c>
      <c r="BD1160">
        <v>1</v>
      </c>
      <c r="BE1160" t="s">
        <v>133</v>
      </c>
      <c r="BF116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0.31</v>
      </c>
    </row>
    <row r="1161" spans="1:58" x14ac:dyDescent="0.25">
      <c r="A1161" t="s">
        <v>1436</v>
      </c>
      <c r="B1161" t="s">
        <v>19</v>
      </c>
      <c r="C1161">
        <v>2</v>
      </c>
      <c r="D1161">
        <v>545</v>
      </c>
      <c r="E1161" t="s">
        <v>2111</v>
      </c>
      <c r="F1161" t="s">
        <v>123</v>
      </c>
      <c r="G1161" t="s">
        <v>124</v>
      </c>
      <c r="H1161" t="s">
        <v>125</v>
      </c>
      <c r="I1161" t="s">
        <v>126</v>
      </c>
      <c r="J1161" t="s">
        <v>126</v>
      </c>
      <c r="K1161" t="s">
        <v>127</v>
      </c>
      <c r="L1161">
        <v>50</v>
      </c>
      <c r="M1161">
        <v>1271463</v>
      </c>
      <c r="N1161">
        <v>6</v>
      </c>
      <c r="O1161">
        <v>4</v>
      </c>
      <c r="P1161" t="s">
        <v>168</v>
      </c>
      <c r="Q1161" t="s">
        <v>129</v>
      </c>
      <c r="R1161">
        <v>50</v>
      </c>
      <c r="T1161">
        <v>0</v>
      </c>
      <c r="U1161">
        <v>5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5</v>
      </c>
      <c r="AB1161">
        <v>50</v>
      </c>
      <c r="AC1161">
        <v>5</v>
      </c>
      <c r="AD1161">
        <v>0</v>
      </c>
      <c r="AE1161">
        <v>0</v>
      </c>
      <c r="AF1161">
        <v>5</v>
      </c>
      <c r="AG1161">
        <v>0</v>
      </c>
      <c r="AH1161">
        <v>45</v>
      </c>
      <c r="AI1161">
        <v>45</v>
      </c>
      <c r="AJ1161">
        <v>45</v>
      </c>
      <c r="AK1161">
        <v>45</v>
      </c>
      <c r="AL1161">
        <v>0</v>
      </c>
      <c r="AM1161">
        <v>0.12</v>
      </c>
      <c r="AN1161">
        <v>4.0909090909090908</v>
      </c>
      <c r="AO1161">
        <v>0</v>
      </c>
      <c r="AP1161" t="s">
        <v>130</v>
      </c>
      <c r="AQ1161" t="s">
        <v>131</v>
      </c>
      <c r="AR1161" t="s">
        <v>1184</v>
      </c>
      <c r="AS1161">
        <v>206</v>
      </c>
      <c r="AT1161">
        <v>184</v>
      </c>
      <c r="AU1161">
        <v>0</v>
      </c>
      <c r="AV1161">
        <v>0</v>
      </c>
      <c r="AW1161">
        <v>0.39</v>
      </c>
      <c r="AX1161">
        <v>7.8E-2</v>
      </c>
      <c r="AY1161">
        <v>0.39</v>
      </c>
      <c r="AZ1161" t="s">
        <v>135</v>
      </c>
      <c r="BA1161">
        <v>5.61</v>
      </c>
      <c r="BB1161">
        <v>71.923076923076934</v>
      </c>
      <c r="BC1161" t="s">
        <v>133</v>
      </c>
      <c r="BD1161">
        <v>2</v>
      </c>
      <c r="BE1161" t="s">
        <v>133</v>
      </c>
      <c r="BF116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0.39</v>
      </c>
    </row>
    <row r="1162" spans="1:58" x14ac:dyDescent="0.25">
      <c r="A1162" t="s">
        <v>1437</v>
      </c>
      <c r="B1162" t="s">
        <v>19</v>
      </c>
      <c r="C1162">
        <v>2</v>
      </c>
      <c r="D1162">
        <v>546</v>
      </c>
      <c r="E1162" t="s">
        <v>2111</v>
      </c>
      <c r="F1162" t="s">
        <v>123</v>
      </c>
      <c r="G1162" t="s">
        <v>124</v>
      </c>
      <c r="H1162" t="s">
        <v>125</v>
      </c>
      <c r="I1162" t="s">
        <v>126</v>
      </c>
      <c r="J1162" t="s">
        <v>126</v>
      </c>
      <c r="K1162" t="s">
        <v>127</v>
      </c>
      <c r="L1162">
        <v>50</v>
      </c>
      <c r="M1162">
        <v>1271465</v>
      </c>
      <c r="N1162">
        <v>6</v>
      </c>
      <c r="O1162">
        <v>4</v>
      </c>
      <c r="P1162" t="s">
        <v>168</v>
      </c>
      <c r="Q1162" t="s">
        <v>129</v>
      </c>
      <c r="R1162">
        <v>50</v>
      </c>
      <c r="T1162">
        <v>0</v>
      </c>
      <c r="U1162">
        <v>5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5</v>
      </c>
      <c r="AB1162">
        <v>50</v>
      </c>
      <c r="AC1162">
        <v>5</v>
      </c>
      <c r="AD1162">
        <v>0</v>
      </c>
      <c r="AE1162">
        <v>0</v>
      </c>
      <c r="AF1162">
        <v>5</v>
      </c>
      <c r="AG1162">
        <v>0</v>
      </c>
      <c r="AH1162">
        <v>45</v>
      </c>
      <c r="AI1162">
        <v>45</v>
      </c>
      <c r="AJ1162">
        <v>45</v>
      </c>
      <c r="AK1162">
        <v>45</v>
      </c>
      <c r="AL1162">
        <v>0</v>
      </c>
      <c r="AM1162">
        <v>0.12</v>
      </c>
      <c r="AN1162">
        <v>4.0909090909090908</v>
      </c>
      <c r="AO1162">
        <v>0</v>
      </c>
      <c r="AP1162" t="s">
        <v>130</v>
      </c>
      <c r="AQ1162" t="s">
        <v>131</v>
      </c>
      <c r="AR1162" t="s">
        <v>1184</v>
      </c>
      <c r="AS1162">
        <v>165</v>
      </c>
      <c r="AT1162">
        <v>178</v>
      </c>
      <c r="AU1162">
        <v>0</v>
      </c>
      <c r="AV1162">
        <v>0</v>
      </c>
      <c r="AW1162">
        <v>0.34300000000000003</v>
      </c>
      <c r="AX1162">
        <v>6.8600000000000008E-2</v>
      </c>
      <c r="AY1162">
        <v>0.34300000000000003</v>
      </c>
      <c r="AZ1162" t="s">
        <v>135</v>
      </c>
      <c r="BA1162">
        <v>5.657</v>
      </c>
      <c r="BB1162">
        <v>82.463556851311949</v>
      </c>
      <c r="BC1162" t="s">
        <v>133</v>
      </c>
      <c r="BD1162">
        <v>3</v>
      </c>
      <c r="BE1162" t="s">
        <v>133</v>
      </c>
      <c r="BF116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0.34300000000000003</v>
      </c>
    </row>
    <row r="1163" spans="1:58" x14ac:dyDescent="0.25">
      <c r="A1163" t="s">
        <v>1438</v>
      </c>
      <c r="B1163" t="s">
        <v>19</v>
      </c>
      <c r="C1163">
        <v>2</v>
      </c>
      <c r="D1163">
        <v>547</v>
      </c>
      <c r="E1163" t="s">
        <v>2111</v>
      </c>
      <c r="F1163" t="s">
        <v>123</v>
      </c>
      <c r="G1163" t="s">
        <v>124</v>
      </c>
      <c r="H1163" t="s">
        <v>125</v>
      </c>
      <c r="I1163" t="s">
        <v>126</v>
      </c>
      <c r="J1163" t="s">
        <v>126</v>
      </c>
      <c r="K1163" t="s">
        <v>127</v>
      </c>
      <c r="L1163">
        <v>50</v>
      </c>
      <c r="M1163">
        <v>1271467</v>
      </c>
      <c r="N1163">
        <v>6</v>
      </c>
      <c r="O1163">
        <v>4</v>
      </c>
      <c r="P1163" t="s">
        <v>168</v>
      </c>
      <c r="Q1163" t="s">
        <v>129</v>
      </c>
      <c r="R1163">
        <v>50</v>
      </c>
      <c r="T1163">
        <v>0</v>
      </c>
      <c r="U1163">
        <v>5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5</v>
      </c>
      <c r="AB1163">
        <v>50</v>
      </c>
      <c r="AC1163">
        <v>5</v>
      </c>
      <c r="AD1163">
        <v>0</v>
      </c>
      <c r="AE1163">
        <v>0</v>
      </c>
      <c r="AF1163">
        <v>5</v>
      </c>
      <c r="AG1163">
        <v>0</v>
      </c>
      <c r="AH1163">
        <v>45</v>
      </c>
      <c r="AI1163">
        <v>45</v>
      </c>
      <c r="AJ1163">
        <v>45</v>
      </c>
      <c r="AK1163">
        <v>45</v>
      </c>
      <c r="AL1163">
        <v>0</v>
      </c>
      <c r="AM1163">
        <v>0.12</v>
      </c>
      <c r="AN1163">
        <v>4.0909090909090908</v>
      </c>
      <c r="AO1163">
        <v>0</v>
      </c>
      <c r="AP1163" t="s">
        <v>130</v>
      </c>
      <c r="AQ1163" t="s">
        <v>131</v>
      </c>
      <c r="AR1163" t="s">
        <v>1184</v>
      </c>
      <c r="AS1163">
        <v>205</v>
      </c>
      <c r="AT1163">
        <v>175</v>
      </c>
      <c r="AU1163">
        <v>0</v>
      </c>
      <c r="AV1163">
        <v>0</v>
      </c>
      <c r="AW1163">
        <v>0.38</v>
      </c>
      <c r="AX1163">
        <v>7.5999999999999998E-2</v>
      </c>
      <c r="AY1163">
        <v>0.38</v>
      </c>
      <c r="AZ1163" t="s">
        <v>135</v>
      </c>
      <c r="BA1163">
        <v>5.62</v>
      </c>
      <c r="BB1163">
        <v>73.94736842105263</v>
      </c>
      <c r="BC1163" t="s">
        <v>133</v>
      </c>
      <c r="BD1163">
        <v>4</v>
      </c>
      <c r="BE1163" t="s">
        <v>133</v>
      </c>
      <c r="BF116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0.38</v>
      </c>
    </row>
    <row r="1164" spans="1:58" x14ac:dyDescent="0.25">
      <c r="A1164" t="s">
        <v>1439</v>
      </c>
      <c r="B1164" t="s">
        <v>19</v>
      </c>
      <c r="C1164">
        <v>2</v>
      </c>
      <c r="D1164">
        <v>548</v>
      </c>
      <c r="E1164" t="s">
        <v>2111</v>
      </c>
      <c r="F1164" t="s">
        <v>123</v>
      </c>
      <c r="G1164" t="s">
        <v>124</v>
      </c>
      <c r="H1164" t="s">
        <v>125</v>
      </c>
      <c r="I1164" t="s">
        <v>126</v>
      </c>
      <c r="J1164" t="s">
        <v>126</v>
      </c>
      <c r="K1164" t="s">
        <v>127</v>
      </c>
      <c r="L1164">
        <v>50</v>
      </c>
      <c r="M1164">
        <v>1271469</v>
      </c>
      <c r="N1164">
        <v>6</v>
      </c>
      <c r="O1164">
        <v>4</v>
      </c>
      <c r="P1164" t="s">
        <v>168</v>
      </c>
      <c r="Q1164" t="s">
        <v>129</v>
      </c>
      <c r="R1164">
        <v>50</v>
      </c>
      <c r="T1164">
        <v>0</v>
      </c>
      <c r="U1164">
        <v>5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5</v>
      </c>
      <c r="AB1164">
        <v>50</v>
      </c>
      <c r="AC1164">
        <v>5</v>
      </c>
      <c r="AD1164">
        <v>0</v>
      </c>
      <c r="AE1164">
        <v>0</v>
      </c>
      <c r="AF1164">
        <v>5</v>
      </c>
      <c r="AG1164">
        <v>0</v>
      </c>
      <c r="AH1164">
        <v>45</v>
      </c>
      <c r="AI1164">
        <v>45</v>
      </c>
      <c r="AJ1164">
        <v>45</v>
      </c>
      <c r="AK1164">
        <v>45</v>
      </c>
      <c r="AL1164">
        <v>0</v>
      </c>
      <c r="AM1164">
        <v>0.12</v>
      </c>
      <c r="AN1164">
        <v>4.0909090909090908</v>
      </c>
      <c r="AO1164">
        <v>0</v>
      </c>
      <c r="AP1164" t="s">
        <v>130</v>
      </c>
      <c r="AQ1164" t="s">
        <v>131</v>
      </c>
      <c r="AR1164" t="s">
        <v>1184</v>
      </c>
      <c r="AS1164">
        <v>190</v>
      </c>
      <c r="AT1164">
        <v>183</v>
      </c>
      <c r="AU1164">
        <v>0</v>
      </c>
      <c r="AV1164">
        <v>0</v>
      </c>
      <c r="AW1164">
        <v>0.373</v>
      </c>
      <c r="AX1164">
        <v>7.46E-2</v>
      </c>
      <c r="AY1164">
        <v>0.373</v>
      </c>
      <c r="AZ1164" t="s">
        <v>135</v>
      </c>
      <c r="BA1164">
        <v>5.6269999999999998</v>
      </c>
      <c r="BB1164">
        <v>75.428954423592486</v>
      </c>
      <c r="BC1164" t="s">
        <v>133</v>
      </c>
      <c r="BD1164">
        <v>5</v>
      </c>
      <c r="BE1164" t="s">
        <v>133</v>
      </c>
      <c r="BF116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0.373</v>
      </c>
    </row>
    <row r="1165" spans="1:58" x14ac:dyDescent="0.25">
      <c r="A1165" t="s">
        <v>1440</v>
      </c>
      <c r="B1165" t="s">
        <v>19</v>
      </c>
      <c r="C1165">
        <v>2</v>
      </c>
      <c r="D1165">
        <v>549</v>
      </c>
      <c r="E1165" t="s">
        <v>2111</v>
      </c>
      <c r="F1165" t="s">
        <v>123</v>
      </c>
      <c r="G1165" t="s">
        <v>124</v>
      </c>
      <c r="H1165" t="s">
        <v>136</v>
      </c>
      <c r="I1165" t="s">
        <v>137</v>
      </c>
      <c r="J1165" t="s">
        <v>138</v>
      </c>
      <c r="K1165" t="s">
        <v>127</v>
      </c>
      <c r="L1165">
        <v>50</v>
      </c>
      <c r="M1165">
        <v>1271471</v>
      </c>
      <c r="N1165">
        <v>5</v>
      </c>
      <c r="O1165">
        <v>4</v>
      </c>
      <c r="P1165" t="s">
        <v>168</v>
      </c>
      <c r="Q1165" t="s">
        <v>129</v>
      </c>
      <c r="R1165">
        <v>50</v>
      </c>
      <c r="T1165">
        <v>0</v>
      </c>
      <c r="U1165">
        <v>4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4</v>
      </c>
      <c r="AB1165">
        <v>50</v>
      </c>
      <c r="AC1165">
        <v>4</v>
      </c>
      <c r="AD1165">
        <v>0</v>
      </c>
      <c r="AE1165">
        <v>0</v>
      </c>
      <c r="AF1165">
        <v>4</v>
      </c>
      <c r="AG1165">
        <v>0</v>
      </c>
      <c r="AH1165">
        <v>46</v>
      </c>
      <c r="AI1165">
        <v>46</v>
      </c>
      <c r="AJ1165">
        <v>46</v>
      </c>
      <c r="AK1165">
        <v>46</v>
      </c>
      <c r="AL1165">
        <v>0</v>
      </c>
      <c r="AM1165">
        <v>0.1</v>
      </c>
      <c r="AN1165">
        <v>4.1818181818181817</v>
      </c>
      <c r="AO1165">
        <v>0</v>
      </c>
      <c r="AP1165" t="s">
        <v>139</v>
      </c>
      <c r="AQ1165" t="s">
        <v>131</v>
      </c>
      <c r="AR1165" t="s">
        <v>1184</v>
      </c>
      <c r="AS1165">
        <v>0</v>
      </c>
      <c r="AT1165">
        <v>0</v>
      </c>
      <c r="AU1165">
        <v>0</v>
      </c>
      <c r="AV1165">
        <v>0</v>
      </c>
      <c r="AW1165">
        <v>0</v>
      </c>
      <c r="AX1165">
        <v>0</v>
      </c>
      <c r="AY1165">
        <v>0</v>
      </c>
      <c r="AZ1165" t="s">
        <v>134</v>
      </c>
      <c r="BA1165">
        <v>5</v>
      </c>
      <c r="BB1165">
        <v>0</v>
      </c>
      <c r="BC1165" t="s">
        <v>133</v>
      </c>
      <c r="BD1165">
        <v>0</v>
      </c>
      <c r="BE1165" t="s">
        <v>133</v>
      </c>
      <c r="BF116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66" spans="1:58" x14ac:dyDescent="0.25">
      <c r="A1166" t="s">
        <v>1441</v>
      </c>
      <c r="B1166" t="s">
        <v>19</v>
      </c>
      <c r="C1166">
        <v>2</v>
      </c>
      <c r="D1166">
        <v>550</v>
      </c>
      <c r="E1166" t="s">
        <v>2111</v>
      </c>
      <c r="F1166" t="s">
        <v>123</v>
      </c>
      <c r="G1166" t="s">
        <v>124</v>
      </c>
      <c r="H1166" t="s">
        <v>125</v>
      </c>
      <c r="I1166" t="s">
        <v>126</v>
      </c>
      <c r="J1166" t="s">
        <v>126</v>
      </c>
      <c r="K1166" t="s">
        <v>127</v>
      </c>
      <c r="L1166">
        <v>50</v>
      </c>
      <c r="M1166">
        <v>1271473</v>
      </c>
      <c r="N1166">
        <v>6</v>
      </c>
      <c r="O1166">
        <v>4</v>
      </c>
      <c r="P1166" t="s">
        <v>168</v>
      </c>
      <c r="Q1166" t="s">
        <v>129</v>
      </c>
      <c r="R1166">
        <v>50</v>
      </c>
      <c r="T1166">
        <v>0</v>
      </c>
      <c r="U1166">
        <v>5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5</v>
      </c>
      <c r="AB1166">
        <v>50</v>
      </c>
      <c r="AC1166">
        <v>5</v>
      </c>
      <c r="AD1166">
        <v>0</v>
      </c>
      <c r="AE1166">
        <v>0</v>
      </c>
      <c r="AF1166">
        <v>5</v>
      </c>
      <c r="AG1166">
        <v>0</v>
      </c>
      <c r="AH1166">
        <v>45</v>
      </c>
      <c r="AI1166">
        <v>45</v>
      </c>
      <c r="AJ1166">
        <v>45</v>
      </c>
      <c r="AK1166">
        <v>45</v>
      </c>
      <c r="AL1166">
        <v>0</v>
      </c>
      <c r="AM1166">
        <v>0.12</v>
      </c>
      <c r="AN1166">
        <v>4.0909090909090908</v>
      </c>
      <c r="AO1166">
        <v>0</v>
      </c>
      <c r="AP1166" t="s">
        <v>130</v>
      </c>
      <c r="AQ1166" t="s">
        <v>131</v>
      </c>
      <c r="AR1166" t="s">
        <v>1184</v>
      </c>
      <c r="AS1166">
        <v>193</v>
      </c>
      <c r="AT1166">
        <v>171</v>
      </c>
      <c r="AU1166">
        <v>0</v>
      </c>
      <c r="AV1166">
        <v>0</v>
      </c>
      <c r="AW1166">
        <v>0.36399999999999999</v>
      </c>
      <c r="AX1166">
        <v>7.2800000000000004E-2</v>
      </c>
      <c r="AY1166">
        <v>0.36399999999999999</v>
      </c>
      <c r="AZ1166" t="s">
        <v>135</v>
      </c>
      <c r="BA1166">
        <v>5.6360000000000001</v>
      </c>
      <c r="BB1166">
        <v>77.417582417582409</v>
      </c>
      <c r="BC1166" t="s">
        <v>133</v>
      </c>
      <c r="BD1166">
        <v>1</v>
      </c>
      <c r="BE1166" t="s">
        <v>133</v>
      </c>
      <c r="BF116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0.36399999999999999</v>
      </c>
    </row>
    <row r="1167" spans="1:58" x14ac:dyDescent="0.25">
      <c r="A1167" t="s">
        <v>1442</v>
      </c>
      <c r="B1167" t="s">
        <v>19</v>
      </c>
      <c r="C1167">
        <v>2</v>
      </c>
      <c r="D1167">
        <v>551</v>
      </c>
      <c r="E1167" t="s">
        <v>2111</v>
      </c>
      <c r="F1167" t="s">
        <v>123</v>
      </c>
      <c r="G1167" t="s">
        <v>124</v>
      </c>
      <c r="H1167" t="s">
        <v>125</v>
      </c>
      <c r="I1167" t="s">
        <v>126</v>
      </c>
      <c r="J1167" t="s">
        <v>126</v>
      </c>
      <c r="K1167" t="s">
        <v>127</v>
      </c>
      <c r="L1167">
        <v>50</v>
      </c>
      <c r="M1167">
        <v>1271475</v>
      </c>
      <c r="N1167">
        <v>6</v>
      </c>
      <c r="O1167">
        <v>4</v>
      </c>
      <c r="P1167" t="s">
        <v>168</v>
      </c>
      <c r="Q1167" t="s">
        <v>129</v>
      </c>
      <c r="R1167">
        <v>50</v>
      </c>
      <c r="T1167">
        <v>0</v>
      </c>
      <c r="U1167">
        <v>5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5</v>
      </c>
      <c r="AB1167">
        <v>50</v>
      </c>
      <c r="AC1167">
        <v>5</v>
      </c>
      <c r="AD1167">
        <v>0</v>
      </c>
      <c r="AE1167">
        <v>0</v>
      </c>
      <c r="AF1167">
        <v>5</v>
      </c>
      <c r="AG1167">
        <v>0</v>
      </c>
      <c r="AH1167">
        <v>45</v>
      </c>
      <c r="AI1167">
        <v>45</v>
      </c>
      <c r="AJ1167">
        <v>45</v>
      </c>
      <c r="AK1167">
        <v>45</v>
      </c>
      <c r="AL1167">
        <v>0</v>
      </c>
      <c r="AM1167">
        <v>0.12</v>
      </c>
      <c r="AN1167">
        <v>4.0909090909090908</v>
      </c>
      <c r="AO1167">
        <v>0</v>
      </c>
      <c r="AP1167" t="s">
        <v>130</v>
      </c>
      <c r="AQ1167" t="s">
        <v>131</v>
      </c>
      <c r="AR1167" t="s">
        <v>1184</v>
      </c>
      <c r="AS1167">
        <v>186</v>
      </c>
      <c r="AT1167">
        <v>176</v>
      </c>
      <c r="AU1167">
        <v>0</v>
      </c>
      <c r="AV1167">
        <v>0</v>
      </c>
      <c r="AW1167">
        <v>0.36199999999999999</v>
      </c>
      <c r="AX1167">
        <v>7.2399999999999992E-2</v>
      </c>
      <c r="AY1167">
        <v>0.36199999999999999</v>
      </c>
      <c r="AZ1167" t="s">
        <v>135</v>
      </c>
      <c r="BA1167">
        <v>5.6379999999999999</v>
      </c>
      <c r="BB1167">
        <v>77.872928176795583</v>
      </c>
      <c r="BC1167" t="s">
        <v>133</v>
      </c>
      <c r="BD1167">
        <v>2</v>
      </c>
      <c r="BE1167" t="s">
        <v>133</v>
      </c>
      <c r="BF116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0.36199999999999999</v>
      </c>
    </row>
    <row r="1168" spans="1:58" x14ac:dyDescent="0.25">
      <c r="A1168" t="s">
        <v>1443</v>
      </c>
      <c r="B1168" t="s">
        <v>19</v>
      </c>
      <c r="C1168">
        <v>2</v>
      </c>
      <c r="D1168">
        <v>552</v>
      </c>
      <c r="E1168" t="s">
        <v>2111</v>
      </c>
      <c r="F1168" t="s">
        <v>123</v>
      </c>
      <c r="G1168" t="s">
        <v>124</v>
      </c>
      <c r="H1168" t="s">
        <v>125</v>
      </c>
      <c r="I1168" t="s">
        <v>126</v>
      </c>
      <c r="J1168" t="s">
        <v>126</v>
      </c>
      <c r="K1168" t="s">
        <v>127</v>
      </c>
      <c r="L1168">
        <v>50</v>
      </c>
      <c r="M1168">
        <v>1271477</v>
      </c>
      <c r="N1168">
        <v>6</v>
      </c>
      <c r="O1168">
        <v>4</v>
      </c>
      <c r="P1168" t="s">
        <v>168</v>
      </c>
      <c r="Q1168" t="s">
        <v>129</v>
      </c>
      <c r="R1168">
        <v>50</v>
      </c>
      <c r="T1168">
        <v>0</v>
      </c>
      <c r="U1168">
        <v>5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5</v>
      </c>
      <c r="AB1168">
        <v>50</v>
      </c>
      <c r="AC1168">
        <v>5</v>
      </c>
      <c r="AD1168">
        <v>0</v>
      </c>
      <c r="AE1168">
        <v>0</v>
      </c>
      <c r="AF1168">
        <v>5</v>
      </c>
      <c r="AG1168">
        <v>0</v>
      </c>
      <c r="AH1168">
        <v>45</v>
      </c>
      <c r="AI1168">
        <v>45</v>
      </c>
      <c r="AJ1168">
        <v>45</v>
      </c>
      <c r="AK1168">
        <v>45</v>
      </c>
      <c r="AL1168">
        <v>0</v>
      </c>
      <c r="AM1168">
        <v>0.12</v>
      </c>
      <c r="AN1168">
        <v>4.0909090909090908</v>
      </c>
      <c r="AO1168">
        <v>0</v>
      </c>
      <c r="AP1168" t="s">
        <v>130</v>
      </c>
      <c r="AQ1168" t="s">
        <v>131</v>
      </c>
      <c r="AR1168" t="s">
        <v>1184</v>
      </c>
      <c r="AS1168">
        <v>209</v>
      </c>
      <c r="AT1168">
        <v>186</v>
      </c>
      <c r="AU1168">
        <v>0</v>
      </c>
      <c r="AV1168">
        <v>0</v>
      </c>
      <c r="AW1168">
        <v>0.39500000000000002</v>
      </c>
      <c r="AX1168">
        <v>7.9000000000000001E-2</v>
      </c>
      <c r="AY1168">
        <v>0.39500000000000002</v>
      </c>
      <c r="AZ1168" t="s">
        <v>135</v>
      </c>
      <c r="BA1168">
        <v>5.6050000000000004</v>
      </c>
      <c r="BB1168">
        <v>70.949367088607602</v>
      </c>
      <c r="BC1168" t="s">
        <v>133</v>
      </c>
      <c r="BD1168">
        <v>3</v>
      </c>
      <c r="BE1168" t="s">
        <v>133</v>
      </c>
      <c r="BF116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0.39500000000000002</v>
      </c>
    </row>
    <row r="1169" spans="1:58" x14ac:dyDescent="0.25">
      <c r="A1169" t="s">
        <v>1444</v>
      </c>
      <c r="B1169" t="s">
        <v>19</v>
      </c>
      <c r="C1169">
        <v>2</v>
      </c>
      <c r="D1169">
        <v>553</v>
      </c>
      <c r="E1169" t="s">
        <v>2111</v>
      </c>
      <c r="F1169" t="s">
        <v>123</v>
      </c>
      <c r="G1169" t="s">
        <v>124</v>
      </c>
      <c r="H1169" t="s">
        <v>125</v>
      </c>
      <c r="I1169" t="s">
        <v>126</v>
      </c>
      <c r="J1169" t="s">
        <v>126</v>
      </c>
      <c r="K1169" t="s">
        <v>127</v>
      </c>
      <c r="L1169">
        <v>50</v>
      </c>
      <c r="M1169">
        <v>1271479</v>
      </c>
      <c r="N1169">
        <v>6</v>
      </c>
      <c r="O1169">
        <v>4</v>
      </c>
      <c r="P1169" t="s">
        <v>168</v>
      </c>
      <c r="Q1169" t="s">
        <v>129</v>
      </c>
      <c r="R1169">
        <v>50</v>
      </c>
      <c r="T1169">
        <v>0</v>
      </c>
      <c r="U1169">
        <v>5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5</v>
      </c>
      <c r="AB1169">
        <v>50</v>
      </c>
      <c r="AC1169">
        <v>5</v>
      </c>
      <c r="AD1169">
        <v>0</v>
      </c>
      <c r="AE1169">
        <v>0</v>
      </c>
      <c r="AF1169">
        <v>5</v>
      </c>
      <c r="AG1169">
        <v>0</v>
      </c>
      <c r="AH1169">
        <v>45</v>
      </c>
      <c r="AI1169">
        <v>45</v>
      </c>
      <c r="AJ1169">
        <v>45</v>
      </c>
      <c r="AK1169">
        <v>45</v>
      </c>
      <c r="AL1169">
        <v>0</v>
      </c>
      <c r="AM1169">
        <v>0.12</v>
      </c>
      <c r="AN1169">
        <v>4.0909090909090908</v>
      </c>
      <c r="AO1169">
        <v>0</v>
      </c>
      <c r="AP1169" t="s">
        <v>130</v>
      </c>
      <c r="AQ1169" t="s">
        <v>131</v>
      </c>
      <c r="AR1169" t="s">
        <v>1184</v>
      </c>
      <c r="AS1169">
        <v>205</v>
      </c>
      <c r="AT1169">
        <v>181</v>
      </c>
      <c r="AU1169">
        <v>0</v>
      </c>
      <c r="AV1169">
        <v>0</v>
      </c>
      <c r="AW1169">
        <v>0.38600000000000001</v>
      </c>
      <c r="AX1169">
        <v>7.7200000000000005E-2</v>
      </c>
      <c r="AY1169">
        <v>0.38600000000000001</v>
      </c>
      <c r="AZ1169" t="s">
        <v>135</v>
      </c>
      <c r="BA1169">
        <v>5.6139999999999999</v>
      </c>
      <c r="BB1169">
        <v>72.720207253886002</v>
      </c>
      <c r="BC1169" t="s">
        <v>133</v>
      </c>
      <c r="BD1169">
        <v>4</v>
      </c>
      <c r="BE1169" t="s">
        <v>133</v>
      </c>
      <c r="BF116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0.38600000000000001</v>
      </c>
    </row>
    <row r="1170" spans="1:58" x14ac:dyDescent="0.25">
      <c r="A1170" t="s">
        <v>1445</v>
      </c>
      <c r="B1170" t="s">
        <v>19</v>
      </c>
      <c r="C1170">
        <v>2</v>
      </c>
      <c r="D1170">
        <v>554</v>
      </c>
      <c r="E1170" t="s">
        <v>2111</v>
      </c>
      <c r="F1170" t="s">
        <v>123</v>
      </c>
      <c r="G1170" t="s">
        <v>124</v>
      </c>
      <c r="H1170" t="s">
        <v>125</v>
      </c>
      <c r="I1170" t="s">
        <v>126</v>
      </c>
      <c r="J1170" t="s">
        <v>126</v>
      </c>
      <c r="K1170" t="s">
        <v>127</v>
      </c>
      <c r="L1170">
        <v>50</v>
      </c>
      <c r="M1170">
        <v>1271481</v>
      </c>
      <c r="N1170">
        <v>6</v>
      </c>
      <c r="O1170">
        <v>4</v>
      </c>
      <c r="P1170" t="s">
        <v>168</v>
      </c>
      <c r="Q1170" t="s">
        <v>129</v>
      </c>
      <c r="R1170">
        <v>50</v>
      </c>
      <c r="T1170">
        <v>0</v>
      </c>
      <c r="U1170">
        <v>5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5</v>
      </c>
      <c r="AB1170">
        <v>50</v>
      </c>
      <c r="AC1170">
        <v>5</v>
      </c>
      <c r="AD1170">
        <v>0</v>
      </c>
      <c r="AE1170">
        <v>0</v>
      </c>
      <c r="AF1170">
        <v>5</v>
      </c>
      <c r="AG1170">
        <v>0</v>
      </c>
      <c r="AH1170">
        <v>45</v>
      </c>
      <c r="AI1170">
        <v>45</v>
      </c>
      <c r="AJ1170">
        <v>45</v>
      </c>
      <c r="AK1170">
        <v>45</v>
      </c>
      <c r="AL1170">
        <v>0</v>
      </c>
      <c r="AM1170">
        <v>0.12</v>
      </c>
      <c r="AN1170">
        <v>4.0909090909090908</v>
      </c>
      <c r="AO1170">
        <v>0</v>
      </c>
      <c r="AP1170" t="s">
        <v>130</v>
      </c>
      <c r="AQ1170" t="s">
        <v>131</v>
      </c>
      <c r="AR1170" t="s">
        <v>1184</v>
      </c>
      <c r="AS1170">
        <v>181</v>
      </c>
      <c r="AT1170">
        <v>164</v>
      </c>
      <c r="AU1170">
        <v>0</v>
      </c>
      <c r="AV1170">
        <v>0</v>
      </c>
      <c r="AW1170">
        <v>0.34499999999999997</v>
      </c>
      <c r="AX1170">
        <v>6.8999999999999992E-2</v>
      </c>
      <c r="AY1170">
        <v>0.34499999999999997</v>
      </c>
      <c r="AZ1170" t="s">
        <v>135</v>
      </c>
      <c r="BA1170">
        <v>5.6550000000000002</v>
      </c>
      <c r="BB1170">
        <v>81.956521739130451</v>
      </c>
      <c r="BC1170" t="s">
        <v>144</v>
      </c>
      <c r="BD1170">
        <v>5</v>
      </c>
      <c r="BE1170" t="s">
        <v>133</v>
      </c>
      <c r="BF117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0.34499999999999997</v>
      </c>
    </row>
    <row r="1171" spans="1:58" x14ac:dyDescent="0.25">
      <c r="A1171" t="s">
        <v>1446</v>
      </c>
      <c r="B1171" t="s">
        <v>19</v>
      </c>
      <c r="C1171">
        <v>2</v>
      </c>
      <c r="D1171">
        <v>555</v>
      </c>
      <c r="E1171" t="s">
        <v>2111</v>
      </c>
      <c r="F1171" t="s">
        <v>123</v>
      </c>
      <c r="G1171" t="s">
        <v>124</v>
      </c>
      <c r="H1171" t="s">
        <v>125</v>
      </c>
      <c r="I1171" t="s">
        <v>126</v>
      </c>
      <c r="J1171" t="s">
        <v>126</v>
      </c>
      <c r="K1171" t="s">
        <v>127</v>
      </c>
      <c r="L1171">
        <v>50</v>
      </c>
      <c r="M1171">
        <v>1271483</v>
      </c>
      <c r="N1171">
        <v>6</v>
      </c>
      <c r="O1171">
        <v>4</v>
      </c>
      <c r="P1171" t="s">
        <v>168</v>
      </c>
      <c r="Q1171" t="s">
        <v>129</v>
      </c>
      <c r="R1171">
        <v>51</v>
      </c>
      <c r="T1171">
        <v>16</v>
      </c>
      <c r="U1171">
        <v>21</v>
      </c>
      <c r="V1171">
        <v>2</v>
      </c>
      <c r="W1171">
        <v>0</v>
      </c>
      <c r="X1171">
        <v>2</v>
      </c>
      <c r="Y1171">
        <v>0</v>
      </c>
      <c r="Z1171">
        <v>18</v>
      </c>
      <c r="AA1171">
        <v>23</v>
      </c>
      <c r="AB1171">
        <v>50</v>
      </c>
      <c r="AC1171">
        <v>31</v>
      </c>
      <c r="AD1171">
        <v>3</v>
      </c>
      <c r="AE1171">
        <v>0</v>
      </c>
      <c r="AF1171">
        <v>34</v>
      </c>
      <c r="AG1171">
        <v>0</v>
      </c>
      <c r="AH1171">
        <v>19</v>
      </c>
      <c r="AI1171">
        <v>16</v>
      </c>
      <c r="AJ1171">
        <v>19</v>
      </c>
      <c r="AK1171">
        <v>19</v>
      </c>
      <c r="AL1171">
        <v>0</v>
      </c>
      <c r="AM1171">
        <v>0.12</v>
      </c>
      <c r="AN1171">
        <v>1.7272727272727273</v>
      </c>
      <c r="AO1171">
        <v>0</v>
      </c>
      <c r="AP1171" t="s">
        <v>130</v>
      </c>
      <c r="AQ1171" t="s">
        <v>131</v>
      </c>
      <c r="AR1171" t="s">
        <v>1184</v>
      </c>
      <c r="AS1171">
        <v>2232</v>
      </c>
      <c r="AT1171">
        <v>2213</v>
      </c>
      <c r="AU1171">
        <v>0</v>
      </c>
      <c r="AV1171">
        <v>0</v>
      </c>
      <c r="AW1171">
        <v>4.4450000000000003</v>
      </c>
      <c r="AX1171">
        <v>0.14338709677419356</v>
      </c>
      <c r="AY1171">
        <v>4.8751612903225814</v>
      </c>
      <c r="AZ1171" t="s">
        <v>135</v>
      </c>
      <c r="BA1171">
        <v>1.1248387096774186</v>
      </c>
      <c r="BB1171">
        <v>7.8447694038245164</v>
      </c>
      <c r="BC1171" t="s">
        <v>132</v>
      </c>
      <c r="BD1171">
        <v>0</v>
      </c>
      <c r="BE1171" t="s">
        <v>133</v>
      </c>
      <c r="BF117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4.4450000000000003</v>
      </c>
    </row>
    <row r="1172" spans="1:58" x14ac:dyDescent="0.25">
      <c r="A1172" t="s">
        <v>1447</v>
      </c>
      <c r="B1172" t="s">
        <v>19</v>
      </c>
      <c r="C1172">
        <v>2</v>
      </c>
      <c r="D1172">
        <v>556</v>
      </c>
      <c r="E1172" t="s">
        <v>2111</v>
      </c>
      <c r="F1172" t="s">
        <v>123</v>
      </c>
      <c r="G1172" t="s">
        <v>124</v>
      </c>
      <c r="H1172" t="s">
        <v>125</v>
      </c>
      <c r="I1172" t="s">
        <v>126</v>
      </c>
      <c r="J1172" t="s">
        <v>126</v>
      </c>
      <c r="K1172" t="s">
        <v>127</v>
      </c>
      <c r="L1172">
        <v>50</v>
      </c>
      <c r="M1172">
        <v>1271485</v>
      </c>
      <c r="N1172">
        <v>6</v>
      </c>
      <c r="O1172">
        <v>4</v>
      </c>
      <c r="P1172" t="s">
        <v>168</v>
      </c>
      <c r="Q1172" t="s">
        <v>129</v>
      </c>
      <c r="R1172">
        <v>51</v>
      </c>
      <c r="T1172">
        <v>8</v>
      </c>
      <c r="U1172">
        <v>13</v>
      </c>
      <c r="V1172">
        <v>4</v>
      </c>
      <c r="W1172">
        <v>0</v>
      </c>
      <c r="X1172">
        <v>4</v>
      </c>
      <c r="Y1172">
        <v>0</v>
      </c>
      <c r="Z1172">
        <v>12</v>
      </c>
      <c r="AA1172">
        <v>17</v>
      </c>
      <c r="AB1172">
        <v>50</v>
      </c>
      <c r="AC1172">
        <v>16</v>
      </c>
      <c r="AD1172">
        <v>7</v>
      </c>
      <c r="AE1172">
        <v>0</v>
      </c>
      <c r="AF1172">
        <v>23</v>
      </c>
      <c r="AG1172">
        <v>0</v>
      </c>
      <c r="AH1172">
        <v>34</v>
      </c>
      <c r="AI1172">
        <v>27</v>
      </c>
      <c r="AJ1172">
        <v>34</v>
      </c>
      <c r="AK1172">
        <v>34</v>
      </c>
      <c r="AL1172">
        <v>0</v>
      </c>
      <c r="AM1172">
        <v>0.12</v>
      </c>
      <c r="AN1172">
        <v>3.0909090909090908</v>
      </c>
      <c r="AO1172">
        <v>0</v>
      </c>
      <c r="AP1172" t="s">
        <v>130</v>
      </c>
      <c r="AQ1172" t="s">
        <v>131</v>
      </c>
      <c r="AR1172" t="s">
        <v>1184</v>
      </c>
      <c r="AS1172">
        <v>1799</v>
      </c>
      <c r="AT1172">
        <v>1737</v>
      </c>
      <c r="AU1172">
        <v>0</v>
      </c>
      <c r="AV1172">
        <v>0</v>
      </c>
      <c r="AW1172">
        <v>3.536</v>
      </c>
      <c r="AX1172">
        <v>0.221</v>
      </c>
      <c r="AY1172">
        <v>5.0830000000000002</v>
      </c>
      <c r="AZ1172" t="s">
        <v>135</v>
      </c>
      <c r="BA1172">
        <v>0.91699999999999982</v>
      </c>
      <c r="BB1172">
        <v>4.1493212669683253</v>
      </c>
      <c r="BC1172" t="s">
        <v>133</v>
      </c>
      <c r="BD1172">
        <v>0</v>
      </c>
      <c r="BE1172" t="s">
        <v>133</v>
      </c>
      <c r="BF117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3.536</v>
      </c>
    </row>
    <row r="1173" spans="1:58" x14ac:dyDescent="0.25">
      <c r="A1173" t="s">
        <v>1448</v>
      </c>
      <c r="B1173" t="s">
        <v>19</v>
      </c>
      <c r="C1173">
        <v>2</v>
      </c>
      <c r="D1173">
        <v>557</v>
      </c>
      <c r="E1173" t="s">
        <v>2111</v>
      </c>
      <c r="F1173" t="s">
        <v>123</v>
      </c>
      <c r="G1173" t="s">
        <v>124</v>
      </c>
      <c r="H1173" t="s">
        <v>125</v>
      </c>
      <c r="I1173" t="s">
        <v>126</v>
      </c>
      <c r="J1173" t="s">
        <v>126</v>
      </c>
      <c r="K1173" t="s">
        <v>127</v>
      </c>
      <c r="L1173">
        <v>50</v>
      </c>
      <c r="M1173">
        <v>1271487</v>
      </c>
      <c r="N1173">
        <v>6</v>
      </c>
      <c r="O1173">
        <v>4</v>
      </c>
      <c r="P1173" t="s">
        <v>168</v>
      </c>
      <c r="Q1173" t="s">
        <v>129</v>
      </c>
      <c r="R1173">
        <v>51</v>
      </c>
      <c r="T1173">
        <v>8</v>
      </c>
      <c r="U1173">
        <v>13</v>
      </c>
      <c r="V1173">
        <v>5</v>
      </c>
      <c r="W1173">
        <v>0</v>
      </c>
      <c r="X1173">
        <v>5</v>
      </c>
      <c r="Y1173">
        <v>1</v>
      </c>
      <c r="Z1173">
        <v>14</v>
      </c>
      <c r="AA1173">
        <v>19</v>
      </c>
      <c r="AB1173">
        <v>50</v>
      </c>
      <c r="AC1173">
        <v>22</v>
      </c>
      <c r="AD1173">
        <v>5</v>
      </c>
      <c r="AE1173">
        <v>4</v>
      </c>
      <c r="AF1173">
        <v>31</v>
      </c>
      <c r="AG1173">
        <v>0</v>
      </c>
      <c r="AH1173">
        <v>28</v>
      </c>
      <c r="AI1173">
        <v>19</v>
      </c>
      <c r="AJ1173">
        <v>24</v>
      </c>
      <c r="AK1173">
        <v>28</v>
      </c>
      <c r="AL1173">
        <v>0</v>
      </c>
      <c r="AM1173">
        <v>0.12</v>
      </c>
      <c r="AN1173">
        <v>2.1818181818181817</v>
      </c>
      <c r="AO1173">
        <v>0</v>
      </c>
      <c r="AP1173" t="s">
        <v>130</v>
      </c>
      <c r="AQ1173" t="s">
        <v>131</v>
      </c>
      <c r="AR1173" t="s">
        <v>1184</v>
      </c>
      <c r="AS1173">
        <v>1250</v>
      </c>
      <c r="AT1173">
        <v>1201</v>
      </c>
      <c r="AU1173">
        <v>0</v>
      </c>
      <c r="AV1173">
        <v>0</v>
      </c>
      <c r="AW1173">
        <v>2.4510000000000001</v>
      </c>
      <c r="AX1173">
        <v>0.11140909090909092</v>
      </c>
      <c r="AY1173">
        <v>3.4536818181818183</v>
      </c>
      <c r="AZ1173" t="s">
        <v>135</v>
      </c>
      <c r="BA1173">
        <v>2.5463181818181817</v>
      </c>
      <c r="BB1173">
        <v>22.855569155446755</v>
      </c>
      <c r="BC1173" t="s">
        <v>133</v>
      </c>
      <c r="BD1173">
        <v>0</v>
      </c>
      <c r="BE1173" t="s">
        <v>133</v>
      </c>
      <c r="BF117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2.4510000000000001</v>
      </c>
    </row>
    <row r="1174" spans="1:58" x14ac:dyDescent="0.25">
      <c r="A1174" t="s">
        <v>1449</v>
      </c>
      <c r="B1174" t="s">
        <v>19</v>
      </c>
      <c r="C1174">
        <v>2</v>
      </c>
      <c r="D1174">
        <v>558</v>
      </c>
      <c r="E1174" t="s">
        <v>2111</v>
      </c>
      <c r="F1174" t="s">
        <v>123</v>
      </c>
      <c r="G1174" t="s">
        <v>124</v>
      </c>
      <c r="H1174" t="s">
        <v>125</v>
      </c>
      <c r="I1174" t="s">
        <v>126</v>
      </c>
      <c r="J1174" t="s">
        <v>126</v>
      </c>
      <c r="K1174" t="s">
        <v>127</v>
      </c>
      <c r="L1174">
        <v>50</v>
      </c>
      <c r="M1174">
        <v>1271489</v>
      </c>
      <c r="N1174">
        <v>6</v>
      </c>
      <c r="O1174">
        <v>4</v>
      </c>
      <c r="P1174" t="s">
        <v>168</v>
      </c>
      <c r="Q1174" t="s">
        <v>129</v>
      </c>
      <c r="R1174">
        <v>51</v>
      </c>
      <c r="T1174">
        <v>1</v>
      </c>
      <c r="U1174">
        <v>6</v>
      </c>
      <c r="V1174">
        <v>13</v>
      </c>
      <c r="W1174">
        <v>0</v>
      </c>
      <c r="X1174">
        <v>13</v>
      </c>
      <c r="Y1174">
        <v>0</v>
      </c>
      <c r="Z1174">
        <v>14</v>
      </c>
      <c r="AA1174">
        <v>19</v>
      </c>
      <c r="AB1174">
        <v>50</v>
      </c>
      <c r="AC1174">
        <v>6</v>
      </c>
      <c r="AD1174">
        <v>13</v>
      </c>
      <c r="AE1174">
        <v>0</v>
      </c>
      <c r="AF1174">
        <v>19</v>
      </c>
      <c r="AG1174">
        <v>0</v>
      </c>
      <c r="AH1174">
        <v>44</v>
      </c>
      <c r="AI1174">
        <v>31</v>
      </c>
      <c r="AJ1174">
        <v>44</v>
      </c>
      <c r="AK1174">
        <v>44</v>
      </c>
      <c r="AL1174">
        <v>0</v>
      </c>
      <c r="AM1174">
        <v>0.12</v>
      </c>
      <c r="AN1174">
        <v>4</v>
      </c>
      <c r="AO1174">
        <v>0</v>
      </c>
      <c r="AP1174" t="s">
        <v>130</v>
      </c>
      <c r="AQ1174" t="s">
        <v>131</v>
      </c>
      <c r="AR1174" t="s">
        <v>1184</v>
      </c>
      <c r="AS1174">
        <v>514</v>
      </c>
      <c r="AT1174">
        <v>520</v>
      </c>
      <c r="AU1174">
        <v>0</v>
      </c>
      <c r="AV1174">
        <v>0</v>
      </c>
      <c r="AW1174">
        <v>1.034</v>
      </c>
      <c r="AX1174">
        <v>0.17233333333333334</v>
      </c>
      <c r="AY1174">
        <v>3.2743333333333333</v>
      </c>
      <c r="AZ1174" t="s">
        <v>135</v>
      </c>
      <c r="BA1174">
        <v>2.7256666666666667</v>
      </c>
      <c r="BB1174">
        <v>15.816247582205028</v>
      </c>
      <c r="BC1174" t="s">
        <v>133</v>
      </c>
      <c r="BD1174">
        <v>0</v>
      </c>
      <c r="BE1174" t="s">
        <v>133</v>
      </c>
      <c r="BF117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1.034</v>
      </c>
    </row>
    <row r="1175" spans="1:58" x14ac:dyDescent="0.25">
      <c r="A1175" t="s">
        <v>1450</v>
      </c>
      <c r="B1175" t="s">
        <v>19</v>
      </c>
      <c r="C1175">
        <v>2</v>
      </c>
      <c r="D1175">
        <v>559</v>
      </c>
      <c r="E1175" t="s">
        <v>2111</v>
      </c>
      <c r="F1175" t="s">
        <v>123</v>
      </c>
      <c r="G1175" t="s">
        <v>124</v>
      </c>
      <c r="H1175" t="s">
        <v>125</v>
      </c>
      <c r="I1175" t="s">
        <v>126</v>
      </c>
      <c r="J1175" t="s">
        <v>126</v>
      </c>
      <c r="K1175" t="s">
        <v>127</v>
      </c>
      <c r="L1175">
        <v>50</v>
      </c>
      <c r="M1175">
        <v>1271491</v>
      </c>
      <c r="N1175">
        <v>6</v>
      </c>
      <c r="O1175">
        <v>4</v>
      </c>
      <c r="P1175" t="s">
        <v>168</v>
      </c>
      <c r="Q1175" t="s">
        <v>129</v>
      </c>
      <c r="R1175">
        <v>51</v>
      </c>
      <c r="T1175">
        <v>4</v>
      </c>
      <c r="U1175">
        <v>9</v>
      </c>
      <c r="V1175">
        <v>22</v>
      </c>
      <c r="W1175">
        <v>0</v>
      </c>
      <c r="X1175">
        <v>22</v>
      </c>
      <c r="Y1175">
        <v>2</v>
      </c>
      <c r="Z1175">
        <v>28</v>
      </c>
      <c r="AA1175">
        <v>33</v>
      </c>
      <c r="AB1175">
        <v>50</v>
      </c>
      <c r="AC1175">
        <v>11</v>
      </c>
      <c r="AD1175">
        <v>24</v>
      </c>
      <c r="AE1175">
        <v>5</v>
      </c>
      <c r="AF1175">
        <v>40</v>
      </c>
      <c r="AG1175">
        <v>0</v>
      </c>
      <c r="AH1175">
        <v>39</v>
      </c>
      <c r="AI1175">
        <v>10</v>
      </c>
      <c r="AJ1175">
        <v>34</v>
      </c>
      <c r="AK1175">
        <v>39</v>
      </c>
      <c r="AL1175">
        <v>0</v>
      </c>
      <c r="AM1175">
        <v>0.12</v>
      </c>
      <c r="AN1175">
        <v>3.0909090909090908</v>
      </c>
      <c r="AO1175">
        <v>0</v>
      </c>
      <c r="AP1175" t="s">
        <v>130</v>
      </c>
      <c r="AQ1175" t="s">
        <v>131</v>
      </c>
      <c r="AR1175" t="s">
        <v>1184</v>
      </c>
      <c r="AS1175">
        <v>1324</v>
      </c>
      <c r="AT1175">
        <v>1371</v>
      </c>
      <c r="AU1175">
        <v>0</v>
      </c>
      <c r="AV1175">
        <v>0</v>
      </c>
      <c r="AW1175">
        <v>2.6949999999999998</v>
      </c>
      <c r="AX1175">
        <v>0.245</v>
      </c>
      <c r="AY1175">
        <v>9.8000000000000007</v>
      </c>
      <c r="AZ1175" t="s">
        <v>135</v>
      </c>
      <c r="BA1175">
        <v>-3.8000000000000007</v>
      </c>
      <c r="BB1175">
        <v>-15.510204081632656</v>
      </c>
      <c r="BC1175" t="s">
        <v>133</v>
      </c>
      <c r="BD1175">
        <v>0</v>
      </c>
      <c r="BE1175" t="s">
        <v>133</v>
      </c>
      <c r="BF117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2.6949999999999998</v>
      </c>
    </row>
    <row r="1176" spans="1:58" x14ac:dyDescent="0.25">
      <c r="A1176" t="s">
        <v>1451</v>
      </c>
      <c r="B1176" t="s">
        <v>19</v>
      </c>
      <c r="C1176">
        <v>2</v>
      </c>
      <c r="D1176">
        <v>560</v>
      </c>
      <c r="E1176" t="s">
        <v>2111</v>
      </c>
      <c r="F1176" t="s">
        <v>123</v>
      </c>
      <c r="G1176" t="s">
        <v>124</v>
      </c>
      <c r="H1176" t="s">
        <v>136</v>
      </c>
      <c r="I1176" t="s">
        <v>137</v>
      </c>
      <c r="J1176" t="s">
        <v>138</v>
      </c>
      <c r="K1176" t="s">
        <v>127</v>
      </c>
      <c r="L1176">
        <v>50</v>
      </c>
      <c r="M1176">
        <v>1271493</v>
      </c>
      <c r="N1176">
        <v>5</v>
      </c>
      <c r="O1176">
        <v>4</v>
      </c>
      <c r="P1176" t="s">
        <v>168</v>
      </c>
      <c r="Q1176" t="s">
        <v>129</v>
      </c>
      <c r="R1176">
        <v>51</v>
      </c>
      <c r="T1176">
        <v>0</v>
      </c>
      <c r="U1176">
        <v>4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4</v>
      </c>
      <c r="AB1176">
        <v>50</v>
      </c>
      <c r="AC1176">
        <v>4</v>
      </c>
      <c r="AD1176">
        <v>0</v>
      </c>
      <c r="AE1176">
        <v>0</v>
      </c>
      <c r="AF1176">
        <v>4</v>
      </c>
      <c r="AG1176">
        <v>0</v>
      </c>
      <c r="AH1176">
        <v>46</v>
      </c>
      <c r="AI1176">
        <v>46</v>
      </c>
      <c r="AJ1176">
        <v>46</v>
      </c>
      <c r="AK1176">
        <v>46</v>
      </c>
      <c r="AL1176">
        <v>0</v>
      </c>
      <c r="AM1176">
        <v>0.1</v>
      </c>
      <c r="AN1176">
        <v>4.1818181818181817</v>
      </c>
      <c r="AO1176">
        <v>0</v>
      </c>
      <c r="AP1176" t="s">
        <v>139</v>
      </c>
      <c r="AQ1176" t="s">
        <v>131</v>
      </c>
      <c r="AR1176" t="s">
        <v>1184</v>
      </c>
      <c r="AS1176">
        <v>0</v>
      </c>
      <c r="AT1176">
        <v>0</v>
      </c>
      <c r="AU1176">
        <v>0</v>
      </c>
      <c r="AV1176">
        <v>0</v>
      </c>
      <c r="AW1176">
        <v>0</v>
      </c>
      <c r="AX1176">
        <v>0</v>
      </c>
      <c r="AY1176">
        <v>0</v>
      </c>
      <c r="AZ1176" t="s">
        <v>134</v>
      </c>
      <c r="BA1176">
        <v>5</v>
      </c>
      <c r="BB1176">
        <v>0</v>
      </c>
      <c r="BC1176" t="s">
        <v>133</v>
      </c>
      <c r="BD1176">
        <v>0</v>
      </c>
      <c r="BE1176" t="s">
        <v>133</v>
      </c>
      <c r="BF117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77" spans="1:58" x14ac:dyDescent="0.25">
      <c r="A1177" t="s">
        <v>1452</v>
      </c>
      <c r="B1177" t="s">
        <v>19</v>
      </c>
      <c r="C1177">
        <v>2</v>
      </c>
      <c r="D1177">
        <v>561</v>
      </c>
      <c r="E1177" t="s">
        <v>2111</v>
      </c>
      <c r="F1177" t="s">
        <v>123</v>
      </c>
      <c r="G1177" t="s">
        <v>124</v>
      </c>
      <c r="H1177" t="s">
        <v>125</v>
      </c>
      <c r="I1177" t="s">
        <v>126</v>
      </c>
      <c r="J1177" t="s">
        <v>126</v>
      </c>
      <c r="K1177" t="s">
        <v>127</v>
      </c>
      <c r="L1177">
        <v>50</v>
      </c>
      <c r="M1177">
        <v>1271495</v>
      </c>
      <c r="N1177">
        <v>6</v>
      </c>
      <c r="O1177">
        <v>4</v>
      </c>
      <c r="P1177" t="s">
        <v>168</v>
      </c>
      <c r="Q1177" t="s">
        <v>129</v>
      </c>
      <c r="R1177">
        <v>51</v>
      </c>
      <c r="T1177">
        <v>2</v>
      </c>
      <c r="U1177">
        <v>7</v>
      </c>
      <c r="V1177">
        <v>1</v>
      </c>
      <c r="W1177">
        <v>0</v>
      </c>
      <c r="X1177">
        <v>1</v>
      </c>
      <c r="Y1177">
        <v>0</v>
      </c>
      <c r="Z1177">
        <v>3</v>
      </c>
      <c r="AA1177">
        <v>8</v>
      </c>
      <c r="AB1177">
        <v>50</v>
      </c>
      <c r="AC1177">
        <v>9</v>
      </c>
      <c r="AD1177">
        <v>2</v>
      </c>
      <c r="AE1177">
        <v>0</v>
      </c>
      <c r="AF1177">
        <v>11</v>
      </c>
      <c r="AG1177">
        <v>0</v>
      </c>
      <c r="AH1177">
        <v>41</v>
      </c>
      <c r="AI1177">
        <v>39</v>
      </c>
      <c r="AJ1177">
        <v>41</v>
      </c>
      <c r="AK1177">
        <v>41</v>
      </c>
      <c r="AL1177">
        <v>0</v>
      </c>
      <c r="AM1177">
        <v>0.12</v>
      </c>
      <c r="AN1177">
        <v>3.7272727272727275</v>
      </c>
      <c r="AO1177">
        <v>0</v>
      </c>
      <c r="AP1177" t="s">
        <v>130</v>
      </c>
      <c r="AQ1177" t="s">
        <v>131</v>
      </c>
      <c r="AR1177" t="s">
        <v>1184</v>
      </c>
      <c r="AS1177">
        <v>585</v>
      </c>
      <c r="AT1177">
        <v>773</v>
      </c>
      <c r="AU1177">
        <v>0</v>
      </c>
      <c r="AV1177">
        <v>0</v>
      </c>
      <c r="AW1177">
        <v>1.3580000000000001</v>
      </c>
      <c r="AX1177">
        <v>0.15088888888888891</v>
      </c>
      <c r="AY1177">
        <v>1.659777777777778</v>
      </c>
      <c r="AZ1177" t="s">
        <v>135</v>
      </c>
      <c r="BA1177">
        <v>4.3402222222222218</v>
      </c>
      <c r="BB1177">
        <v>28.764359351988212</v>
      </c>
      <c r="BC1177" t="s">
        <v>133</v>
      </c>
      <c r="BD1177">
        <v>0</v>
      </c>
      <c r="BE1177" t="s">
        <v>133</v>
      </c>
      <c r="BF117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1.3580000000000001</v>
      </c>
    </row>
    <row r="1178" spans="1:58" x14ac:dyDescent="0.25">
      <c r="A1178" t="s">
        <v>1453</v>
      </c>
      <c r="B1178" t="s">
        <v>19</v>
      </c>
      <c r="C1178">
        <v>2</v>
      </c>
      <c r="D1178">
        <v>562</v>
      </c>
      <c r="E1178" t="s">
        <v>2111</v>
      </c>
      <c r="F1178" t="s">
        <v>123</v>
      </c>
      <c r="G1178" t="s">
        <v>124</v>
      </c>
      <c r="H1178" t="s">
        <v>125</v>
      </c>
      <c r="I1178" t="s">
        <v>126</v>
      </c>
      <c r="J1178" t="s">
        <v>126</v>
      </c>
      <c r="K1178" t="s">
        <v>127</v>
      </c>
      <c r="L1178">
        <v>50</v>
      </c>
      <c r="M1178">
        <v>1271497</v>
      </c>
      <c r="N1178">
        <v>6</v>
      </c>
      <c r="O1178">
        <v>4</v>
      </c>
      <c r="P1178" t="s">
        <v>168</v>
      </c>
      <c r="Q1178" t="s">
        <v>129</v>
      </c>
      <c r="R1178">
        <v>51</v>
      </c>
      <c r="T1178">
        <v>3</v>
      </c>
      <c r="U1178">
        <v>8</v>
      </c>
      <c r="V1178">
        <v>1</v>
      </c>
      <c r="W1178">
        <v>0</v>
      </c>
      <c r="X1178">
        <v>1</v>
      </c>
      <c r="Y1178">
        <v>1</v>
      </c>
      <c r="Z1178">
        <v>5</v>
      </c>
      <c r="AA1178">
        <v>10</v>
      </c>
      <c r="AB1178">
        <v>50</v>
      </c>
      <c r="AC1178">
        <v>11</v>
      </c>
      <c r="AD1178">
        <v>2</v>
      </c>
      <c r="AE1178">
        <v>2</v>
      </c>
      <c r="AF1178">
        <v>15</v>
      </c>
      <c r="AG1178">
        <v>0</v>
      </c>
      <c r="AH1178">
        <v>39</v>
      </c>
      <c r="AI1178">
        <v>35</v>
      </c>
      <c r="AJ1178">
        <v>37</v>
      </c>
      <c r="AK1178">
        <v>39</v>
      </c>
      <c r="AL1178">
        <v>0</v>
      </c>
      <c r="AM1178">
        <v>0.12</v>
      </c>
      <c r="AN1178">
        <v>3.3636363636363638</v>
      </c>
      <c r="AO1178">
        <v>0</v>
      </c>
      <c r="AP1178" t="s">
        <v>130</v>
      </c>
      <c r="AQ1178" t="s">
        <v>131</v>
      </c>
      <c r="AR1178" t="s">
        <v>1184</v>
      </c>
      <c r="AS1178">
        <v>1101</v>
      </c>
      <c r="AT1178">
        <v>1003</v>
      </c>
      <c r="AU1178">
        <v>0</v>
      </c>
      <c r="AV1178">
        <v>0</v>
      </c>
      <c r="AW1178">
        <v>2.1040000000000001</v>
      </c>
      <c r="AX1178">
        <v>0.19127272727272729</v>
      </c>
      <c r="AY1178">
        <v>2.8690909090909091</v>
      </c>
      <c r="AZ1178" t="s">
        <v>135</v>
      </c>
      <c r="BA1178">
        <v>3.1309090909090909</v>
      </c>
      <c r="BB1178">
        <v>16.368821292775664</v>
      </c>
      <c r="BC1178" t="s">
        <v>133</v>
      </c>
      <c r="BD1178">
        <v>0</v>
      </c>
      <c r="BE1178" t="s">
        <v>133</v>
      </c>
      <c r="BF117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2.1040000000000001</v>
      </c>
    </row>
    <row r="1179" spans="1:58" x14ac:dyDescent="0.25">
      <c r="A1179" t="s">
        <v>1454</v>
      </c>
      <c r="B1179" t="s">
        <v>19</v>
      </c>
      <c r="C1179">
        <v>2</v>
      </c>
      <c r="D1179">
        <v>563</v>
      </c>
      <c r="E1179" t="s">
        <v>2111</v>
      </c>
      <c r="F1179" t="s">
        <v>123</v>
      </c>
      <c r="G1179" t="s">
        <v>124</v>
      </c>
      <c r="H1179" t="s">
        <v>125</v>
      </c>
      <c r="I1179" t="s">
        <v>126</v>
      </c>
      <c r="J1179" t="s">
        <v>126</v>
      </c>
      <c r="K1179" t="s">
        <v>127</v>
      </c>
      <c r="L1179">
        <v>50</v>
      </c>
      <c r="M1179">
        <v>1271499</v>
      </c>
      <c r="N1179">
        <v>6</v>
      </c>
      <c r="O1179">
        <v>4</v>
      </c>
      <c r="P1179" t="s">
        <v>168</v>
      </c>
      <c r="Q1179" t="s">
        <v>129</v>
      </c>
      <c r="R1179">
        <v>51</v>
      </c>
      <c r="T1179">
        <v>6</v>
      </c>
      <c r="U1179">
        <v>11</v>
      </c>
      <c r="V1179">
        <v>1</v>
      </c>
      <c r="W1179">
        <v>0</v>
      </c>
      <c r="X1179">
        <v>1</v>
      </c>
      <c r="Y1179">
        <v>0</v>
      </c>
      <c r="Z1179">
        <v>7</v>
      </c>
      <c r="AA1179">
        <v>12</v>
      </c>
      <c r="AB1179">
        <v>50</v>
      </c>
      <c r="AC1179">
        <v>17</v>
      </c>
      <c r="AD1179">
        <v>2</v>
      </c>
      <c r="AE1179">
        <v>0</v>
      </c>
      <c r="AF1179">
        <v>19</v>
      </c>
      <c r="AG1179">
        <v>0</v>
      </c>
      <c r="AH1179">
        <v>33</v>
      </c>
      <c r="AI1179">
        <v>31</v>
      </c>
      <c r="AJ1179">
        <v>33</v>
      </c>
      <c r="AK1179">
        <v>33</v>
      </c>
      <c r="AL1179">
        <v>0</v>
      </c>
      <c r="AM1179">
        <v>0.12</v>
      </c>
      <c r="AN1179">
        <v>3</v>
      </c>
      <c r="AO1179">
        <v>0</v>
      </c>
      <c r="AP1179" t="s">
        <v>130</v>
      </c>
      <c r="AQ1179" t="s">
        <v>131</v>
      </c>
      <c r="AR1179" t="s">
        <v>1184</v>
      </c>
      <c r="AS1179">
        <v>1420</v>
      </c>
      <c r="AT1179">
        <v>1308</v>
      </c>
      <c r="AU1179">
        <v>0</v>
      </c>
      <c r="AV1179">
        <v>0</v>
      </c>
      <c r="AW1179">
        <v>2.7280000000000002</v>
      </c>
      <c r="AX1179">
        <v>0.16047058823529414</v>
      </c>
      <c r="AY1179">
        <v>3.0489411764705885</v>
      </c>
      <c r="AZ1179" t="s">
        <v>135</v>
      </c>
      <c r="BA1179">
        <v>2.9510588235294115</v>
      </c>
      <c r="BB1179">
        <v>18.390029325513193</v>
      </c>
      <c r="BC1179" t="s">
        <v>133</v>
      </c>
      <c r="BD1179">
        <v>0</v>
      </c>
      <c r="BE1179" t="s">
        <v>133</v>
      </c>
      <c r="BF117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2.7280000000000002</v>
      </c>
    </row>
    <row r="1180" spans="1:58" x14ac:dyDescent="0.25">
      <c r="A1180" t="s">
        <v>1455</v>
      </c>
      <c r="B1180" t="s">
        <v>19</v>
      </c>
      <c r="C1180">
        <v>2</v>
      </c>
      <c r="D1180">
        <v>564</v>
      </c>
      <c r="E1180" t="s">
        <v>2111</v>
      </c>
      <c r="F1180" t="s">
        <v>123</v>
      </c>
      <c r="G1180" t="s">
        <v>124</v>
      </c>
      <c r="H1180" t="s">
        <v>125</v>
      </c>
      <c r="I1180" t="s">
        <v>126</v>
      </c>
      <c r="J1180" t="s">
        <v>126</v>
      </c>
      <c r="K1180" t="s">
        <v>127</v>
      </c>
      <c r="L1180">
        <v>50</v>
      </c>
      <c r="M1180">
        <v>1271501</v>
      </c>
      <c r="N1180">
        <v>6</v>
      </c>
      <c r="O1180">
        <v>4</v>
      </c>
      <c r="P1180" t="s">
        <v>168</v>
      </c>
      <c r="Q1180" t="s">
        <v>129</v>
      </c>
      <c r="R1180">
        <v>51</v>
      </c>
      <c r="T1180">
        <v>3</v>
      </c>
      <c r="U1180">
        <v>8</v>
      </c>
      <c r="V1180">
        <v>2</v>
      </c>
      <c r="W1180">
        <v>0</v>
      </c>
      <c r="X1180">
        <v>2</v>
      </c>
      <c r="Y1180">
        <v>1</v>
      </c>
      <c r="Z1180">
        <v>6</v>
      </c>
      <c r="AA1180">
        <v>11</v>
      </c>
      <c r="AB1180">
        <v>50</v>
      </c>
      <c r="AC1180">
        <v>11</v>
      </c>
      <c r="AD1180">
        <v>4</v>
      </c>
      <c r="AE1180">
        <v>2</v>
      </c>
      <c r="AF1180">
        <v>17</v>
      </c>
      <c r="AG1180">
        <v>0</v>
      </c>
      <c r="AH1180">
        <v>39</v>
      </c>
      <c r="AI1180">
        <v>33</v>
      </c>
      <c r="AJ1180">
        <v>37</v>
      </c>
      <c r="AK1180">
        <v>39</v>
      </c>
      <c r="AL1180">
        <v>0</v>
      </c>
      <c r="AM1180">
        <v>0.12</v>
      </c>
      <c r="AN1180">
        <v>3.3636363636363638</v>
      </c>
      <c r="AO1180">
        <v>0</v>
      </c>
      <c r="AP1180" t="s">
        <v>130</v>
      </c>
      <c r="AQ1180" t="s">
        <v>131</v>
      </c>
      <c r="AR1180" t="s">
        <v>1184</v>
      </c>
      <c r="AS1180">
        <v>895</v>
      </c>
      <c r="AT1180">
        <v>845</v>
      </c>
      <c r="AU1180">
        <v>0</v>
      </c>
      <c r="AV1180">
        <v>0</v>
      </c>
      <c r="AW1180">
        <v>1.74</v>
      </c>
      <c r="AX1180">
        <v>0.15818181818181817</v>
      </c>
      <c r="AY1180">
        <v>2.689090909090909</v>
      </c>
      <c r="AZ1180" t="s">
        <v>135</v>
      </c>
      <c r="BA1180">
        <v>3.310909090909091</v>
      </c>
      <c r="BB1180">
        <v>20.931034482758623</v>
      </c>
      <c r="BC1180" t="s">
        <v>133</v>
      </c>
      <c r="BD1180">
        <v>0</v>
      </c>
      <c r="BE1180" t="s">
        <v>133</v>
      </c>
      <c r="BF118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1.74</v>
      </c>
    </row>
    <row r="1181" spans="1:58" x14ac:dyDescent="0.25">
      <c r="A1181" t="s">
        <v>1456</v>
      </c>
      <c r="B1181" t="s">
        <v>19</v>
      </c>
      <c r="C1181">
        <v>2</v>
      </c>
      <c r="D1181">
        <v>565</v>
      </c>
      <c r="E1181" t="s">
        <v>2111</v>
      </c>
      <c r="F1181" t="s">
        <v>123</v>
      </c>
      <c r="G1181" t="s">
        <v>124</v>
      </c>
      <c r="H1181" t="s">
        <v>125</v>
      </c>
      <c r="I1181" t="s">
        <v>126</v>
      </c>
      <c r="J1181" t="s">
        <v>126</v>
      </c>
      <c r="K1181" t="s">
        <v>127</v>
      </c>
      <c r="L1181">
        <v>50</v>
      </c>
      <c r="M1181">
        <v>1271503</v>
      </c>
      <c r="N1181">
        <v>6</v>
      </c>
      <c r="O1181">
        <v>4</v>
      </c>
      <c r="P1181" t="s">
        <v>168</v>
      </c>
      <c r="Q1181" t="s">
        <v>129</v>
      </c>
      <c r="R1181">
        <v>51</v>
      </c>
      <c r="T1181">
        <v>4</v>
      </c>
      <c r="U1181">
        <v>9</v>
      </c>
      <c r="V1181">
        <v>1</v>
      </c>
      <c r="W1181">
        <v>0</v>
      </c>
      <c r="X1181">
        <v>1</v>
      </c>
      <c r="Y1181">
        <v>0</v>
      </c>
      <c r="Z1181">
        <v>5</v>
      </c>
      <c r="AA1181">
        <v>10</v>
      </c>
      <c r="AB1181">
        <v>50</v>
      </c>
      <c r="AC1181">
        <v>12</v>
      </c>
      <c r="AD1181">
        <v>2</v>
      </c>
      <c r="AE1181">
        <v>0</v>
      </c>
      <c r="AF1181">
        <v>14</v>
      </c>
      <c r="AG1181">
        <v>0</v>
      </c>
      <c r="AH1181">
        <v>38</v>
      </c>
      <c r="AI1181">
        <v>36</v>
      </c>
      <c r="AJ1181">
        <v>38</v>
      </c>
      <c r="AK1181">
        <v>38</v>
      </c>
      <c r="AL1181">
        <v>0</v>
      </c>
      <c r="AM1181">
        <v>0.12</v>
      </c>
      <c r="AN1181">
        <v>3.4545454545454546</v>
      </c>
      <c r="AO1181">
        <v>0</v>
      </c>
      <c r="AP1181" t="s">
        <v>130</v>
      </c>
      <c r="AQ1181" t="s">
        <v>131</v>
      </c>
      <c r="AR1181" t="s">
        <v>1184</v>
      </c>
      <c r="AS1181">
        <v>1520</v>
      </c>
      <c r="AT1181">
        <v>1405</v>
      </c>
      <c r="AU1181">
        <v>0</v>
      </c>
      <c r="AV1181">
        <v>0</v>
      </c>
      <c r="AW1181">
        <v>2.9249999999999998</v>
      </c>
      <c r="AX1181">
        <v>0.24374999999999999</v>
      </c>
      <c r="AY1181">
        <v>3.4125000000000001</v>
      </c>
      <c r="AZ1181" t="s">
        <v>135</v>
      </c>
      <c r="BA1181">
        <v>2.5874999999999999</v>
      </c>
      <c r="BB1181">
        <v>10.615384615384615</v>
      </c>
      <c r="BC1181" t="s">
        <v>144</v>
      </c>
      <c r="BD1181">
        <v>0</v>
      </c>
      <c r="BE1181" t="s">
        <v>133</v>
      </c>
      <c r="BF118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2.9249999999999998</v>
      </c>
    </row>
    <row r="1182" spans="1:58" x14ac:dyDescent="0.25">
      <c r="A1182" t="s">
        <v>1457</v>
      </c>
      <c r="B1182" t="s">
        <v>19</v>
      </c>
      <c r="C1182">
        <v>2</v>
      </c>
      <c r="D1182">
        <v>566</v>
      </c>
      <c r="E1182" t="s">
        <v>2111</v>
      </c>
      <c r="F1182" t="s">
        <v>123</v>
      </c>
      <c r="G1182" t="s">
        <v>124</v>
      </c>
      <c r="H1182" t="s">
        <v>125</v>
      </c>
      <c r="I1182" t="s">
        <v>126</v>
      </c>
      <c r="J1182" t="s">
        <v>126</v>
      </c>
      <c r="K1182" t="s">
        <v>127</v>
      </c>
      <c r="L1182">
        <v>50</v>
      </c>
      <c r="M1182">
        <v>1271505</v>
      </c>
      <c r="N1182">
        <v>6</v>
      </c>
      <c r="O1182">
        <v>4</v>
      </c>
      <c r="P1182" t="s">
        <v>168</v>
      </c>
      <c r="Q1182" t="s">
        <v>129</v>
      </c>
      <c r="R1182">
        <v>52</v>
      </c>
      <c r="T1182">
        <v>5</v>
      </c>
      <c r="U1182">
        <v>10</v>
      </c>
      <c r="V1182">
        <v>7</v>
      </c>
      <c r="W1182">
        <v>0</v>
      </c>
      <c r="X1182">
        <v>7</v>
      </c>
      <c r="Y1182">
        <v>0</v>
      </c>
      <c r="Z1182">
        <v>12</v>
      </c>
      <c r="AA1182">
        <v>17</v>
      </c>
      <c r="AB1182">
        <v>50</v>
      </c>
      <c r="AC1182">
        <v>15</v>
      </c>
      <c r="AD1182">
        <v>14</v>
      </c>
      <c r="AE1182">
        <v>0</v>
      </c>
      <c r="AF1182">
        <v>29</v>
      </c>
      <c r="AG1182">
        <v>0</v>
      </c>
      <c r="AH1182">
        <v>35</v>
      </c>
      <c r="AI1182">
        <v>21</v>
      </c>
      <c r="AJ1182">
        <v>35</v>
      </c>
      <c r="AK1182">
        <v>35</v>
      </c>
      <c r="AL1182">
        <v>0</v>
      </c>
      <c r="AM1182">
        <v>0.12</v>
      </c>
      <c r="AN1182">
        <v>3.1818181818181821</v>
      </c>
      <c r="AO1182">
        <v>0</v>
      </c>
      <c r="AP1182" t="s">
        <v>130</v>
      </c>
      <c r="AQ1182" t="s">
        <v>131</v>
      </c>
      <c r="AR1182" t="s">
        <v>1184</v>
      </c>
      <c r="AS1182">
        <v>1457</v>
      </c>
      <c r="AT1182">
        <v>1529</v>
      </c>
      <c r="AU1182">
        <v>0</v>
      </c>
      <c r="AV1182">
        <v>0</v>
      </c>
      <c r="AW1182">
        <v>2.9860000000000002</v>
      </c>
      <c r="AX1182">
        <v>0.19906666666666667</v>
      </c>
      <c r="AY1182">
        <v>5.7729333333333335</v>
      </c>
      <c r="AZ1182" t="s">
        <v>135</v>
      </c>
      <c r="BA1182">
        <v>0.22706666666666653</v>
      </c>
      <c r="BB1182">
        <v>1.1406563965170791</v>
      </c>
      <c r="BC1182" t="s">
        <v>132</v>
      </c>
      <c r="BD1182">
        <v>0</v>
      </c>
      <c r="BE1182" t="s">
        <v>133</v>
      </c>
      <c r="BF118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2.9860000000000002</v>
      </c>
    </row>
    <row r="1183" spans="1:58" x14ac:dyDescent="0.25">
      <c r="A1183" t="s">
        <v>1458</v>
      </c>
      <c r="B1183" t="s">
        <v>19</v>
      </c>
      <c r="C1183">
        <v>2</v>
      </c>
      <c r="D1183">
        <v>567</v>
      </c>
      <c r="E1183" t="s">
        <v>2111</v>
      </c>
      <c r="F1183" t="s">
        <v>123</v>
      </c>
      <c r="G1183" t="s">
        <v>124</v>
      </c>
      <c r="H1183" t="s">
        <v>125</v>
      </c>
      <c r="I1183" t="s">
        <v>126</v>
      </c>
      <c r="J1183" t="s">
        <v>126</v>
      </c>
      <c r="K1183" t="s">
        <v>127</v>
      </c>
      <c r="L1183">
        <v>50</v>
      </c>
      <c r="M1183">
        <v>1271507</v>
      </c>
      <c r="N1183">
        <v>6</v>
      </c>
      <c r="O1183">
        <v>4</v>
      </c>
      <c r="P1183" t="s">
        <v>168</v>
      </c>
      <c r="Q1183" t="s">
        <v>129</v>
      </c>
      <c r="R1183">
        <v>52</v>
      </c>
      <c r="T1183">
        <v>5</v>
      </c>
      <c r="U1183">
        <v>10</v>
      </c>
      <c r="V1183">
        <v>4</v>
      </c>
      <c r="W1183">
        <v>0</v>
      </c>
      <c r="X1183">
        <v>4</v>
      </c>
      <c r="Y1183">
        <v>3</v>
      </c>
      <c r="Z1183">
        <v>12</v>
      </c>
      <c r="AA1183">
        <v>17</v>
      </c>
      <c r="AB1183">
        <v>50</v>
      </c>
      <c r="AC1183">
        <v>15</v>
      </c>
      <c r="AD1183">
        <v>8</v>
      </c>
      <c r="AE1183">
        <v>6</v>
      </c>
      <c r="AF1183">
        <v>29</v>
      </c>
      <c r="AG1183">
        <v>0</v>
      </c>
      <c r="AH1183">
        <v>35</v>
      </c>
      <c r="AI1183">
        <v>21</v>
      </c>
      <c r="AJ1183">
        <v>29</v>
      </c>
      <c r="AK1183">
        <v>35</v>
      </c>
      <c r="AL1183">
        <v>0</v>
      </c>
      <c r="AM1183">
        <v>0.12</v>
      </c>
      <c r="AN1183">
        <v>2.6363636363636362</v>
      </c>
      <c r="AO1183">
        <v>0</v>
      </c>
      <c r="AP1183" t="s">
        <v>130</v>
      </c>
      <c r="AQ1183" t="s">
        <v>131</v>
      </c>
      <c r="AR1183" t="s">
        <v>1184</v>
      </c>
      <c r="AS1183">
        <v>1137</v>
      </c>
      <c r="AT1183">
        <v>1092</v>
      </c>
      <c r="AU1183">
        <v>0</v>
      </c>
      <c r="AV1183">
        <v>0</v>
      </c>
      <c r="AW1183">
        <v>2.2290000000000001</v>
      </c>
      <c r="AX1183">
        <v>0.14860000000000001</v>
      </c>
      <c r="AY1183">
        <v>4.3094000000000001</v>
      </c>
      <c r="AZ1183" t="s">
        <v>135</v>
      </c>
      <c r="BA1183">
        <v>1.6905999999999999</v>
      </c>
      <c r="BB1183">
        <v>11.376850605652757</v>
      </c>
      <c r="BC1183" t="s">
        <v>133</v>
      </c>
      <c r="BD1183">
        <v>0</v>
      </c>
      <c r="BE1183" t="s">
        <v>133</v>
      </c>
      <c r="BF118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2.2290000000000001</v>
      </c>
    </row>
    <row r="1184" spans="1:58" x14ac:dyDescent="0.25">
      <c r="A1184" t="s">
        <v>1459</v>
      </c>
      <c r="B1184" t="s">
        <v>19</v>
      </c>
      <c r="C1184">
        <v>2</v>
      </c>
      <c r="D1184">
        <v>568</v>
      </c>
      <c r="E1184" t="s">
        <v>2111</v>
      </c>
      <c r="F1184" t="s">
        <v>123</v>
      </c>
      <c r="G1184" t="s">
        <v>124</v>
      </c>
      <c r="H1184" t="s">
        <v>125</v>
      </c>
      <c r="I1184" t="s">
        <v>126</v>
      </c>
      <c r="J1184" t="s">
        <v>126</v>
      </c>
      <c r="K1184" t="s">
        <v>127</v>
      </c>
      <c r="L1184">
        <v>50</v>
      </c>
      <c r="M1184">
        <v>1271509</v>
      </c>
      <c r="N1184">
        <v>6</v>
      </c>
      <c r="O1184">
        <v>4</v>
      </c>
      <c r="P1184" t="s">
        <v>168</v>
      </c>
      <c r="Q1184" t="s">
        <v>129</v>
      </c>
      <c r="R1184">
        <v>52</v>
      </c>
      <c r="T1184">
        <v>7</v>
      </c>
      <c r="U1184">
        <v>12</v>
      </c>
      <c r="V1184">
        <v>4</v>
      </c>
      <c r="W1184">
        <v>0</v>
      </c>
      <c r="X1184">
        <v>4</v>
      </c>
      <c r="Y1184">
        <v>2</v>
      </c>
      <c r="Z1184">
        <v>13</v>
      </c>
      <c r="AA1184">
        <v>18</v>
      </c>
      <c r="AB1184">
        <v>50</v>
      </c>
      <c r="AC1184">
        <v>19</v>
      </c>
      <c r="AD1184">
        <v>8</v>
      </c>
      <c r="AE1184">
        <v>3</v>
      </c>
      <c r="AF1184">
        <v>30</v>
      </c>
      <c r="AG1184">
        <v>0</v>
      </c>
      <c r="AH1184">
        <v>31</v>
      </c>
      <c r="AI1184">
        <v>20</v>
      </c>
      <c r="AJ1184">
        <v>28</v>
      </c>
      <c r="AK1184">
        <v>31</v>
      </c>
      <c r="AL1184">
        <v>0</v>
      </c>
      <c r="AM1184">
        <v>0.12</v>
      </c>
      <c r="AN1184">
        <v>2.5454545454545454</v>
      </c>
      <c r="AO1184">
        <v>0</v>
      </c>
      <c r="AP1184" t="s">
        <v>130</v>
      </c>
      <c r="AQ1184" t="s">
        <v>131</v>
      </c>
      <c r="AR1184" t="s">
        <v>1184</v>
      </c>
      <c r="AS1184">
        <v>1359</v>
      </c>
      <c r="AT1184">
        <v>1319</v>
      </c>
      <c r="AU1184">
        <v>0</v>
      </c>
      <c r="AV1184">
        <v>0</v>
      </c>
      <c r="AW1184">
        <v>2.6779999999999999</v>
      </c>
      <c r="AX1184">
        <v>0.14094736842105263</v>
      </c>
      <c r="AY1184">
        <v>4.2284210526315791</v>
      </c>
      <c r="AZ1184" t="s">
        <v>135</v>
      </c>
      <c r="BA1184">
        <v>1.7715789473684209</v>
      </c>
      <c r="BB1184">
        <v>12.569081404032859</v>
      </c>
      <c r="BC1184" t="s">
        <v>133</v>
      </c>
      <c r="BD1184">
        <v>0</v>
      </c>
      <c r="BE1184" t="s">
        <v>133</v>
      </c>
      <c r="BF118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2.6779999999999999</v>
      </c>
    </row>
    <row r="1185" spans="1:58" x14ac:dyDescent="0.25">
      <c r="A1185" t="s">
        <v>1460</v>
      </c>
      <c r="B1185" t="s">
        <v>19</v>
      </c>
      <c r="C1185">
        <v>2</v>
      </c>
      <c r="D1185">
        <v>569</v>
      </c>
      <c r="E1185" t="s">
        <v>2111</v>
      </c>
      <c r="F1185" t="s">
        <v>123</v>
      </c>
      <c r="G1185" t="s">
        <v>124</v>
      </c>
      <c r="H1185" t="s">
        <v>125</v>
      </c>
      <c r="I1185" t="s">
        <v>126</v>
      </c>
      <c r="J1185" t="s">
        <v>126</v>
      </c>
      <c r="K1185" t="s">
        <v>127</v>
      </c>
      <c r="L1185">
        <v>50</v>
      </c>
      <c r="M1185">
        <v>1271511</v>
      </c>
      <c r="N1185">
        <v>6</v>
      </c>
      <c r="O1185">
        <v>4</v>
      </c>
      <c r="P1185" t="s">
        <v>168</v>
      </c>
      <c r="Q1185" t="s">
        <v>129</v>
      </c>
      <c r="R1185">
        <v>52</v>
      </c>
      <c r="T1185">
        <v>8</v>
      </c>
      <c r="U1185">
        <v>13</v>
      </c>
      <c r="V1185">
        <v>7</v>
      </c>
      <c r="W1185">
        <v>0</v>
      </c>
      <c r="X1185">
        <v>7</v>
      </c>
      <c r="Y1185">
        <v>3</v>
      </c>
      <c r="Z1185">
        <v>18</v>
      </c>
      <c r="AA1185">
        <v>23</v>
      </c>
      <c r="AB1185">
        <v>50</v>
      </c>
      <c r="AC1185">
        <v>21</v>
      </c>
      <c r="AD1185">
        <v>14</v>
      </c>
      <c r="AE1185">
        <v>6</v>
      </c>
      <c r="AF1185">
        <v>41</v>
      </c>
      <c r="AG1185">
        <v>0</v>
      </c>
      <c r="AH1185">
        <v>29</v>
      </c>
      <c r="AI1185">
        <v>9</v>
      </c>
      <c r="AJ1185">
        <v>23</v>
      </c>
      <c r="AK1185">
        <v>29</v>
      </c>
      <c r="AL1185">
        <v>0</v>
      </c>
      <c r="AM1185">
        <v>0.12</v>
      </c>
      <c r="AN1185">
        <v>2.0909090909090908</v>
      </c>
      <c r="AO1185">
        <v>0</v>
      </c>
      <c r="AP1185" t="s">
        <v>130</v>
      </c>
      <c r="AQ1185" t="s">
        <v>131</v>
      </c>
      <c r="AR1185" t="s">
        <v>1184</v>
      </c>
      <c r="AS1185">
        <v>2114</v>
      </c>
      <c r="AT1185">
        <v>2051</v>
      </c>
      <c r="AU1185">
        <v>0</v>
      </c>
      <c r="AV1185">
        <v>0</v>
      </c>
      <c r="AW1185">
        <v>4.165</v>
      </c>
      <c r="AX1185">
        <v>0.19833333333333333</v>
      </c>
      <c r="AY1185">
        <v>8.1316666666666659</v>
      </c>
      <c r="AZ1185" t="s">
        <v>135</v>
      </c>
      <c r="BA1185">
        <v>-2.1316666666666659</v>
      </c>
      <c r="BB1185">
        <v>-10.747899159663861</v>
      </c>
      <c r="BC1185" t="s">
        <v>133</v>
      </c>
      <c r="BD1185">
        <v>0</v>
      </c>
      <c r="BE1185" t="s">
        <v>133</v>
      </c>
      <c r="BF118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4.165</v>
      </c>
    </row>
    <row r="1186" spans="1:58" x14ac:dyDescent="0.25">
      <c r="A1186" t="s">
        <v>1461</v>
      </c>
      <c r="B1186" t="s">
        <v>19</v>
      </c>
      <c r="C1186">
        <v>2</v>
      </c>
      <c r="D1186">
        <v>570</v>
      </c>
      <c r="E1186" t="s">
        <v>2111</v>
      </c>
      <c r="F1186" t="s">
        <v>123</v>
      </c>
      <c r="G1186" t="s">
        <v>124</v>
      </c>
      <c r="H1186" t="s">
        <v>125</v>
      </c>
      <c r="I1186" t="s">
        <v>126</v>
      </c>
      <c r="J1186" t="s">
        <v>126</v>
      </c>
      <c r="K1186" t="s">
        <v>127</v>
      </c>
      <c r="L1186">
        <v>50</v>
      </c>
      <c r="M1186">
        <v>1271513</v>
      </c>
      <c r="N1186">
        <v>6</v>
      </c>
      <c r="O1186">
        <v>4</v>
      </c>
      <c r="P1186" t="s">
        <v>168</v>
      </c>
      <c r="Q1186" t="s">
        <v>129</v>
      </c>
      <c r="R1186">
        <v>52</v>
      </c>
      <c r="T1186">
        <v>12</v>
      </c>
      <c r="U1186">
        <v>17</v>
      </c>
      <c r="V1186">
        <v>2</v>
      </c>
      <c r="W1186">
        <v>0</v>
      </c>
      <c r="X1186">
        <v>2</v>
      </c>
      <c r="Y1186">
        <v>0</v>
      </c>
      <c r="Z1186">
        <v>14</v>
      </c>
      <c r="AA1186">
        <v>19</v>
      </c>
      <c r="AB1186">
        <v>50</v>
      </c>
      <c r="AC1186">
        <v>25</v>
      </c>
      <c r="AD1186">
        <v>3</v>
      </c>
      <c r="AE1186">
        <v>0</v>
      </c>
      <c r="AF1186">
        <v>28</v>
      </c>
      <c r="AG1186">
        <v>0</v>
      </c>
      <c r="AH1186">
        <v>25</v>
      </c>
      <c r="AI1186">
        <v>22</v>
      </c>
      <c r="AJ1186">
        <v>25</v>
      </c>
      <c r="AK1186">
        <v>25</v>
      </c>
      <c r="AL1186">
        <v>0</v>
      </c>
      <c r="AM1186">
        <v>0.12</v>
      </c>
      <c r="AN1186">
        <v>2.2727272727272729</v>
      </c>
      <c r="AO1186">
        <v>0</v>
      </c>
      <c r="AP1186" t="s">
        <v>130</v>
      </c>
      <c r="AQ1186" t="s">
        <v>131</v>
      </c>
      <c r="AR1186" t="s">
        <v>1184</v>
      </c>
      <c r="AS1186">
        <v>1726</v>
      </c>
      <c r="AT1186">
        <v>1709</v>
      </c>
      <c r="AU1186">
        <v>0</v>
      </c>
      <c r="AV1186">
        <v>0</v>
      </c>
      <c r="AW1186">
        <v>3.4350000000000001</v>
      </c>
      <c r="AX1186">
        <v>0.13739999999999999</v>
      </c>
      <c r="AY1186">
        <v>3.8472</v>
      </c>
      <c r="AZ1186" t="s">
        <v>135</v>
      </c>
      <c r="BA1186">
        <v>2.1528</v>
      </c>
      <c r="BB1186">
        <v>15.668122270742359</v>
      </c>
      <c r="BC1186" t="s">
        <v>133</v>
      </c>
      <c r="BD1186">
        <v>0</v>
      </c>
      <c r="BE1186" t="s">
        <v>133</v>
      </c>
      <c r="BF118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3.4350000000000001</v>
      </c>
    </row>
    <row r="1187" spans="1:58" x14ac:dyDescent="0.25">
      <c r="A1187" t="s">
        <v>1462</v>
      </c>
      <c r="B1187" t="s">
        <v>19</v>
      </c>
      <c r="C1187">
        <v>2</v>
      </c>
      <c r="D1187">
        <v>571</v>
      </c>
      <c r="E1187" t="s">
        <v>2111</v>
      </c>
      <c r="F1187" t="s">
        <v>123</v>
      </c>
      <c r="G1187" t="s">
        <v>124</v>
      </c>
      <c r="H1187" t="s">
        <v>136</v>
      </c>
      <c r="I1187" t="s">
        <v>137</v>
      </c>
      <c r="J1187" t="s">
        <v>138</v>
      </c>
      <c r="K1187" t="s">
        <v>127</v>
      </c>
      <c r="L1187">
        <v>50</v>
      </c>
      <c r="M1187">
        <v>1271515</v>
      </c>
      <c r="N1187">
        <v>5</v>
      </c>
      <c r="O1187">
        <v>4</v>
      </c>
      <c r="P1187" t="s">
        <v>168</v>
      </c>
      <c r="Q1187" t="s">
        <v>129</v>
      </c>
      <c r="R1187">
        <v>52</v>
      </c>
      <c r="T1187">
        <v>0</v>
      </c>
      <c r="U1187">
        <v>4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4</v>
      </c>
      <c r="AB1187">
        <v>50</v>
      </c>
      <c r="AC1187">
        <v>4</v>
      </c>
      <c r="AD1187">
        <v>0</v>
      </c>
      <c r="AE1187">
        <v>0</v>
      </c>
      <c r="AF1187">
        <v>4</v>
      </c>
      <c r="AG1187">
        <v>0</v>
      </c>
      <c r="AH1187">
        <v>46</v>
      </c>
      <c r="AI1187">
        <v>46</v>
      </c>
      <c r="AJ1187">
        <v>46</v>
      </c>
      <c r="AK1187">
        <v>46</v>
      </c>
      <c r="AL1187">
        <v>0</v>
      </c>
      <c r="AM1187">
        <v>0.1</v>
      </c>
      <c r="AN1187">
        <v>4.1818181818181817</v>
      </c>
      <c r="AO1187">
        <v>0</v>
      </c>
      <c r="AP1187" t="s">
        <v>139</v>
      </c>
      <c r="AQ1187" t="s">
        <v>131</v>
      </c>
      <c r="AR1187" t="s">
        <v>1184</v>
      </c>
      <c r="AS1187">
        <v>0</v>
      </c>
      <c r="AT1187">
        <v>0</v>
      </c>
      <c r="AU1187">
        <v>0</v>
      </c>
      <c r="AV1187">
        <v>0</v>
      </c>
      <c r="AW1187">
        <v>0</v>
      </c>
      <c r="AX1187">
        <v>0</v>
      </c>
      <c r="AY1187">
        <v>0</v>
      </c>
      <c r="AZ1187" t="s">
        <v>134</v>
      </c>
      <c r="BA1187">
        <v>5</v>
      </c>
      <c r="BB1187">
        <v>0</v>
      </c>
      <c r="BC1187" t="s">
        <v>133</v>
      </c>
      <c r="BD1187">
        <v>0</v>
      </c>
      <c r="BE1187" t="s">
        <v>133</v>
      </c>
      <c r="BF118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88" spans="1:58" x14ac:dyDescent="0.25">
      <c r="A1188" t="s">
        <v>1463</v>
      </c>
      <c r="B1188" t="s">
        <v>19</v>
      </c>
      <c r="C1188">
        <v>2</v>
      </c>
      <c r="D1188">
        <v>572</v>
      </c>
      <c r="E1188" t="s">
        <v>2111</v>
      </c>
      <c r="F1188" t="s">
        <v>123</v>
      </c>
      <c r="G1188" t="s">
        <v>124</v>
      </c>
      <c r="H1188" t="s">
        <v>125</v>
      </c>
      <c r="I1188" t="s">
        <v>126</v>
      </c>
      <c r="J1188" t="s">
        <v>126</v>
      </c>
      <c r="K1188" t="s">
        <v>127</v>
      </c>
      <c r="L1188">
        <v>50</v>
      </c>
      <c r="M1188">
        <v>1271517</v>
      </c>
      <c r="N1188">
        <v>6</v>
      </c>
      <c r="O1188">
        <v>4</v>
      </c>
      <c r="P1188" t="s">
        <v>168</v>
      </c>
      <c r="Q1188" t="s">
        <v>129</v>
      </c>
      <c r="R1188">
        <v>52</v>
      </c>
      <c r="T1188">
        <v>11</v>
      </c>
      <c r="U1188">
        <v>16</v>
      </c>
      <c r="V1188">
        <v>3</v>
      </c>
      <c r="W1188">
        <v>0</v>
      </c>
      <c r="X1188">
        <v>3</v>
      </c>
      <c r="Y1188">
        <v>1</v>
      </c>
      <c r="Z1188">
        <v>15</v>
      </c>
      <c r="AA1188">
        <v>20</v>
      </c>
      <c r="AB1188">
        <v>50</v>
      </c>
      <c r="AC1188">
        <v>24</v>
      </c>
      <c r="AD1188">
        <v>4</v>
      </c>
      <c r="AE1188">
        <v>1</v>
      </c>
      <c r="AF1188">
        <v>29</v>
      </c>
      <c r="AG1188">
        <v>0</v>
      </c>
      <c r="AH1188">
        <v>26</v>
      </c>
      <c r="AI1188">
        <v>21</v>
      </c>
      <c r="AJ1188">
        <v>25</v>
      </c>
      <c r="AK1188">
        <v>26</v>
      </c>
      <c r="AL1188">
        <v>0</v>
      </c>
      <c r="AM1188">
        <v>0.12</v>
      </c>
      <c r="AN1188">
        <v>2.2727272727272729</v>
      </c>
      <c r="AO1188">
        <v>0</v>
      </c>
      <c r="AP1188" t="s">
        <v>130</v>
      </c>
      <c r="AQ1188" t="s">
        <v>131</v>
      </c>
      <c r="AR1188" t="s">
        <v>1184</v>
      </c>
      <c r="AS1188">
        <v>1895</v>
      </c>
      <c r="AT1188">
        <v>1819</v>
      </c>
      <c r="AU1188">
        <v>0</v>
      </c>
      <c r="AV1188">
        <v>0</v>
      </c>
      <c r="AW1188">
        <v>3.714</v>
      </c>
      <c r="AX1188">
        <v>0.15475</v>
      </c>
      <c r="AY1188">
        <v>4.4877500000000001</v>
      </c>
      <c r="AZ1188" t="s">
        <v>135</v>
      </c>
      <c r="BA1188">
        <v>1.5122499999999999</v>
      </c>
      <c r="BB1188">
        <v>9.7722132471728589</v>
      </c>
      <c r="BC1188" t="s">
        <v>133</v>
      </c>
      <c r="BD1188">
        <v>0</v>
      </c>
      <c r="BE1188" t="s">
        <v>133</v>
      </c>
      <c r="BF118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3.714</v>
      </c>
    </row>
    <row r="1189" spans="1:58" x14ac:dyDescent="0.25">
      <c r="A1189" t="s">
        <v>1464</v>
      </c>
      <c r="B1189" t="s">
        <v>19</v>
      </c>
      <c r="C1189">
        <v>2</v>
      </c>
      <c r="D1189">
        <v>573</v>
      </c>
      <c r="E1189" t="s">
        <v>2111</v>
      </c>
      <c r="F1189" t="s">
        <v>123</v>
      </c>
      <c r="G1189" t="s">
        <v>124</v>
      </c>
      <c r="H1189" t="s">
        <v>125</v>
      </c>
      <c r="I1189" t="s">
        <v>126</v>
      </c>
      <c r="J1189" t="s">
        <v>126</v>
      </c>
      <c r="K1189" t="s">
        <v>127</v>
      </c>
      <c r="L1189">
        <v>50</v>
      </c>
      <c r="M1189">
        <v>1271519</v>
      </c>
      <c r="N1189">
        <v>6</v>
      </c>
      <c r="O1189">
        <v>4</v>
      </c>
      <c r="P1189" t="s">
        <v>168</v>
      </c>
      <c r="Q1189" t="s">
        <v>129</v>
      </c>
      <c r="R1189">
        <v>52</v>
      </c>
      <c r="T1189">
        <v>11</v>
      </c>
      <c r="U1189">
        <v>16</v>
      </c>
      <c r="V1189">
        <v>5</v>
      </c>
      <c r="W1189">
        <v>0</v>
      </c>
      <c r="X1189">
        <v>5</v>
      </c>
      <c r="Y1189">
        <v>1</v>
      </c>
      <c r="Z1189">
        <v>17</v>
      </c>
      <c r="AA1189">
        <v>22</v>
      </c>
      <c r="AB1189">
        <v>50</v>
      </c>
      <c r="AC1189">
        <v>22</v>
      </c>
      <c r="AD1189">
        <v>5</v>
      </c>
      <c r="AE1189">
        <v>2</v>
      </c>
      <c r="AF1189">
        <v>29</v>
      </c>
      <c r="AG1189">
        <v>0</v>
      </c>
      <c r="AH1189">
        <v>28</v>
      </c>
      <c r="AI1189">
        <v>21</v>
      </c>
      <c r="AJ1189">
        <v>26</v>
      </c>
      <c r="AK1189">
        <v>28</v>
      </c>
      <c r="AL1189">
        <v>0</v>
      </c>
      <c r="AM1189">
        <v>0.12</v>
      </c>
      <c r="AN1189">
        <v>2.3636363636363638</v>
      </c>
      <c r="AO1189">
        <v>0</v>
      </c>
      <c r="AP1189" t="s">
        <v>130</v>
      </c>
      <c r="AQ1189" t="s">
        <v>131</v>
      </c>
      <c r="AR1189" t="s">
        <v>1184</v>
      </c>
      <c r="AS1189">
        <v>1417</v>
      </c>
      <c r="AT1189">
        <v>1340</v>
      </c>
      <c r="AU1189">
        <v>0</v>
      </c>
      <c r="AV1189">
        <v>0</v>
      </c>
      <c r="AW1189">
        <v>2.7570000000000001</v>
      </c>
      <c r="AX1189">
        <v>0.12531818181818183</v>
      </c>
      <c r="AY1189">
        <v>3.6342272727272729</v>
      </c>
      <c r="AZ1189" t="s">
        <v>135</v>
      </c>
      <c r="BA1189">
        <v>2.3657727272727271</v>
      </c>
      <c r="BB1189">
        <v>18.878128400435251</v>
      </c>
      <c r="BC1189" t="s">
        <v>133</v>
      </c>
      <c r="BD1189">
        <v>0</v>
      </c>
      <c r="BE1189" t="s">
        <v>133</v>
      </c>
      <c r="BF118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2.7570000000000001</v>
      </c>
    </row>
    <row r="1190" spans="1:58" x14ac:dyDescent="0.25">
      <c r="A1190" t="s">
        <v>1465</v>
      </c>
      <c r="B1190" t="s">
        <v>19</v>
      </c>
      <c r="C1190">
        <v>2</v>
      </c>
      <c r="D1190">
        <v>574</v>
      </c>
      <c r="E1190" t="s">
        <v>2111</v>
      </c>
      <c r="F1190" t="s">
        <v>123</v>
      </c>
      <c r="G1190" t="s">
        <v>124</v>
      </c>
      <c r="H1190" t="s">
        <v>125</v>
      </c>
      <c r="I1190" t="s">
        <v>126</v>
      </c>
      <c r="J1190" t="s">
        <v>126</v>
      </c>
      <c r="K1190" t="s">
        <v>127</v>
      </c>
      <c r="L1190">
        <v>50</v>
      </c>
      <c r="M1190">
        <v>1271521</v>
      </c>
      <c r="N1190">
        <v>6</v>
      </c>
      <c r="O1190">
        <v>4</v>
      </c>
      <c r="P1190" t="s">
        <v>168</v>
      </c>
      <c r="Q1190" t="s">
        <v>129</v>
      </c>
      <c r="R1190">
        <v>52</v>
      </c>
      <c r="T1190">
        <v>5</v>
      </c>
      <c r="U1190">
        <v>10</v>
      </c>
      <c r="V1190">
        <v>10</v>
      </c>
      <c r="W1190">
        <v>0</v>
      </c>
      <c r="X1190">
        <v>10</v>
      </c>
      <c r="Y1190">
        <v>0</v>
      </c>
      <c r="Z1190">
        <v>15</v>
      </c>
      <c r="AA1190">
        <v>20</v>
      </c>
      <c r="AB1190">
        <v>50</v>
      </c>
      <c r="AC1190">
        <v>11</v>
      </c>
      <c r="AD1190">
        <v>15</v>
      </c>
      <c r="AE1190">
        <v>0</v>
      </c>
      <c r="AF1190">
        <v>26</v>
      </c>
      <c r="AG1190">
        <v>0</v>
      </c>
      <c r="AH1190">
        <v>39</v>
      </c>
      <c r="AI1190">
        <v>24</v>
      </c>
      <c r="AJ1190">
        <v>39</v>
      </c>
      <c r="AK1190">
        <v>39</v>
      </c>
      <c r="AL1190">
        <v>0</v>
      </c>
      <c r="AM1190">
        <v>0.12</v>
      </c>
      <c r="AN1190">
        <v>3.5454545454545454</v>
      </c>
      <c r="AO1190">
        <v>0</v>
      </c>
      <c r="AP1190" t="s">
        <v>130</v>
      </c>
      <c r="AQ1190" t="s">
        <v>131</v>
      </c>
      <c r="AR1190" t="s">
        <v>1184</v>
      </c>
      <c r="AS1190">
        <v>1030</v>
      </c>
      <c r="AT1190">
        <v>1001</v>
      </c>
      <c r="AU1190">
        <v>0</v>
      </c>
      <c r="AV1190">
        <v>0</v>
      </c>
      <c r="AW1190">
        <v>2.0310000000000001</v>
      </c>
      <c r="AX1190">
        <v>0.18463636363636365</v>
      </c>
      <c r="AY1190">
        <v>4.8005454545454551</v>
      </c>
      <c r="AZ1190" t="s">
        <v>135</v>
      </c>
      <c r="BA1190">
        <v>1.1994545454545449</v>
      </c>
      <c r="BB1190">
        <v>6.4963072378138813</v>
      </c>
      <c r="BC1190" t="s">
        <v>133</v>
      </c>
      <c r="BD1190">
        <v>0</v>
      </c>
      <c r="BE1190" t="s">
        <v>133</v>
      </c>
      <c r="BF119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2.0310000000000001</v>
      </c>
    </row>
    <row r="1191" spans="1:58" x14ac:dyDescent="0.25">
      <c r="A1191" t="s">
        <v>1466</v>
      </c>
      <c r="B1191" t="s">
        <v>19</v>
      </c>
      <c r="C1191">
        <v>2</v>
      </c>
      <c r="D1191">
        <v>575</v>
      </c>
      <c r="E1191" t="s">
        <v>2111</v>
      </c>
      <c r="F1191" t="s">
        <v>123</v>
      </c>
      <c r="G1191" t="s">
        <v>124</v>
      </c>
      <c r="H1191" t="s">
        <v>125</v>
      </c>
      <c r="I1191" t="s">
        <v>126</v>
      </c>
      <c r="J1191" t="s">
        <v>126</v>
      </c>
      <c r="K1191" t="s">
        <v>127</v>
      </c>
      <c r="L1191">
        <v>50</v>
      </c>
      <c r="M1191">
        <v>1271523</v>
      </c>
      <c r="N1191">
        <v>6</v>
      </c>
      <c r="O1191">
        <v>4</v>
      </c>
      <c r="P1191" t="s">
        <v>168</v>
      </c>
      <c r="Q1191" t="s">
        <v>129</v>
      </c>
      <c r="R1191">
        <v>52</v>
      </c>
      <c r="T1191">
        <v>10</v>
      </c>
      <c r="U1191">
        <v>15</v>
      </c>
      <c r="V1191">
        <v>9</v>
      </c>
      <c r="W1191">
        <v>0</v>
      </c>
      <c r="X1191">
        <v>9</v>
      </c>
      <c r="Y1191">
        <v>2</v>
      </c>
      <c r="Z1191">
        <v>21</v>
      </c>
      <c r="AA1191">
        <v>26</v>
      </c>
      <c r="AB1191">
        <v>50</v>
      </c>
      <c r="AC1191">
        <v>22</v>
      </c>
      <c r="AD1191">
        <v>15</v>
      </c>
      <c r="AE1191">
        <v>2</v>
      </c>
      <c r="AF1191">
        <v>39</v>
      </c>
      <c r="AG1191">
        <v>0</v>
      </c>
      <c r="AH1191">
        <v>28</v>
      </c>
      <c r="AI1191">
        <v>11</v>
      </c>
      <c r="AJ1191">
        <v>26</v>
      </c>
      <c r="AK1191">
        <v>28</v>
      </c>
      <c r="AL1191">
        <v>0</v>
      </c>
      <c r="AM1191">
        <v>0.12</v>
      </c>
      <c r="AN1191">
        <v>2.3636363636363638</v>
      </c>
      <c r="AO1191">
        <v>0</v>
      </c>
      <c r="AP1191" t="s">
        <v>130</v>
      </c>
      <c r="AQ1191" t="s">
        <v>131</v>
      </c>
      <c r="AR1191" t="s">
        <v>1184</v>
      </c>
      <c r="AS1191">
        <v>2425</v>
      </c>
      <c r="AT1191">
        <v>2441</v>
      </c>
      <c r="AU1191">
        <v>0</v>
      </c>
      <c r="AV1191">
        <v>0</v>
      </c>
      <c r="AW1191">
        <v>4.8659999999999997</v>
      </c>
      <c r="AX1191">
        <v>0.22118181818181817</v>
      </c>
      <c r="AY1191">
        <v>8.6260909090909088</v>
      </c>
      <c r="AZ1191" t="s">
        <v>135</v>
      </c>
      <c r="BA1191">
        <v>-2.6260909090909088</v>
      </c>
      <c r="BB1191">
        <v>-11.872996300863131</v>
      </c>
      <c r="BC1191" t="s">
        <v>133</v>
      </c>
      <c r="BD1191">
        <v>0</v>
      </c>
      <c r="BE1191" t="s">
        <v>133</v>
      </c>
      <c r="BF119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4.8659999999999997</v>
      </c>
    </row>
    <row r="1192" spans="1:58" x14ac:dyDescent="0.25">
      <c r="A1192" t="s">
        <v>1467</v>
      </c>
      <c r="B1192" t="s">
        <v>19</v>
      </c>
      <c r="C1192">
        <v>2</v>
      </c>
      <c r="D1192">
        <v>576</v>
      </c>
      <c r="E1192" t="s">
        <v>2111</v>
      </c>
      <c r="F1192" t="s">
        <v>123</v>
      </c>
      <c r="G1192" t="s">
        <v>124</v>
      </c>
      <c r="H1192" t="s">
        <v>125</v>
      </c>
      <c r="I1192" t="s">
        <v>126</v>
      </c>
      <c r="J1192" t="s">
        <v>126</v>
      </c>
      <c r="K1192" t="s">
        <v>127</v>
      </c>
      <c r="L1192">
        <v>50</v>
      </c>
      <c r="M1192">
        <v>1271525</v>
      </c>
      <c r="N1192">
        <v>6</v>
      </c>
      <c r="O1192">
        <v>4</v>
      </c>
      <c r="P1192" t="s">
        <v>168</v>
      </c>
      <c r="Q1192" t="s">
        <v>129</v>
      </c>
      <c r="R1192">
        <v>52</v>
      </c>
      <c r="T1192">
        <v>7</v>
      </c>
      <c r="U1192">
        <v>12</v>
      </c>
      <c r="V1192">
        <v>5</v>
      </c>
      <c r="W1192">
        <v>0</v>
      </c>
      <c r="X1192">
        <v>5</v>
      </c>
      <c r="Y1192">
        <v>4</v>
      </c>
      <c r="Z1192">
        <v>16</v>
      </c>
      <c r="AA1192">
        <v>21</v>
      </c>
      <c r="AB1192">
        <v>50</v>
      </c>
      <c r="AC1192">
        <v>16</v>
      </c>
      <c r="AD1192">
        <v>10</v>
      </c>
      <c r="AE1192">
        <v>5</v>
      </c>
      <c r="AF1192">
        <v>31</v>
      </c>
      <c r="AG1192">
        <v>0</v>
      </c>
      <c r="AH1192">
        <v>34</v>
      </c>
      <c r="AI1192">
        <v>19</v>
      </c>
      <c r="AJ1192">
        <v>29</v>
      </c>
      <c r="AK1192">
        <v>34</v>
      </c>
      <c r="AL1192">
        <v>0</v>
      </c>
      <c r="AM1192">
        <v>0.12</v>
      </c>
      <c r="AN1192">
        <v>2.6363636363636362</v>
      </c>
      <c r="AO1192">
        <v>0</v>
      </c>
      <c r="AP1192" t="s">
        <v>130</v>
      </c>
      <c r="AQ1192" t="s">
        <v>131</v>
      </c>
      <c r="AR1192" t="s">
        <v>1184</v>
      </c>
      <c r="AS1192">
        <v>2125</v>
      </c>
      <c r="AT1192">
        <v>2019</v>
      </c>
      <c r="AU1192">
        <v>0</v>
      </c>
      <c r="AV1192">
        <v>0</v>
      </c>
      <c r="AW1192">
        <v>4.1440000000000001</v>
      </c>
      <c r="AX1192">
        <v>0.25900000000000001</v>
      </c>
      <c r="AY1192">
        <v>8.0289999999999999</v>
      </c>
      <c r="AZ1192" t="s">
        <v>135</v>
      </c>
      <c r="BA1192">
        <v>-2.0289999999999999</v>
      </c>
      <c r="BB1192">
        <v>-7.8339768339768332</v>
      </c>
      <c r="BC1192" t="s">
        <v>144</v>
      </c>
      <c r="BD1192">
        <v>0</v>
      </c>
      <c r="BE1192" t="s">
        <v>133</v>
      </c>
      <c r="BF119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4.1440000000000001</v>
      </c>
    </row>
    <row r="1193" spans="1:58" x14ac:dyDescent="0.25">
      <c r="A1193" t="s">
        <v>1468</v>
      </c>
      <c r="B1193" t="s">
        <v>19</v>
      </c>
      <c r="C1193">
        <v>2</v>
      </c>
      <c r="D1193">
        <v>577</v>
      </c>
      <c r="E1193" t="s">
        <v>2111</v>
      </c>
      <c r="F1193" t="s">
        <v>123</v>
      </c>
      <c r="G1193" t="s">
        <v>124</v>
      </c>
      <c r="H1193" t="s">
        <v>125</v>
      </c>
      <c r="I1193" t="s">
        <v>126</v>
      </c>
      <c r="J1193" t="s">
        <v>126</v>
      </c>
      <c r="K1193" t="s">
        <v>127</v>
      </c>
      <c r="L1193">
        <v>50</v>
      </c>
      <c r="M1193">
        <v>1271527</v>
      </c>
      <c r="N1193">
        <v>6</v>
      </c>
      <c r="O1193">
        <v>4</v>
      </c>
      <c r="P1193" t="s">
        <v>168</v>
      </c>
      <c r="Q1193" t="s">
        <v>129</v>
      </c>
      <c r="R1193">
        <v>53</v>
      </c>
      <c r="T1193">
        <v>8</v>
      </c>
      <c r="U1193">
        <v>13</v>
      </c>
      <c r="V1193">
        <v>8</v>
      </c>
      <c r="W1193">
        <v>0</v>
      </c>
      <c r="X1193">
        <v>8</v>
      </c>
      <c r="Y1193">
        <v>0</v>
      </c>
      <c r="Z1193">
        <v>16</v>
      </c>
      <c r="AA1193">
        <v>21</v>
      </c>
      <c r="AB1193">
        <v>50</v>
      </c>
      <c r="AC1193">
        <v>17</v>
      </c>
      <c r="AD1193">
        <v>11</v>
      </c>
      <c r="AE1193">
        <v>0</v>
      </c>
      <c r="AF1193">
        <v>28</v>
      </c>
      <c r="AG1193">
        <v>0</v>
      </c>
      <c r="AH1193">
        <v>33</v>
      </c>
      <c r="AI1193">
        <v>22</v>
      </c>
      <c r="AJ1193">
        <v>33</v>
      </c>
      <c r="AK1193">
        <v>33</v>
      </c>
      <c r="AL1193">
        <v>0</v>
      </c>
      <c r="AM1193">
        <v>0.12</v>
      </c>
      <c r="AN1193">
        <v>3</v>
      </c>
      <c r="AO1193">
        <v>0</v>
      </c>
      <c r="AP1193" t="s">
        <v>130</v>
      </c>
      <c r="AQ1193" t="s">
        <v>131</v>
      </c>
      <c r="AR1193" t="s">
        <v>1184</v>
      </c>
      <c r="AS1193">
        <v>1149</v>
      </c>
      <c r="AT1193">
        <v>1101</v>
      </c>
      <c r="AU1193">
        <v>0</v>
      </c>
      <c r="AV1193">
        <v>0</v>
      </c>
      <c r="AW1193">
        <v>2.25</v>
      </c>
      <c r="AX1193">
        <v>0.13235294117647059</v>
      </c>
      <c r="AY1193">
        <v>3.7058823529411766</v>
      </c>
      <c r="AZ1193" t="s">
        <v>135</v>
      </c>
      <c r="BA1193">
        <v>2.2941176470588234</v>
      </c>
      <c r="BB1193">
        <v>17.333333333333332</v>
      </c>
      <c r="BC1193" t="s">
        <v>132</v>
      </c>
      <c r="BD1193">
        <v>0</v>
      </c>
      <c r="BE1193" t="s">
        <v>133</v>
      </c>
      <c r="BF119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2.25</v>
      </c>
    </row>
    <row r="1194" spans="1:58" x14ac:dyDescent="0.25">
      <c r="A1194" t="s">
        <v>1469</v>
      </c>
      <c r="B1194" t="s">
        <v>19</v>
      </c>
      <c r="C1194">
        <v>2</v>
      </c>
      <c r="D1194">
        <v>578</v>
      </c>
      <c r="E1194" t="s">
        <v>2111</v>
      </c>
      <c r="F1194" t="s">
        <v>123</v>
      </c>
      <c r="G1194" t="s">
        <v>124</v>
      </c>
      <c r="H1194" t="s">
        <v>125</v>
      </c>
      <c r="I1194" t="s">
        <v>126</v>
      </c>
      <c r="J1194" t="s">
        <v>126</v>
      </c>
      <c r="K1194" t="s">
        <v>127</v>
      </c>
      <c r="L1194">
        <v>50</v>
      </c>
      <c r="M1194">
        <v>1271529</v>
      </c>
      <c r="N1194">
        <v>6</v>
      </c>
      <c r="O1194">
        <v>4</v>
      </c>
      <c r="P1194" t="s">
        <v>168</v>
      </c>
      <c r="Q1194" t="s">
        <v>129</v>
      </c>
      <c r="R1194">
        <v>53</v>
      </c>
      <c r="T1194">
        <v>7</v>
      </c>
      <c r="U1194">
        <v>12</v>
      </c>
      <c r="V1194">
        <v>2</v>
      </c>
      <c r="W1194">
        <v>0</v>
      </c>
      <c r="X1194">
        <v>2</v>
      </c>
      <c r="Y1194">
        <v>0</v>
      </c>
      <c r="Z1194">
        <v>9</v>
      </c>
      <c r="AA1194">
        <v>14</v>
      </c>
      <c r="AB1194">
        <v>50</v>
      </c>
      <c r="AC1194">
        <v>18</v>
      </c>
      <c r="AD1194">
        <v>4</v>
      </c>
      <c r="AE1194">
        <v>0</v>
      </c>
      <c r="AF1194">
        <v>22</v>
      </c>
      <c r="AG1194">
        <v>0</v>
      </c>
      <c r="AH1194">
        <v>32</v>
      </c>
      <c r="AI1194">
        <v>28</v>
      </c>
      <c r="AJ1194">
        <v>32</v>
      </c>
      <c r="AK1194">
        <v>32</v>
      </c>
      <c r="AL1194">
        <v>0</v>
      </c>
      <c r="AM1194">
        <v>0.12</v>
      </c>
      <c r="AN1194">
        <v>2.9090909090909092</v>
      </c>
      <c r="AO1194">
        <v>0</v>
      </c>
      <c r="AP1194" t="s">
        <v>130</v>
      </c>
      <c r="AQ1194" t="s">
        <v>131</v>
      </c>
      <c r="AR1194" t="s">
        <v>1184</v>
      </c>
      <c r="AS1194">
        <v>1175</v>
      </c>
      <c r="AT1194">
        <v>1088</v>
      </c>
      <c r="AU1194">
        <v>0</v>
      </c>
      <c r="AV1194">
        <v>0</v>
      </c>
      <c r="AW1194">
        <v>2.2629999999999999</v>
      </c>
      <c r="AX1194">
        <v>0.12572222222222221</v>
      </c>
      <c r="AY1194">
        <v>2.7658888888888886</v>
      </c>
      <c r="AZ1194" t="s">
        <v>135</v>
      </c>
      <c r="BA1194">
        <v>3.2341111111111114</v>
      </c>
      <c r="BB1194">
        <v>25.724259832081312</v>
      </c>
      <c r="BC1194" t="s">
        <v>133</v>
      </c>
      <c r="BD1194">
        <v>0</v>
      </c>
      <c r="BE1194" t="s">
        <v>133</v>
      </c>
      <c r="BF119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2.2629999999999999</v>
      </c>
    </row>
    <row r="1195" spans="1:58" x14ac:dyDescent="0.25">
      <c r="A1195" t="s">
        <v>1470</v>
      </c>
      <c r="B1195" t="s">
        <v>19</v>
      </c>
      <c r="C1195">
        <v>2</v>
      </c>
      <c r="D1195">
        <v>579</v>
      </c>
      <c r="E1195" t="s">
        <v>2111</v>
      </c>
      <c r="F1195" t="s">
        <v>123</v>
      </c>
      <c r="G1195" t="s">
        <v>124</v>
      </c>
      <c r="H1195" t="s">
        <v>125</v>
      </c>
      <c r="I1195" t="s">
        <v>126</v>
      </c>
      <c r="J1195" t="s">
        <v>126</v>
      </c>
      <c r="K1195" t="s">
        <v>127</v>
      </c>
      <c r="L1195">
        <v>50</v>
      </c>
      <c r="M1195">
        <v>1271531</v>
      </c>
      <c r="N1195">
        <v>6</v>
      </c>
      <c r="O1195">
        <v>4</v>
      </c>
      <c r="P1195" t="s">
        <v>168</v>
      </c>
      <c r="Q1195" t="s">
        <v>129</v>
      </c>
      <c r="R1195">
        <v>53</v>
      </c>
      <c r="T1195">
        <v>3</v>
      </c>
      <c r="U1195">
        <v>8</v>
      </c>
      <c r="V1195">
        <v>3</v>
      </c>
      <c r="W1195">
        <v>0</v>
      </c>
      <c r="X1195">
        <v>3</v>
      </c>
      <c r="Y1195">
        <v>1</v>
      </c>
      <c r="Z1195">
        <v>7</v>
      </c>
      <c r="AA1195">
        <v>12</v>
      </c>
      <c r="AB1195">
        <v>50</v>
      </c>
      <c r="AC1195">
        <v>11</v>
      </c>
      <c r="AD1195">
        <v>6</v>
      </c>
      <c r="AE1195">
        <v>2</v>
      </c>
      <c r="AF1195">
        <v>19</v>
      </c>
      <c r="AG1195">
        <v>0</v>
      </c>
      <c r="AH1195">
        <v>39</v>
      </c>
      <c r="AI1195">
        <v>31</v>
      </c>
      <c r="AJ1195">
        <v>37</v>
      </c>
      <c r="AK1195">
        <v>39</v>
      </c>
      <c r="AL1195">
        <v>0</v>
      </c>
      <c r="AM1195">
        <v>0.12</v>
      </c>
      <c r="AN1195">
        <v>3.3636363636363638</v>
      </c>
      <c r="AO1195">
        <v>0</v>
      </c>
      <c r="AP1195" t="s">
        <v>130</v>
      </c>
      <c r="AQ1195" t="s">
        <v>131</v>
      </c>
      <c r="AR1195" t="s">
        <v>1184</v>
      </c>
      <c r="AS1195">
        <v>1388</v>
      </c>
      <c r="AT1195">
        <v>1370</v>
      </c>
      <c r="AU1195">
        <v>0</v>
      </c>
      <c r="AV1195">
        <v>0</v>
      </c>
      <c r="AW1195">
        <v>2.758</v>
      </c>
      <c r="AX1195">
        <v>0.25072727272727274</v>
      </c>
      <c r="AY1195">
        <v>4.7638181818181824</v>
      </c>
      <c r="AZ1195" t="s">
        <v>135</v>
      </c>
      <c r="BA1195">
        <v>1.2361818181818176</v>
      </c>
      <c r="BB1195">
        <v>4.9303843364757043</v>
      </c>
      <c r="BC1195" t="s">
        <v>133</v>
      </c>
      <c r="BD1195">
        <v>0</v>
      </c>
      <c r="BE1195" t="s">
        <v>133</v>
      </c>
      <c r="BF119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2.758</v>
      </c>
    </row>
    <row r="1196" spans="1:58" x14ac:dyDescent="0.25">
      <c r="A1196" t="s">
        <v>1471</v>
      </c>
      <c r="B1196" t="s">
        <v>19</v>
      </c>
      <c r="C1196">
        <v>2</v>
      </c>
      <c r="D1196">
        <v>580</v>
      </c>
      <c r="E1196" t="s">
        <v>2111</v>
      </c>
      <c r="F1196" t="s">
        <v>123</v>
      </c>
      <c r="G1196" t="s">
        <v>124</v>
      </c>
      <c r="H1196" t="s">
        <v>125</v>
      </c>
      <c r="I1196" t="s">
        <v>126</v>
      </c>
      <c r="J1196" t="s">
        <v>126</v>
      </c>
      <c r="K1196" t="s">
        <v>127</v>
      </c>
      <c r="L1196">
        <v>50</v>
      </c>
      <c r="M1196">
        <v>1271533</v>
      </c>
      <c r="N1196">
        <v>6</v>
      </c>
      <c r="O1196">
        <v>4</v>
      </c>
      <c r="P1196" t="s">
        <v>168</v>
      </c>
      <c r="Q1196" t="s">
        <v>129</v>
      </c>
      <c r="R1196">
        <v>53</v>
      </c>
      <c r="T1196">
        <v>6</v>
      </c>
      <c r="U1196">
        <v>11</v>
      </c>
      <c r="V1196">
        <v>7</v>
      </c>
      <c r="W1196">
        <v>0</v>
      </c>
      <c r="X1196">
        <v>7</v>
      </c>
      <c r="Y1196">
        <v>0</v>
      </c>
      <c r="Z1196">
        <v>13</v>
      </c>
      <c r="AA1196">
        <v>18</v>
      </c>
      <c r="AB1196">
        <v>50</v>
      </c>
      <c r="AC1196">
        <v>17</v>
      </c>
      <c r="AD1196">
        <v>14</v>
      </c>
      <c r="AE1196">
        <v>0</v>
      </c>
      <c r="AF1196">
        <v>31</v>
      </c>
      <c r="AG1196">
        <v>0</v>
      </c>
      <c r="AH1196">
        <v>33</v>
      </c>
      <c r="AI1196">
        <v>19</v>
      </c>
      <c r="AJ1196">
        <v>33</v>
      </c>
      <c r="AK1196">
        <v>33</v>
      </c>
      <c r="AL1196">
        <v>0</v>
      </c>
      <c r="AM1196">
        <v>0.12</v>
      </c>
      <c r="AN1196">
        <v>3</v>
      </c>
      <c r="AO1196">
        <v>0</v>
      </c>
      <c r="AP1196" t="s">
        <v>130</v>
      </c>
      <c r="AQ1196" t="s">
        <v>131</v>
      </c>
      <c r="AR1196" t="s">
        <v>1184</v>
      </c>
      <c r="AS1196">
        <v>2320</v>
      </c>
      <c r="AT1196">
        <v>2170</v>
      </c>
      <c r="AU1196">
        <v>0</v>
      </c>
      <c r="AV1196">
        <v>0</v>
      </c>
      <c r="AW1196">
        <v>4.49</v>
      </c>
      <c r="AX1196">
        <v>0.26411764705882357</v>
      </c>
      <c r="AY1196">
        <v>8.1876470588235311</v>
      </c>
      <c r="AZ1196" t="s">
        <v>135</v>
      </c>
      <c r="BA1196">
        <v>-2.1876470588235311</v>
      </c>
      <c r="BB1196">
        <v>-8.2828507795100279</v>
      </c>
      <c r="BC1196" t="s">
        <v>133</v>
      </c>
      <c r="BD1196">
        <v>0</v>
      </c>
      <c r="BE1196" t="s">
        <v>133</v>
      </c>
      <c r="BF119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4.49</v>
      </c>
    </row>
    <row r="1197" spans="1:58" x14ac:dyDescent="0.25">
      <c r="A1197" t="s">
        <v>1472</v>
      </c>
      <c r="B1197" t="s">
        <v>19</v>
      </c>
      <c r="C1197">
        <v>2</v>
      </c>
      <c r="D1197">
        <v>581</v>
      </c>
      <c r="E1197" t="s">
        <v>2111</v>
      </c>
      <c r="F1197" t="s">
        <v>123</v>
      </c>
      <c r="G1197" t="s">
        <v>124</v>
      </c>
      <c r="H1197" t="s">
        <v>125</v>
      </c>
      <c r="I1197" t="s">
        <v>126</v>
      </c>
      <c r="J1197" t="s">
        <v>126</v>
      </c>
      <c r="K1197" t="s">
        <v>127</v>
      </c>
      <c r="L1197">
        <v>50</v>
      </c>
      <c r="M1197">
        <v>1271535</v>
      </c>
      <c r="N1197">
        <v>6</v>
      </c>
      <c r="O1197">
        <v>4</v>
      </c>
      <c r="P1197" t="s">
        <v>168</v>
      </c>
      <c r="Q1197" t="s">
        <v>129</v>
      </c>
      <c r="R1197">
        <v>53</v>
      </c>
      <c r="T1197">
        <v>2</v>
      </c>
      <c r="U1197">
        <v>7</v>
      </c>
      <c r="V1197">
        <v>4</v>
      </c>
      <c r="W1197">
        <v>0</v>
      </c>
      <c r="X1197">
        <v>4</v>
      </c>
      <c r="Y1197">
        <v>0</v>
      </c>
      <c r="Z1197">
        <v>6</v>
      </c>
      <c r="AA1197">
        <v>11</v>
      </c>
      <c r="AB1197">
        <v>50</v>
      </c>
      <c r="AC1197">
        <v>9</v>
      </c>
      <c r="AD1197">
        <v>8</v>
      </c>
      <c r="AE1197">
        <v>0</v>
      </c>
      <c r="AF1197">
        <v>17</v>
      </c>
      <c r="AG1197">
        <v>0</v>
      </c>
      <c r="AH1197">
        <v>41</v>
      </c>
      <c r="AI1197">
        <v>33</v>
      </c>
      <c r="AJ1197">
        <v>41</v>
      </c>
      <c r="AK1197">
        <v>41</v>
      </c>
      <c r="AL1197">
        <v>0</v>
      </c>
      <c r="AM1197">
        <v>0.12</v>
      </c>
      <c r="AN1197">
        <v>3.7272727272727275</v>
      </c>
      <c r="AO1197">
        <v>0</v>
      </c>
      <c r="AP1197" t="s">
        <v>130</v>
      </c>
      <c r="AQ1197" t="s">
        <v>131</v>
      </c>
      <c r="AR1197" t="s">
        <v>1184</v>
      </c>
      <c r="AS1197">
        <v>1216</v>
      </c>
      <c r="AT1197">
        <v>1169</v>
      </c>
      <c r="AU1197">
        <v>0</v>
      </c>
      <c r="AV1197">
        <v>0</v>
      </c>
      <c r="AW1197">
        <v>2.3849999999999998</v>
      </c>
      <c r="AX1197">
        <v>0.26499999999999996</v>
      </c>
      <c r="AY1197">
        <v>4.504999999999999</v>
      </c>
      <c r="AZ1197" t="s">
        <v>135</v>
      </c>
      <c r="BA1197">
        <v>1.495000000000001</v>
      </c>
      <c r="BB1197">
        <v>5.6415094339622689</v>
      </c>
      <c r="BC1197" t="s">
        <v>133</v>
      </c>
      <c r="BD1197">
        <v>0</v>
      </c>
      <c r="BE1197" t="s">
        <v>133</v>
      </c>
      <c r="BF119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2.3849999999999998</v>
      </c>
    </row>
    <row r="1198" spans="1:58" x14ac:dyDescent="0.25">
      <c r="A1198" t="s">
        <v>1473</v>
      </c>
      <c r="B1198" t="s">
        <v>19</v>
      </c>
      <c r="C1198">
        <v>2</v>
      </c>
      <c r="D1198">
        <v>582</v>
      </c>
      <c r="E1198" t="s">
        <v>2111</v>
      </c>
      <c r="F1198" t="s">
        <v>123</v>
      </c>
      <c r="G1198" t="s">
        <v>124</v>
      </c>
      <c r="H1198" t="s">
        <v>136</v>
      </c>
      <c r="I1198" t="s">
        <v>137</v>
      </c>
      <c r="J1198" t="s">
        <v>138</v>
      </c>
      <c r="K1198" t="s">
        <v>127</v>
      </c>
      <c r="L1198">
        <v>50</v>
      </c>
      <c r="M1198">
        <v>1271537</v>
      </c>
      <c r="N1198">
        <v>5</v>
      </c>
      <c r="O1198">
        <v>4</v>
      </c>
      <c r="P1198" t="s">
        <v>168</v>
      </c>
      <c r="Q1198" t="s">
        <v>129</v>
      </c>
      <c r="R1198">
        <v>53</v>
      </c>
      <c r="T1198">
        <v>0</v>
      </c>
      <c r="U1198">
        <v>4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4</v>
      </c>
      <c r="AB1198">
        <v>50</v>
      </c>
      <c r="AC1198">
        <v>4</v>
      </c>
      <c r="AD1198">
        <v>0</v>
      </c>
      <c r="AE1198">
        <v>0</v>
      </c>
      <c r="AF1198">
        <v>4</v>
      </c>
      <c r="AG1198">
        <v>0</v>
      </c>
      <c r="AH1198">
        <v>46</v>
      </c>
      <c r="AI1198">
        <v>46</v>
      </c>
      <c r="AJ1198">
        <v>46</v>
      </c>
      <c r="AK1198">
        <v>46</v>
      </c>
      <c r="AL1198">
        <v>0</v>
      </c>
      <c r="AM1198">
        <v>0.1</v>
      </c>
      <c r="AN1198">
        <v>4.1818181818181817</v>
      </c>
      <c r="AO1198">
        <v>0</v>
      </c>
      <c r="AP1198" t="s">
        <v>139</v>
      </c>
      <c r="AQ1198" t="s">
        <v>131</v>
      </c>
      <c r="AR1198" t="s">
        <v>1184</v>
      </c>
      <c r="AS1198">
        <v>0</v>
      </c>
      <c r="AT1198">
        <v>0</v>
      </c>
      <c r="AU1198">
        <v>0</v>
      </c>
      <c r="AV1198">
        <v>0</v>
      </c>
      <c r="AW1198">
        <v>0</v>
      </c>
      <c r="AX1198">
        <v>0</v>
      </c>
      <c r="AY1198">
        <v>0</v>
      </c>
      <c r="AZ1198" t="s">
        <v>134</v>
      </c>
      <c r="BA1198">
        <v>5</v>
      </c>
      <c r="BB1198">
        <v>0</v>
      </c>
      <c r="BC1198" t="s">
        <v>133</v>
      </c>
      <c r="BD1198">
        <v>0</v>
      </c>
      <c r="BE1198" t="s">
        <v>133</v>
      </c>
      <c r="BF119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199" spans="1:58" x14ac:dyDescent="0.25">
      <c r="A1199" t="s">
        <v>1474</v>
      </c>
      <c r="B1199" t="s">
        <v>19</v>
      </c>
      <c r="C1199">
        <v>2</v>
      </c>
      <c r="D1199">
        <v>583</v>
      </c>
      <c r="E1199" t="s">
        <v>2111</v>
      </c>
      <c r="F1199" t="s">
        <v>123</v>
      </c>
      <c r="G1199" t="s">
        <v>124</v>
      </c>
      <c r="H1199" t="s">
        <v>125</v>
      </c>
      <c r="I1199" t="s">
        <v>126</v>
      </c>
      <c r="J1199" t="s">
        <v>126</v>
      </c>
      <c r="K1199" t="s">
        <v>127</v>
      </c>
      <c r="L1199">
        <v>50</v>
      </c>
      <c r="M1199">
        <v>1271539</v>
      </c>
      <c r="N1199">
        <v>6</v>
      </c>
      <c r="O1199">
        <v>4</v>
      </c>
      <c r="P1199" t="s">
        <v>168</v>
      </c>
      <c r="Q1199" t="s">
        <v>129</v>
      </c>
      <c r="R1199">
        <v>53</v>
      </c>
      <c r="T1199">
        <v>10</v>
      </c>
      <c r="U1199">
        <v>15</v>
      </c>
      <c r="V1199">
        <v>6</v>
      </c>
      <c r="W1199">
        <v>0</v>
      </c>
      <c r="X1199">
        <v>6</v>
      </c>
      <c r="Y1199">
        <v>0</v>
      </c>
      <c r="Z1199">
        <v>16</v>
      </c>
      <c r="AA1199">
        <v>21</v>
      </c>
      <c r="AB1199">
        <v>50</v>
      </c>
      <c r="AC1199">
        <v>25</v>
      </c>
      <c r="AD1199">
        <v>12</v>
      </c>
      <c r="AE1199">
        <v>0</v>
      </c>
      <c r="AF1199">
        <v>37</v>
      </c>
      <c r="AG1199">
        <v>0</v>
      </c>
      <c r="AH1199">
        <v>25</v>
      </c>
      <c r="AI1199">
        <v>13</v>
      </c>
      <c r="AJ1199">
        <v>25</v>
      </c>
      <c r="AK1199">
        <v>25</v>
      </c>
      <c r="AL1199">
        <v>0</v>
      </c>
      <c r="AM1199">
        <v>0.12</v>
      </c>
      <c r="AN1199">
        <v>2.2727272727272729</v>
      </c>
      <c r="AO1199">
        <v>0</v>
      </c>
      <c r="AP1199" t="s">
        <v>130</v>
      </c>
      <c r="AQ1199" t="s">
        <v>131</v>
      </c>
      <c r="AR1199" t="s">
        <v>1184</v>
      </c>
      <c r="AS1199">
        <v>1550</v>
      </c>
      <c r="AT1199">
        <v>1541</v>
      </c>
      <c r="AU1199">
        <v>0</v>
      </c>
      <c r="AV1199">
        <v>0</v>
      </c>
      <c r="AW1199">
        <v>3.0910000000000002</v>
      </c>
      <c r="AX1199">
        <v>0.12364000000000001</v>
      </c>
      <c r="AY1199">
        <v>4.5746800000000007</v>
      </c>
      <c r="AZ1199" t="s">
        <v>135</v>
      </c>
      <c r="BA1199">
        <v>1.4253199999999993</v>
      </c>
      <c r="BB1199">
        <v>11.527984471044961</v>
      </c>
      <c r="BC1199" t="s">
        <v>133</v>
      </c>
      <c r="BD1199">
        <v>0</v>
      </c>
      <c r="BE1199" t="s">
        <v>133</v>
      </c>
      <c r="BF119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3.0910000000000002</v>
      </c>
    </row>
    <row r="1200" spans="1:58" x14ac:dyDescent="0.25">
      <c r="A1200" t="s">
        <v>1475</v>
      </c>
      <c r="B1200" t="s">
        <v>19</v>
      </c>
      <c r="C1200">
        <v>2</v>
      </c>
      <c r="D1200">
        <v>584</v>
      </c>
      <c r="E1200" t="s">
        <v>2111</v>
      </c>
      <c r="F1200" t="s">
        <v>123</v>
      </c>
      <c r="G1200" t="s">
        <v>124</v>
      </c>
      <c r="H1200" t="s">
        <v>125</v>
      </c>
      <c r="I1200" t="s">
        <v>126</v>
      </c>
      <c r="J1200" t="s">
        <v>126</v>
      </c>
      <c r="K1200" t="s">
        <v>127</v>
      </c>
      <c r="L1200">
        <v>50</v>
      </c>
      <c r="M1200">
        <v>1271541</v>
      </c>
      <c r="N1200">
        <v>6</v>
      </c>
      <c r="O1200">
        <v>4</v>
      </c>
      <c r="P1200" t="s">
        <v>168</v>
      </c>
      <c r="Q1200" t="s">
        <v>129</v>
      </c>
      <c r="R1200">
        <v>53</v>
      </c>
      <c r="T1200">
        <v>15</v>
      </c>
      <c r="U1200">
        <v>20</v>
      </c>
      <c r="V1200">
        <v>6</v>
      </c>
      <c r="W1200">
        <v>0</v>
      </c>
      <c r="X1200">
        <v>6</v>
      </c>
      <c r="Y1200">
        <v>0</v>
      </c>
      <c r="Z1200">
        <v>21</v>
      </c>
      <c r="AA1200">
        <v>26</v>
      </c>
      <c r="AB1200">
        <v>50</v>
      </c>
      <c r="AC1200">
        <v>20</v>
      </c>
      <c r="AD1200">
        <v>6</v>
      </c>
      <c r="AE1200">
        <v>0</v>
      </c>
      <c r="AF1200">
        <v>26</v>
      </c>
      <c r="AG1200">
        <v>0</v>
      </c>
      <c r="AH1200">
        <v>30</v>
      </c>
      <c r="AI1200">
        <v>24</v>
      </c>
      <c r="AJ1200">
        <v>30</v>
      </c>
      <c r="AK1200">
        <v>30</v>
      </c>
      <c r="AL1200">
        <v>0</v>
      </c>
      <c r="AM1200">
        <v>0.12</v>
      </c>
      <c r="AN1200">
        <v>2.7272727272727275</v>
      </c>
      <c r="AO1200">
        <v>0</v>
      </c>
      <c r="AP1200" t="s">
        <v>130</v>
      </c>
      <c r="AQ1200" t="s">
        <v>131</v>
      </c>
      <c r="AR1200" t="s">
        <v>1184</v>
      </c>
      <c r="AS1200">
        <v>1952</v>
      </c>
      <c r="AT1200">
        <v>1965</v>
      </c>
      <c r="AU1200">
        <v>0</v>
      </c>
      <c r="AV1200">
        <v>0</v>
      </c>
      <c r="AW1200">
        <v>3.9169999999999998</v>
      </c>
      <c r="AX1200">
        <v>0.19585</v>
      </c>
      <c r="AY1200">
        <v>5.0921000000000003</v>
      </c>
      <c r="AZ1200" t="s">
        <v>135</v>
      </c>
      <c r="BA1200">
        <v>0.90789999999999971</v>
      </c>
      <c r="BB1200">
        <v>4.6356905795251455</v>
      </c>
      <c r="BC1200" t="s">
        <v>133</v>
      </c>
      <c r="BD1200">
        <v>0</v>
      </c>
      <c r="BE1200" t="s">
        <v>133</v>
      </c>
      <c r="BF120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3.9169999999999998</v>
      </c>
    </row>
    <row r="1201" spans="1:58" x14ac:dyDescent="0.25">
      <c r="A1201" t="s">
        <v>1476</v>
      </c>
      <c r="B1201" t="s">
        <v>19</v>
      </c>
      <c r="C1201">
        <v>2</v>
      </c>
      <c r="D1201">
        <v>585</v>
      </c>
      <c r="E1201" t="s">
        <v>2111</v>
      </c>
      <c r="F1201" t="s">
        <v>123</v>
      </c>
      <c r="G1201" t="s">
        <v>124</v>
      </c>
      <c r="H1201" t="s">
        <v>125</v>
      </c>
      <c r="I1201" t="s">
        <v>126</v>
      </c>
      <c r="J1201" t="s">
        <v>126</v>
      </c>
      <c r="K1201" t="s">
        <v>127</v>
      </c>
      <c r="L1201">
        <v>50</v>
      </c>
      <c r="M1201">
        <v>1271543</v>
      </c>
      <c r="N1201">
        <v>6</v>
      </c>
      <c r="O1201">
        <v>4</v>
      </c>
      <c r="P1201" t="s">
        <v>168</v>
      </c>
      <c r="Q1201" t="s">
        <v>129</v>
      </c>
      <c r="R1201">
        <v>53</v>
      </c>
      <c r="T1201">
        <v>6</v>
      </c>
      <c r="U1201">
        <v>11</v>
      </c>
      <c r="V1201">
        <v>20</v>
      </c>
      <c r="W1201">
        <v>0</v>
      </c>
      <c r="X1201">
        <v>20</v>
      </c>
      <c r="Y1201">
        <v>1</v>
      </c>
      <c r="Z1201">
        <v>27</v>
      </c>
      <c r="AA1201">
        <v>32</v>
      </c>
      <c r="AB1201">
        <v>50</v>
      </c>
      <c r="AC1201">
        <v>15</v>
      </c>
      <c r="AD1201">
        <v>20</v>
      </c>
      <c r="AE1201">
        <v>2</v>
      </c>
      <c r="AF1201">
        <v>37</v>
      </c>
      <c r="AG1201">
        <v>0</v>
      </c>
      <c r="AH1201">
        <v>35</v>
      </c>
      <c r="AI1201">
        <v>13</v>
      </c>
      <c r="AJ1201">
        <v>33</v>
      </c>
      <c r="AK1201">
        <v>35</v>
      </c>
      <c r="AL1201">
        <v>0</v>
      </c>
      <c r="AM1201">
        <v>0.12</v>
      </c>
      <c r="AN1201">
        <v>3</v>
      </c>
      <c r="AO1201">
        <v>0</v>
      </c>
      <c r="AP1201" t="s">
        <v>130</v>
      </c>
      <c r="AQ1201" t="s">
        <v>131</v>
      </c>
      <c r="AR1201" t="s">
        <v>1184</v>
      </c>
      <c r="AS1201">
        <v>2466</v>
      </c>
      <c r="AT1201">
        <v>2288</v>
      </c>
      <c r="AU1201">
        <v>0</v>
      </c>
      <c r="AV1201">
        <v>0</v>
      </c>
      <c r="AW1201">
        <v>4.7539999999999996</v>
      </c>
      <c r="AX1201">
        <v>0.31693333333333329</v>
      </c>
      <c r="AY1201">
        <v>11.726533333333332</v>
      </c>
      <c r="AZ1201" t="s">
        <v>135</v>
      </c>
      <c r="BA1201">
        <v>-5.7265333333333324</v>
      </c>
      <c r="BB1201">
        <v>-18.068573832562052</v>
      </c>
      <c r="BC1201" t="s">
        <v>133</v>
      </c>
      <c r="BD1201">
        <v>0</v>
      </c>
      <c r="BE1201" t="s">
        <v>133</v>
      </c>
      <c r="BF120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4.7539999999999996</v>
      </c>
    </row>
    <row r="1202" spans="1:58" x14ac:dyDescent="0.25">
      <c r="A1202" t="s">
        <v>1477</v>
      </c>
      <c r="B1202" t="s">
        <v>19</v>
      </c>
      <c r="C1202">
        <v>2</v>
      </c>
      <c r="D1202">
        <v>586</v>
      </c>
      <c r="E1202" t="s">
        <v>2111</v>
      </c>
      <c r="F1202" t="s">
        <v>123</v>
      </c>
      <c r="G1202" t="s">
        <v>124</v>
      </c>
      <c r="H1202" t="s">
        <v>125</v>
      </c>
      <c r="I1202" t="s">
        <v>126</v>
      </c>
      <c r="J1202" t="s">
        <v>126</v>
      </c>
      <c r="K1202" t="s">
        <v>127</v>
      </c>
      <c r="L1202">
        <v>50</v>
      </c>
      <c r="M1202">
        <v>1271545</v>
      </c>
      <c r="N1202">
        <v>6</v>
      </c>
      <c r="O1202">
        <v>4</v>
      </c>
      <c r="P1202" t="s">
        <v>168</v>
      </c>
      <c r="Q1202" t="s">
        <v>129</v>
      </c>
      <c r="R1202">
        <v>53</v>
      </c>
      <c r="T1202">
        <v>6</v>
      </c>
      <c r="U1202">
        <v>11</v>
      </c>
      <c r="V1202">
        <v>13</v>
      </c>
      <c r="W1202">
        <v>0</v>
      </c>
      <c r="X1202">
        <v>13</v>
      </c>
      <c r="Y1202">
        <v>1</v>
      </c>
      <c r="Z1202">
        <v>20</v>
      </c>
      <c r="AA1202">
        <v>25</v>
      </c>
      <c r="AB1202">
        <v>50</v>
      </c>
      <c r="AC1202">
        <v>13</v>
      </c>
      <c r="AD1202">
        <v>20</v>
      </c>
      <c r="AE1202">
        <v>1</v>
      </c>
      <c r="AF1202">
        <v>34</v>
      </c>
      <c r="AG1202">
        <v>0</v>
      </c>
      <c r="AH1202">
        <v>37</v>
      </c>
      <c r="AI1202">
        <v>16</v>
      </c>
      <c r="AJ1202">
        <v>36</v>
      </c>
      <c r="AK1202">
        <v>37</v>
      </c>
      <c r="AL1202">
        <v>0</v>
      </c>
      <c r="AM1202">
        <v>0.12</v>
      </c>
      <c r="AN1202">
        <v>3.2727272727272729</v>
      </c>
      <c r="AO1202">
        <v>0</v>
      </c>
      <c r="AP1202" t="s">
        <v>130</v>
      </c>
      <c r="AQ1202" t="s">
        <v>131</v>
      </c>
      <c r="AR1202" t="s">
        <v>1184</v>
      </c>
      <c r="AS1202">
        <v>879</v>
      </c>
      <c r="AT1202">
        <v>860</v>
      </c>
      <c r="AU1202">
        <v>0</v>
      </c>
      <c r="AV1202">
        <v>0</v>
      </c>
      <c r="AW1202">
        <v>1.7390000000000001</v>
      </c>
      <c r="AX1202">
        <v>0.13376923076923078</v>
      </c>
      <c r="AY1202">
        <v>4.5481538461538467</v>
      </c>
      <c r="AZ1202" t="s">
        <v>135</v>
      </c>
      <c r="BA1202">
        <v>1.4518461538461533</v>
      </c>
      <c r="BB1202">
        <v>10.853364002300168</v>
      </c>
      <c r="BC1202" t="s">
        <v>133</v>
      </c>
      <c r="BD1202">
        <v>0</v>
      </c>
      <c r="BE1202" t="s">
        <v>133</v>
      </c>
      <c r="BF120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1.7390000000000001</v>
      </c>
    </row>
    <row r="1203" spans="1:58" x14ac:dyDescent="0.25">
      <c r="A1203" t="s">
        <v>1478</v>
      </c>
      <c r="B1203" t="s">
        <v>19</v>
      </c>
      <c r="C1203">
        <v>2</v>
      </c>
      <c r="D1203">
        <v>587</v>
      </c>
      <c r="E1203" t="s">
        <v>2111</v>
      </c>
      <c r="F1203" t="s">
        <v>123</v>
      </c>
      <c r="G1203" t="s">
        <v>124</v>
      </c>
      <c r="H1203" t="s">
        <v>125</v>
      </c>
      <c r="I1203" t="s">
        <v>126</v>
      </c>
      <c r="J1203" t="s">
        <v>126</v>
      </c>
      <c r="K1203" t="s">
        <v>127</v>
      </c>
      <c r="L1203">
        <v>50</v>
      </c>
      <c r="M1203">
        <v>1271547</v>
      </c>
      <c r="N1203">
        <v>6</v>
      </c>
      <c r="O1203">
        <v>4</v>
      </c>
      <c r="P1203" t="s">
        <v>168</v>
      </c>
      <c r="Q1203" t="s">
        <v>129</v>
      </c>
      <c r="R1203">
        <v>53</v>
      </c>
      <c r="T1203">
        <v>1</v>
      </c>
      <c r="U1203">
        <v>6</v>
      </c>
      <c r="V1203">
        <v>9</v>
      </c>
      <c r="W1203">
        <v>0</v>
      </c>
      <c r="X1203">
        <v>9</v>
      </c>
      <c r="Y1203">
        <v>0</v>
      </c>
      <c r="Z1203">
        <v>10</v>
      </c>
      <c r="AA1203">
        <v>15</v>
      </c>
      <c r="AB1203">
        <v>50</v>
      </c>
      <c r="AC1203">
        <v>7</v>
      </c>
      <c r="AD1203">
        <v>18</v>
      </c>
      <c r="AE1203">
        <v>0</v>
      </c>
      <c r="AF1203">
        <v>25</v>
      </c>
      <c r="AG1203">
        <v>0</v>
      </c>
      <c r="AH1203">
        <v>43</v>
      </c>
      <c r="AI1203">
        <v>25</v>
      </c>
      <c r="AJ1203">
        <v>43</v>
      </c>
      <c r="AK1203">
        <v>43</v>
      </c>
      <c r="AL1203">
        <v>0</v>
      </c>
      <c r="AM1203">
        <v>0.12</v>
      </c>
      <c r="AN1203">
        <v>3.9090909090909092</v>
      </c>
      <c r="AO1203">
        <v>0</v>
      </c>
      <c r="AP1203" t="s">
        <v>130</v>
      </c>
      <c r="AQ1203" t="s">
        <v>131</v>
      </c>
      <c r="AR1203" t="s">
        <v>1184</v>
      </c>
      <c r="AS1203">
        <v>1060</v>
      </c>
      <c r="AT1203">
        <v>732</v>
      </c>
      <c r="AU1203">
        <v>0</v>
      </c>
      <c r="AV1203">
        <v>0</v>
      </c>
      <c r="AW1203">
        <v>1.792</v>
      </c>
      <c r="AX1203">
        <v>0.25600000000000001</v>
      </c>
      <c r="AY1203">
        <v>6.4</v>
      </c>
      <c r="AZ1203" t="s">
        <v>135</v>
      </c>
      <c r="BA1203">
        <v>-0.40000000000000036</v>
      </c>
      <c r="BB1203">
        <v>-1.5625000000000013</v>
      </c>
      <c r="BC1203" t="s">
        <v>144</v>
      </c>
      <c r="BD1203">
        <v>0</v>
      </c>
      <c r="BE1203" t="s">
        <v>133</v>
      </c>
      <c r="BF120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1.792</v>
      </c>
    </row>
    <row r="1204" spans="1:58" x14ac:dyDescent="0.25">
      <c r="A1204" t="s">
        <v>1479</v>
      </c>
      <c r="B1204" t="s">
        <v>19</v>
      </c>
      <c r="C1204">
        <v>2</v>
      </c>
      <c r="D1204">
        <v>588</v>
      </c>
      <c r="E1204" t="s">
        <v>2109</v>
      </c>
      <c r="F1204" t="s">
        <v>123</v>
      </c>
      <c r="G1204" t="s">
        <v>124</v>
      </c>
      <c r="H1204" t="s">
        <v>125</v>
      </c>
      <c r="I1204" t="s">
        <v>183</v>
      </c>
      <c r="J1204" t="s">
        <v>140</v>
      </c>
      <c r="K1204" t="s">
        <v>127</v>
      </c>
      <c r="L1204">
        <v>50</v>
      </c>
      <c r="M1204">
        <v>3439184</v>
      </c>
      <c r="N1204">
        <v>20</v>
      </c>
      <c r="O1204">
        <v>4</v>
      </c>
      <c r="P1204" t="s">
        <v>168</v>
      </c>
      <c r="Q1204" t="s">
        <v>129</v>
      </c>
      <c r="R1204">
        <v>54</v>
      </c>
      <c r="S1204" t="s">
        <v>228</v>
      </c>
      <c r="T1204">
        <v>12</v>
      </c>
      <c r="U1204">
        <v>15</v>
      </c>
      <c r="V1204">
        <v>7</v>
      </c>
      <c r="W1204">
        <v>0</v>
      </c>
      <c r="X1204">
        <v>7</v>
      </c>
      <c r="Y1204">
        <v>0</v>
      </c>
      <c r="Z1204">
        <v>19</v>
      </c>
      <c r="AA1204">
        <v>22</v>
      </c>
      <c r="AB1204">
        <v>50</v>
      </c>
      <c r="AC1204">
        <v>29</v>
      </c>
      <c r="AD1204">
        <v>14</v>
      </c>
      <c r="AE1204">
        <v>0</v>
      </c>
      <c r="AF1204">
        <v>43</v>
      </c>
      <c r="AG1204">
        <v>0</v>
      </c>
      <c r="AH1204">
        <v>21</v>
      </c>
      <c r="AI1204">
        <v>7</v>
      </c>
      <c r="AJ1204">
        <v>21</v>
      </c>
      <c r="AK1204">
        <v>21</v>
      </c>
      <c r="AL1204">
        <v>0</v>
      </c>
      <c r="AM1204">
        <v>0.4</v>
      </c>
      <c r="AN1204">
        <v>1.9090909090909092</v>
      </c>
      <c r="AO1204">
        <v>0</v>
      </c>
      <c r="AP1204" t="s">
        <v>188</v>
      </c>
      <c r="AQ1204" t="s">
        <v>131</v>
      </c>
      <c r="AR1204" t="s">
        <v>229</v>
      </c>
      <c r="AS1204">
        <v>0</v>
      </c>
      <c r="AT1204">
        <v>0</v>
      </c>
      <c r="AU1204">
        <v>0</v>
      </c>
      <c r="AV1204">
        <v>0</v>
      </c>
      <c r="AW1204">
        <v>0</v>
      </c>
      <c r="AX1204">
        <v>0</v>
      </c>
      <c r="AY1204">
        <v>0</v>
      </c>
      <c r="AZ1204" t="s">
        <v>134</v>
      </c>
      <c r="BA1204">
        <v>20</v>
      </c>
      <c r="BB1204">
        <v>0</v>
      </c>
      <c r="BC1204" t="s">
        <v>132</v>
      </c>
      <c r="BD1204">
        <v>0</v>
      </c>
      <c r="BE1204" t="s">
        <v>133</v>
      </c>
      <c r="BF120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05" spans="1:58" x14ac:dyDescent="0.25">
      <c r="A1205" t="s">
        <v>1480</v>
      </c>
      <c r="B1205" t="s">
        <v>19</v>
      </c>
      <c r="C1205">
        <v>2</v>
      </c>
      <c r="D1205">
        <v>589</v>
      </c>
      <c r="E1205" t="s">
        <v>2109</v>
      </c>
      <c r="F1205" t="s">
        <v>123</v>
      </c>
      <c r="G1205" t="s">
        <v>124</v>
      </c>
      <c r="H1205" t="s">
        <v>125</v>
      </c>
      <c r="I1205" t="s">
        <v>183</v>
      </c>
      <c r="J1205" t="s">
        <v>140</v>
      </c>
      <c r="K1205" t="s">
        <v>127</v>
      </c>
      <c r="L1205">
        <v>50</v>
      </c>
      <c r="M1205">
        <v>3439186</v>
      </c>
      <c r="N1205">
        <v>20</v>
      </c>
      <c r="O1205">
        <v>4</v>
      </c>
      <c r="P1205" t="s">
        <v>168</v>
      </c>
      <c r="Q1205" t="s">
        <v>129</v>
      </c>
      <c r="R1205">
        <v>54</v>
      </c>
      <c r="S1205" t="s">
        <v>228</v>
      </c>
      <c r="T1205">
        <v>9</v>
      </c>
      <c r="U1205">
        <v>12</v>
      </c>
      <c r="V1205">
        <v>10</v>
      </c>
      <c r="W1205">
        <v>0</v>
      </c>
      <c r="X1205">
        <v>10</v>
      </c>
      <c r="Y1205">
        <v>0</v>
      </c>
      <c r="Z1205">
        <v>19</v>
      </c>
      <c r="AA1205">
        <v>22</v>
      </c>
      <c r="AB1205">
        <v>50</v>
      </c>
      <c r="AC1205">
        <v>23</v>
      </c>
      <c r="AD1205">
        <v>20</v>
      </c>
      <c r="AE1205">
        <v>0</v>
      </c>
      <c r="AF1205">
        <v>43</v>
      </c>
      <c r="AG1205">
        <v>0</v>
      </c>
      <c r="AH1205">
        <v>27</v>
      </c>
      <c r="AI1205">
        <v>7</v>
      </c>
      <c r="AJ1205">
        <v>27</v>
      </c>
      <c r="AK1205">
        <v>27</v>
      </c>
      <c r="AL1205">
        <v>0</v>
      </c>
      <c r="AM1205">
        <v>0.4</v>
      </c>
      <c r="AN1205">
        <v>2.4545454545454546</v>
      </c>
      <c r="AO1205">
        <v>0</v>
      </c>
      <c r="AP1205" t="s">
        <v>188</v>
      </c>
      <c r="AQ1205" t="s">
        <v>131</v>
      </c>
      <c r="AR1205" t="s">
        <v>229</v>
      </c>
      <c r="AS1205">
        <v>0</v>
      </c>
      <c r="AT1205">
        <v>0</v>
      </c>
      <c r="AU1205">
        <v>0</v>
      </c>
      <c r="AV1205">
        <v>0</v>
      </c>
      <c r="AW1205">
        <v>0</v>
      </c>
      <c r="AX1205">
        <v>0</v>
      </c>
      <c r="AY1205">
        <v>0</v>
      </c>
      <c r="AZ1205" t="s">
        <v>134</v>
      </c>
      <c r="BA1205">
        <v>20</v>
      </c>
      <c r="BB1205">
        <v>0</v>
      </c>
      <c r="BC1205" t="s">
        <v>133</v>
      </c>
      <c r="BD1205">
        <v>0</v>
      </c>
      <c r="BE1205" t="s">
        <v>133</v>
      </c>
      <c r="BF120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06" spans="1:58" x14ac:dyDescent="0.25">
      <c r="A1206" t="s">
        <v>1481</v>
      </c>
      <c r="B1206" t="s">
        <v>19</v>
      </c>
      <c r="C1206">
        <v>2</v>
      </c>
      <c r="D1206">
        <v>590</v>
      </c>
      <c r="E1206" t="s">
        <v>2109</v>
      </c>
      <c r="F1206" t="s">
        <v>123</v>
      </c>
      <c r="G1206" t="s">
        <v>124</v>
      </c>
      <c r="H1206" t="s">
        <v>125</v>
      </c>
      <c r="I1206" t="s">
        <v>183</v>
      </c>
      <c r="J1206" t="s">
        <v>140</v>
      </c>
      <c r="K1206" t="s">
        <v>127</v>
      </c>
      <c r="L1206">
        <v>50</v>
      </c>
      <c r="M1206">
        <v>3439188</v>
      </c>
      <c r="N1206">
        <v>20</v>
      </c>
      <c r="O1206">
        <v>4</v>
      </c>
      <c r="P1206" t="s">
        <v>168</v>
      </c>
      <c r="Q1206" t="s">
        <v>129</v>
      </c>
      <c r="R1206">
        <v>54</v>
      </c>
      <c r="S1206" t="s">
        <v>1482</v>
      </c>
      <c r="T1206">
        <v>21</v>
      </c>
      <c r="U1206">
        <v>24</v>
      </c>
      <c r="V1206">
        <v>0</v>
      </c>
      <c r="W1206">
        <v>0</v>
      </c>
      <c r="X1206">
        <v>0</v>
      </c>
      <c r="Y1206">
        <v>0</v>
      </c>
      <c r="Z1206">
        <v>21</v>
      </c>
      <c r="AA1206">
        <v>24</v>
      </c>
      <c r="AB1206">
        <v>50</v>
      </c>
      <c r="AC1206">
        <v>47</v>
      </c>
      <c r="AD1206">
        <v>0</v>
      </c>
      <c r="AE1206">
        <v>0</v>
      </c>
      <c r="AF1206">
        <v>47</v>
      </c>
      <c r="AG1206">
        <v>0</v>
      </c>
      <c r="AH1206">
        <v>3</v>
      </c>
      <c r="AI1206">
        <v>3</v>
      </c>
      <c r="AJ1206">
        <v>3</v>
      </c>
      <c r="AK1206">
        <v>3</v>
      </c>
      <c r="AL1206">
        <v>0</v>
      </c>
      <c r="AM1206">
        <v>0.4</v>
      </c>
      <c r="AN1206">
        <v>0.27272727272727271</v>
      </c>
      <c r="AO1206">
        <v>0</v>
      </c>
      <c r="AP1206" t="s">
        <v>188</v>
      </c>
      <c r="AQ1206" t="s">
        <v>131</v>
      </c>
      <c r="AR1206" t="s">
        <v>229</v>
      </c>
      <c r="AS1206">
        <v>0</v>
      </c>
      <c r="AT1206">
        <v>0</v>
      </c>
      <c r="AU1206">
        <v>0</v>
      </c>
      <c r="AV1206">
        <v>0</v>
      </c>
      <c r="AW1206">
        <v>0</v>
      </c>
      <c r="AX1206">
        <v>0</v>
      </c>
      <c r="AY1206">
        <v>0</v>
      </c>
      <c r="AZ1206" t="s">
        <v>147</v>
      </c>
      <c r="BA1206">
        <v>20</v>
      </c>
      <c r="BB1206">
        <v>0</v>
      </c>
      <c r="BC1206" t="s">
        <v>133</v>
      </c>
      <c r="BD1206">
        <v>0</v>
      </c>
      <c r="BE1206" t="s">
        <v>133</v>
      </c>
      <c r="BF120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07" spans="1:58" x14ac:dyDescent="0.25">
      <c r="A1207" t="s">
        <v>1483</v>
      </c>
      <c r="B1207" t="s">
        <v>19</v>
      </c>
      <c r="C1207">
        <v>2</v>
      </c>
      <c r="D1207">
        <v>591</v>
      </c>
      <c r="E1207" t="s">
        <v>2109</v>
      </c>
      <c r="F1207" t="s">
        <v>123</v>
      </c>
      <c r="G1207" t="s">
        <v>124</v>
      </c>
      <c r="H1207" t="s">
        <v>125</v>
      </c>
      <c r="I1207" t="s">
        <v>183</v>
      </c>
      <c r="J1207" t="s">
        <v>140</v>
      </c>
      <c r="K1207" t="s">
        <v>166</v>
      </c>
      <c r="L1207">
        <v>50</v>
      </c>
      <c r="M1207">
        <v>1271555</v>
      </c>
      <c r="N1207">
        <v>20</v>
      </c>
      <c r="O1207">
        <v>4</v>
      </c>
      <c r="P1207" t="s">
        <v>168</v>
      </c>
      <c r="Q1207" t="s">
        <v>129</v>
      </c>
      <c r="R1207">
        <v>54</v>
      </c>
      <c r="S1207" t="s">
        <v>1484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50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50</v>
      </c>
      <c r="AI1207">
        <v>50</v>
      </c>
      <c r="AJ1207">
        <v>50</v>
      </c>
      <c r="AK1207">
        <v>50</v>
      </c>
      <c r="AL1207">
        <v>0</v>
      </c>
      <c r="AM1207">
        <v>0.4</v>
      </c>
      <c r="AN1207">
        <v>4.5454545454545459</v>
      </c>
      <c r="AO1207">
        <v>0</v>
      </c>
      <c r="AP1207" t="s">
        <v>184</v>
      </c>
      <c r="AQ1207" t="s">
        <v>155</v>
      </c>
      <c r="AR1207" t="s">
        <v>229</v>
      </c>
      <c r="AS1207">
        <v>0</v>
      </c>
      <c r="AT1207">
        <v>0</v>
      </c>
      <c r="AU1207">
        <v>0</v>
      </c>
      <c r="AV1207">
        <v>0</v>
      </c>
      <c r="AW1207">
        <v>0</v>
      </c>
      <c r="AX1207">
        <v>0</v>
      </c>
      <c r="AY1207">
        <v>0</v>
      </c>
      <c r="AZ1207" t="s">
        <v>135</v>
      </c>
      <c r="BA1207">
        <v>20</v>
      </c>
      <c r="BB1207">
        <v>0</v>
      </c>
      <c r="BC1207" t="s">
        <v>133</v>
      </c>
      <c r="BD1207">
        <v>0</v>
      </c>
      <c r="BE1207" t="s">
        <v>133</v>
      </c>
      <c r="BF120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08" spans="1:58" x14ac:dyDescent="0.25">
      <c r="A1208" t="s">
        <v>1485</v>
      </c>
      <c r="B1208" t="s">
        <v>19</v>
      </c>
      <c r="C1208">
        <v>2</v>
      </c>
      <c r="D1208">
        <v>592</v>
      </c>
      <c r="E1208" t="s">
        <v>2109</v>
      </c>
      <c r="F1208" t="s">
        <v>123</v>
      </c>
      <c r="G1208" t="s">
        <v>124</v>
      </c>
      <c r="H1208" t="s">
        <v>125</v>
      </c>
      <c r="I1208" t="s">
        <v>154</v>
      </c>
      <c r="J1208" t="s">
        <v>154</v>
      </c>
      <c r="K1208" t="s">
        <v>151</v>
      </c>
      <c r="L1208">
        <v>50</v>
      </c>
      <c r="M1208">
        <v>1271557</v>
      </c>
      <c r="N1208">
        <v>0</v>
      </c>
      <c r="O1208">
        <v>4</v>
      </c>
      <c r="P1208" t="s">
        <v>168</v>
      </c>
      <c r="Q1208" t="s">
        <v>129</v>
      </c>
      <c r="R1208">
        <v>54</v>
      </c>
      <c r="S1208" t="s">
        <v>189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50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50</v>
      </c>
      <c r="AJ1208">
        <v>50</v>
      </c>
      <c r="AK1208">
        <v>50</v>
      </c>
      <c r="AL1208">
        <v>50</v>
      </c>
      <c r="AM1208">
        <v>0</v>
      </c>
      <c r="AN1208">
        <v>4.5454545454545459</v>
      </c>
      <c r="AO1208">
        <v>0</v>
      </c>
      <c r="AP1208" t="s">
        <v>172</v>
      </c>
      <c r="AQ1208" t="s">
        <v>155</v>
      </c>
      <c r="AR1208" t="s">
        <v>229</v>
      </c>
      <c r="AS1208">
        <v>0</v>
      </c>
      <c r="AT1208">
        <v>0</v>
      </c>
      <c r="AU1208">
        <v>0</v>
      </c>
      <c r="AV1208">
        <v>0</v>
      </c>
      <c r="AW1208">
        <v>0</v>
      </c>
      <c r="AX1208">
        <v>0</v>
      </c>
      <c r="AY1208">
        <v>0</v>
      </c>
      <c r="AZ1208" t="s">
        <v>147</v>
      </c>
      <c r="BA1208">
        <v>0</v>
      </c>
      <c r="BB1208">
        <v>0</v>
      </c>
      <c r="BC1208" t="s">
        <v>133</v>
      </c>
      <c r="BD1208">
        <v>1</v>
      </c>
      <c r="BE1208" t="s">
        <v>133</v>
      </c>
      <c r="BF120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09" spans="1:58" x14ac:dyDescent="0.25">
      <c r="A1209" t="s">
        <v>1486</v>
      </c>
      <c r="B1209" t="s">
        <v>19</v>
      </c>
      <c r="C1209">
        <v>2</v>
      </c>
      <c r="D1209">
        <v>593</v>
      </c>
      <c r="E1209" t="s">
        <v>2109</v>
      </c>
      <c r="F1209" t="s">
        <v>123</v>
      </c>
      <c r="G1209" t="s">
        <v>124</v>
      </c>
      <c r="H1209" t="s">
        <v>125</v>
      </c>
      <c r="I1209" t="s">
        <v>154</v>
      </c>
      <c r="J1209" t="s">
        <v>154</v>
      </c>
      <c r="K1209" t="s">
        <v>151</v>
      </c>
      <c r="L1209">
        <v>50</v>
      </c>
      <c r="M1209">
        <v>1271559</v>
      </c>
      <c r="N1209">
        <v>0</v>
      </c>
      <c r="O1209">
        <v>4</v>
      </c>
      <c r="P1209" t="s">
        <v>168</v>
      </c>
      <c r="Q1209" t="s">
        <v>129</v>
      </c>
      <c r="R1209">
        <v>54</v>
      </c>
      <c r="S1209" t="s">
        <v>189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50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50</v>
      </c>
      <c r="AJ1209">
        <v>50</v>
      </c>
      <c r="AK1209">
        <v>50</v>
      </c>
      <c r="AL1209">
        <v>50</v>
      </c>
      <c r="AM1209">
        <v>0</v>
      </c>
      <c r="AN1209">
        <v>4.5454545454545459</v>
      </c>
      <c r="AO1209">
        <v>0</v>
      </c>
      <c r="AP1209" t="s">
        <v>172</v>
      </c>
      <c r="AQ1209" t="s">
        <v>155</v>
      </c>
      <c r="AR1209" t="s">
        <v>229</v>
      </c>
      <c r="AS1209">
        <v>0</v>
      </c>
      <c r="AT1209">
        <v>0</v>
      </c>
      <c r="AU1209">
        <v>0</v>
      </c>
      <c r="AV1209">
        <v>0</v>
      </c>
      <c r="AW1209">
        <v>0</v>
      </c>
      <c r="AX1209">
        <v>0</v>
      </c>
      <c r="AY1209">
        <v>0</v>
      </c>
      <c r="AZ1209" t="s">
        <v>147</v>
      </c>
      <c r="BA1209">
        <v>0</v>
      </c>
      <c r="BB1209">
        <v>0</v>
      </c>
      <c r="BC1209" t="s">
        <v>133</v>
      </c>
      <c r="BD1209">
        <v>2</v>
      </c>
      <c r="BE1209" t="s">
        <v>133</v>
      </c>
      <c r="BF120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10" spans="1:58" x14ac:dyDescent="0.25">
      <c r="A1210" t="s">
        <v>1487</v>
      </c>
      <c r="B1210" t="s">
        <v>19</v>
      </c>
      <c r="C1210">
        <v>2</v>
      </c>
      <c r="D1210">
        <v>594</v>
      </c>
      <c r="E1210" t="s">
        <v>2109</v>
      </c>
      <c r="F1210" t="s">
        <v>123</v>
      </c>
      <c r="G1210" t="s">
        <v>124</v>
      </c>
      <c r="H1210" t="s">
        <v>125</v>
      </c>
      <c r="I1210" t="s">
        <v>154</v>
      </c>
      <c r="J1210" t="s">
        <v>154</v>
      </c>
      <c r="K1210" t="s">
        <v>151</v>
      </c>
      <c r="L1210">
        <v>50</v>
      </c>
      <c r="M1210">
        <v>1271561</v>
      </c>
      <c r="N1210">
        <v>0</v>
      </c>
      <c r="O1210">
        <v>4</v>
      </c>
      <c r="P1210" t="s">
        <v>168</v>
      </c>
      <c r="Q1210" t="s">
        <v>129</v>
      </c>
      <c r="R1210">
        <v>54</v>
      </c>
      <c r="S1210" t="s">
        <v>189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50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50</v>
      </c>
      <c r="AJ1210">
        <v>50</v>
      </c>
      <c r="AK1210">
        <v>50</v>
      </c>
      <c r="AL1210">
        <v>50</v>
      </c>
      <c r="AM1210">
        <v>0</v>
      </c>
      <c r="AN1210">
        <v>4.5454545454545459</v>
      </c>
      <c r="AO1210">
        <v>0</v>
      </c>
      <c r="AP1210" t="s">
        <v>172</v>
      </c>
      <c r="AQ1210" t="s">
        <v>155</v>
      </c>
      <c r="AR1210" t="s">
        <v>229</v>
      </c>
      <c r="AS1210">
        <v>0</v>
      </c>
      <c r="AT1210">
        <v>0</v>
      </c>
      <c r="AU1210">
        <v>0</v>
      </c>
      <c r="AV1210">
        <v>0</v>
      </c>
      <c r="AW1210">
        <v>0</v>
      </c>
      <c r="AX1210">
        <v>0</v>
      </c>
      <c r="AY1210">
        <v>0</v>
      </c>
      <c r="AZ1210" t="s">
        <v>147</v>
      </c>
      <c r="BA1210">
        <v>0</v>
      </c>
      <c r="BB1210">
        <v>0</v>
      </c>
      <c r="BC1210" t="s">
        <v>133</v>
      </c>
      <c r="BD1210">
        <v>3</v>
      </c>
      <c r="BE1210" t="s">
        <v>133</v>
      </c>
      <c r="BF121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11" spans="1:58" x14ac:dyDescent="0.25">
      <c r="A1211" t="s">
        <v>1488</v>
      </c>
      <c r="B1211" t="s">
        <v>19</v>
      </c>
      <c r="C1211">
        <v>2</v>
      </c>
      <c r="D1211">
        <v>595</v>
      </c>
      <c r="E1211" t="s">
        <v>2109</v>
      </c>
      <c r="F1211" t="s">
        <v>123</v>
      </c>
      <c r="G1211" t="s">
        <v>124</v>
      </c>
      <c r="H1211" t="s">
        <v>125</v>
      </c>
      <c r="I1211" t="s">
        <v>154</v>
      </c>
      <c r="J1211" t="s">
        <v>154</v>
      </c>
      <c r="K1211" t="s">
        <v>151</v>
      </c>
      <c r="L1211">
        <v>50</v>
      </c>
      <c r="M1211">
        <v>1271563</v>
      </c>
      <c r="N1211">
        <v>0</v>
      </c>
      <c r="O1211">
        <v>4</v>
      </c>
      <c r="P1211" t="s">
        <v>168</v>
      </c>
      <c r="Q1211" t="s">
        <v>129</v>
      </c>
      <c r="R1211">
        <v>54</v>
      </c>
      <c r="S1211" t="s">
        <v>189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50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50</v>
      </c>
      <c r="AJ1211">
        <v>50</v>
      </c>
      <c r="AK1211">
        <v>50</v>
      </c>
      <c r="AL1211">
        <v>50</v>
      </c>
      <c r="AM1211">
        <v>0</v>
      </c>
      <c r="AN1211">
        <v>4.5454545454545459</v>
      </c>
      <c r="AO1211">
        <v>0</v>
      </c>
      <c r="AP1211" t="s">
        <v>172</v>
      </c>
      <c r="AQ1211" t="s">
        <v>155</v>
      </c>
      <c r="AR1211" t="s">
        <v>229</v>
      </c>
      <c r="AS1211">
        <v>0</v>
      </c>
      <c r="AT1211">
        <v>0</v>
      </c>
      <c r="AU1211">
        <v>0</v>
      </c>
      <c r="AV1211">
        <v>0</v>
      </c>
      <c r="AW1211">
        <v>0</v>
      </c>
      <c r="AX1211">
        <v>0</v>
      </c>
      <c r="AY1211">
        <v>0</v>
      </c>
      <c r="AZ1211" t="s">
        <v>147</v>
      </c>
      <c r="BA1211">
        <v>0</v>
      </c>
      <c r="BB1211">
        <v>0</v>
      </c>
      <c r="BC1211" t="s">
        <v>133</v>
      </c>
      <c r="BD1211">
        <v>4</v>
      </c>
      <c r="BE1211" t="s">
        <v>133</v>
      </c>
      <c r="BF121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12" spans="1:58" x14ac:dyDescent="0.25">
      <c r="A1212" t="s">
        <v>1489</v>
      </c>
      <c r="B1212" t="s">
        <v>19</v>
      </c>
      <c r="C1212">
        <v>2</v>
      </c>
      <c r="D1212">
        <v>596</v>
      </c>
      <c r="E1212" t="s">
        <v>2109</v>
      </c>
      <c r="F1212" t="s">
        <v>123</v>
      </c>
      <c r="G1212" t="s">
        <v>124</v>
      </c>
      <c r="H1212" t="s">
        <v>125</v>
      </c>
      <c r="I1212" t="s">
        <v>154</v>
      </c>
      <c r="J1212" t="s">
        <v>154</v>
      </c>
      <c r="K1212" t="s">
        <v>151</v>
      </c>
      <c r="L1212">
        <v>50</v>
      </c>
      <c r="M1212">
        <v>1271565</v>
      </c>
      <c r="N1212">
        <v>0</v>
      </c>
      <c r="O1212">
        <v>4</v>
      </c>
      <c r="P1212" t="s">
        <v>168</v>
      </c>
      <c r="Q1212" t="s">
        <v>129</v>
      </c>
      <c r="R1212">
        <v>54</v>
      </c>
      <c r="S1212" t="s">
        <v>189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50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50</v>
      </c>
      <c r="AJ1212">
        <v>50</v>
      </c>
      <c r="AK1212">
        <v>50</v>
      </c>
      <c r="AL1212">
        <v>50</v>
      </c>
      <c r="AM1212">
        <v>0</v>
      </c>
      <c r="AN1212">
        <v>4.5454545454545459</v>
      </c>
      <c r="AO1212">
        <v>0</v>
      </c>
      <c r="AP1212" t="s">
        <v>172</v>
      </c>
      <c r="AQ1212" t="s">
        <v>155</v>
      </c>
      <c r="AR1212" t="s">
        <v>229</v>
      </c>
      <c r="AS1212">
        <v>0</v>
      </c>
      <c r="AT1212">
        <v>0</v>
      </c>
      <c r="AU1212">
        <v>0</v>
      </c>
      <c r="AV1212">
        <v>0</v>
      </c>
      <c r="AW1212">
        <v>0</v>
      </c>
      <c r="AX1212">
        <v>0</v>
      </c>
      <c r="AY1212">
        <v>0</v>
      </c>
      <c r="AZ1212" t="s">
        <v>147</v>
      </c>
      <c r="BA1212">
        <v>0</v>
      </c>
      <c r="BB1212">
        <v>0</v>
      </c>
      <c r="BC1212" t="s">
        <v>133</v>
      </c>
      <c r="BD1212">
        <v>5</v>
      </c>
      <c r="BE1212" t="s">
        <v>133</v>
      </c>
      <c r="BF121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13" spans="1:58" x14ac:dyDescent="0.25">
      <c r="A1213" t="s">
        <v>1490</v>
      </c>
      <c r="B1213" t="s">
        <v>19</v>
      </c>
      <c r="C1213">
        <v>2</v>
      </c>
      <c r="D1213">
        <v>597</v>
      </c>
      <c r="E1213" t="s">
        <v>2109</v>
      </c>
      <c r="F1213" t="s">
        <v>123</v>
      </c>
      <c r="G1213" t="s">
        <v>124</v>
      </c>
      <c r="H1213" t="s">
        <v>125</v>
      </c>
      <c r="I1213" t="s">
        <v>154</v>
      </c>
      <c r="J1213" t="s">
        <v>154</v>
      </c>
      <c r="K1213" t="s">
        <v>151</v>
      </c>
      <c r="L1213">
        <v>50</v>
      </c>
      <c r="M1213">
        <v>1271567</v>
      </c>
      <c r="N1213">
        <v>0</v>
      </c>
      <c r="O1213">
        <v>4</v>
      </c>
      <c r="P1213" t="s">
        <v>168</v>
      </c>
      <c r="Q1213" t="s">
        <v>129</v>
      </c>
      <c r="R1213">
        <v>54</v>
      </c>
      <c r="S1213" t="s">
        <v>189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50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50</v>
      </c>
      <c r="AJ1213">
        <v>50</v>
      </c>
      <c r="AK1213">
        <v>50</v>
      </c>
      <c r="AL1213">
        <v>50</v>
      </c>
      <c r="AM1213">
        <v>0</v>
      </c>
      <c r="AN1213">
        <v>4.5454545454545459</v>
      </c>
      <c r="AO1213">
        <v>0</v>
      </c>
      <c r="AP1213" t="s">
        <v>172</v>
      </c>
      <c r="AQ1213" t="s">
        <v>155</v>
      </c>
      <c r="AR1213" t="s">
        <v>229</v>
      </c>
      <c r="AS1213">
        <v>0</v>
      </c>
      <c r="AT1213">
        <v>0</v>
      </c>
      <c r="AU1213">
        <v>0</v>
      </c>
      <c r="AV1213">
        <v>0</v>
      </c>
      <c r="AW1213">
        <v>0</v>
      </c>
      <c r="AX1213">
        <v>0</v>
      </c>
      <c r="AY1213">
        <v>0</v>
      </c>
      <c r="AZ1213" t="s">
        <v>147</v>
      </c>
      <c r="BA1213">
        <v>0</v>
      </c>
      <c r="BB1213">
        <v>0</v>
      </c>
      <c r="BC1213" t="s">
        <v>133</v>
      </c>
      <c r="BD1213">
        <v>6</v>
      </c>
      <c r="BE1213" t="s">
        <v>133</v>
      </c>
      <c r="BF121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14" spans="1:58" x14ac:dyDescent="0.25">
      <c r="A1214" t="s">
        <v>1491</v>
      </c>
      <c r="B1214" t="s">
        <v>19</v>
      </c>
      <c r="C1214">
        <v>2</v>
      </c>
      <c r="D1214">
        <v>598</v>
      </c>
      <c r="E1214" t="s">
        <v>2109</v>
      </c>
      <c r="F1214" t="s">
        <v>123</v>
      </c>
      <c r="G1214" t="s">
        <v>124</v>
      </c>
      <c r="H1214" t="s">
        <v>125</v>
      </c>
      <c r="I1214" t="s">
        <v>154</v>
      </c>
      <c r="J1214" t="s">
        <v>154</v>
      </c>
      <c r="K1214" t="s">
        <v>151</v>
      </c>
      <c r="L1214">
        <v>50</v>
      </c>
      <c r="M1214">
        <v>1271569</v>
      </c>
      <c r="N1214">
        <v>0</v>
      </c>
      <c r="O1214">
        <v>4</v>
      </c>
      <c r="P1214" t="s">
        <v>168</v>
      </c>
      <c r="Q1214" t="s">
        <v>129</v>
      </c>
      <c r="R1214">
        <v>54</v>
      </c>
      <c r="S1214" t="s">
        <v>189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50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50</v>
      </c>
      <c r="AJ1214">
        <v>50</v>
      </c>
      <c r="AK1214">
        <v>50</v>
      </c>
      <c r="AL1214">
        <v>50</v>
      </c>
      <c r="AM1214">
        <v>0</v>
      </c>
      <c r="AN1214">
        <v>4.5454545454545459</v>
      </c>
      <c r="AO1214">
        <v>0</v>
      </c>
      <c r="AP1214" t="s">
        <v>172</v>
      </c>
      <c r="AQ1214" t="s">
        <v>155</v>
      </c>
      <c r="AR1214" t="s">
        <v>229</v>
      </c>
      <c r="AS1214">
        <v>0</v>
      </c>
      <c r="AT1214">
        <v>0</v>
      </c>
      <c r="AU1214">
        <v>0</v>
      </c>
      <c r="AV1214">
        <v>0</v>
      </c>
      <c r="AW1214">
        <v>0</v>
      </c>
      <c r="AX1214">
        <v>0</v>
      </c>
      <c r="AY1214">
        <v>0</v>
      </c>
      <c r="AZ1214" t="s">
        <v>147</v>
      </c>
      <c r="BA1214">
        <v>0</v>
      </c>
      <c r="BB1214">
        <v>0</v>
      </c>
      <c r="BC1214" t="s">
        <v>144</v>
      </c>
      <c r="BD1214">
        <v>7</v>
      </c>
      <c r="BE1214" t="s">
        <v>133</v>
      </c>
      <c r="BF121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15" spans="1:58" x14ac:dyDescent="0.25">
      <c r="A1215" t="s">
        <v>1492</v>
      </c>
      <c r="B1215" t="s">
        <v>19</v>
      </c>
      <c r="C1215">
        <v>2</v>
      </c>
      <c r="D1215">
        <v>599</v>
      </c>
      <c r="E1215" t="s">
        <v>2111</v>
      </c>
      <c r="F1215" t="s">
        <v>123</v>
      </c>
      <c r="G1215" t="s">
        <v>124</v>
      </c>
      <c r="H1215" t="s">
        <v>125</v>
      </c>
      <c r="I1215" t="s">
        <v>126</v>
      </c>
      <c r="J1215" t="s">
        <v>126</v>
      </c>
      <c r="K1215" t="s">
        <v>127</v>
      </c>
      <c r="L1215">
        <v>50</v>
      </c>
      <c r="M1215">
        <v>1271571</v>
      </c>
      <c r="N1215">
        <v>6</v>
      </c>
      <c r="O1215">
        <v>4</v>
      </c>
      <c r="P1215" t="s">
        <v>168</v>
      </c>
      <c r="Q1215" t="s">
        <v>129</v>
      </c>
      <c r="R1215">
        <v>55</v>
      </c>
      <c r="T1215">
        <v>16</v>
      </c>
      <c r="U1215">
        <v>21</v>
      </c>
      <c r="V1215">
        <v>8</v>
      </c>
      <c r="W1215">
        <v>0</v>
      </c>
      <c r="X1215">
        <v>8</v>
      </c>
      <c r="Y1215">
        <v>2</v>
      </c>
      <c r="Z1215">
        <v>26</v>
      </c>
      <c r="AA1215">
        <v>31</v>
      </c>
      <c r="AB1215">
        <v>50</v>
      </c>
      <c r="AC1215">
        <v>21</v>
      </c>
      <c r="AD1215">
        <v>12</v>
      </c>
      <c r="AE1215">
        <v>5</v>
      </c>
      <c r="AF1215">
        <v>38</v>
      </c>
      <c r="AG1215">
        <v>0</v>
      </c>
      <c r="AH1215">
        <v>29</v>
      </c>
      <c r="AI1215">
        <v>12</v>
      </c>
      <c r="AJ1215">
        <v>24</v>
      </c>
      <c r="AK1215">
        <v>29</v>
      </c>
      <c r="AL1215">
        <v>0</v>
      </c>
      <c r="AM1215">
        <v>0.12</v>
      </c>
      <c r="AN1215">
        <v>2.1818181818181817</v>
      </c>
      <c r="AO1215">
        <v>0</v>
      </c>
      <c r="AP1215" t="s">
        <v>130</v>
      </c>
      <c r="AQ1215" t="s">
        <v>131</v>
      </c>
      <c r="AR1215" t="s">
        <v>1184</v>
      </c>
      <c r="AS1215">
        <v>2336</v>
      </c>
      <c r="AT1215">
        <v>2311</v>
      </c>
      <c r="AU1215">
        <v>0</v>
      </c>
      <c r="AV1215">
        <v>0</v>
      </c>
      <c r="AW1215">
        <v>4.6470000000000002</v>
      </c>
      <c r="AX1215">
        <v>0.22128571428571431</v>
      </c>
      <c r="AY1215">
        <v>8.4088571428571441</v>
      </c>
      <c r="AZ1215" t="s">
        <v>135</v>
      </c>
      <c r="BA1215">
        <v>-2.4088571428571441</v>
      </c>
      <c r="BB1215">
        <v>-10.885732730794066</v>
      </c>
      <c r="BC1215" t="s">
        <v>132</v>
      </c>
      <c r="BD1215">
        <v>0</v>
      </c>
      <c r="BE1215" t="s">
        <v>133</v>
      </c>
      <c r="BF121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4.6470000000000002</v>
      </c>
    </row>
    <row r="1216" spans="1:58" x14ac:dyDescent="0.25">
      <c r="A1216" t="s">
        <v>1493</v>
      </c>
      <c r="B1216" t="s">
        <v>19</v>
      </c>
      <c r="C1216">
        <v>2</v>
      </c>
      <c r="D1216">
        <v>600</v>
      </c>
      <c r="E1216" t="s">
        <v>2111</v>
      </c>
      <c r="F1216" t="s">
        <v>123</v>
      </c>
      <c r="G1216" t="s">
        <v>124</v>
      </c>
      <c r="H1216" t="s">
        <v>125</v>
      </c>
      <c r="I1216" t="s">
        <v>126</v>
      </c>
      <c r="J1216" t="s">
        <v>126</v>
      </c>
      <c r="K1216" t="s">
        <v>127</v>
      </c>
      <c r="L1216">
        <v>50</v>
      </c>
      <c r="M1216">
        <v>1271573</v>
      </c>
      <c r="N1216">
        <v>6</v>
      </c>
      <c r="O1216">
        <v>4</v>
      </c>
      <c r="P1216" t="s">
        <v>168</v>
      </c>
      <c r="Q1216" t="s">
        <v>129</v>
      </c>
      <c r="R1216">
        <v>55</v>
      </c>
      <c r="T1216">
        <v>19</v>
      </c>
      <c r="U1216">
        <v>24</v>
      </c>
      <c r="V1216">
        <v>2</v>
      </c>
      <c r="W1216">
        <v>0</v>
      </c>
      <c r="X1216">
        <v>2</v>
      </c>
      <c r="Y1216">
        <v>5</v>
      </c>
      <c r="Z1216">
        <v>26</v>
      </c>
      <c r="AA1216">
        <v>31</v>
      </c>
      <c r="AB1216">
        <v>50</v>
      </c>
      <c r="AC1216">
        <v>25</v>
      </c>
      <c r="AD1216">
        <v>3</v>
      </c>
      <c r="AE1216">
        <v>8</v>
      </c>
      <c r="AF1216">
        <v>36</v>
      </c>
      <c r="AG1216">
        <v>0</v>
      </c>
      <c r="AH1216">
        <v>25</v>
      </c>
      <c r="AI1216">
        <v>14</v>
      </c>
      <c r="AJ1216">
        <v>17</v>
      </c>
      <c r="AK1216">
        <v>25</v>
      </c>
      <c r="AL1216">
        <v>0</v>
      </c>
      <c r="AM1216">
        <v>0.12</v>
      </c>
      <c r="AN1216">
        <v>1.5454545454545454</v>
      </c>
      <c r="AO1216">
        <v>0</v>
      </c>
      <c r="AP1216" t="s">
        <v>130</v>
      </c>
      <c r="AQ1216" t="s">
        <v>131</v>
      </c>
      <c r="AR1216" t="s">
        <v>1184</v>
      </c>
      <c r="AS1216">
        <v>2391</v>
      </c>
      <c r="AT1216">
        <v>2706</v>
      </c>
      <c r="AU1216">
        <v>0</v>
      </c>
      <c r="AV1216">
        <v>0</v>
      </c>
      <c r="AW1216">
        <v>5.0970000000000004</v>
      </c>
      <c r="AX1216">
        <v>0.20388000000000001</v>
      </c>
      <c r="AY1216">
        <v>7.3396800000000004</v>
      </c>
      <c r="AZ1216" t="s">
        <v>135</v>
      </c>
      <c r="BA1216">
        <v>-1.3396800000000004</v>
      </c>
      <c r="BB1216">
        <v>-6.5709240729841101</v>
      </c>
      <c r="BC1216" t="s">
        <v>133</v>
      </c>
      <c r="BD1216">
        <v>0</v>
      </c>
      <c r="BE1216" t="s">
        <v>133</v>
      </c>
      <c r="BF121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5.0970000000000004</v>
      </c>
    </row>
    <row r="1217" spans="1:58" x14ac:dyDescent="0.25">
      <c r="A1217" t="s">
        <v>1494</v>
      </c>
      <c r="B1217" t="s">
        <v>19</v>
      </c>
      <c r="C1217">
        <v>2</v>
      </c>
      <c r="D1217">
        <v>601</v>
      </c>
      <c r="E1217" t="s">
        <v>2111</v>
      </c>
      <c r="F1217" t="s">
        <v>123</v>
      </c>
      <c r="G1217" t="s">
        <v>124</v>
      </c>
      <c r="H1217" t="s">
        <v>125</v>
      </c>
      <c r="I1217" t="s">
        <v>126</v>
      </c>
      <c r="J1217" t="s">
        <v>126</v>
      </c>
      <c r="K1217" t="s">
        <v>127</v>
      </c>
      <c r="L1217">
        <v>50</v>
      </c>
      <c r="M1217">
        <v>1271391</v>
      </c>
      <c r="N1217">
        <v>6</v>
      </c>
      <c r="O1217">
        <v>4</v>
      </c>
      <c r="P1217" t="s">
        <v>168</v>
      </c>
      <c r="Q1217" t="s">
        <v>129</v>
      </c>
      <c r="R1217">
        <v>55</v>
      </c>
      <c r="T1217">
        <v>16</v>
      </c>
      <c r="U1217">
        <v>21</v>
      </c>
      <c r="V1217">
        <v>4</v>
      </c>
      <c r="W1217">
        <v>0</v>
      </c>
      <c r="X1217">
        <v>4</v>
      </c>
      <c r="Y1217">
        <v>3</v>
      </c>
      <c r="Z1217">
        <v>23</v>
      </c>
      <c r="AA1217">
        <v>28</v>
      </c>
      <c r="AB1217">
        <v>50</v>
      </c>
      <c r="AC1217">
        <v>21</v>
      </c>
      <c r="AD1217">
        <v>6</v>
      </c>
      <c r="AE1217">
        <v>5</v>
      </c>
      <c r="AF1217">
        <v>32</v>
      </c>
      <c r="AG1217">
        <v>0</v>
      </c>
      <c r="AH1217">
        <v>29</v>
      </c>
      <c r="AI1217">
        <v>18</v>
      </c>
      <c r="AJ1217">
        <v>24</v>
      </c>
      <c r="AK1217">
        <v>29</v>
      </c>
      <c r="AL1217">
        <v>0</v>
      </c>
      <c r="AM1217">
        <v>0.12</v>
      </c>
      <c r="AN1217">
        <v>2.1818181818181817</v>
      </c>
      <c r="AO1217">
        <v>0</v>
      </c>
      <c r="AP1217" t="s">
        <v>130</v>
      </c>
      <c r="AQ1217" t="s">
        <v>131</v>
      </c>
      <c r="AR1217" t="s">
        <v>1184</v>
      </c>
      <c r="AS1217">
        <v>2101</v>
      </c>
      <c r="AT1217">
        <v>2220</v>
      </c>
      <c r="AU1217">
        <v>0</v>
      </c>
      <c r="AV1217">
        <v>0</v>
      </c>
      <c r="AW1217">
        <v>4.3209999999999997</v>
      </c>
      <c r="AX1217">
        <v>0.20576190476190476</v>
      </c>
      <c r="AY1217">
        <v>6.5843809523809522</v>
      </c>
      <c r="AZ1217" t="s">
        <v>135</v>
      </c>
      <c r="BA1217">
        <v>-0.58438095238095222</v>
      </c>
      <c r="BB1217">
        <v>-2.8400833140476736</v>
      </c>
      <c r="BC1217" t="s">
        <v>133</v>
      </c>
      <c r="BD1217">
        <v>0</v>
      </c>
      <c r="BE1217" t="s">
        <v>133</v>
      </c>
      <c r="BF121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4.3209999999999997</v>
      </c>
    </row>
    <row r="1218" spans="1:58" x14ac:dyDescent="0.25">
      <c r="A1218" t="s">
        <v>1495</v>
      </c>
      <c r="B1218" t="s">
        <v>19</v>
      </c>
      <c r="C1218">
        <v>2</v>
      </c>
      <c r="D1218">
        <v>602</v>
      </c>
      <c r="E1218" t="s">
        <v>2111</v>
      </c>
      <c r="F1218" t="s">
        <v>123</v>
      </c>
      <c r="G1218" t="s">
        <v>124</v>
      </c>
      <c r="H1218" t="s">
        <v>125</v>
      </c>
      <c r="I1218" t="s">
        <v>126</v>
      </c>
      <c r="J1218" t="s">
        <v>126</v>
      </c>
      <c r="K1218" t="s">
        <v>127</v>
      </c>
      <c r="L1218">
        <v>50</v>
      </c>
      <c r="M1218">
        <v>1271593</v>
      </c>
      <c r="N1218">
        <v>6</v>
      </c>
      <c r="O1218">
        <v>4</v>
      </c>
      <c r="P1218" t="s">
        <v>168</v>
      </c>
      <c r="Q1218" t="s">
        <v>129</v>
      </c>
      <c r="R1218">
        <v>55</v>
      </c>
      <c r="T1218">
        <v>16</v>
      </c>
      <c r="U1218">
        <v>21</v>
      </c>
      <c r="V1218">
        <v>4</v>
      </c>
      <c r="W1218">
        <v>0</v>
      </c>
      <c r="X1218">
        <v>4</v>
      </c>
      <c r="Y1218">
        <v>1</v>
      </c>
      <c r="Z1218">
        <v>21</v>
      </c>
      <c r="AA1218">
        <v>26</v>
      </c>
      <c r="AB1218">
        <v>50</v>
      </c>
      <c r="AC1218">
        <v>27</v>
      </c>
      <c r="AD1218">
        <v>5</v>
      </c>
      <c r="AE1218">
        <v>2</v>
      </c>
      <c r="AF1218">
        <v>34</v>
      </c>
      <c r="AG1218">
        <v>0</v>
      </c>
      <c r="AH1218">
        <v>23</v>
      </c>
      <c r="AI1218">
        <v>16</v>
      </c>
      <c r="AJ1218">
        <v>21</v>
      </c>
      <c r="AK1218">
        <v>23</v>
      </c>
      <c r="AL1218">
        <v>0</v>
      </c>
      <c r="AM1218">
        <v>0.12</v>
      </c>
      <c r="AN1218">
        <v>1.9090909090909092</v>
      </c>
      <c r="AO1218">
        <v>0</v>
      </c>
      <c r="AP1218" t="s">
        <v>130</v>
      </c>
      <c r="AQ1218" t="s">
        <v>131</v>
      </c>
      <c r="AR1218" t="s">
        <v>1184</v>
      </c>
      <c r="AS1218">
        <v>2476</v>
      </c>
      <c r="AT1218">
        <v>2477</v>
      </c>
      <c r="AU1218">
        <v>0</v>
      </c>
      <c r="AV1218">
        <v>0</v>
      </c>
      <c r="AW1218">
        <v>4.9530000000000003</v>
      </c>
      <c r="AX1218">
        <v>0.18344444444444447</v>
      </c>
      <c r="AY1218">
        <v>6.2371111111111119</v>
      </c>
      <c r="AZ1218" t="s">
        <v>135</v>
      </c>
      <c r="BA1218">
        <v>-0.23711111111111194</v>
      </c>
      <c r="BB1218">
        <v>-1.2925499697153284</v>
      </c>
      <c r="BC1218" t="s">
        <v>133</v>
      </c>
      <c r="BD1218">
        <v>0</v>
      </c>
      <c r="BE1218" t="s">
        <v>133</v>
      </c>
      <c r="BF121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4.9530000000000003</v>
      </c>
    </row>
    <row r="1219" spans="1:58" x14ac:dyDescent="0.25">
      <c r="A1219" t="s">
        <v>1496</v>
      </c>
      <c r="B1219" t="s">
        <v>19</v>
      </c>
      <c r="C1219">
        <v>2</v>
      </c>
      <c r="D1219">
        <v>603</v>
      </c>
      <c r="E1219" t="s">
        <v>2111</v>
      </c>
      <c r="F1219" t="s">
        <v>123</v>
      </c>
      <c r="G1219" t="s">
        <v>124</v>
      </c>
      <c r="H1219" t="s">
        <v>125</v>
      </c>
      <c r="I1219" t="s">
        <v>126</v>
      </c>
      <c r="J1219" t="s">
        <v>126</v>
      </c>
      <c r="K1219" t="s">
        <v>127</v>
      </c>
      <c r="L1219">
        <v>50</v>
      </c>
      <c r="M1219">
        <v>1271595</v>
      </c>
      <c r="N1219">
        <v>6</v>
      </c>
      <c r="O1219">
        <v>4</v>
      </c>
      <c r="P1219" t="s">
        <v>168</v>
      </c>
      <c r="Q1219" t="s">
        <v>129</v>
      </c>
      <c r="R1219">
        <v>55</v>
      </c>
      <c r="T1219">
        <v>15</v>
      </c>
      <c r="U1219">
        <v>20</v>
      </c>
      <c r="V1219">
        <v>3</v>
      </c>
      <c r="W1219">
        <v>0</v>
      </c>
      <c r="X1219">
        <v>3</v>
      </c>
      <c r="Y1219">
        <v>1</v>
      </c>
      <c r="Z1219">
        <v>19</v>
      </c>
      <c r="AA1219">
        <v>24</v>
      </c>
      <c r="AB1219">
        <v>50</v>
      </c>
      <c r="AC1219">
        <v>26</v>
      </c>
      <c r="AD1219">
        <v>5</v>
      </c>
      <c r="AE1219">
        <v>2</v>
      </c>
      <c r="AF1219">
        <v>33</v>
      </c>
      <c r="AG1219">
        <v>0</v>
      </c>
      <c r="AH1219">
        <v>24</v>
      </c>
      <c r="AI1219">
        <v>17</v>
      </c>
      <c r="AJ1219">
        <v>22</v>
      </c>
      <c r="AK1219">
        <v>24</v>
      </c>
      <c r="AL1219">
        <v>0</v>
      </c>
      <c r="AM1219">
        <v>0.12</v>
      </c>
      <c r="AN1219">
        <v>2</v>
      </c>
      <c r="AO1219">
        <v>0</v>
      </c>
      <c r="AP1219" t="s">
        <v>130</v>
      </c>
      <c r="AQ1219" t="s">
        <v>131</v>
      </c>
      <c r="AR1219" t="s">
        <v>1184</v>
      </c>
      <c r="AS1219">
        <v>2635</v>
      </c>
      <c r="AT1219">
        <v>2436</v>
      </c>
      <c r="AU1219">
        <v>0</v>
      </c>
      <c r="AV1219">
        <v>0</v>
      </c>
      <c r="AW1219">
        <v>5.0709999999999997</v>
      </c>
      <c r="AX1219">
        <v>0.19503846153846152</v>
      </c>
      <c r="AY1219">
        <v>6.4362692307692306</v>
      </c>
      <c r="AZ1219" t="s">
        <v>135</v>
      </c>
      <c r="BA1219">
        <v>-0.43626923076923063</v>
      </c>
      <c r="BB1219">
        <v>-2.2368369157957004</v>
      </c>
      <c r="BC1219" t="s">
        <v>133</v>
      </c>
      <c r="BD1219">
        <v>0</v>
      </c>
      <c r="BE1219" t="s">
        <v>133</v>
      </c>
      <c r="BF121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5.0709999999999997</v>
      </c>
    </row>
    <row r="1220" spans="1:58" x14ac:dyDescent="0.25">
      <c r="A1220" t="s">
        <v>1497</v>
      </c>
      <c r="B1220" t="s">
        <v>19</v>
      </c>
      <c r="C1220">
        <v>2</v>
      </c>
      <c r="D1220">
        <v>604</v>
      </c>
      <c r="E1220" t="s">
        <v>2111</v>
      </c>
      <c r="F1220" t="s">
        <v>123</v>
      </c>
      <c r="G1220" t="s">
        <v>124</v>
      </c>
      <c r="H1220" t="s">
        <v>136</v>
      </c>
      <c r="I1220" t="s">
        <v>137</v>
      </c>
      <c r="J1220" t="s">
        <v>138</v>
      </c>
      <c r="K1220" t="s">
        <v>127</v>
      </c>
      <c r="L1220">
        <v>50</v>
      </c>
      <c r="M1220">
        <v>1271597</v>
      </c>
      <c r="N1220">
        <v>5</v>
      </c>
      <c r="O1220">
        <v>4</v>
      </c>
      <c r="P1220" t="s">
        <v>168</v>
      </c>
      <c r="Q1220" t="s">
        <v>129</v>
      </c>
      <c r="R1220">
        <v>55</v>
      </c>
      <c r="T1220">
        <v>0</v>
      </c>
      <c r="U1220">
        <v>4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4</v>
      </c>
      <c r="AB1220">
        <v>50</v>
      </c>
      <c r="AC1220">
        <v>4</v>
      </c>
      <c r="AD1220">
        <v>0</v>
      </c>
      <c r="AE1220">
        <v>0</v>
      </c>
      <c r="AF1220">
        <v>4</v>
      </c>
      <c r="AG1220">
        <v>0</v>
      </c>
      <c r="AH1220">
        <v>46</v>
      </c>
      <c r="AI1220">
        <v>46</v>
      </c>
      <c r="AJ1220">
        <v>46</v>
      </c>
      <c r="AK1220">
        <v>46</v>
      </c>
      <c r="AL1220">
        <v>0</v>
      </c>
      <c r="AM1220">
        <v>0.1</v>
      </c>
      <c r="AN1220">
        <v>4.1818181818181817</v>
      </c>
      <c r="AO1220">
        <v>0</v>
      </c>
      <c r="AP1220" t="s">
        <v>139</v>
      </c>
      <c r="AQ1220" t="s">
        <v>131</v>
      </c>
      <c r="AR1220" t="s">
        <v>1184</v>
      </c>
      <c r="AS1220">
        <v>0</v>
      </c>
      <c r="AT1220">
        <v>0</v>
      </c>
      <c r="AU1220">
        <v>0</v>
      </c>
      <c r="AV1220">
        <v>0</v>
      </c>
      <c r="AW1220">
        <v>0</v>
      </c>
      <c r="AX1220">
        <v>0</v>
      </c>
      <c r="AY1220">
        <v>0</v>
      </c>
      <c r="AZ1220" t="s">
        <v>134</v>
      </c>
      <c r="BA1220">
        <v>5</v>
      </c>
      <c r="BB1220">
        <v>0</v>
      </c>
      <c r="BC1220" t="s">
        <v>133</v>
      </c>
      <c r="BD1220">
        <v>0</v>
      </c>
      <c r="BE1220" t="s">
        <v>133</v>
      </c>
      <c r="BF122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21" spans="1:58" x14ac:dyDescent="0.25">
      <c r="A1221" t="s">
        <v>1498</v>
      </c>
      <c r="B1221" t="s">
        <v>19</v>
      </c>
      <c r="C1221">
        <v>2</v>
      </c>
      <c r="D1221">
        <v>605</v>
      </c>
      <c r="E1221" t="s">
        <v>2111</v>
      </c>
      <c r="F1221" t="s">
        <v>123</v>
      </c>
      <c r="G1221" t="s">
        <v>124</v>
      </c>
      <c r="H1221" t="s">
        <v>125</v>
      </c>
      <c r="I1221" t="s">
        <v>126</v>
      </c>
      <c r="J1221" t="s">
        <v>126</v>
      </c>
      <c r="K1221" t="s">
        <v>127</v>
      </c>
      <c r="L1221">
        <v>50</v>
      </c>
      <c r="M1221">
        <v>1271599</v>
      </c>
      <c r="N1221">
        <v>6</v>
      </c>
      <c r="O1221">
        <v>4</v>
      </c>
      <c r="P1221" t="s">
        <v>168</v>
      </c>
      <c r="Q1221" t="s">
        <v>129</v>
      </c>
      <c r="R1221">
        <v>55</v>
      </c>
      <c r="T1221">
        <v>14</v>
      </c>
      <c r="U1221">
        <v>19</v>
      </c>
      <c r="V1221">
        <v>2</v>
      </c>
      <c r="W1221">
        <v>0</v>
      </c>
      <c r="X1221">
        <v>2</v>
      </c>
      <c r="Y1221">
        <v>2</v>
      </c>
      <c r="Z1221">
        <v>18</v>
      </c>
      <c r="AA1221">
        <v>23</v>
      </c>
      <c r="AB1221">
        <v>50</v>
      </c>
      <c r="AC1221">
        <v>19</v>
      </c>
      <c r="AD1221">
        <v>4</v>
      </c>
      <c r="AE1221">
        <v>4</v>
      </c>
      <c r="AF1221">
        <v>27</v>
      </c>
      <c r="AG1221">
        <v>0</v>
      </c>
      <c r="AH1221">
        <v>31</v>
      </c>
      <c r="AI1221">
        <v>23</v>
      </c>
      <c r="AJ1221">
        <v>27</v>
      </c>
      <c r="AK1221">
        <v>31</v>
      </c>
      <c r="AL1221">
        <v>0</v>
      </c>
      <c r="AM1221">
        <v>0.12</v>
      </c>
      <c r="AN1221">
        <v>2.4545454545454546</v>
      </c>
      <c r="AO1221">
        <v>0</v>
      </c>
      <c r="AP1221" t="s">
        <v>130</v>
      </c>
      <c r="AQ1221" t="s">
        <v>131</v>
      </c>
      <c r="AR1221" t="s">
        <v>1184</v>
      </c>
      <c r="AS1221">
        <v>2080</v>
      </c>
      <c r="AT1221">
        <v>1919</v>
      </c>
      <c r="AU1221">
        <v>0</v>
      </c>
      <c r="AV1221">
        <v>0</v>
      </c>
      <c r="AW1221">
        <v>3.9990000000000001</v>
      </c>
      <c r="AX1221">
        <v>0.21047368421052631</v>
      </c>
      <c r="AY1221">
        <v>5.6827894736842106</v>
      </c>
      <c r="AZ1221" t="s">
        <v>135</v>
      </c>
      <c r="BA1221">
        <v>0.31721052631578939</v>
      </c>
      <c r="BB1221">
        <v>1.5071267816954235</v>
      </c>
      <c r="BC1221" t="s">
        <v>133</v>
      </c>
      <c r="BD1221">
        <v>0</v>
      </c>
      <c r="BE1221" t="s">
        <v>133</v>
      </c>
      <c r="BF122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3.9990000000000001</v>
      </c>
    </row>
    <row r="1222" spans="1:58" x14ac:dyDescent="0.25">
      <c r="A1222" t="s">
        <v>1499</v>
      </c>
      <c r="B1222" t="s">
        <v>19</v>
      </c>
      <c r="C1222">
        <v>2</v>
      </c>
      <c r="D1222">
        <v>606</v>
      </c>
      <c r="E1222" t="s">
        <v>2111</v>
      </c>
      <c r="F1222" t="s">
        <v>123</v>
      </c>
      <c r="G1222" t="s">
        <v>124</v>
      </c>
      <c r="H1222" t="s">
        <v>125</v>
      </c>
      <c r="I1222" t="s">
        <v>126</v>
      </c>
      <c r="J1222" t="s">
        <v>126</v>
      </c>
      <c r="K1222" t="s">
        <v>127</v>
      </c>
      <c r="L1222">
        <v>50</v>
      </c>
      <c r="M1222">
        <v>1271601</v>
      </c>
      <c r="N1222">
        <v>6</v>
      </c>
      <c r="O1222">
        <v>4</v>
      </c>
      <c r="P1222" t="s">
        <v>168</v>
      </c>
      <c r="Q1222" t="s">
        <v>129</v>
      </c>
      <c r="R1222">
        <v>55</v>
      </c>
      <c r="T1222">
        <v>21</v>
      </c>
      <c r="U1222">
        <v>26</v>
      </c>
      <c r="V1222">
        <v>1</v>
      </c>
      <c r="W1222">
        <v>0</v>
      </c>
      <c r="X1222">
        <v>1</v>
      </c>
      <c r="Y1222">
        <v>1</v>
      </c>
      <c r="Z1222">
        <v>23</v>
      </c>
      <c r="AA1222">
        <v>28</v>
      </c>
      <c r="AB1222">
        <v>50</v>
      </c>
      <c r="AC1222">
        <v>31</v>
      </c>
      <c r="AD1222">
        <v>1</v>
      </c>
      <c r="AE1222">
        <v>4</v>
      </c>
      <c r="AF1222">
        <v>36</v>
      </c>
      <c r="AG1222">
        <v>0</v>
      </c>
      <c r="AH1222">
        <v>19</v>
      </c>
      <c r="AI1222">
        <v>14</v>
      </c>
      <c r="AJ1222">
        <v>15</v>
      </c>
      <c r="AK1222">
        <v>19</v>
      </c>
      <c r="AL1222">
        <v>0</v>
      </c>
      <c r="AM1222">
        <v>0.12</v>
      </c>
      <c r="AN1222">
        <v>1.3636363636363638</v>
      </c>
      <c r="AO1222">
        <v>0</v>
      </c>
      <c r="AP1222" t="s">
        <v>130</v>
      </c>
      <c r="AQ1222" t="s">
        <v>131</v>
      </c>
      <c r="AR1222" t="s">
        <v>1184</v>
      </c>
      <c r="AS1222">
        <v>3081</v>
      </c>
      <c r="AT1222">
        <v>3085</v>
      </c>
      <c r="AU1222">
        <v>0</v>
      </c>
      <c r="AV1222">
        <v>0</v>
      </c>
      <c r="AW1222">
        <v>6.1660000000000004</v>
      </c>
      <c r="AX1222">
        <v>0.19890322580645162</v>
      </c>
      <c r="AY1222">
        <v>7.1605161290322581</v>
      </c>
      <c r="AZ1222" t="s">
        <v>135</v>
      </c>
      <c r="BA1222">
        <v>-1.1605161290322581</v>
      </c>
      <c r="BB1222">
        <v>-5.8345767109957833</v>
      </c>
      <c r="BC1222" t="s">
        <v>133</v>
      </c>
      <c r="BD1222">
        <v>0</v>
      </c>
      <c r="BE1222" t="s">
        <v>133</v>
      </c>
      <c r="BF122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6.1660000000000004</v>
      </c>
    </row>
    <row r="1223" spans="1:58" x14ac:dyDescent="0.25">
      <c r="A1223" t="s">
        <v>1500</v>
      </c>
      <c r="B1223" t="s">
        <v>19</v>
      </c>
      <c r="C1223">
        <v>2</v>
      </c>
      <c r="D1223">
        <v>607</v>
      </c>
      <c r="E1223" t="s">
        <v>2111</v>
      </c>
      <c r="F1223" t="s">
        <v>123</v>
      </c>
      <c r="G1223" t="s">
        <v>124</v>
      </c>
      <c r="H1223" t="s">
        <v>125</v>
      </c>
      <c r="I1223" t="s">
        <v>126</v>
      </c>
      <c r="J1223" t="s">
        <v>126</v>
      </c>
      <c r="K1223" t="s">
        <v>127</v>
      </c>
      <c r="L1223">
        <v>50</v>
      </c>
      <c r="M1223">
        <v>1271603</v>
      </c>
      <c r="N1223">
        <v>6</v>
      </c>
      <c r="O1223">
        <v>4</v>
      </c>
      <c r="P1223" t="s">
        <v>168</v>
      </c>
      <c r="Q1223" t="s">
        <v>129</v>
      </c>
      <c r="R1223">
        <v>55</v>
      </c>
      <c r="T1223">
        <v>9</v>
      </c>
      <c r="U1223">
        <v>14</v>
      </c>
      <c r="V1223">
        <v>8</v>
      </c>
      <c r="W1223">
        <v>0</v>
      </c>
      <c r="X1223">
        <v>8</v>
      </c>
      <c r="Y1223">
        <v>4</v>
      </c>
      <c r="Z1223">
        <v>21</v>
      </c>
      <c r="AA1223">
        <v>26</v>
      </c>
      <c r="AB1223">
        <v>50</v>
      </c>
      <c r="AC1223">
        <v>15</v>
      </c>
      <c r="AD1223">
        <v>15</v>
      </c>
      <c r="AE1223">
        <v>4</v>
      </c>
      <c r="AF1223">
        <v>34</v>
      </c>
      <c r="AG1223">
        <v>0</v>
      </c>
      <c r="AH1223">
        <v>35</v>
      </c>
      <c r="AI1223">
        <v>16</v>
      </c>
      <c r="AJ1223">
        <v>31</v>
      </c>
      <c r="AK1223">
        <v>35</v>
      </c>
      <c r="AL1223">
        <v>0</v>
      </c>
      <c r="AM1223">
        <v>0.12</v>
      </c>
      <c r="AN1223">
        <v>2.8181818181818183</v>
      </c>
      <c r="AO1223">
        <v>0</v>
      </c>
      <c r="AP1223" t="s">
        <v>130</v>
      </c>
      <c r="AQ1223" t="s">
        <v>131</v>
      </c>
      <c r="AR1223" t="s">
        <v>1184</v>
      </c>
      <c r="AS1223">
        <v>1351</v>
      </c>
      <c r="AT1223">
        <v>1321</v>
      </c>
      <c r="AU1223">
        <v>0</v>
      </c>
      <c r="AV1223">
        <v>0</v>
      </c>
      <c r="AW1223">
        <v>2.6720000000000002</v>
      </c>
      <c r="AX1223">
        <v>0.17813333333333334</v>
      </c>
      <c r="AY1223">
        <v>6.0565333333333333</v>
      </c>
      <c r="AZ1223" t="s">
        <v>135</v>
      </c>
      <c r="BA1223">
        <v>-5.6533333333333324E-2</v>
      </c>
      <c r="BB1223">
        <v>-0.31736526946107779</v>
      </c>
      <c r="BC1223" t="s">
        <v>133</v>
      </c>
      <c r="BD1223">
        <v>0</v>
      </c>
      <c r="BE1223" t="s">
        <v>133</v>
      </c>
      <c r="BF122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2.6720000000000002</v>
      </c>
    </row>
    <row r="1224" spans="1:58" x14ac:dyDescent="0.25">
      <c r="A1224" t="s">
        <v>1501</v>
      </c>
      <c r="B1224" t="s">
        <v>19</v>
      </c>
      <c r="C1224">
        <v>2</v>
      </c>
      <c r="D1224">
        <v>608</v>
      </c>
      <c r="E1224" t="s">
        <v>2111</v>
      </c>
      <c r="F1224" t="s">
        <v>123</v>
      </c>
      <c r="G1224" t="s">
        <v>124</v>
      </c>
      <c r="H1224" t="s">
        <v>125</v>
      </c>
      <c r="I1224" t="s">
        <v>126</v>
      </c>
      <c r="J1224" t="s">
        <v>126</v>
      </c>
      <c r="K1224" t="s">
        <v>127</v>
      </c>
      <c r="L1224">
        <v>50</v>
      </c>
      <c r="M1224">
        <v>1271605</v>
      </c>
      <c r="N1224">
        <v>6</v>
      </c>
      <c r="O1224">
        <v>4</v>
      </c>
      <c r="P1224" t="s">
        <v>168</v>
      </c>
      <c r="Q1224" t="s">
        <v>129</v>
      </c>
      <c r="R1224">
        <v>55</v>
      </c>
      <c r="T1224">
        <v>14</v>
      </c>
      <c r="U1224">
        <v>19</v>
      </c>
      <c r="V1224">
        <v>2</v>
      </c>
      <c r="W1224">
        <v>0</v>
      </c>
      <c r="X1224">
        <v>2</v>
      </c>
      <c r="Y1224">
        <v>4</v>
      </c>
      <c r="Z1224">
        <v>20</v>
      </c>
      <c r="AA1224">
        <v>25</v>
      </c>
      <c r="AB1224">
        <v>50</v>
      </c>
      <c r="AC1224">
        <v>22</v>
      </c>
      <c r="AD1224">
        <v>3</v>
      </c>
      <c r="AE1224">
        <v>5</v>
      </c>
      <c r="AF1224">
        <v>30</v>
      </c>
      <c r="AG1224">
        <v>0</v>
      </c>
      <c r="AH1224">
        <v>28</v>
      </c>
      <c r="AI1224">
        <v>20</v>
      </c>
      <c r="AJ1224">
        <v>23</v>
      </c>
      <c r="AK1224">
        <v>28</v>
      </c>
      <c r="AL1224">
        <v>0</v>
      </c>
      <c r="AM1224">
        <v>0.12</v>
      </c>
      <c r="AN1224">
        <v>2.0909090909090908</v>
      </c>
      <c r="AO1224">
        <v>0</v>
      </c>
      <c r="AP1224" t="s">
        <v>130</v>
      </c>
      <c r="AQ1224" t="s">
        <v>131</v>
      </c>
      <c r="AR1224" t="s">
        <v>1184</v>
      </c>
      <c r="AS1224">
        <v>1967</v>
      </c>
      <c r="AT1224">
        <v>1944</v>
      </c>
      <c r="AU1224">
        <v>0</v>
      </c>
      <c r="AV1224">
        <v>0</v>
      </c>
      <c r="AW1224">
        <v>3.911</v>
      </c>
      <c r="AX1224">
        <v>0.17777272727272728</v>
      </c>
      <c r="AY1224">
        <v>5.333181818181818</v>
      </c>
      <c r="AZ1224" t="s">
        <v>135</v>
      </c>
      <c r="BA1224">
        <v>0.66681818181818198</v>
      </c>
      <c r="BB1224">
        <v>3.7509588340577866</v>
      </c>
      <c r="BC1224" t="s">
        <v>133</v>
      </c>
      <c r="BD1224">
        <v>0</v>
      </c>
      <c r="BE1224" t="s">
        <v>133</v>
      </c>
      <c r="BF122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3.911</v>
      </c>
    </row>
    <row r="1225" spans="1:58" x14ac:dyDescent="0.25">
      <c r="A1225" t="s">
        <v>1502</v>
      </c>
      <c r="B1225" t="s">
        <v>19</v>
      </c>
      <c r="C1225">
        <v>2</v>
      </c>
      <c r="D1225">
        <v>609</v>
      </c>
      <c r="E1225" t="s">
        <v>2111</v>
      </c>
      <c r="F1225" t="s">
        <v>123</v>
      </c>
      <c r="G1225" t="s">
        <v>124</v>
      </c>
      <c r="H1225" t="s">
        <v>125</v>
      </c>
      <c r="I1225" t="s">
        <v>126</v>
      </c>
      <c r="J1225" t="s">
        <v>126</v>
      </c>
      <c r="K1225" t="s">
        <v>127</v>
      </c>
      <c r="L1225">
        <v>50</v>
      </c>
      <c r="M1225">
        <v>1271607</v>
      </c>
      <c r="N1225">
        <v>6</v>
      </c>
      <c r="O1225">
        <v>4</v>
      </c>
      <c r="P1225" t="s">
        <v>168</v>
      </c>
      <c r="Q1225" t="s">
        <v>129</v>
      </c>
      <c r="R1225">
        <v>55</v>
      </c>
      <c r="T1225">
        <v>17</v>
      </c>
      <c r="U1225">
        <v>22</v>
      </c>
      <c r="V1225">
        <v>3</v>
      </c>
      <c r="W1225">
        <v>0</v>
      </c>
      <c r="X1225">
        <v>3</v>
      </c>
      <c r="Y1225">
        <v>1</v>
      </c>
      <c r="Z1225">
        <v>21</v>
      </c>
      <c r="AA1225">
        <v>26</v>
      </c>
      <c r="AB1225">
        <v>50</v>
      </c>
      <c r="AC1225">
        <v>23</v>
      </c>
      <c r="AD1225">
        <v>5</v>
      </c>
      <c r="AE1225">
        <v>2</v>
      </c>
      <c r="AF1225">
        <v>30</v>
      </c>
      <c r="AG1225">
        <v>0</v>
      </c>
      <c r="AH1225">
        <v>27</v>
      </c>
      <c r="AI1225">
        <v>20</v>
      </c>
      <c r="AJ1225">
        <v>25</v>
      </c>
      <c r="AK1225">
        <v>27</v>
      </c>
      <c r="AL1225">
        <v>0</v>
      </c>
      <c r="AM1225">
        <v>0.12</v>
      </c>
      <c r="AN1225">
        <v>2.2727272727272729</v>
      </c>
      <c r="AO1225">
        <v>0</v>
      </c>
      <c r="AP1225" t="s">
        <v>130</v>
      </c>
      <c r="AQ1225" t="s">
        <v>131</v>
      </c>
      <c r="AR1225" t="s">
        <v>1184</v>
      </c>
      <c r="AS1225">
        <v>2361</v>
      </c>
      <c r="AT1225">
        <v>2305</v>
      </c>
      <c r="AU1225">
        <v>0</v>
      </c>
      <c r="AV1225">
        <v>0</v>
      </c>
      <c r="AW1225">
        <v>4.6660000000000004</v>
      </c>
      <c r="AX1225">
        <v>0.20286956521739133</v>
      </c>
      <c r="AY1225">
        <v>6.0860869565217399</v>
      </c>
      <c r="AZ1225" t="s">
        <v>135</v>
      </c>
      <c r="BA1225">
        <v>-8.6086956521739921E-2</v>
      </c>
      <c r="BB1225">
        <v>-0.42434633519074538</v>
      </c>
      <c r="BC1225" t="s">
        <v>144</v>
      </c>
      <c r="BD1225">
        <v>0</v>
      </c>
      <c r="BE1225" t="s">
        <v>133</v>
      </c>
      <c r="BF122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4.6660000000000004</v>
      </c>
    </row>
    <row r="1226" spans="1:58" x14ac:dyDescent="0.25">
      <c r="A1226" t="s">
        <v>1503</v>
      </c>
      <c r="B1226" t="s">
        <v>19</v>
      </c>
      <c r="C1226">
        <v>2</v>
      </c>
      <c r="D1226">
        <v>610</v>
      </c>
      <c r="E1226" t="s">
        <v>2111</v>
      </c>
      <c r="F1226" t="s">
        <v>123</v>
      </c>
      <c r="G1226" t="s">
        <v>124</v>
      </c>
      <c r="H1226" t="s">
        <v>125</v>
      </c>
      <c r="I1226" t="s">
        <v>140</v>
      </c>
      <c r="J1226" t="s">
        <v>141</v>
      </c>
      <c r="K1226" t="s">
        <v>127</v>
      </c>
      <c r="L1226">
        <v>50</v>
      </c>
      <c r="M1226">
        <v>1271609</v>
      </c>
      <c r="N1226">
        <v>10</v>
      </c>
      <c r="O1226">
        <v>4</v>
      </c>
      <c r="P1226" t="s">
        <v>168</v>
      </c>
      <c r="Q1226" t="s">
        <v>129</v>
      </c>
      <c r="R1226">
        <v>56</v>
      </c>
      <c r="T1226">
        <v>43</v>
      </c>
      <c r="U1226">
        <v>48</v>
      </c>
      <c r="V1226">
        <v>0</v>
      </c>
      <c r="W1226">
        <v>0</v>
      </c>
      <c r="X1226">
        <v>0</v>
      </c>
      <c r="Y1226">
        <v>0</v>
      </c>
      <c r="Z1226">
        <v>43</v>
      </c>
      <c r="AA1226">
        <v>48</v>
      </c>
      <c r="AB1226">
        <v>50</v>
      </c>
      <c r="AC1226">
        <v>48</v>
      </c>
      <c r="AD1226">
        <v>0</v>
      </c>
      <c r="AE1226">
        <v>0</v>
      </c>
      <c r="AF1226">
        <v>48</v>
      </c>
      <c r="AG1226">
        <v>0</v>
      </c>
      <c r="AH1226">
        <v>2</v>
      </c>
      <c r="AI1226">
        <v>2</v>
      </c>
      <c r="AJ1226">
        <v>2</v>
      </c>
      <c r="AK1226">
        <v>2</v>
      </c>
      <c r="AL1226">
        <v>0</v>
      </c>
      <c r="AM1226">
        <v>0.2</v>
      </c>
      <c r="AN1226">
        <v>0.18181818181818182</v>
      </c>
      <c r="AO1226">
        <v>0</v>
      </c>
      <c r="AP1226" t="s">
        <v>142</v>
      </c>
      <c r="AQ1226" t="s">
        <v>131</v>
      </c>
      <c r="AR1226" t="s">
        <v>1184</v>
      </c>
      <c r="AS1226">
        <v>6590</v>
      </c>
      <c r="AT1226">
        <v>6556</v>
      </c>
      <c r="AU1226">
        <v>0</v>
      </c>
      <c r="AV1226">
        <v>0</v>
      </c>
      <c r="AW1226">
        <v>13.146000000000001</v>
      </c>
      <c r="AX1226">
        <v>0.27387500000000004</v>
      </c>
      <c r="AY1226">
        <v>13.146000000000001</v>
      </c>
      <c r="AZ1226" t="s">
        <v>135</v>
      </c>
      <c r="BA1226">
        <v>-3.1460000000000008</v>
      </c>
      <c r="BB1226">
        <v>-11.486992240985852</v>
      </c>
      <c r="BC1226" t="s">
        <v>132</v>
      </c>
      <c r="BD1226">
        <v>0</v>
      </c>
      <c r="BE1226" t="s">
        <v>133</v>
      </c>
      <c r="BF122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13.146000000000001</v>
      </c>
    </row>
    <row r="1227" spans="1:58" x14ac:dyDescent="0.25">
      <c r="A1227" t="s">
        <v>1504</v>
      </c>
      <c r="B1227" t="s">
        <v>19</v>
      </c>
      <c r="C1227">
        <v>2</v>
      </c>
      <c r="D1227">
        <v>611</v>
      </c>
      <c r="E1227" t="s">
        <v>2111</v>
      </c>
      <c r="F1227" t="s">
        <v>123</v>
      </c>
      <c r="G1227" t="s">
        <v>124</v>
      </c>
      <c r="H1227" t="s">
        <v>125</v>
      </c>
      <c r="I1227" t="s">
        <v>140</v>
      </c>
      <c r="J1227" t="s">
        <v>141</v>
      </c>
      <c r="K1227" t="s">
        <v>127</v>
      </c>
      <c r="L1227">
        <v>50</v>
      </c>
      <c r="M1227">
        <v>1271611</v>
      </c>
      <c r="N1227">
        <v>10</v>
      </c>
      <c r="O1227">
        <v>4</v>
      </c>
      <c r="P1227" t="s">
        <v>168</v>
      </c>
      <c r="Q1227" t="s">
        <v>129</v>
      </c>
      <c r="R1227">
        <v>56</v>
      </c>
      <c r="T1227">
        <v>30</v>
      </c>
      <c r="U1227">
        <v>35</v>
      </c>
      <c r="V1227">
        <v>0</v>
      </c>
      <c r="W1227">
        <v>0</v>
      </c>
      <c r="X1227">
        <v>0</v>
      </c>
      <c r="Y1227">
        <v>6</v>
      </c>
      <c r="Z1227">
        <v>36</v>
      </c>
      <c r="AA1227">
        <v>41</v>
      </c>
      <c r="AB1227">
        <v>50</v>
      </c>
      <c r="AC1227">
        <v>35</v>
      </c>
      <c r="AD1227">
        <v>0</v>
      </c>
      <c r="AE1227">
        <v>6</v>
      </c>
      <c r="AF1227">
        <v>41</v>
      </c>
      <c r="AG1227">
        <v>0</v>
      </c>
      <c r="AH1227">
        <v>15</v>
      </c>
      <c r="AI1227">
        <v>9</v>
      </c>
      <c r="AJ1227">
        <v>9</v>
      </c>
      <c r="AK1227">
        <v>15</v>
      </c>
      <c r="AL1227">
        <v>0</v>
      </c>
      <c r="AM1227">
        <v>0.2</v>
      </c>
      <c r="AN1227">
        <v>0.81818181818181823</v>
      </c>
      <c r="AO1227">
        <v>0</v>
      </c>
      <c r="AP1227" t="s">
        <v>142</v>
      </c>
      <c r="AQ1227" t="s">
        <v>131</v>
      </c>
      <c r="AR1227" t="s">
        <v>1184</v>
      </c>
      <c r="AS1227">
        <v>5435</v>
      </c>
      <c r="AT1227">
        <v>4462</v>
      </c>
      <c r="AU1227">
        <v>0</v>
      </c>
      <c r="AV1227">
        <v>0</v>
      </c>
      <c r="AW1227">
        <v>9.8970000000000002</v>
      </c>
      <c r="AX1227">
        <v>0.28277142857142856</v>
      </c>
      <c r="AY1227">
        <v>11.593628571428571</v>
      </c>
      <c r="AZ1227" t="s">
        <v>135</v>
      </c>
      <c r="BA1227">
        <v>-1.593628571428571</v>
      </c>
      <c r="BB1227">
        <v>-5.6357482065272286</v>
      </c>
      <c r="BC1227" t="s">
        <v>133</v>
      </c>
      <c r="BD1227">
        <v>0</v>
      </c>
      <c r="BE1227" t="s">
        <v>133</v>
      </c>
      <c r="BF122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9.8970000000000002</v>
      </c>
    </row>
    <row r="1228" spans="1:58" x14ac:dyDescent="0.25">
      <c r="A1228" t="s">
        <v>1505</v>
      </c>
      <c r="B1228" t="s">
        <v>19</v>
      </c>
      <c r="C1228">
        <v>2</v>
      </c>
      <c r="D1228">
        <v>612</v>
      </c>
      <c r="E1228" t="s">
        <v>2111</v>
      </c>
      <c r="F1228" t="s">
        <v>123</v>
      </c>
      <c r="G1228" t="s">
        <v>124</v>
      </c>
      <c r="H1228" t="s">
        <v>125</v>
      </c>
      <c r="I1228" t="s">
        <v>140</v>
      </c>
      <c r="J1228" t="s">
        <v>141</v>
      </c>
      <c r="K1228" t="s">
        <v>127</v>
      </c>
      <c r="L1228">
        <v>50</v>
      </c>
      <c r="M1228">
        <v>1271613</v>
      </c>
      <c r="N1228">
        <v>10</v>
      </c>
      <c r="O1228">
        <v>4</v>
      </c>
      <c r="P1228" t="s">
        <v>168</v>
      </c>
      <c r="Q1228" t="s">
        <v>129</v>
      </c>
      <c r="R1228">
        <v>56</v>
      </c>
      <c r="T1228">
        <v>40</v>
      </c>
      <c r="U1228">
        <v>45</v>
      </c>
      <c r="V1228">
        <v>0</v>
      </c>
      <c r="W1228">
        <v>0</v>
      </c>
      <c r="X1228">
        <v>0</v>
      </c>
      <c r="Y1228">
        <v>0</v>
      </c>
      <c r="Z1228">
        <v>40</v>
      </c>
      <c r="AA1228">
        <v>45</v>
      </c>
      <c r="AB1228">
        <v>50</v>
      </c>
      <c r="AC1228">
        <v>45</v>
      </c>
      <c r="AD1228">
        <v>0</v>
      </c>
      <c r="AE1228">
        <v>0</v>
      </c>
      <c r="AF1228">
        <v>45</v>
      </c>
      <c r="AG1228">
        <v>0</v>
      </c>
      <c r="AH1228">
        <v>5</v>
      </c>
      <c r="AI1228">
        <v>5</v>
      </c>
      <c r="AJ1228">
        <v>5</v>
      </c>
      <c r="AK1228">
        <v>5</v>
      </c>
      <c r="AL1228">
        <v>0</v>
      </c>
      <c r="AM1228">
        <v>0.2</v>
      </c>
      <c r="AN1228">
        <v>0.45454545454545459</v>
      </c>
      <c r="AO1228">
        <v>0</v>
      </c>
      <c r="AP1228" t="s">
        <v>142</v>
      </c>
      <c r="AQ1228" t="s">
        <v>131</v>
      </c>
      <c r="AR1228" t="s">
        <v>1184</v>
      </c>
      <c r="AS1228">
        <v>6814</v>
      </c>
      <c r="AT1228">
        <v>6455</v>
      </c>
      <c r="AU1228">
        <v>0</v>
      </c>
      <c r="AV1228">
        <v>0</v>
      </c>
      <c r="AW1228">
        <v>13.269</v>
      </c>
      <c r="AX1228">
        <v>0.29486666666666667</v>
      </c>
      <c r="AY1228">
        <v>13.269</v>
      </c>
      <c r="AZ1228" t="s">
        <v>135</v>
      </c>
      <c r="BA1228">
        <v>-3.2690000000000001</v>
      </c>
      <c r="BB1228">
        <v>-11.086366719421207</v>
      </c>
      <c r="BC1228" t="s">
        <v>133</v>
      </c>
      <c r="BD1228">
        <v>0</v>
      </c>
      <c r="BE1228" t="s">
        <v>133</v>
      </c>
      <c r="BF122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13.269</v>
      </c>
    </row>
    <row r="1229" spans="1:58" x14ac:dyDescent="0.25">
      <c r="A1229" t="s">
        <v>1506</v>
      </c>
      <c r="B1229" t="s">
        <v>19</v>
      </c>
      <c r="C1229">
        <v>2</v>
      </c>
      <c r="D1229">
        <v>613</v>
      </c>
      <c r="E1229" t="s">
        <v>2111</v>
      </c>
      <c r="F1229" t="s">
        <v>123</v>
      </c>
      <c r="G1229" t="s">
        <v>124</v>
      </c>
      <c r="H1229" t="s">
        <v>125</v>
      </c>
      <c r="I1229" t="s">
        <v>140</v>
      </c>
      <c r="J1229" t="s">
        <v>141</v>
      </c>
      <c r="K1229" t="s">
        <v>127</v>
      </c>
      <c r="L1229">
        <v>50</v>
      </c>
      <c r="M1229">
        <v>1271615</v>
      </c>
      <c r="N1229">
        <v>10</v>
      </c>
      <c r="O1229">
        <v>4</v>
      </c>
      <c r="P1229" t="s">
        <v>168</v>
      </c>
      <c r="Q1229" t="s">
        <v>129</v>
      </c>
      <c r="R1229">
        <v>56</v>
      </c>
      <c r="T1229">
        <v>40</v>
      </c>
      <c r="U1229">
        <v>45</v>
      </c>
      <c r="V1229">
        <v>0</v>
      </c>
      <c r="W1229">
        <v>0</v>
      </c>
      <c r="X1229">
        <v>0</v>
      </c>
      <c r="Y1229">
        <v>2</v>
      </c>
      <c r="Z1229">
        <v>42</v>
      </c>
      <c r="AA1229">
        <v>47</v>
      </c>
      <c r="AB1229">
        <v>50</v>
      </c>
      <c r="AC1229">
        <v>45</v>
      </c>
      <c r="AD1229">
        <v>0</v>
      </c>
      <c r="AE1229">
        <v>2</v>
      </c>
      <c r="AF1229">
        <v>47</v>
      </c>
      <c r="AG1229">
        <v>0</v>
      </c>
      <c r="AH1229">
        <v>5</v>
      </c>
      <c r="AI1229">
        <v>3</v>
      </c>
      <c r="AJ1229">
        <v>3</v>
      </c>
      <c r="AK1229">
        <v>5</v>
      </c>
      <c r="AL1229">
        <v>0</v>
      </c>
      <c r="AM1229">
        <v>0.2</v>
      </c>
      <c r="AN1229">
        <v>0.27272727272727271</v>
      </c>
      <c r="AO1229">
        <v>0</v>
      </c>
      <c r="AP1229" t="s">
        <v>142</v>
      </c>
      <c r="AQ1229" t="s">
        <v>131</v>
      </c>
      <c r="AR1229" t="s">
        <v>1184</v>
      </c>
      <c r="AS1229">
        <v>4360</v>
      </c>
      <c r="AT1229">
        <v>4855</v>
      </c>
      <c r="AU1229">
        <v>0</v>
      </c>
      <c r="AV1229">
        <v>0</v>
      </c>
      <c r="AW1229">
        <v>9.2149999999999999</v>
      </c>
      <c r="AX1229">
        <v>0.20477777777777778</v>
      </c>
      <c r="AY1229">
        <v>9.6245555555555562</v>
      </c>
      <c r="AZ1229" t="s">
        <v>135</v>
      </c>
      <c r="BA1229">
        <v>0.3754444444444438</v>
      </c>
      <c r="BB1229">
        <v>1.8334237655995627</v>
      </c>
      <c r="BC1229" t="s">
        <v>133</v>
      </c>
      <c r="BD1229">
        <v>0</v>
      </c>
      <c r="BE1229" t="s">
        <v>133</v>
      </c>
      <c r="BF122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9.2149999999999999</v>
      </c>
    </row>
    <row r="1230" spans="1:58" x14ac:dyDescent="0.25">
      <c r="A1230" t="s">
        <v>1507</v>
      </c>
      <c r="B1230" t="s">
        <v>19</v>
      </c>
      <c r="C1230">
        <v>2</v>
      </c>
      <c r="D1230">
        <v>614</v>
      </c>
      <c r="E1230" t="s">
        <v>2111</v>
      </c>
      <c r="F1230" t="s">
        <v>123</v>
      </c>
      <c r="G1230" t="s">
        <v>124</v>
      </c>
      <c r="H1230" t="s">
        <v>125</v>
      </c>
      <c r="I1230" t="s">
        <v>140</v>
      </c>
      <c r="J1230" t="s">
        <v>141</v>
      </c>
      <c r="K1230" t="s">
        <v>127</v>
      </c>
      <c r="L1230">
        <v>50</v>
      </c>
      <c r="M1230">
        <v>1271617</v>
      </c>
      <c r="N1230">
        <v>10</v>
      </c>
      <c r="O1230">
        <v>4</v>
      </c>
      <c r="P1230" t="s">
        <v>168</v>
      </c>
      <c r="Q1230" t="s">
        <v>129</v>
      </c>
      <c r="R1230">
        <v>56</v>
      </c>
      <c r="T1230">
        <v>43</v>
      </c>
      <c r="U1230">
        <v>48</v>
      </c>
      <c r="V1230">
        <v>0</v>
      </c>
      <c r="W1230">
        <v>0</v>
      </c>
      <c r="X1230">
        <v>0</v>
      </c>
      <c r="Y1230">
        <v>0</v>
      </c>
      <c r="Z1230">
        <v>43</v>
      </c>
      <c r="AA1230">
        <v>48</v>
      </c>
      <c r="AB1230">
        <v>50</v>
      </c>
      <c r="AC1230">
        <v>48</v>
      </c>
      <c r="AD1230">
        <v>0</v>
      </c>
      <c r="AE1230">
        <v>0</v>
      </c>
      <c r="AF1230">
        <v>48</v>
      </c>
      <c r="AG1230">
        <v>0</v>
      </c>
      <c r="AH1230">
        <v>2</v>
      </c>
      <c r="AI1230">
        <v>2</v>
      </c>
      <c r="AJ1230">
        <v>2</v>
      </c>
      <c r="AK1230">
        <v>2</v>
      </c>
      <c r="AL1230">
        <v>0</v>
      </c>
      <c r="AM1230">
        <v>0.2</v>
      </c>
      <c r="AN1230">
        <v>0.18181818181818182</v>
      </c>
      <c r="AO1230">
        <v>0</v>
      </c>
      <c r="AP1230" t="s">
        <v>142</v>
      </c>
      <c r="AQ1230" t="s">
        <v>131</v>
      </c>
      <c r="AR1230" t="s">
        <v>1184</v>
      </c>
      <c r="AS1230">
        <v>7235</v>
      </c>
      <c r="AT1230">
        <v>6991</v>
      </c>
      <c r="AU1230">
        <v>0</v>
      </c>
      <c r="AV1230">
        <v>0</v>
      </c>
      <c r="AW1230">
        <v>14.226000000000001</v>
      </c>
      <c r="AX1230">
        <v>0.296375</v>
      </c>
      <c r="AY1230">
        <v>14.225999999999999</v>
      </c>
      <c r="AZ1230" t="s">
        <v>135</v>
      </c>
      <c r="BA1230">
        <v>-4.2259999999999991</v>
      </c>
      <c r="BB1230">
        <v>-14.258962463095736</v>
      </c>
      <c r="BC1230" t="s">
        <v>133</v>
      </c>
      <c r="BD1230">
        <v>0</v>
      </c>
      <c r="BE1230" t="s">
        <v>133</v>
      </c>
      <c r="BF123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14.226000000000001</v>
      </c>
    </row>
    <row r="1231" spans="1:58" x14ac:dyDescent="0.25">
      <c r="A1231" t="s">
        <v>1508</v>
      </c>
      <c r="B1231" t="s">
        <v>19</v>
      </c>
      <c r="C1231">
        <v>2</v>
      </c>
      <c r="D1231">
        <v>615</v>
      </c>
      <c r="E1231" t="s">
        <v>2111</v>
      </c>
      <c r="F1231" t="s">
        <v>123</v>
      </c>
      <c r="G1231" t="s">
        <v>124</v>
      </c>
      <c r="H1231" t="s">
        <v>136</v>
      </c>
      <c r="I1231" t="s">
        <v>137</v>
      </c>
      <c r="J1231" t="s">
        <v>138</v>
      </c>
      <c r="K1231" t="s">
        <v>127</v>
      </c>
      <c r="L1231">
        <v>50</v>
      </c>
      <c r="M1231">
        <v>1271619</v>
      </c>
      <c r="N1231">
        <v>5</v>
      </c>
      <c r="O1231">
        <v>4</v>
      </c>
      <c r="P1231" t="s">
        <v>168</v>
      </c>
      <c r="Q1231" t="s">
        <v>129</v>
      </c>
      <c r="R1231">
        <v>56</v>
      </c>
      <c r="T1231">
        <v>0</v>
      </c>
      <c r="U1231">
        <v>4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4</v>
      </c>
      <c r="AB1231">
        <v>50</v>
      </c>
      <c r="AC1231">
        <v>4</v>
      </c>
      <c r="AD1231">
        <v>0</v>
      </c>
      <c r="AE1231">
        <v>0</v>
      </c>
      <c r="AF1231">
        <v>4</v>
      </c>
      <c r="AG1231">
        <v>0</v>
      </c>
      <c r="AH1231">
        <v>46</v>
      </c>
      <c r="AI1231">
        <v>46</v>
      </c>
      <c r="AJ1231">
        <v>46</v>
      </c>
      <c r="AK1231">
        <v>46</v>
      </c>
      <c r="AL1231">
        <v>0</v>
      </c>
      <c r="AM1231">
        <v>0.1</v>
      </c>
      <c r="AN1231">
        <v>4.1818181818181817</v>
      </c>
      <c r="AO1231">
        <v>0</v>
      </c>
      <c r="AP1231" t="s">
        <v>139</v>
      </c>
      <c r="AQ1231" t="s">
        <v>131</v>
      </c>
      <c r="AR1231" t="s">
        <v>1184</v>
      </c>
      <c r="AS1231">
        <v>0</v>
      </c>
      <c r="AT1231">
        <v>0</v>
      </c>
      <c r="AU1231">
        <v>0</v>
      </c>
      <c r="AV1231">
        <v>0</v>
      </c>
      <c r="AW1231">
        <v>0</v>
      </c>
      <c r="AX1231">
        <v>0</v>
      </c>
      <c r="AY1231">
        <v>0</v>
      </c>
      <c r="AZ1231" t="s">
        <v>134</v>
      </c>
      <c r="BA1231">
        <v>5</v>
      </c>
      <c r="BB1231">
        <v>0</v>
      </c>
      <c r="BC1231" t="s">
        <v>133</v>
      </c>
      <c r="BD1231">
        <v>0</v>
      </c>
      <c r="BE1231" t="s">
        <v>133</v>
      </c>
      <c r="BF123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32" spans="1:58" x14ac:dyDescent="0.25">
      <c r="A1232" t="s">
        <v>1509</v>
      </c>
      <c r="B1232" t="s">
        <v>19</v>
      </c>
      <c r="C1232">
        <v>2</v>
      </c>
      <c r="D1232">
        <v>616</v>
      </c>
      <c r="E1232" t="s">
        <v>2111</v>
      </c>
      <c r="F1232" t="s">
        <v>123</v>
      </c>
      <c r="G1232" t="s">
        <v>124</v>
      </c>
      <c r="H1232" t="s">
        <v>125</v>
      </c>
      <c r="I1232" t="s">
        <v>140</v>
      </c>
      <c r="J1232" t="s">
        <v>141</v>
      </c>
      <c r="K1232" t="s">
        <v>127</v>
      </c>
      <c r="L1232">
        <v>50</v>
      </c>
      <c r="M1232">
        <v>1271621</v>
      </c>
      <c r="N1232">
        <v>10</v>
      </c>
      <c r="O1232">
        <v>4</v>
      </c>
      <c r="P1232" t="s">
        <v>168</v>
      </c>
      <c r="Q1232" t="s">
        <v>129</v>
      </c>
      <c r="R1232">
        <v>56</v>
      </c>
      <c r="T1232">
        <v>38</v>
      </c>
      <c r="U1232">
        <v>43</v>
      </c>
      <c r="V1232">
        <v>1</v>
      </c>
      <c r="W1232">
        <v>0</v>
      </c>
      <c r="X1232">
        <v>1</v>
      </c>
      <c r="Y1232">
        <v>1</v>
      </c>
      <c r="Z1232">
        <v>40</v>
      </c>
      <c r="AA1232">
        <v>45</v>
      </c>
      <c r="AB1232">
        <v>50</v>
      </c>
      <c r="AC1232">
        <v>43</v>
      </c>
      <c r="AD1232">
        <v>1</v>
      </c>
      <c r="AE1232">
        <v>1</v>
      </c>
      <c r="AF1232">
        <v>45</v>
      </c>
      <c r="AG1232">
        <v>0</v>
      </c>
      <c r="AH1232">
        <v>7</v>
      </c>
      <c r="AI1232">
        <v>5</v>
      </c>
      <c r="AJ1232">
        <v>6</v>
      </c>
      <c r="AK1232">
        <v>7</v>
      </c>
      <c r="AL1232">
        <v>0</v>
      </c>
      <c r="AM1232">
        <v>0.2</v>
      </c>
      <c r="AN1232">
        <v>0.54545454545454541</v>
      </c>
      <c r="AO1232">
        <v>0</v>
      </c>
      <c r="AP1232" t="s">
        <v>142</v>
      </c>
      <c r="AQ1232" t="s">
        <v>131</v>
      </c>
      <c r="AR1232" t="s">
        <v>1184</v>
      </c>
      <c r="AS1232">
        <v>4514</v>
      </c>
      <c r="AT1232">
        <v>4850</v>
      </c>
      <c r="AU1232">
        <v>0</v>
      </c>
      <c r="AV1232">
        <v>0</v>
      </c>
      <c r="AW1232">
        <v>9.3640000000000008</v>
      </c>
      <c r="AX1232">
        <v>0.21776744186046512</v>
      </c>
      <c r="AY1232">
        <v>9.7995348837209306</v>
      </c>
      <c r="AZ1232" t="s">
        <v>135</v>
      </c>
      <c r="BA1232">
        <v>0.20046511627906938</v>
      </c>
      <c r="BB1232">
        <v>0.92054677488252701</v>
      </c>
      <c r="BC1232" t="s">
        <v>133</v>
      </c>
      <c r="BD1232">
        <v>0</v>
      </c>
      <c r="BE1232" t="s">
        <v>133</v>
      </c>
      <c r="BF123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9.3640000000000008</v>
      </c>
    </row>
    <row r="1233" spans="1:58" x14ac:dyDescent="0.25">
      <c r="A1233" t="s">
        <v>1510</v>
      </c>
      <c r="B1233" t="s">
        <v>19</v>
      </c>
      <c r="C1233">
        <v>2</v>
      </c>
      <c r="D1233">
        <v>617</v>
      </c>
      <c r="E1233" t="s">
        <v>2111</v>
      </c>
      <c r="F1233" t="s">
        <v>123</v>
      </c>
      <c r="G1233" t="s">
        <v>124</v>
      </c>
      <c r="H1233" t="s">
        <v>125</v>
      </c>
      <c r="I1233" t="s">
        <v>140</v>
      </c>
      <c r="J1233" t="s">
        <v>141</v>
      </c>
      <c r="K1233" t="s">
        <v>127</v>
      </c>
      <c r="L1233">
        <v>50</v>
      </c>
      <c r="M1233">
        <v>1271623</v>
      </c>
      <c r="N1233">
        <v>10</v>
      </c>
      <c r="O1233">
        <v>4</v>
      </c>
      <c r="P1233" t="s">
        <v>168</v>
      </c>
      <c r="Q1233" t="s">
        <v>129</v>
      </c>
      <c r="R1233">
        <v>56</v>
      </c>
      <c r="T1233">
        <v>32</v>
      </c>
      <c r="U1233">
        <v>37</v>
      </c>
      <c r="V1233">
        <v>1</v>
      </c>
      <c r="W1233">
        <v>0</v>
      </c>
      <c r="X1233">
        <v>1</v>
      </c>
      <c r="Y1233">
        <v>1</v>
      </c>
      <c r="Z1233">
        <v>34</v>
      </c>
      <c r="AA1233">
        <v>39</v>
      </c>
      <c r="AB1233">
        <v>50</v>
      </c>
      <c r="AC1233">
        <v>37</v>
      </c>
      <c r="AD1233">
        <v>1</v>
      </c>
      <c r="AE1233">
        <v>1</v>
      </c>
      <c r="AF1233">
        <v>39</v>
      </c>
      <c r="AG1233">
        <v>0</v>
      </c>
      <c r="AH1233">
        <v>13</v>
      </c>
      <c r="AI1233">
        <v>11</v>
      </c>
      <c r="AJ1233">
        <v>12</v>
      </c>
      <c r="AK1233">
        <v>13</v>
      </c>
      <c r="AL1233">
        <v>0</v>
      </c>
      <c r="AM1233">
        <v>0.2</v>
      </c>
      <c r="AN1233">
        <v>1.0909090909090908</v>
      </c>
      <c r="AO1233">
        <v>0</v>
      </c>
      <c r="AP1233" t="s">
        <v>142</v>
      </c>
      <c r="AQ1233" t="s">
        <v>131</v>
      </c>
      <c r="AR1233" t="s">
        <v>1184</v>
      </c>
      <c r="AS1233">
        <v>5353</v>
      </c>
      <c r="AT1233">
        <v>4615</v>
      </c>
      <c r="AU1233">
        <v>0</v>
      </c>
      <c r="AV1233">
        <v>0</v>
      </c>
      <c r="AW1233">
        <v>9.968</v>
      </c>
      <c r="AX1233">
        <v>0.26940540540540542</v>
      </c>
      <c r="AY1233">
        <v>10.506810810810812</v>
      </c>
      <c r="AZ1233" t="s">
        <v>135</v>
      </c>
      <c r="BA1233">
        <v>-0.50681081081081203</v>
      </c>
      <c r="BB1233">
        <v>-1.8812199036918182</v>
      </c>
      <c r="BC1233" t="s">
        <v>133</v>
      </c>
      <c r="BD1233">
        <v>0</v>
      </c>
      <c r="BE1233" t="s">
        <v>133</v>
      </c>
      <c r="BF123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9.968</v>
      </c>
    </row>
    <row r="1234" spans="1:58" x14ac:dyDescent="0.25">
      <c r="A1234" t="s">
        <v>1511</v>
      </c>
      <c r="B1234" t="s">
        <v>19</v>
      </c>
      <c r="C1234">
        <v>2</v>
      </c>
      <c r="D1234">
        <v>618</v>
      </c>
      <c r="E1234" t="s">
        <v>2111</v>
      </c>
      <c r="F1234" t="s">
        <v>123</v>
      </c>
      <c r="G1234" t="s">
        <v>124</v>
      </c>
      <c r="H1234" t="s">
        <v>125</v>
      </c>
      <c r="I1234" t="s">
        <v>140</v>
      </c>
      <c r="J1234" t="s">
        <v>141</v>
      </c>
      <c r="K1234" t="s">
        <v>127</v>
      </c>
      <c r="L1234">
        <v>50</v>
      </c>
      <c r="M1234">
        <v>1271625</v>
      </c>
      <c r="N1234">
        <v>10</v>
      </c>
      <c r="O1234">
        <v>4</v>
      </c>
      <c r="P1234" t="s">
        <v>168</v>
      </c>
      <c r="Q1234" t="s">
        <v>129</v>
      </c>
      <c r="R1234">
        <v>56</v>
      </c>
      <c r="T1234">
        <v>24</v>
      </c>
      <c r="U1234">
        <v>29</v>
      </c>
      <c r="V1234">
        <v>0</v>
      </c>
      <c r="W1234">
        <v>0</v>
      </c>
      <c r="X1234">
        <v>0</v>
      </c>
      <c r="Y1234">
        <v>0</v>
      </c>
      <c r="Z1234">
        <v>24</v>
      </c>
      <c r="AA1234">
        <v>29</v>
      </c>
      <c r="AB1234">
        <v>50</v>
      </c>
      <c r="AC1234">
        <v>29</v>
      </c>
      <c r="AD1234">
        <v>0</v>
      </c>
      <c r="AE1234">
        <v>0</v>
      </c>
      <c r="AF1234">
        <v>29</v>
      </c>
      <c r="AG1234">
        <v>0</v>
      </c>
      <c r="AH1234">
        <v>21</v>
      </c>
      <c r="AI1234">
        <v>21</v>
      </c>
      <c r="AJ1234">
        <v>21</v>
      </c>
      <c r="AK1234">
        <v>21</v>
      </c>
      <c r="AL1234">
        <v>0</v>
      </c>
      <c r="AM1234">
        <v>0.2</v>
      </c>
      <c r="AN1234">
        <v>1.9090909090909092</v>
      </c>
      <c r="AO1234">
        <v>0</v>
      </c>
      <c r="AP1234" t="s">
        <v>142</v>
      </c>
      <c r="AQ1234" t="s">
        <v>131</v>
      </c>
      <c r="AR1234" t="s">
        <v>1184</v>
      </c>
      <c r="AS1234">
        <v>4246</v>
      </c>
      <c r="AT1234">
        <v>4190</v>
      </c>
      <c r="AU1234">
        <v>0</v>
      </c>
      <c r="AV1234">
        <v>0</v>
      </c>
      <c r="AW1234">
        <v>8.4359999999999999</v>
      </c>
      <c r="AX1234">
        <v>0.29089655172413792</v>
      </c>
      <c r="AY1234">
        <v>8.4359999999999999</v>
      </c>
      <c r="AZ1234" t="s">
        <v>135</v>
      </c>
      <c r="BA1234">
        <v>1.5640000000000001</v>
      </c>
      <c r="BB1234">
        <v>5.3764817449027982</v>
      </c>
      <c r="BC1234" t="s">
        <v>133</v>
      </c>
      <c r="BD1234">
        <v>0</v>
      </c>
      <c r="BE1234" t="s">
        <v>133</v>
      </c>
      <c r="BF123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8.4359999999999999</v>
      </c>
    </row>
    <row r="1235" spans="1:58" x14ac:dyDescent="0.25">
      <c r="A1235" t="s">
        <v>1512</v>
      </c>
      <c r="B1235" t="s">
        <v>19</v>
      </c>
      <c r="C1235">
        <v>2</v>
      </c>
      <c r="D1235">
        <v>619</v>
      </c>
      <c r="E1235" t="s">
        <v>2111</v>
      </c>
      <c r="F1235" t="s">
        <v>123</v>
      </c>
      <c r="G1235" t="s">
        <v>124</v>
      </c>
      <c r="H1235" t="s">
        <v>125</v>
      </c>
      <c r="I1235" t="s">
        <v>140</v>
      </c>
      <c r="J1235" t="s">
        <v>141</v>
      </c>
      <c r="K1235" t="s">
        <v>127</v>
      </c>
      <c r="L1235">
        <v>50</v>
      </c>
      <c r="M1235">
        <v>1271627</v>
      </c>
      <c r="N1235">
        <v>10</v>
      </c>
      <c r="O1235">
        <v>4</v>
      </c>
      <c r="P1235" t="s">
        <v>168</v>
      </c>
      <c r="Q1235" t="s">
        <v>129</v>
      </c>
      <c r="R1235">
        <v>56</v>
      </c>
      <c r="T1235">
        <v>41</v>
      </c>
      <c r="U1235">
        <v>46</v>
      </c>
      <c r="V1235">
        <v>0</v>
      </c>
      <c r="W1235">
        <v>0</v>
      </c>
      <c r="X1235">
        <v>0</v>
      </c>
      <c r="Y1235">
        <v>1</v>
      </c>
      <c r="Z1235">
        <v>42</v>
      </c>
      <c r="AA1235">
        <v>47</v>
      </c>
      <c r="AB1235">
        <v>50</v>
      </c>
      <c r="AC1235">
        <v>46</v>
      </c>
      <c r="AD1235">
        <v>0</v>
      </c>
      <c r="AE1235">
        <v>1</v>
      </c>
      <c r="AF1235">
        <v>47</v>
      </c>
      <c r="AG1235">
        <v>0</v>
      </c>
      <c r="AH1235">
        <v>4</v>
      </c>
      <c r="AI1235">
        <v>3</v>
      </c>
      <c r="AJ1235">
        <v>3</v>
      </c>
      <c r="AK1235">
        <v>4</v>
      </c>
      <c r="AL1235">
        <v>0</v>
      </c>
      <c r="AM1235">
        <v>0.2</v>
      </c>
      <c r="AN1235">
        <v>0.27272727272727271</v>
      </c>
      <c r="AO1235">
        <v>0</v>
      </c>
      <c r="AP1235" t="s">
        <v>142</v>
      </c>
      <c r="AQ1235" t="s">
        <v>131</v>
      </c>
      <c r="AR1235" t="s">
        <v>1184</v>
      </c>
      <c r="AS1235">
        <v>7429</v>
      </c>
      <c r="AT1235">
        <v>7375</v>
      </c>
      <c r="AU1235">
        <v>0</v>
      </c>
      <c r="AV1235">
        <v>0</v>
      </c>
      <c r="AW1235">
        <v>14.804</v>
      </c>
      <c r="AX1235">
        <v>0.32182608695652176</v>
      </c>
      <c r="AY1235">
        <v>15.125826086956522</v>
      </c>
      <c r="AZ1235" t="s">
        <v>135</v>
      </c>
      <c r="BA1235">
        <v>-5.125826086956522</v>
      </c>
      <c r="BB1235">
        <v>-15.927316941367197</v>
      </c>
      <c r="BC1235" t="s">
        <v>133</v>
      </c>
      <c r="BD1235">
        <v>0</v>
      </c>
      <c r="BE1235" t="s">
        <v>133</v>
      </c>
      <c r="BF123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14.804</v>
      </c>
    </row>
    <row r="1236" spans="1:58" x14ac:dyDescent="0.25">
      <c r="A1236" t="s">
        <v>1513</v>
      </c>
      <c r="B1236" t="s">
        <v>19</v>
      </c>
      <c r="C1236">
        <v>2</v>
      </c>
      <c r="D1236">
        <v>620</v>
      </c>
      <c r="E1236" t="s">
        <v>2111</v>
      </c>
      <c r="F1236" t="s">
        <v>123</v>
      </c>
      <c r="G1236" t="s">
        <v>124</v>
      </c>
      <c r="H1236" t="s">
        <v>125</v>
      </c>
      <c r="I1236" t="s">
        <v>140</v>
      </c>
      <c r="J1236" t="s">
        <v>141</v>
      </c>
      <c r="K1236" t="s">
        <v>127</v>
      </c>
      <c r="L1236">
        <v>50</v>
      </c>
      <c r="M1236">
        <v>1271629</v>
      </c>
      <c r="N1236">
        <v>10</v>
      </c>
      <c r="O1236">
        <v>4</v>
      </c>
      <c r="P1236" t="s">
        <v>168</v>
      </c>
      <c r="Q1236" t="s">
        <v>129</v>
      </c>
      <c r="R1236">
        <v>56</v>
      </c>
      <c r="T1236">
        <v>43</v>
      </c>
      <c r="U1236">
        <v>48</v>
      </c>
      <c r="V1236">
        <v>0</v>
      </c>
      <c r="W1236">
        <v>0</v>
      </c>
      <c r="X1236">
        <v>0</v>
      </c>
      <c r="Y1236">
        <v>0</v>
      </c>
      <c r="Z1236">
        <v>43</v>
      </c>
      <c r="AA1236">
        <v>48</v>
      </c>
      <c r="AB1236">
        <v>50</v>
      </c>
      <c r="AC1236">
        <v>48</v>
      </c>
      <c r="AD1236">
        <v>0</v>
      </c>
      <c r="AE1236">
        <v>0</v>
      </c>
      <c r="AF1236">
        <v>48</v>
      </c>
      <c r="AG1236">
        <v>0</v>
      </c>
      <c r="AH1236">
        <v>2</v>
      </c>
      <c r="AI1236">
        <v>2</v>
      </c>
      <c r="AJ1236">
        <v>2</v>
      </c>
      <c r="AK1236">
        <v>2</v>
      </c>
      <c r="AL1236">
        <v>0</v>
      </c>
      <c r="AM1236">
        <v>0.2</v>
      </c>
      <c r="AN1236">
        <v>0.18181818181818182</v>
      </c>
      <c r="AO1236">
        <v>0</v>
      </c>
      <c r="AP1236" t="s">
        <v>142</v>
      </c>
      <c r="AQ1236" t="s">
        <v>131</v>
      </c>
      <c r="AR1236" t="s">
        <v>1184</v>
      </c>
      <c r="AS1236">
        <v>7496</v>
      </c>
      <c r="AT1236">
        <v>7444</v>
      </c>
      <c r="AU1236">
        <v>0</v>
      </c>
      <c r="AV1236">
        <v>0</v>
      </c>
      <c r="AW1236">
        <v>14.94</v>
      </c>
      <c r="AX1236">
        <v>0.31124999999999997</v>
      </c>
      <c r="AY1236">
        <v>14.939999999999998</v>
      </c>
      <c r="AZ1236" t="s">
        <v>135</v>
      </c>
      <c r="BA1236">
        <v>-4.9399999999999977</v>
      </c>
      <c r="BB1236">
        <v>-15.871485943775095</v>
      </c>
      <c r="BC1236" t="s">
        <v>144</v>
      </c>
      <c r="BD1236">
        <v>0</v>
      </c>
      <c r="BE1236" t="s">
        <v>133</v>
      </c>
      <c r="BF123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14.94</v>
      </c>
    </row>
    <row r="1237" spans="1:58" x14ac:dyDescent="0.25">
      <c r="A1237" t="s">
        <v>1514</v>
      </c>
      <c r="B1237" t="s">
        <v>19</v>
      </c>
      <c r="C1237">
        <v>3</v>
      </c>
      <c r="D1237">
        <v>1</v>
      </c>
      <c r="E1237" t="s">
        <v>2111</v>
      </c>
      <c r="F1237" t="s">
        <v>123</v>
      </c>
      <c r="G1237" t="s">
        <v>124</v>
      </c>
      <c r="H1237" t="s">
        <v>125</v>
      </c>
      <c r="I1237" t="s">
        <v>126</v>
      </c>
      <c r="J1237" t="s">
        <v>126</v>
      </c>
      <c r="K1237" t="s">
        <v>127</v>
      </c>
      <c r="L1237">
        <v>50</v>
      </c>
      <c r="M1237">
        <v>1704067</v>
      </c>
      <c r="N1237">
        <v>6</v>
      </c>
      <c r="O1237">
        <v>5</v>
      </c>
      <c r="P1237" t="s">
        <v>1515</v>
      </c>
      <c r="Q1237" t="s">
        <v>129</v>
      </c>
      <c r="R1237">
        <v>1</v>
      </c>
      <c r="T1237">
        <v>3</v>
      </c>
      <c r="U1237">
        <v>8</v>
      </c>
      <c r="V1237">
        <v>1</v>
      </c>
      <c r="W1237">
        <v>0</v>
      </c>
      <c r="X1237">
        <v>1</v>
      </c>
      <c r="Y1237">
        <v>2</v>
      </c>
      <c r="Z1237">
        <v>6</v>
      </c>
      <c r="AA1237">
        <v>11</v>
      </c>
      <c r="AB1237">
        <v>50</v>
      </c>
      <c r="AC1237">
        <v>8</v>
      </c>
      <c r="AD1237">
        <v>1</v>
      </c>
      <c r="AE1237">
        <v>2</v>
      </c>
      <c r="AF1237">
        <v>11</v>
      </c>
      <c r="AG1237">
        <v>0</v>
      </c>
      <c r="AH1237">
        <v>42</v>
      </c>
      <c r="AI1237">
        <v>39</v>
      </c>
      <c r="AJ1237">
        <v>40</v>
      </c>
      <c r="AK1237">
        <v>42</v>
      </c>
      <c r="AL1237">
        <v>0</v>
      </c>
      <c r="AM1237">
        <v>0.12</v>
      </c>
      <c r="AN1237">
        <v>3.6363636363636367</v>
      </c>
      <c r="AO1237">
        <v>0</v>
      </c>
      <c r="AP1237" t="s">
        <v>130</v>
      </c>
      <c r="AQ1237" t="s">
        <v>131</v>
      </c>
      <c r="AR1237" t="s">
        <v>1184</v>
      </c>
      <c r="AS1237">
        <v>810</v>
      </c>
      <c r="AT1237">
        <v>781</v>
      </c>
      <c r="AU1237">
        <v>0</v>
      </c>
      <c r="AV1237">
        <v>0</v>
      </c>
      <c r="AW1237">
        <v>1.591</v>
      </c>
      <c r="AX1237">
        <v>0.198875</v>
      </c>
      <c r="AY1237">
        <v>2.1876250000000002</v>
      </c>
      <c r="AZ1237" t="s">
        <v>135</v>
      </c>
      <c r="BA1237">
        <v>3.8123749999999998</v>
      </c>
      <c r="BB1237">
        <v>19.169704588309241</v>
      </c>
      <c r="BC1237" t="s">
        <v>132</v>
      </c>
      <c r="BD1237">
        <v>0</v>
      </c>
      <c r="BE1237" t="s">
        <v>133</v>
      </c>
      <c r="BF123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1.591</v>
      </c>
    </row>
    <row r="1238" spans="1:58" x14ac:dyDescent="0.25">
      <c r="A1238" t="s">
        <v>1516</v>
      </c>
      <c r="B1238" t="s">
        <v>19</v>
      </c>
      <c r="C1238">
        <v>3</v>
      </c>
      <c r="D1238">
        <v>2</v>
      </c>
      <c r="E1238" t="s">
        <v>2111</v>
      </c>
      <c r="F1238" t="s">
        <v>123</v>
      </c>
      <c r="G1238" t="s">
        <v>124</v>
      </c>
      <c r="H1238" t="s">
        <v>125</v>
      </c>
      <c r="I1238" t="s">
        <v>126</v>
      </c>
      <c r="J1238" t="s">
        <v>126</v>
      </c>
      <c r="K1238" t="s">
        <v>127</v>
      </c>
      <c r="L1238">
        <v>50</v>
      </c>
      <c r="M1238">
        <v>1704069</v>
      </c>
      <c r="N1238">
        <v>6</v>
      </c>
      <c r="O1238">
        <v>5</v>
      </c>
      <c r="P1238" t="s">
        <v>1515</v>
      </c>
      <c r="Q1238" t="s">
        <v>129</v>
      </c>
      <c r="R1238">
        <v>1</v>
      </c>
      <c r="T1238">
        <v>1</v>
      </c>
      <c r="U1238">
        <v>6</v>
      </c>
      <c r="V1238">
        <v>0</v>
      </c>
      <c r="W1238">
        <v>0</v>
      </c>
      <c r="X1238">
        <v>0</v>
      </c>
      <c r="Y1238">
        <v>0</v>
      </c>
      <c r="Z1238">
        <v>1</v>
      </c>
      <c r="AA1238">
        <v>6</v>
      </c>
      <c r="AB1238">
        <v>50</v>
      </c>
      <c r="AC1238">
        <v>6</v>
      </c>
      <c r="AD1238">
        <v>0</v>
      </c>
      <c r="AE1238">
        <v>0</v>
      </c>
      <c r="AF1238">
        <v>6</v>
      </c>
      <c r="AG1238">
        <v>0</v>
      </c>
      <c r="AH1238">
        <v>44</v>
      </c>
      <c r="AI1238">
        <v>44</v>
      </c>
      <c r="AJ1238">
        <v>44</v>
      </c>
      <c r="AK1238">
        <v>44</v>
      </c>
      <c r="AL1238">
        <v>0</v>
      </c>
      <c r="AM1238">
        <v>0.12</v>
      </c>
      <c r="AN1238">
        <v>4</v>
      </c>
      <c r="AO1238">
        <v>0</v>
      </c>
      <c r="AP1238" t="s">
        <v>130</v>
      </c>
      <c r="AQ1238" t="s">
        <v>131</v>
      </c>
      <c r="AR1238" t="s">
        <v>1184</v>
      </c>
      <c r="AS1238">
        <v>395</v>
      </c>
      <c r="AT1238">
        <v>352</v>
      </c>
      <c r="AU1238">
        <v>0</v>
      </c>
      <c r="AV1238">
        <v>0</v>
      </c>
      <c r="AW1238">
        <v>0.747</v>
      </c>
      <c r="AX1238">
        <v>0.1245</v>
      </c>
      <c r="AY1238">
        <v>0.747</v>
      </c>
      <c r="AZ1238" t="s">
        <v>135</v>
      </c>
      <c r="BA1238">
        <v>5.2530000000000001</v>
      </c>
      <c r="BB1238">
        <v>42.192771084337352</v>
      </c>
      <c r="BC1238" t="s">
        <v>133</v>
      </c>
      <c r="BD1238">
        <v>0</v>
      </c>
      <c r="BE1238" t="s">
        <v>133</v>
      </c>
      <c r="BF123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0.747</v>
      </c>
    </row>
    <row r="1239" spans="1:58" x14ac:dyDescent="0.25">
      <c r="A1239" t="s">
        <v>1517</v>
      </c>
      <c r="B1239" t="s">
        <v>19</v>
      </c>
      <c r="C1239">
        <v>3</v>
      </c>
      <c r="D1239">
        <v>3</v>
      </c>
      <c r="E1239" t="s">
        <v>2111</v>
      </c>
      <c r="F1239" t="s">
        <v>123</v>
      </c>
      <c r="G1239" t="s">
        <v>124</v>
      </c>
      <c r="H1239" t="s">
        <v>125</v>
      </c>
      <c r="I1239" t="s">
        <v>126</v>
      </c>
      <c r="J1239" t="s">
        <v>126</v>
      </c>
      <c r="K1239" t="s">
        <v>127</v>
      </c>
      <c r="L1239">
        <v>50</v>
      </c>
      <c r="M1239">
        <v>1704071</v>
      </c>
      <c r="N1239">
        <v>6</v>
      </c>
      <c r="O1239">
        <v>5</v>
      </c>
      <c r="P1239" t="s">
        <v>1515</v>
      </c>
      <c r="Q1239" t="s">
        <v>129</v>
      </c>
      <c r="R1239">
        <v>1</v>
      </c>
      <c r="T1239">
        <v>1</v>
      </c>
      <c r="U1239">
        <v>6</v>
      </c>
      <c r="V1239">
        <v>0</v>
      </c>
      <c r="W1239">
        <v>0</v>
      </c>
      <c r="X1239">
        <v>0</v>
      </c>
      <c r="Y1239">
        <v>0</v>
      </c>
      <c r="Z1239">
        <v>1</v>
      </c>
      <c r="AA1239">
        <v>6</v>
      </c>
      <c r="AB1239">
        <v>50</v>
      </c>
      <c r="AC1239">
        <v>6</v>
      </c>
      <c r="AD1239">
        <v>0</v>
      </c>
      <c r="AE1239">
        <v>0</v>
      </c>
      <c r="AF1239">
        <v>6</v>
      </c>
      <c r="AG1239">
        <v>0</v>
      </c>
      <c r="AH1239">
        <v>44</v>
      </c>
      <c r="AI1239">
        <v>44</v>
      </c>
      <c r="AJ1239">
        <v>44</v>
      </c>
      <c r="AK1239">
        <v>44</v>
      </c>
      <c r="AL1239">
        <v>0</v>
      </c>
      <c r="AM1239">
        <v>0.12</v>
      </c>
      <c r="AN1239">
        <v>4</v>
      </c>
      <c r="AO1239">
        <v>0</v>
      </c>
      <c r="AP1239" t="s">
        <v>130</v>
      </c>
      <c r="AQ1239" t="s">
        <v>131</v>
      </c>
      <c r="AR1239" t="s">
        <v>1184</v>
      </c>
      <c r="AS1239">
        <v>329</v>
      </c>
      <c r="AT1239">
        <v>311</v>
      </c>
      <c r="AU1239">
        <v>0</v>
      </c>
      <c r="AV1239">
        <v>0</v>
      </c>
      <c r="AW1239">
        <v>0.64</v>
      </c>
      <c r="AX1239">
        <v>0.10666666666666667</v>
      </c>
      <c r="AY1239">
        <v>0.64</v>
      </c>
      <c r="AZ1239" t="s">
        <v>135</v>
      </c>
      <c r="BA1239">
        <v>5.36</v>
      </c>
      <c r="BB1239">
        <v>50.25</v>
      </c>
      <c r="BC1239" t="s">
        <v>133</v>
      </c>
      <c r="BD1239">
        <v>0</v>
      </c>
      <c r="BE1239" t="s">
        <v>133</v>
      </c>
      <c r="BF123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0.64</v>
      </c>
    </row>
    <row r="1240" spans="1:58" x14ac:dyDescent="0.25">
      <c r="A1240" t="s">
        <v>1518</v>
      </c>
      <c r="B1240" t="s">
        <v>19</v>
      </c>
      <c r="C1240">
        <v>3</v>
      </c>
      <c r="D1240">
        <v>4</v>
      </c>
      <c r="E1240" t="s">
        <v>2111</v>
      </c>
      <c r="F1240" t="s">
        <v>123</v>
      </c>
      <c r="G1240" t="s">
        <v>124</v>
      </c>
      <c r="H1240" t="s">
        <v>125</v>
      </c>
      <c r="I1240" t="s">
        <v>126</v>
      </c>
      <c r="J1240" t="s">
        <v>126</v>
      </c>
      <c r="K1240" t="s">
        <v>127</v>
      </c>
      <c r="L1240">
        <v>50</v>
      </c>
      <c r="M1240">
        <v>1704073</v>
      </c>
      <c r="N1240">
        <v>6</v>
      </c>
      <c r="O1240">
        <v>5</v>
      </c>
      <c r="P1240" t="s">
        <v>1515</v>
      </c>
      <c r="Q1240" t="s">
        <v>129</v>
      </c>
      <c r="R1240">
        <v>1</v>
      </c>
      <c r="T1240">
        <v>0</v>
      </c>
      <c r="U1240">
        <v>5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5</v>
      </c>
      <c r="AB1240">
        <v>50</v>
      </c>
      <c r="AC1240">
        <v>5</v>
      </c>
      <c r="AD1240">
        <v>0</v>
      </c>
      <c r="AE1240">
        <v>0</v>
      </c>
      <c r="AF1240">
        <v>5</v>
      </c>
      <c r="AG1240">
        <v>0</v>
      </c>
      <c r="AH1240">
        <v>45</v>
      </c>
      <c r="AI1240">
        <v>45</v>
      </c>
      <c r="AJ1240">
        <v>45</v>
      </c>
      <c r="AK1240">
        <v>45</v>
      </c>
      <c r="AL1240">
        <v>0</v>
      </c>
      <c r="AM1240">
        <v>0.12</v>
      </c>
      <c r="AN1240">
        <v>4.0909090909090908</v>
      </c>
      <c r="AO1240">
        <v>0</v>
      </c>
      <c r="AP1240" t="s">
        <v>130</v>
      </c>
      <c r="AQ1240" t="s">
        <v>131</v>
      </c>
      <c r="AR1240" t="s">
        <v>1184</v>
      </c>
      <c r="AS1240">
        <v>247</v>
      </c>
      <c r="AT1240">
        <v>211</v>
      </c>
      <c r="AU1240">
        <v>0</v>
      </c>
      <c r="AV1240">
        <v>0</v>
      </c>
      <c r="AW1240">
        <v>0.45800000000000002</v>
      </c>
      <c r="AX1240">
        <v>9.1600000000000001E-2</v>
      </c>
      <c r="AY1240">
        <v>0.45800000000000002</v>
      </c>
      <c r="AZ1240" t="s">
        <v>135</v>
      </c>
      <c r="BA1240">
        <v>5.5419999999999998</v>
      </c>
      <c r="BB1240">
        <v>60.502183406113538</v>
      </c>
      <c r="BC1240" t="s">
        <v>133</v>
      </c>
      <c r="BD1240">
        <v>1</v>
      </c>
      <c r="BE1240" t="s">
        <v>133</v>
      </c>
      <c r="BF124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0.45800000000000002</v>
      </c>
    </row>
    <row r="1241" spans="1:58" x14ac:dyDescent="0.25">
      <c r="A1241" t="s">
        <v>1519</v>
      </c>
      <c r="B1241" t="s">
        <v>19</v>
      </c>
      <c r="C1241">
        <v>3</v>
      </c>
      <c r="D1241">
        <v>5</v>
      </c>
      <c r="E1241" t="s">
        <v>2111</v>
      </c>
      <c r="F1241" t="s">
        <v>123</v>
      </c>
      <c r="G1241" t="s">
        <v>124</v>
      </c>
      <c r="H1241" t="s">
        <v>125</v>
      </c>
      <c r="I1241" t="s">
        <v>126</v>
      </c>
      <c r="J1241" t="s">
        <v>126</v>
      </c>
      <c r="K1241" t="s">
        <v>127</v>
      </c>
      <c r="L1241">
        <v>50</v>
      </c>
      <c r="M1241">
        <v>1704075</v>
      </c>
      <c r="N1241">
        <v>6</v>
      </c>
      <c r="O1241">
        <v>5</v>
      </c>
      <c r="P1241" t="s">
        <v>1515</v>
      </c>
      <c r="Q1241" t="s">
        <v>129</v>
      </c>
      <c r="R1241">
        <v>1</v>
      </c>
      <c r="T1241">
        <v>0</v>
      </c>
      <c r="U1241">
        <v>5</v>
      </c>
      <c r="V1241">
        <v>0</v>
      </c>
      <c r="W1241">
        <v>0</v>
      </c>
      <c r="X1241">
        <v>0</v>
      </c>
      <c r="Y1241">
        <v>1</v>
      </c>
      <c r="Z1241">
        <v>1</v>
      </c>
      <c r="AA1241">
        <v>6</v>
      </c>
      <c r="AB1241">
        <v>50</v>
      </c>
      <c r="AC1241">
        <v>5</v>
      </c>
      <c r="AD1241">
        <v>0</v>
      </c>
      <c r="AE1241">
        <v>4</v>
      </c>
      <c r="AF1241">
        <v>9</v>
      </c>
      <c r="AG1241">
        <v>0</v>
      </c>
      <c r="AH1241">
        <v>45</v>
      </c>
      <c r="AI1241">
        <v>41</v>
      </c>
      <c r="AJ1241">
        <v>41</v>
      </c>
      <c r="AK1241">
        <v>45</v>
      </c>
      <c r="AL1241">
        <v>0</v>
      </c>
      <c r="AM1241">
        <v>0.12</v>
      </c>
      <c r="AN1241">
        <v>3.7272727272727275</v>
      </c>
      <c r="AO1241">
        <v>0</v>
      </c>
      <c r="AP1241" t="s">
        <v>130</v>
      </c>
      <c r="AQ1241" t="s">
        <v>131</v>
      </c>
      <c r="AR1241" t="s">
        <v>1184</v>
      </c>
      <c r="AS1241">
        <v>230</v>
      </c>
      <c r="AT1241">
        <v>246</v>
      </c>
      <c r="AU1241">
        <v>0</v>
      </c>
      <c r="AV1241">
        <v>0</v>
      </c>
      <c r="AW1241">
        <v>0.47599999999999998</v>
      </c>
      <c r="AX1241">
        <v>9.5199999999999993E-2</v>
      </c>
      <c r="AY1241">
        <v>0.8567999999999999</v>
      </c>
      <c r="AZ1241" t="s">
        <v>135</v>
      </c>
      <c r="BA1241">
        <v>5.1432000000000002</v>
      </c>
      <c r="BB1241">
        <v>54.025210084033617</v>
      </c>
      <c r="BC1241" t="s">
        <v>133</v>
      </c>
      <c r="BD1241">
        <v>2</v>
      </c>
      <c r="BE1241" t="s">
        <v>133</v>
      </c>
      <c r="BF124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0.47599999999999998</v>
      </c>
    </row>
    <row r="1242" spans="1:58" x14ac:dyDescent="0.25">
      <c r="A1242" t="s">
        <v>1520</v>
      </c>
      <c r="B1242" t="s">
        <v>19</v>
      </c>
      <c r="C1242">
        <v>3</v>
      </c>
      <c r="D1242">
        <v>6</v>
      </c>
      <c r="E1242" t="s">
        <v>2111</v>
      </c>
      <c r="F1242" t="s">
        <v>123</v>
      </c>
      <c r="G1242" t="s">
        <v>124</v>
      </c>
      <c r="H1242" t="s">
        <v>136</v>
      </c>
      <c r="I1242" t="s">
        <v>137</v>
      </c>
      <c r="J1242" t="s">
        <v>138</v>
      </c>
      <c r="K1242" t="s">
        <v>127</v>
      </c>
      <c r="L1242">
        <v>50</v>
      </c>
      <c r="M1242">
        <v>1704077</v>
      </c>
      <c r="N1242">
        <v>5</v>
      </c>
      <c r="O1242">
        <v>5</v>
      </c>
      <c r="P1242" t="s">
        <v>1515</v>
      </c>
      <c r="Q1242" t="s">
        <v>129</v>
      </c>
      <c r="R1242">
        <v>1</v>
      </c>
      <c r="T1242">
        <v>0</v>
      </c>
      <c r="U1242">
        <v>4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4</v>
      </c>
      <c r="AB1242">
        <v>50</v>
      </c>
      <c r="AC1242">
        <v>4</v>
      </c>
      <c r="AD1242">
        <v>0</v>
      </c>
      <c r="AE1242">
        <v>0</v>
      </c>
      <c r="AF1242">
        <v>4</v>
      </c>
      <c r="AG1242">
        <v>0</v>
      </c>
      <c r="AH1242">
        <v>46</v>
      </c>
      <c r="AI1242">
        <v>46</v>
      </c>
      <c r="AJ1242">
        <v>46</v>
      </c>
      <c r="AK1242">
        <v>46</v>
      </c>
      <c r="AL1242">
        <v>0</v>
      </c>
      <c r="AM1242">
        <v>0.1</v>
      </c>
      <c r="AN1242">
        <v>4.1818181818181817</v>
      </c>
      <c r="AO1242">
        <v>0</v>
      </c>
      <c r="AP1242" t="s">
        <v>139</v>
      </c>
      <c r="AQ1242" t="s">
        <v>131</v>
      </c>
      <c r="AR1242" t="s">
        <v>1184</v>
      </c>
      <c r="AS1242">
        <v>0</v>
      </c>
      <c r="AT1242">
        <v>0</v>
      </c>
      <c r="AU1242">
        <v>0</v>
      </c>
      <c r="AV1242">
        <v>0</v>
      </c>
      <c r="AW1242">
        <v>0</v>
      </c>
      <c r="AX1242">
        <v>0</v>
      </c>
      <c r="AY1242">
        <v>0</v>
      </c>
      <c r="AZ1242" t="s">
        <v>134</v>
      </c>
      <c r="BA1242">
        <v>5</v>
      </c>
      <c r="BB1242">
        <v>0</v>
      </c>
      <c r="BC1242" t="s">
        <v>133</v>
      </c>
      <c r="BD1242">
        <v>0</v>
      </c>
      <c r="BE1242" t="s">
        <v>133</v>
      </c>
      <c r="BF124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43" spans="1:58" x14ac:dyDescent="0.25">
      <c r="A1243" t="s">
        <v>1521</v>
      </c>
      <c r="B1243" t="s">
        <v>19</v>
      </c>
      <c r="C1243">
        <v>3</v>
      </c>
      <c r="D1243">
        <v>7</v>
      </c>
      <c r="E1243" t="s">
        <v>2111</v>
      </c>
      <c r="F1243" t="s">
        <v>123</v>
      </c>
      <c r="G1243" t="s">
        <v>124</v>
      </c>
      <c r="H1243" t="s">
        <v>125</v>
      </c>
      <c r="I1243" t="s">
        <v>126</v>
      </c>
      <c r="J1243" t="s">
        <v>126</v>
      </c>
      <c r="K1243" t="s">
        <v>127</v>
      </c>
      <c r="L1243">
        <v>50</v>
      </c>
      <c r="M1243">
        <v>1704079</v>
      </c>
      <c r="N1243">
        <v>6</v>
      </c>
      <c r="O1243">
        <v>5</v>
      </c>
      <c r="P1243" t="s">
        <v>1515</v>
      </c>
      <c r="Q1243" t="s">
        <v>129</v>
      </c>
      <c r="R1243">
        <v>1</v>
      </c>
      <c r="T1243">
        <v>0</v>
      </c>
      <c r="U1243">
        <v>5</v>
      </c>
      <c r="V1243">
        <v>0</v>
      </c>
      <c r="W1243">
        <v>0</v>
      </c>
      <c r="X1243">
        <v>0</v>
      </c>
      <c r="Y1243">
        <v>1</v>
      </c>
      <c r="Z1243">
        <v>1</v>
      </c>
      <c r="AA1243">
        <v>6</v>
      </c>
      <c r="AB1243">
        <v>50</v>
      </c>
      <c r="AC1243">
        <v>5</v>
      </c>
      <c r="AD1243">
        <v>0</v>
      </c>
      <c r="AE1243">
        <v>4</v>
      </c>
      <c r="AF1243">
        <v>9</v>
      </c>
      <c r="AG1243">
        <v>0</v>
      </c>
      <c r="AH1243">
        <v>45</v>
      </c>
      <c r="AI1243">
        <v>41</v>
      </c>
      <c r="AJ1243">
        <v>41</v>
      </c>
      <c r="AK1243">
        <v>45</v>
      </c>
      <c r="AL1243">
        <v>0</v>
      </c>
      <c r="AM1243">
        <v>0.12</v>
      </c>
      <c r="AN1243">
        <v>3.7272727272727275</v>
      </c>
      <c r="AO1243">
        <v>0</v>
      </c>
      <c r="AP1243" t="s">
        <v>130</v>
      </c>
      <c r="AQ1243" t="s">
        <v>131</v>
      </c>
      <c r="AR1243" t="s">
        <v>1184</v>
      </c>
      <c r="AS1243">
        <v>278</v>
      </c>
      <c r="AT1243">
        <v>216</v>
      </c>
      <c r="AU1243">
        <v>0</v>
      </c>
      <c r="AV1243">
        <v>0</v>
      </c>
      <c r="AW1243">
        <v>0.49399999999999999</v>
      </c>
      <c r="AX1243">
        <v>9.8799999999999999E-2</v>
      </c>
      <c r="AY1243">
        <v>0.88919999999999999</v>
      </c>
      <c r="AZ1243" t="s">
        <v>135</v>
      </c>
      <c r="BA1243">
        <v>5.1108000000000002</v>
      </c>
      <c r="BB1243">
        <v>51.728744939271259</v>
      </c>
      <c r="BC1243" t="s">
        <v>133</v>
      </c>
      <c r="BD1243">
        <v>1</v>
      </c>
      <c r="BE1243" t="s">
        <v>133</v>
      </c>
      <c r="BF124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0.49399999999999999</v>
      </c>
    </row>
    <row r="1244" spans="1:58" x14ac:dyDescent="0.25">
      <c r="A1244" t="s">
        <v>1522</v>
      </c>
      <c r="B1244" t="s">
        <v>19</v>
      </c>
      <c r="C1244">
        <v>3</v>
      </c>
      <c r="D1244">
        <v>8</v>
      </c>
      <c r="E1244" t="s">
        <v>2111</v>
      </c>
      <c r="F1244" t="s">
        <v>123</v>
      </c>
      <c r="G1244" t="s">
        <v>124</v>
      </c>
      <c r="H1244" t="s">
        <v>125</v>
      </c>
      <c r="I1244" t="s">
        <v>126</v>
      </c>
      <c r="J1244" t="s">
        <v>126</v>
      </c>
      <c r="K1244" t="s">
        <v>127</v>
      </c>
      <c r="L1244">
        <v>50</v>
      </c>
      <c r="M1244">
        <v>1704081</v>
      </c>
      <c r="N1244">
        <v>6</v>
      </c>
      <c r="O1244">
        <v>5</v>
      </c>
      <c r="P1244" t="s">
        <v>1515</v>
      </c>
      <c r="Q1244" t="s">
        <v>129</v>
      </c>
      <c r="R1244">
        <v>1</v>
      </c>
      <c r="T1244">
        <v>0</v>
      </c>
      <c r="U1244">
        <v>5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5</v>
      </c>
      <c r="AB1244">
        <v>50</v>
      </c>
      <c r="AC1244">
        <v>5</v>
      </c>
      <c r="AD1244">
        <v>0</v>
      </c>
      <c r="AE1244">
        <v>0</v>
      </c>
      <c r="AF1244">
        <v>5</v>
      </c>
      <c r="AG1244">
        <v>0</v>
      </c>
      <c r="AH1244">
        <v>45</v>
      </c>
      <c r="AI1244">
        <v>45</v>
      </c>
      <c r="AJ1244">
        <v>45</v>
      </c>
      <c r="AK1244">
        <v>45</v>
      </c>
      <c r="AL1244">
        <v>0</v>
      </c>
      <c r="AM1244">
        <v>0.12</v>
      </c>
      <c r="AN1244">
        <v>4.0909090909090908</v>
      </c>
      <c r="AO1244">
        <v>0</v>
      </c>
      <c r="AP1244" t="s">
        <v>130</v>
      </c>
      <c r="AQ1244" t="s">
        <v>131</v>
      </c>
      <c r="AR1244" t="s">
        <v>1184</v>
      </c>
      <c r="AS1244">
        <v>233</v>
      </c>
      <c r="AT1244">
        <v>210</v>
      </c>
      <c r="AU1244">
        <v>0</v>
      </c>
      <c r="AV1244">
        <v>0</v>
      </c>
      <c r="AW1244">
        <v>0.443</v>
      </c>
      <c r="AX1244">
        <v>8.8599999999999998E-2</v>
      </c>
      <c r="AY1244">
        <v>0.443</v>
      </c>
      <c r="AZ1244" t="s">
        <v>135</v>
      </c>
      <c r="BA1244">
        <v>5.5570000000000004</v>
      </c>
      <c r="BB1244">
        <v>62.72009029345373</v>
      </c>
      <c r="BC1244" t="s">
        <v>133</v>
      </c>
      <c r="BD1244">
        <v>2</v>
      </c>
      <c r="BE1244" t="s">
        <v>133</v>
      </c>
      <c r="BF124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0.443</v>
      </c>
    </row>
    <row r="1245" spans="1:58" x14ac:dyDescent="0.25">
      <c r="A1245" t="s">
        <v>1523</v>
      </c>
      <c r="B1245" t="s">
        <v>19</v>
      </c>
      <c r="C1245">
        <v>3</v>
      </c>
      <c r="D1245">
        <v>9</v>
      </c>
      <c r="E1245" t="s">
        <v>2111</v>
      </c>
      <c r="F1245" t="s">
        <v>123</v>
      </c>
      <c r="G1245" t="s">
        <v>124</v>
      </c>
      <c r="H1245" t="s">
        <v>125</v>
      </c>
      <c r="I1245" t="s">
        <v>126</v>
      </c>
      <c r="J1245" t="s">
        <v>126</v>
      </c>
      <c r="K1245" t="s">
        <v>127</v>
      </c>
      <c r="L1245">
        <v>50</v>
      </c>
      <c r="M1245">
        <v>1704083</v>
      </c>
      <c r="N1245">
        <v>6</v>
      </c>
      <c r="O1245">
        <v>5</v>
      </c>
      <c r="P1245" t="s">
        <v>1515</v>
      </c>
      <c r="Q1245" t="s">
        <v>129</v>
      </c>
      <c r="R1245">
        <v>1</v>
      </c>
      <c r="T1245">
        <v>0</v>
      </c>
      <c r="U1245">
        <v>5</v>
      </c>
      <c r="V1245">
        <v>0</v>
      </c>
      <c r="W1245">
        <v>0</v>
      </c>
      <c r="X1245">
        <v>0</v>
      </c>
      <c r="Y1245">
        <v>1</v>
      </c>
      <c r="Z1245">
        <v>1</v>
      </c>
      <c r="AA1245">
        <v>6</v>
      </c>
      <c r="AB1245">
        <v>50</v>
      </c>
      <c r="AC1245">
        <v>5</v>
      </c>
      <c r="AD1245">
        <v>0</v>
      </c>
      <c r="AE1245">
        <v>4</v>
      </c>
      <c r="AF1245">
        <v>9</v>
      </c>
      <c r="AG1245">
        <v>0</v>
      </c>
      <c r="AH1245">
        <v>45</v>
      </c>
      <c r="AI1245">
        <v>41</v>
      </c>
      <c r="AJ1245">
        <v>41</v>
      </c>
      <c r="AK1245">
        <v>45</v>
      </c>
      <c r="AL1245">
        <v>0</v>
      </c>
      <c r="AM1245">
        <v>0.12</v>
      </c>
      <c r="AN1245">
        <v>3.7272727272727275</v>
      </c>
      <c r="AO1245">
        <v>0</v>
      </c>
      <c r="AP1245" t="s">
        <v>130</v>
      </c>
      <c r="AQ1245" t="s">
        <v>131</v>
      </c>
      <c r="AR1245" t="s">
        <v>1184</v>
      </c>
      <c r="AS1245">
        <v>462</v>
      </c>
      <c r="AT1245">
        <v>450</v>
      </c>
      <c r="AU1245">
        <v>0</v>
      </c>
      <c r="AV1245">
        <v>0</v>
      </c>
      <c r="AW1245">
        <v>0.91200000000000003</v>
      </c>
      <c r="AX1245">
        <v>0.18240000000000001</v>
      </c>
      <c r="AY1245">
        <v>1.6415999999999999</v>
      </c>
      <c r="AZ1245" t="s">
        <v>135</v>
      </c>
      <c r="BA1245">
        <v>4.3583999999999996</v>
      </c>
      <c r="BB1245">
        <v>23.89473684210526</v>
      </c>
      <c r="BC1245" t="s">
        <v>133</v>
      </c>
      <c r="BD1245">
        <v>3</v>
      </c>
      <c r="BE1245" t="s">
        <v>133</v>
      </c>
      <c r="BF124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0.91200000000000003</v>
      </c>
    </row>
    <row r="1246" spans="1:58" x14ac:dyDescent="0.25">
      <c r="A1246" t="s">
        <v>1524</v>
      </c>
      <c r="B1246" t="s">
        <v>19</v>
      </c>
      <c r="C1246">
        <v>3</v>
      </c>
      <c r="D1246">
        <v>10</v>
      </c>
      <c r="E1246" t="s">
        <v>2111</v>
      </c>
      <c r="F1246" t="s">
        <v>123</v>
      </c>
      <c r="G1246" t="s">
        <v>124</v>
      </c>
      <c r="H1246" t="s">
        <v>125</v>
      </c>
      <c r="I1246" t="s">
        <v>126</v>
      </c>
      <c r="J1246" t="s">
        <v>126</v>
      </c>
      <c r="K1246" t="s">
        <v>127</v>
      </c>
      <c r="L1246">
        <v>50</v>
      </c>
      <c r="M1246">
        <v>1704085</v>
      </c>
      <c r="N1246">
        <v>6</v>
      </c>
      <c r="O1246">
        <v>5</v>
      </c>
      <c r="P1246" t="s">
        <v>1515</v>
      </c>
      <c r="Q1246" t="s">
        <v>129</v>
      </c>
      <c r="R1246">
        <v>1</v>
      </c>
      <c r="T1246">
        <v>0</v>
      </c>
      <c r="U1246">
        <v>5</v>
      </c>
      <c r="V1246">
        <v>0</v>
      </c>
      <c r="W1246">
        <v>0</v>
      </c>
      <c r="X1246">
        <v>0</v>
      </c>
      <c r="Y1246">
        <v>1</v>
      </c>
      <c r="Z1246">
        <v>1</v>
      </c>
      <c r="AA1246">
        <v>6</v>
      </c>
      <c r="AB1246">
        <v>50</v>
      </c>
      <c r="AC1246">
        <v>5</v>
      </c>
      <c r="AD1246">
        <v>0</v>
      </c>
      <c r="AE1246">
        <v>4</v>
      </c>
      <c r="AF1246">
        <v>9</v>
      </c>
      <c r="AG1246">
        <v>0</v>
      </c>
      <c r="AH1246">
        <v>45</v>
      </c>
      <c r="AI1246">
        <v>41</v>
      </c>
      <c r="AJ1246">
        <v>41</v>
      </c>
      <c r="AK1246">
        <v>45</v>
      </c>
      <c r="AL1246">
        <v>0</v>
      </c>
      <c r="AM1246">
        <v>0.12</v>
      </c>
      <c r="AN1246">
        <v>3.7272727272727275</v>
      </c>
      <c r="AO1246">
        <v>0</v>
      </c>
      <c r="AP1246" t="s">
        <v>130</v>
      </c>
      <c r="AQ1246" t="s">
        <v>131</v>
      </c>
      <c r="AR1246" t="s">
        <v>1184</v>
      </c>
      <c r="AS1246">
        <v>254</v>
      </c>
      <c r="AT1246">
        <v>220</v>
      </c>
      <c r="AU1246">
        <v>0</v>
      </c>
      <c r="AV1246">
        <v>0</v>
      </c>
      <c r="AW1246">
        <v>0.47399999999999998</v>
      </c>
      <c r="AX1246">
        <v>9.4799999999999995E-2</v>
      </c>
      <c r="AY1246">
        <v>0.85319999999999996</v>
      </c>
      <c r="AZ1246" t="s">
        <v>135</v>
      </c>
      <c r="BA1246">
        <v>5.1467999999999998</v>
      </c>
      <c r="BB1246">
        <v>54.291139240506332</v>
      </c>
      <c r="BC1246" t="s">
        <v>133</v>
      </c>
      <c r="BD1246">
        <v>4</v>
      </c>
      <c r="BE1246" t="s">
        <v>133</v>
      </c>
      <c r="BF124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0.47399999999999998</v>
      </c>
    </row>
    <row r="1247" spans="1:58" x14ac:dyDescent="0.25">
      <c r="A1247" t="s">
        <v>1525</v>
      </c>
      <c r="B1247" t="s">
        <v>19</v>
      </c>
      <c r="C1247">
        <v>3</v>
      </c>
      <c r="D1247">
        <v>11</v>
      </c>
      <c r="E1247" t="s">
        <v>2111</v>
      </c>
      <c r="F1247" t="s">
        <v>123</v>
      </c>
      <c r="G1247" t="s">
        <v>124</v>
      </c>
      <c r="H1247" t="s">
        <v>125</v>
      </c>
      <c r="I1247" t="s">
        <v>126</v>
      </c>
      <c r="J1247" t="s">
        <v>126</v>
      </c>
      <c r="K1247" t="s">
        <v>127</v>
      </c>
      <c r="L1247">
        <v>50</v>
      </c>
      <c r="M1247">
        <v>1704087</v>
      </c>
      <c r="N1247">
        <v>6</v>
      </c>
      <c r="O1247">
        <v>5</v>
      </c>
      <c r="P1247" t="s">
        <v>1515</v>
      </c>
      <c r="Q1247" t="s">
        <v>129</v>
      </c>
      <c r="R1247">
        <v>1</v>
      </c>
      <c r="T1247">
        <v>0</v>
      </c>
      <c r="U1247">
        <v>5</v>
      </c>
      <c r="V1247">
        <v>0</v>
      </c>
      <c r="W1247">
        <v>0</v>
      </c>
      <c r="X1247">
        <v>0</v>
      </c>
      <c r="Y1247">
        <v>2</v>
      </c>
      <c r="Z1247">
        <v>2</v>
      </c>
      <c r="AA1247">
        <v>7</v>
      </c>
      <c r="AB1247">
        <v>50</v>
      </c>
      <c r="AC1247">
        <v>5</v>
      </c>
      <c r="AD1247">
        <v>0</v>
      </c>
      <c r="AE1247">
        <v>8</v>
      </c>
      <c r="AF1247">
        <v>13</v>
      </c>
      <c r="AG1247">
        <v>0</v>
      </c>
      <c r="AH1247">
        <v>45</v>
      </c>
      <c r="AI1247">
        <v>37</v>
      </c>
      <c r="AJ1247">
        <v>37</v>
      </c>
      <c r="AK1247">
        <v>45</v>
      </c>
      <c r="AL1247">
        <v>0</v>
      </c>
      <c r="AM1247">
        <v>0.12</v>
      </c>
      <c r="AN1247">
        <v>3.3636363636363638</v>
      </c>
      <c r="AO1247">
        <v>0</v>
      </c>
      <c r="AP1247" t="s">
        <v>130</v>
      </c>
      <c r="AQ1247" t="s">
        <v>131</v>
      </c>
      <c r="AR1247" t="s">
        <v>1184</v>
      </c>
      <c r="AS1247">
        <v>258</v>
      </c>
      <c r="AT1247">
        <v>770</v>
      </c>
      <c r="AU1247">
        <v>0</v>
      </c>
      <c r="AV1247">
        <v>0</v>
      </c>
      <c r="AW1247">
        <v>1.028</v>
      </c>
      <c r="AX1247">
        <v>0.2056</v>
      </c>
      <c r="AY1247">
        <v>2.6728000000000001</v>
      </c>
      <c r="AZ1247" t="s">
        <v>135</v>
      </c>
      <c r="BA1247">
        <v>3.3271999999999999</v>
      </c>
      <c r="BB1247">
        <v>16.182879377431906</v>
      </c>
      <c r="BC1247" t="s">
        <v>144</v>
      </c>
      <c r="BD1247">
        <v>5</v>
      </c>
      <c r="BE1247" t="s">
        <v>133</v>
      </c>
      <c r="BF124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1.028</v>
      </c>
    </row>
    <row r="1248" spans="1:58" x14ac:dyDescent="0.25">
      <c r="A1248" t="s">
        <v>1526</v>
      </c>
      <c r="B1248" t="s">
        <v>19</v>
      </c>
      <c r="C1248">
        <v>3</v>
      </c>
      <c r="D1248">
        <v>12</v>
      </c>
      <c r="E1248" t="s">
        <v>2109</v>
      </c>
      <c r="F1248" t="s">
        <v>123</v>
      </c>
      <c r="G1248" t="s">
        <v>124</v>
      </c>
      <c r="H1248" t="s">
        <v>125</v>
      </c>
      <c r="I1248" t="s">
        <v>154</v>
      </c>
      <c r="J1248" t="s">
        <v>154</v>
      </c>
      <c r="K1248" t="s">
        <v>151</v>
      </c>
      <c r="L1248">
        <v>50</v>
      </c>
      <c r="M1248">
        <v>1704089</v>
      </c>
      <c r="N1248">
        <v>0</v>
      </c>
      <c r="O1248">
        <v>5</v>
      </c>
      <c r="P1248" t="s">
        <v>1515</v>
      </c>
      <c r="Q1248" t="s">
        <v>129</v>
      </c>
      <c r="R1248">
        <v>2</v>
      </c>
      <c r="S1248" t="s">
        <v>189</v>
      </c>
      <c r="T1248">
        <v>0</v>
      </c>
      <c r="U1248">
        <v>0</v>
      </c>
      <c r="V1248">
        <v>1</v>
      </c>
      <c r="W1248">
        <v>0</v>
      </c>
      <c r="X1248">
        <v>1</v>
      </c>
      <c r="Y1248">
        <v>0</v>
      </c>
      <c r="Z1248">
        <v>0</v>
      </c>
      <c r="AA1248">
        <v>1</v>
      </c>
      <c r="AB1248">
        <v>50</v>
      </c>
      <c r="AC1248">
        <v>0</v>
      </c>
      <c r="AD1248">
        <v>1</v>
      </c>
      <c r="AE1248">
        <v>0</v>
      </c>
      <c r="AF1248">
        <v>1</v>
      </c>
      <c r="AG1248">
        <v>0</v>
      </c>
      <c r="AH1248">
        <v>0</v>
      </c>
      <c r="AI1248">
        <v>49</v>
      </c>
      <c r="AJ1248">
        <v>50</v>
      </c>
      <c r="AK1248">
        <v>50</v>
      </c>
      <c r="AL1248">
        <v>50</v>
      </c>
      <c r="AM1248">
        <v>0</v>
      </c>
      <c r="AN1248">
        <v>4.5454545454545459</v>
      </c>
      <c r="AO1248">
        <v>0</v>
      </c>
      <c r="AP1248" t="s">
        <v>172</v>
      </c>
      <c r="AQ1248" t="s">
        <v>131</v>
      </c>
      <c r="AR1248" t="s">
        <v>229</v>
      </c>
      <c r="AS1248">
        <v>0</v>
      </c>
      <c r="AT1248">
        <v>0</v>
      </c>
      <c r="AU1248">
        <v>0</v>
      </c>
      <c r="AV1248">
        <v>0</v>
      </c>
      <c r="AW1248">
        <v>0</v>
      </c>
      <c r="AX1248">
        <v>0</v>
      </c>
      <c r="AY1248">
        <v>0</v>
      </c>
      <c r="AZ1248" t="s">
        <v>147</v>
      </c>
      <c r="BA1248">
        <v>0</v>
      </c>
      <c r="BB1248">
        <v>0</v>
      </c>
      <c r="BC1248" t="s">
        <v>132</v>
      </c>
      <c r="BD1248">
        <v>1</v>
      </c>
      <c r="BE1248" t="s">
        <v>133</v>
      </c>
      <c r="BF124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49" spans="1:58" x14ac:dyDescent="0.25">
      <c r="A1249" t="s">
        <v>1527</v>
      </c>
      <c r="B1249" t="s">
        <v>19</v>
      </c>
      <c r="C1249">
        <v>3</v>
      </c>
      <c r="D1249">
        <v>13</v>
      </c>
      <c r="E1249" t="s">
        <v>2109</v>
      </c>
      <c r="F1249" t="s">
        <v>123</v>
      </c>
      <c r="G1249" t="s">
        <v>124</v>
      </c>
      <c r="H1249" t="s">
        <v>125</v>
      </c>
      <c r="I1249" t="s">
        <v>154</v>
      </c>
      <c r="J1249" t="s">
        <v>154</v>
      </c>
      <c r="K1249" t="s">
        <v>151</v>
      </c>
      <c r="L1249">
        <v>50</v>
      </c>
      <c r="M1249">
        <v>1704091</v>
      </c>
      <c r="N1249">
        <v>0</v>
      </c>
      <c r="O1249">
        <v>5</v>
      </c>
      <c r="P1249" t="s">
        <v>1515</v>
      </c>
      <c r="Q1249" t="s">
        <v>129</v>
      </c>
      <c r="R1249">
        <v>2</v>
      </c>
      <c r="S1249" t="s">
        <v>189</v>
      </c>
      <c r="T1249">
        <v>0</v>
      </c>
      <c r="U1249">
        <v>0</v>
      </c>
      <c r="V1249">
        <v>1</v>
      </c>
      <c r="W1249">
        <v>0</v>
      </c>
      <c r="X1249">
        <v>1</v>
      </c>
      <c r="Y1249">
        <v>0</v>
      </c>
      <c r="Z1249">
        <v>0</v>
      </c>
      <c r="AA1249">
        <v>1</v>
      </c>
      <c r="AB1249">
        <v>50</v>
      </c>
      <c r="AC1249">
        <v>0</v>
      </c>
      <c r="AD1249">
        <v>1</v>
      </c>
      <c r="AE1249">
        <v>0</v>
      </c>
      <c r="AF1249">
        <v>1</v>
      </c>
      <c r="AG1249">
        <v>0</v>
      </c>
      <c r="AH1249">
        <v>0</v>
      </c>
      <c r="AI1249">
        <v>49</v>
      </c>
      <c r="AJ1249">
        <v>50</v>
      </c>
      <c r="AK1249">
        <v>50</v>
      </c>
      <c r="AL1249">
        <v>50</v>
      </c>
      <c r="AM1249">
        <v>0</v>
      </c>
      <c r="AN1249">
        <v>4.5454545454545459</v>
      </c>
      <c r="AO1249">
        <v>0</v>
      </c>
      <c r="AP1249" t="s">
        <v>172</v>
      </c>
      <c r="AQ1249" t="s">
        <v>131</v>
      </c>
      <c r="AR1249" t="s">
        <v>229</v>
      </c>
      <c r="AS1249">
        <v>0</v>
      </c>
      <c r="AT1249">
        <v>0</v>
      </c>
      <c r="AU1249">
        <v>0</v>
      </c>
      <c r="AV1249">
        <v>0</v>
      </c>
      <c r="AW1249">
        <v>0</v>
      </c>
      <c r="AX1249">
        <v>0</v>
      </c>
      <c r="AY1249">
        <v>0</v>
      </c>
      <c r="AZ1249" t="s">
        <v>147</v>
      </c>
      <c r="BA1249">
        <v>0</v>
      </c>
      <c r="BB1249">
        <v>0</v>
      </c>
      <c r="BC1249" t="s">
        <v>133</v>
      </c>
      <c r="BD1249">
        <v>2</v>
      </c>
      <c r="BE1249" t="s">
        <v>133</v>
      </c>
      <c r="BF124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50" spans="1:58" x14ac:dyDescent="0.25">
      <c r="A1250" t="s">
        <v>1528</v>
      </c>
      <c r="B1250" t="s">
        <v>19</v>
      </c>
      <c r="C1250">
        <v>3</v>
      </c>
      <c r="D1250">
        <v>14</v>
      </c>
      <c r="E1250" t="s">
        <v>2109</v>
      </c>
      <c r="F1250" t="s">
        <v>123</v>
      </c>
      <c r="G1250" t="s">
        <v>124</v>
      </c>
      <c r="H1250" t="s">
        <v>125</v>
      </c>
      <c r="I1250" t="s">
        <v>154</v>
      </c>
      <c r="J1250" t="s">
        <v>154</v>
      </c>
      <c r="K1250" t="s">
        <v>151</v>
      </c>
      <c r="L1250">
        <v>50</v>
      </c>
      <c r="M1250">
        <v>1704093</v>
      </c>
      <c r="N1250">
        <v>0</v>
      </c>
      <c r="O1250">
        <v>5</v>
      </c>
      <c r="P1250" t="s">
        <v>1515</v>
      </c>
      <c r="Q1250" t="s">
        <v>129</v>
      </c>
      <c r="R1250">
        <v>2</v>
      </c>
      <c r="S1250" t="s">
        <v>189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50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50</v>
      </c>
      <c r="AJ1250">
        <v>50</v>
      </c>
      <c r="AK1250">
        <v>50</v>
      </c>
      <c r="AL1250">
        <v>50</v>
      </c>
      <c r="AM1250">
        <v>0</v>
      </c>
      <c r="AN1250">
        <v>4.5454545454545459</v>
      </c>
      <c r="AO1250">
        <v>0</v>
      </c>
      <c r="AP1250" t="s">
        <v>172</v>
      </c>
      <c r="AQ1250" t="s">
        <v>155</v>
      </c>
      <c r="AR1250" t="s">
        <v>229</v>
      </c>
      <c r="AS1250">
        <v>0</v>
      </c>
      <c r="AT1250">
        <v>0</v>
      </c>
      <c r="AU1250">
        <v>0</v>
      </c>
      <c r="AV1250">
        <v>0</v>
      </c>
      <c r="AW1250">
        <v>0</v>
      </c>
      <c r="AX1250">
        <v>0</v>
      </c>
      <c r="AY1250">
        <v>0</v>
      </c>
      <c r="AZ1250" t="s">
        <v>147</v>
      </c>
      <c r="BA1250">
        <v>0</v>
      </c>
      <c r="BB1250">
        <v>0</v>
      </c>
      <c r="BC1250" t="s">
        <v>133</v>
      </c>
      <c r="BD1250">
        <v>3</v>
      </c>
      <c r="BE1250" t="s">
        <v>133</v>
      </c>
      <c r="BF125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51" spans="1:58" x14ac:dyDescent="0.25">
      <c r="A1251" t="s">
        <v>1529</v>
      </c>
      <c r="B1251" t="s">
        <v>19</v>
      </c>
      <c r="C1251">
        <v>3</v>
      </c>
      <c r="D1251">
        <v>15</v>
      </c>
      <c r="E1251" t="s">
        <v>2109</v>
      </c>
      <c r="F1251" t="s">
        <v>123</v>
      </c>
      <c r="G1251" t="s">
        <v>124</v>
      </c>
      <c r="H1251" t="s">
        <v>125</v>
      </c>
      <c r="I1251" t="s">
        <v>154</v>
      </c>
      <c r="J1251" t="s">
        <v>154</v>
      </c>
      <c r="K1251" t="s">
        <v>151</v>
      </c>
      <c r="L1251">
        <v>50</v>
      </c>
      <c r="M1251">
        <v>1704095</v>
      </c>
      <c r="N1251">
        <v>0</v>
      </c>
      <c r="O1251">
        <v>5</v>
      </c>
      <c r="P1251" t="s">
        <v>1515</v>
      </c>
      <c r="Q1251" t="s">
        <v>129</v>
      </c>
      <c r="R1251">
        <v>2</v>
      </c>
      <c r="S1251" t="s">
        <v>189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50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50</v>
      </c>
      <c r="AJ1251">
        <v>50</v>
      </c>
      <c r="AK1251">
        <v>50</v>
      </c>
      <c r="AL1251">
        <v>50</v>
      </c>
      <c r="AM1251">
        <v>0</v>
      </c>
      <c r="AN1251">
        <v>4.5454545454545459</v>
      </c>
      <c r="AO1251">
        <v>0</v>
      </c>
      <c r="AP1251" t="s">
        <v>172</v>
      </c>
      <c r="AQ1251" t="s">
        <v>155</v>
      </c>
      <c r="AR1251" t="s">
        <v>229</v>
      </c>
      <c r="AS1251">
        <v>0</v>
      </c>
      <c r="AT1251">
        <v>0</v>
      </c>
      <c r="AU1251">
        <v>0</v>
      </c>
      <c r="AV1251">
        <v>0</v>
      </c>
      <c r="AW1251">
        <v>0</v>
      </c>
      <c r="AX1251">
        <v>0</v>
      </c>
      <c r="AY1251">
        <v>0</v>
      </c>
      <c r="AZ1251" t="s">
        <v>147</v>
      </c>
      <c r="BA1251">
        <v>0</v>
      </c>
      <c r="BB1251">
        <v>0</v>
      </c>
      <c r="BC1251" t="s">
        <v>133</v>
      </c>
      <c r="BD1251">
        <v>4</v>
      </c>
      <c r="BE1251" t="s">
        <v>133</v>
      </c>
      <c r="BF125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52" spans="1:58" x14ac:dyDescent="0.25">
      <c r="A1252" t="s">
        <v>1530</v>
      </c>
      <c r="B1252" t="s">
        <v>19</v>
      </c>
      <c r="C1252">
        <v>3</v>
      </c>
      <c r="D1252">
        <v>16</v>
      </c>
      <c r="E1252" t="s">
        <v>2109</v>
      </c>
      <c r="F1252" t="s">
        <v>123</v>
      </c>
      <c r="G1252" t="s">
        <v>124</v>
      </c>
      <c r="H1252" t="s">
        <v>125</v>
      </c>
      <c r="I1252" t="s">
        <v>154</v>
      </c>
      <c r="J1252" t="s">
        <v>154</v>
      </c>
      <c r="K1252" t="s">
        <v>151</v>
      </c>
      <c r="L1252">
        <v>50</v>
      </c>
      <c r="M1252">
        <v>1704097</v>
      </c>
      <c r="N1252">
        <v>0</v>
      </c>
      <c r="O1252">
        <v>5</v>
      </c>
      <c r="P1252" t="s">
        <v>1515</v>
      </c>
      <c r="Q1252" t="s">
        <v>129</v>
      </c>
      <c r="R1252">
        <v>2</v>
      </c>
      <c r="S1252" t="s">
        <v>189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50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50</v>
      </c>
      <c r="AJ1252">
        <v>50</v>
      </c>
      <c r="AK1252">
        <v>50</v>
      </c>
      <c r="AL1252">
        <v>50</v>
      </c>
      <c r="AM1252">
        <v>0</v>
      </c>
      <c r="AN1252">
        <v>4.5454545454545459</v>
      </c>
      <c r="AO1252">
        <v>0</v>
      </c>
      <c r="AP1252" t="s">
        <v>172</v>
      </c>
      <c r="AQ1252" t="s">
        <v>155</v>
      </c>
      <c r="AR1252" t="s">
        <v>229</v>
      </c>
      <c r="AS1252">
        <v>0</v>
      </c>
      <c r="AT1252">
        <v>0</v>
      </c>
      <c r="AU1252">
        <v>0</v>
      </c>
      <c r="AV1252">
        <v>0</v>
      </c>
      <c r="AW1252">
        <v>0</v>
      </c>
      <c r="AX1252">
        <v>0</v>
      </c>
      <c r="AY1252">
        <v>0</v>
      </c>
      <c r="AZ1252" t="s">
        <v>147</v>
      </c>
      <c r="BA1252">
        <v>0</v>
      </c>
      <c r="BB1252">
        <v>0</v>
      </c>
      <c r="BC1252" t="s">
        <v>133</v>
      </c>
      <c r="BD1252">
        <v>5</v>
      </c>
      <c r="BE1252" t="s">
        <v>133</v>
      </c>
      <c r="BF125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53" spans="1:58" x14ac:dyDescent="0.25">
      <c r="A1253" t="s">
        <v>1531</v>
      </c>
      <c r="B1253" t="s">
        <v>19</v>
      </c>
      <c r="C1253">
        <v>3</v>
      </c>
      <c r="D1253">
        <v>17</v>
      </c>
      <c r="E1253" t="s">
        <v>2109</v>
      </c>
      <c r="F1253" t="s">
        <v>123</v>
      </c>
      <c r="G1253" t="s">
        <v>124</v>
      </c>
      <c r="H1253" t="s">
        <v>125</v>
      </c>
      <c r="I1253" t="s">
        <v>183</v>
      </c>
      <c r="J1253" t="s">
        <v>140</v>
      </c>
      <c r="K1253" t="s">
        <v>127</v>
      </c>
      <c r="L1253">
        <v>50</v>
      </c>
      <c r="M1253">
        <v>3295876</v>
      </c>
      <c r="N1253">
        <v>20</v>
      </c>
      <c r="O1253">
        <v>5</v>
      </c>
      <c r="P1253" t="s">
        <v>1515</v>
      </c>
      <c r="Q1253" t="s">
        <v>129</v>
      </c>
      <c r="R1253">
        <v>2</v>
      </c>
      <c r="S1253" t="s">
        <v>1532</v>
      </c>
      <c r="T1253">
        <v>22</v>
      </c>
      <c r="U1253">
        <v>25</v>
      </c>
      <c r="V1253">
        <v>0</v>
      </c>
      <c r="W1253">
        <v>0</v>
      </c>
      <c r="X1253">
        <v>0</v>
      </c>
      <c r="Y1253">
        <v>0</v>
      </c>
      <c r="Z1253">
        <v>22</v>
      </c>
      <c r="AA1253">
        <v>25</v>
      </c>
      <c r="AB1253">
        <v>50</v>
      </c>
      <c r="AC1253">
        <v>49</v>
      </c>
      <c r="AD1253">
        <v>0</v>
      </c>
      <c r="AE1253">
        <v>0</v>
      </c>
      <c r="AF1253">
        <v>49</v>
      </c>
      <c r="AG1253">
        <v>0</v>
      </c>
      <c r="AH1253">
        <v>1</v>
      </c>
      <c r="AI1253">
        <v>1</v>
      </c>
      <c r="AJ1253">
        <v>1</v>
      </c>
      <c r="AK1253">
        <v>1</v>
      </c>
      <c r="AL1253">
        <v>0</v>
      </c>
      <c r="AM1253">
        <v>0.4</v>
      </c>
      <c r="AN1253">
        <v>9.0909090909090912E-2</v>
      </c>
      <c r="AO1253">
        <v>0</v>
      </c>
      <c r="AP1253" t="s">
        <v>188</v>
      </c>
      <c r="AQ1253" t="s">
        <v>131</v>
      </c>
      <c r="AR1253" t="s">
        <v>229</v>
      </c>
      <c r="AS1253">
        <v>0</v>
      </c>
      <c r="AT1253">
        <v>0</v>
      </c>
      <c r="AU1253">
        <v>0</v>
      </c>
      <c r="AV1253">
        <v>0</v>
      </c>
      <c r="AW1253">
        <v>0</v>
      </c>
      <c r="AX1253">
        <v>0</v>
      </c>
      <c r="AY1253">
        <v>0</v>
      </c>
      <c r="AZ1253" t="s">
        <v>147</v>
      </c>
      <c r="BA1253">
        <v>20</v>
      </c>
      <c r="BB1253">
        <v>0</v>
      </c>
      <c r="BC1253" t="s">
        <v>133</v>
      </c>
      <c r="BD1253">
        <v>0</v>
      </c>
      <c r="BE1253" t="s">
        <v>133</v>
      </c>
      <c r="BF125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54" spans="1:58" x14ac:dyDescent="0.25">
      <c r="A1254" t="s">
        <v>1533</v>
      </c>
      <c r="B1254" t="s">
        <v>19</v>
      </c>
      <c r="C1254">
        <v>3</v>
      </c>
      <c r="D1254">
        <v>18</v>
      </c>
      <c r="E1254" t="s">
        <v>2109</v>
      </c>
      <c r="F1254" t="s">
        <v>123</v>
      </c>
      <c r="G1254" t="s">
        <v>124</v>
      </c>
      <c r="H1254" t="s">
        <v>125</v>
      </c>
      <c r="I1254" t="s">
        <v>183</v>
      </c>
      <c r="J1254" t="s">
        <v>140</v>
      </c>
      <c r="K1254" t="s">
        <v>127</v>
      </c>
      <c r="L1254">
        <v>50</v>
      </c>
      <c r="M1254">
        <v>3295878</v>
      </c>
      <c r="N1254">
        <v>20</v>
      </c>
      <c r="O1254">
        <v>5</v>
      </c>
      <c r="P1254" t="s">
        <v>1515</v>
      </c>
      <c r="Q1254" t="s">
        <v>129</v>
      </c>
      <c r="R1254">
        <v>2</v>
      </c>
      <c r="S1254" t="s">
        <v>1532</v>
      </c>
      <c r="T1254">
        <v>22</v>
      </c>
      <c r="U1254">
        <v>25</v>
      </c>
      <c r="V1254">
        <v>0</v>
      </c>
      <c r="W1254">
        <v>0</v>
      </c>
      <c r="X1254">
        <v>0</v>
      </c>
      <c r="Y1254">
        <v>0</v>
      </c>
      <c r="Z1254">
        <v>22</v>
      </c>
      <c r="AA1254">
        <v>25</v>
      </c>
      <c r="AB1254">
        <v>50</v>
      </c>
      <c r="AC1254">
        <v>49</v>
      </c>
      <c r="AD1254">
        <v>0</v>
      </c>
      <c r="AE1254">
        <v>0</v>
      </c>
      <c r="AF1254">
        <v>49</v>
      </c>
      <c r="AG1254">
        <v>0</v>
      </c>
      <c r="AH1254">
        <v>1</v>
      </c>
      <c r="AI1254">
        <v>1</v>
      </c>
      <c r="AJ1254">
        <v>1</v>
      </c>
      <c r="AK1254">
        <v>1</v>
      </c>
      <c r="AL1254">
        <v>0</v>
      </c>
      <c r="AM1254">
        <v>0.4</v>
      </c>
      <c r="AN1254">
        <v>9.0909090909090912E-2</v>
      </c>
      <c r="AO1254">
        <v>0</v>
      </c>
      <c r="AP1254" t="s">
        <v>188</v>
      </c>
      <c r="AQ1254" t="s">
        <v>131</v>
      </c>
      <c r="AR1254" t="s">
        <v>229</v>
      </c>
      <c r="AS1254">
        <v>0</v>
      </c>
      <c r="AT1254">
        <v>0</v>
      </c>
      <c r="AU1254">
        <v>0</v>
      </c>
      <c r="AV1254">
        <v>0</v>
      </c>
      <c r="AW1254">
        <v>0</v>
      </c>
      <c r="AX1254">
        <v>0</v>
      </c>
      <c r="AY1254">
        <v>0</v>
      </c>
      <c r="AZ1254" t="s">
        <v>147</v>
      </c>
      <c r="BA1254">
        <v>20</v>
      </c>
      <c r="BB1254">
        <v>0</v>
      </c>
      <c r="BC1254" t="s">
        <v>133</v>
      </c>
      <c r="BD1254">
        <v>0</v>
      </c>
      <c r="BE1254" t="s">
        <v>133</v>
      </c>
      <c r="BF125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55" spans="1:58" x14ac:dyDescent="0.25">
      <c r="A1255" t="s">
        <v>1534</v>
      </c>
      <c r="B1255" t="s">
        <v>19</v>
      </c>
      <c r="C1255">
        <v>3</v>
      </c>
      <c r="D1255">
        <v>19</v>
      </c>
      <c r="E1255" t="s">
        <v>2109</v>
      </c>
      <c r="F1255" t="s">
        <v>123</v>
      </c>
      <c r="G1255" t="s">
        <v>124</v>
      </c>
      <c r="H1255" t="s">
        <v>125</v>
      </c>
      <c r="I1255" t="s">
        <v>183</v>
      </c>
      <c r="J1255" t="s">
        <v>140</v>
      </c>
      <c r="K1255" t="s">
        <v>127</v>
      </c>
      <c r="L1255">
        <v>50</v>
      </c>
      <c r="M1255">
        <v>3295880</v>
      </c>
      <c r="N1255">
        <v>20</v>
      </c>
      <c r="O1255">
        <v>5</v>
      </c>
      <c r="P1255" t="s">
        <v>1515</v>
      </c>
      <c r="Q1255" t="s">
        <v>129</v>
      </c>
      <c r="R1255">
        <v>2</v>
      </c>
      <c r="S1255" t="s">
        <v>1532</v>
      </c>
      <c r="T1255">
        <v>22</v>
      </c>
      <c r="U1255">
        <v>25</v>
      </c>
      <c r="V1255">
        <v>0</v>
      </c>
      <c r="W1255">
        <v>0</v>
      </c>
      <c r="X1255">
        <v>0</v>
      </c>
      <c r="Y1255">
        <v>0</v>
      </c>
      <c r="Z1255">
        <v>22</v>
      </c>
      <c r="AA1255">
        <v>25</v>
      </c>
      <c r="AB1255">
        <v>50</v>
      </c>
      <c r="AC1255">
        <v>49</v>
      </c>
      <c r="AD1255">
        <v>0</v>
      </c>
      <c r="AE1255">
        <v>0</v>
      </c>
      <c r="AF1255">
        <v>49</v>
      </c>
      <c r="AG1255">
        <v>0</v>
      </c>
      <c r="AH1255">
        <v>1</v>
      </c>
      <c r="AI1255">
        <v>1</v>
      </c>
      <c r="AJ1255">
        <v>1</v>
      </c>
      <c r="AK1255">
        <v>1</v>
      </c>
      <c r="AL1255">
        <v>0</v>
      </c>
      <c r="AM1255">
        <v>0.4</v>
      </c>
      <c r="AN1255">
        <v>9.0909090909090912E-2</v>
      </c>
      <c r="AO1255">
        <v>0</v>
      </c>
      <c r="AP1255" t="s">
        <v>188</v>
      </c>
      <c r="AQ1255" t="s">
        <v>131</v>
      </c>
      <c r="AR1255" t="s">
        <v>229</v>
      </c>
      <c r="AS1255">
        <v>0</v>
      </c>
      <c r="AT1255">
        <v>0</v>
      </c>
      <c r="AU1255">
        <v>0</v>
      </c>
      <c r="AV1255">
        <v>0</v>
      </c>
      <c r="AW1255">
        <v>0</v>
      </c>
      <c r="AX1255">
        <v>0</v>
      </c>
      <c r="AY1255">
        <v>0</v>
      </c>
      <c r="AZ1255" t="s">
        <v>147</v>
      </c>
      <c r="BA1255">
        <v>20</v>
      </c>
      <c r="BB1255">
        <v>0</v>
      </c>
      <c r="BC1255" t="s">
        <v>133</v>
      </c>
      <c r="BD1255">
        <v>0</v>
      </c>
      <c r="BE1255" t="s">
        <v>133</v>
      </c>
      <c r="BF125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56" spans="1:58" x14ac:dyDescent="0.25">
      <c r="A1256" t="s">
        <v>1535</v>
      </c>
      <c r="B1256" t="s">
        <v>19</v>
      </c>
      <c r="C1256">
        <v>3</v>
      </c>
      <c r="D1256">
        <v>20</v>
      </c>
      <c r="E1256" t="s">
        <v>2109</v>
      </c>
      <c r="F1256" t="s">
        <v>123</v>
      </c>
      <c r="G1256" t="s">
        <v>124</v>
      </c>
      <c r="H1256" t="s">
        <v>125</v>
      </c>
      <c r="I1256" t="s">
        <v>183</v>
      </c>
      <c r="J1256" t="s">
        <v>140</v>
      </c>
      <c r="K1256" t="s">
        <v>127</v>
      </c>
      <c r="L1256">
        <v>50</v>
      </c>
      <c r="M1256">
        <v>3295882</v>
      </c>
      <c r="N1256">
        <v>20</v>
      </c>
      <c r="O1256">
        <v>5</v>
      </c>
      <c r="P1256" t="s">
        <v>1515</v>
      </c>
      <c r="Q1256" t="s">
        <v>129</v>
      </c>
      <c r="R1256">
        <v>2</v>
      </c>
      <c r="S1256" t="s">
        <v>1532</v>
      </c>
      <c r="T1256">
        <v>22</v>
      </c>
      <c r="U1256">
        <v>25</v>
      </c>
      <c r="V1256">
        <v>0</v>
      </c>
      <c r="W1256">
        <v>0</v>
      </c>
      <c r="X1256">
        <v>0</v>
      </c>
      <c r="Y1256">
        <v>0</v>
      </c>
      <c r="Z1256">
        <v>22</v>
      </c>
      <c r="AA1256">
        <v>25</v>
      </c>
      <c r="AB1256">
        <v>50</v>
      </c>
      <c r="AC1256">
        <v>49</v>
      </c>
      <c r="AD1256">
        <v>0</v>
      </c>
      <c r="AE1256">
        <v>0</v>
      </c>
      <c r="AF1256">
        <v>49</v>
      </c>
      <c r="AG1256">
        <v>0</v>
      </c>
      <c r="AH1256">
        <v>1</v>
      </c>
      <c r="AI1256">
        <v>1</v>
      </c>
      <c r="AJ1256">
        <v>1</v>
      </c>
      <c r="AK1256">
        <v>1</v>
      </c>
      <c r="AL1256">
        <v>0</v>
      </c>
      <c r="AM1256">
        <v>0.4</v>
      </c>
      <c r="AN1256">
        <v>9.0909090909090912E-2</v>
      </c>
      <c r="AO1256">
        <v>0</v>
      </c>
      <c r="AP1256" t="s">
        <v>188</v>
      </c>
      <c r="AQ1256" t="s">
        <v>131</v>
      </c>
      <c r="AR1256" t="s">
        <v>229</v>
      </c>
      <c r="AS1256">
        <v>0</v>
      </c>
      <c r="AT1256">
        <v>0</v>
      </c>
      <c r="AU1256">
        <v>0</v>
      </c>
      <c r="AV1256">
        <v>0</v>
      </c>
      <c r="AW1256">
        <v>0</v>
      </c>
      <c r="AX1256">
        <v>0</v>
      </c>
      <c r="AY1256">
        <v>0</v>
      </c>
      <c r="AZ1256" t="s">
        <v>147</v>
      </c>
      <c r="BA1256">
        <v>20</v>
      </c>
      <c r="BB1256">
        <v>0</v>
      </c>
      <c r="BC1256" t="s">
        <v>133</v>
      </c>
      <c r="BD1256">
        <v>0</v>
      </c>
      <c r="BE1256" t="s">
        <v>133</v>
      </c>
      <c r="BF125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57" spans="1:58" x14ac:dyDescent="0.25">
      <c r="A1257" t="s">
        <v>1536</v>
      </c>
      <c r="B1257" t="s">
        <v>19</v>
      </c>
      <c r="C1257">
        <v>3</v>
      </c>
      <c r="D1257">
        <v>21</v>
      </c>
      <c r="E1257" t="s">
        <v>2109</v>
      </c>
      <c r="F1257" t="s">
        <v>123</v>
      </c>
      <c r="G1257" t="s">
        <v>124</v>
      </c>
      <c r="H1257" t="s">
        <v>125</v>
      </c>
      <c r="I1257" t="s">
        <v>183</v>
      </c>
      <c r="J1257" t="s">
        <v>140</v>
      </c>
      <c r="K1257" t="s">
        <v>127</v>
      </c>
      <c r="L1257">
        <v>50</v>
      </c>
      <c r="M1257">
        <v>3295884</v>
      </c>
      <c r="N1257">
        <v>20</v>
      </c>
      <c r="O1257">
        <v>5</v>
      </c>
      <c r="P1257" t="s">
        <v>1515</v>
      </c>
      <c r="Q1257" t="s">
        <v>129</v>
      </c>
      <c r="R1257">
        <v>2</v>
      </c>
      <c r="S1257" t="s">
        <v>1532</v>
      </c>
      <c r="T1257">
        <v>22</v>
      </c>
      <c r="U1257">
        <v>25</v>
      </c>
      <c r="V1257">
        <v>0</v>
      </c>
      <c r="W1257">
        <v>0</v>
      </c>
      <c r="X1257">
        <v>0</v>
      </c>
      <c r="Y1257">
        <v>0</v>
      </c>
      <c r="Z1257">
        <v>22</v>
      </c>
      <c r="AA1257">
        <v>25</v>
      </c>
      <c r="AB1257">
        <v>50</v>
      </c>
      <c r="AC1257">
        <v>49</v>
      </c>
      <c r="AD1257">
        <v>0</v>
      </c>
      <c r="AE1257">
        <v>0</v>
      </c>
      <c r="AF1257">
        <v>49</v>
      </c>
      <c r="AG1257">
        <v>0</v>
      </c>
      <c r="AH1257">
        <v>1</v>
      </c>
      <c r="AI1257">
        <v>1</v>
      </c>
      <c r="AJ1257">
        <v>1</v>
      </c>
      <c r="AK1257">
        <v>1</v>
      </c>
      <c r="AL1257">
        <v>0</v>
      </c>
      <c r="AM1257">
        <v>0.4</v>
      </c>
      <c r="AN1257">
        <v>9.0909090909090912E-2</v>
      </c>
      <c r="AO1257">
        <v>0</v>
      </c>
      <c r="AP1257" t="s">
        <v>188</v>
      </c>
      <c r="AQ1257" t="s">
        <v>131</v>
      </c>
      <c r="AR1257" t="s">
        <v>229</v>
      </c>
      <c r="AS1257">
        <v>0</v>
      </c>
      <c r="AT1257">
        <v>0</v>
      </c>
      <c r="AU1257">
        <v>0</v>
      </c>
      <c r="AV1257">
        <v>0</v>
      </c>
      <c r="AW1257">
        <v>0</v>
      </c>
      <c r="AX1257">
        <v>0</v>
      </c>
      <c r="AY1257">
        <v>0</v>
      </c>
      <c r="AZ1257" t="s">
        <v>147</v>
      </c>
      <c r="BA1257">
        <v>20</v>
      </c>
      <c r="BB1257">
        <v>0</v>
      </c>
      <c r="BC1257" t="s">
        <v>133</v>
      </c>
      <c r="BD1257">
        <v>0</v>
      </c>
      <c r="BE1257" t="s">
        <v>133</v>
      </c>
      <c r="BF125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58" spans="1:58" x14ac:dyDescent="0.25">
      <c r="A1258" t="s">
        <v>1537</v>
      </c>
      <c r="B1258" t="s">
        <v>19</v>
      </c>
      <c r="C1258">
        <v>3</v>
      </c>
      <c r="D1258">
        <v>22</v>
      </c>
      <c r="E1258" t="s">
        <v>2109</v>
      </c>
      <c r="F1258" t="s">
        <v>123</v>
      </c>
      <c r="G1258" t="s">
        <v>124</v>
      </c>
      <c r="H1258" t="s">
        <v>125</v>
      </c>
      <c r="I1258" t="s">
        <v>183</v>
      </c>
      <c r="J1258" t="s">
        <v>140</v>
      </c>
      <c r="K1258" t="s">
        <v>127</v>
      </c>
      <c r="L1258">
        <v>50</v>
      </c>
      <c r="M1258">
        <v>3327242</v>
      </c>
      <c r="N1258">
        <v>20</v>
      </c>
      <c r="O1258">
        <v>5</v>
      </c>
      <c r="P1258" t="s">
        <v>1515</v>
      </c>
      <c r="Q1258" t="s">
        <v>129</v>
      </c>
      <c r="R1258">
        <v>2</v>
      </c>
      <c r="S1258" t="s">
        <v>1538</v>
      </c>
      <c r="T1258">
        <v>22</v>
      </c>
      <c r="U1258">
        <v>25</v>
      </c>
      <c r="V1258">
        <v>0</v>
      </c>
      <c r="W1258">
        <v>0</v>
      </c>
      <c r="X1258">
        <v>0</v>
      </c>
      <c r="Y1258">
        <v>0</v>
      </c>
      <c r="Z1258">
        <v>22</v>
      </c>
      <c r="AA1258">
        <v>25</v>
      </c>
      <c r="AB1258">
        <v>50</v>
      </c>
      <c r="AC1258">
        <v>49</v>
      </c>
      <c r="AD1258">
        <v>0</v>
      </c>
      <c r="AE1258">
        <v>0</v>
      </c>
      <c r="AF1258">
        <v>49</v>
      </c>
      <c r="AG1258">
        <v>0</v>
      </c>
      <c r="AH1258">
        <v>1</v>
      </c>
      <c r="AI1258">
        <v>1</v>
      </c>
      <c r="AJ1258">
        <v>1</v>
      </c>
      <c r="AK1258">
        <v>1</v>
      </c>
      <c r="AL1258">
        <v>0</v>
      </c>
      <c r="AM1258">
        <v>0.4</v>
      </c>
      <c r="AN1258">
        <v>9.0909090909090912E-2</v>
      </c>
      <c r="AO1258">
        <v>0</v>
      </c>
      <c r="AP1258" t="s">
        <v>188</v>
      </c>
      <c r="AQ1258" t="s">
        <v>131</v>
      </c>
      <c r="AR1258" t="s">
        <v>229</v>
      </c>
      <c r="AS1258">
        <v>0</v>
      </c>
      <c r="AT1258">
        <v>0</v>
      </c>
      <c r="AU1258">
        <v>0</v>
      </c>
      <c r="AV1258">
        <v>0</v>
      </c>
      <c r="AW1258">
        <v>0</v>
      </c>
      <c r="AX1258">
        <v>0</v>
      </c>
      <c r="AY1258">
        <v>0</v>
      </c>
      <c r="AZ1258" t="s">
        <v>147</v>
      </c>
      <c r="BA1258">
        <v>20</v>
      </c>
      <c r="BB1258">
        <v>0</v>
      </c>
      <c r="BC1258" t="s">
        <v>144</v>
      </c>
      <c r="BD1258">
        <v>0</v>
      </c>
      <c r="BE1258" t="s">
        <v>133</v>
      </c>
      <c r="BF125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59" spans="1:58" x14ac:dyDescent="0.25">
      <c r="A1259" t="s">
        <v>1539</v>
      </c>
      <c r="B1259" t="s">
        <v>19</v>
      </c>
      <c r="C1259">
        <v>3</v>
      </c>
      <c r="D1259">
        <v>23</v>
      </c>
      <c r="E1259" t="s">
        <v>2111</v>
      </c>
      <c r="F1259" t="s">
        <v>123</v>
      </c>
      <c r="G1259" t="s">
        <v>124</v>
      </c>
      <c r="H1259" t="s">
        <v>125</v>
      </c>
      <c r="I1259" t="s">
        <v>126</v>
      </c>
      <c r="J1259" t="s">
        <v>126</v>
      </c>
      <c r="K1259" t="s">
        <v>127</v>
      </c>
      <c r="L1259">
        <v>50</v>
      </c>
      <c r="M1259">
        <v>1704111</v>
      </c>
      <c r="N1259">
        <v>6</v>
      </c>
      <c r="O1259">
        <v>5</v>
      </c>
      <c r="P1259" t="s">
        <v>1515</v>
      </c>
      <c r="Q1259" t="s">
        <v>129</v>
      </c>
      <c r="R1259">
        <v>3</v>
      </c>
      <c r="T1259">
        <v>1</v>
      </c>
      <c r="U1259">
        <v>6</v>
      </c>
      <c r="V1259">
        <v>23</v>
      </c>
      <c r="W1259">
        <v>0</v>
      </c>
      <c r="X1259">
        <v>23</v>
      </c>
      <c r="Y1259">
        <v>0</v>
      </c>
      <c r="Z1259">
        <v>24</v>
      </c>
      <c r="AA1259">
        <v>29</v>
      </c>
      <c r="AB1259">
        <v>50</v>
      </c>
      <c r="AC1259">
        <v>6</v>
      </c>
      <c r="AD1259">
        <v>36</v>
      </c>
      <c r="AE1259">
        <v>0</v>
      </c>
      <c r="AF1259">
        <v>42</v>
      </c>
      <c r="AG1259">
        <v>0</v>
      </c>
      <c r="AH1259">
        <v>44</v>
      </c>
      <c r="AI1259">
        <v>8</v>
      </c>
      <c r="AJ1259">
        <v>44</v>
      </c>
      <c r="AK1259">
        <v>44</v>
      </c>
      <c r="AL1259">
        <v>0</v>
      </c>
      <c r="AM1259">
        <v>0.12</v>
      </c>
      <c r="AN1259">
        <v>4</v>
      </c>
      <c r="AO1259">
        <v>0</v>
      </c>
      <c r="AP1259" t="s">
        <v>130</v>
      </c>
      <c r="AQ1259" t="s">
        <v>131</v>
      </c>
      <c r="AR1259" t="s">
        <v>1184</v>
      </c>
      <c r="AS1259">
        <v>1006</v>
      </c>
      <c r="AT1259">
        <v>943</v>
      </c>
      <c r="AU1259">
        <v>0</v>
      </c>
      <c r="AV1259">
        <v>0</v>
      </c>
      <c r="AW1259">
        <v>1.9490000000000001</v>
      </c>
      <c r="AX1259">
        <v>0.32483333333333336</v>
      </c>
      <c r="AY1259">
        <v>13.643000000000001</v>
      </c>
      <c r="AZ1259" t="s">
        <v>135</v>
      </c>
      <c r="BA1259">
        <v>-7.6430000000000007</v>
      </c>
      <c r="BB1259">
        <v>-23.528989225243716</v>
      </c>
      <c r="BC1259" t="s">
        <v>132</v>
      </c>
      <c r="BD1259">
        <v>0</v>
      </c>
      <c r="BE1259" t="s">
        <v>133</v>
      </c>
      <c r="BF125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1.9490000000000001</v>
      </c>
    </row>
    <row r="1260" spans="1:58" x14ac:dyDescent="0.25">
      <c r="A1260" t="s">
        <v>1540</v>
      </c>
      <c r="B1260" t="s">
        <v>19</v>
      </c>
      <c r="C1260">
        <v>3</v>
      </c>
      <c r="D1260">
        <v>24</v>
      </c>
      <c r="E1260" t="s">
        <v>2111</v>
      </c>
      <c r="F1260" t="s">
        <v>123</v>
      </c>
      <c r="G1260" t="s">
        <v>124</v>
      </c>
      <c r="H1260" t="s">
        <v>125</v>
      </c>
      <c r="I1260" t="s">
        <v>126</v>
      </c>
      <c r="J1260" t="s">
        <v>126</v>
      </c>
      <c r="K1260" t="s">
        <v>127</v>
      </c>
      <c r="L1260">
        <v>50</v>
      </c>
      <c r="M1260">
        <v>1704113</v>
      </c>
      <c r="N1260">
        <v>6</v>
      </c>
      <c r="O1260">
        <v>5</v>
      </c>
      <c r="P1260" t="s">
        <v>1515</v>
      </c>
      <c r="Q1260" t="s">
        <v>129</v>
      </c>
      <c r="R1260">
        <v>3</v>
      </c>
      <c r="T1260">
        <v>0</v>
      </c>
      <c r="U1260">
        <v>5</v>
      </c>
      <c r="V1260">
        <v>36</v>
      </c>
      <c r="W1260">
        <v>0</v>
      </c>
      <c r="X1260">
        <v>36</v>
      </c>
      <c r="Y1260">
        <v>0</v>
      </c>
      <c r="Z1260">
        <v>36</v>
      </c>
      <c r="AA1260">
        <v>41</v>
      </c>
      <c r="AB1260">
        <v>50</v>
      </c>
      <c r="AC1260">
        <v>5</v>
      </c>
      <c r="AD1260">
        <v>36</v>
      </c>
      <c r="AE1260">
        <v>0</v>
      </c>
      <c r="AF1260">
        <v>41</v>
      </c>
      <c r="AG1260">
        <v>0</v>
      </c>
      <c r="AH1260">
        <v>45</v>
      </c>
      <c r="AI1260">
        <v>9</v>
      </c>
      <c r="AJ1260">
        <v>45</v>
      </c>
      <c r="AK1260">
        <v>45</v>
      </c>
      <c r="AL1260">
        <v>0</v>
      </c>
      <c r="AM1260">
        <v>0.12</v>
      </c>
      <c r="AN1260">
        <v>4.0909090909090908</v>
      </c>
      <c r="AO1260">
        <v>0</v>
      </c>
      <c r="AP1260" t="s">
        <v>130</v>
      </c>
      <c r="AQ1260" t="s">
        <v>131</v>
      </c>
      <c r="AR1260" t="s">
        <v>1184</v>
      </c>
      <c r="AS1260">
        <v>1326</v>
      </c>
      <c r="AT1260">
        <v>1481</v>
      </c>
      <c r="AU1260">
        <v>0</v>
      </c>
      <c r="AV1260">
        <v>0</v>
      </c>
      <c r="AW1260">
        <v>2.8069999999999999</v>
      </c>
      <c r="AX1260">
        <v>0.56140000000000001</v>
      </c>
      <c r="AY1260">
        <v>23.017400000000002</v>
      </c>
      <c r="AZ1260" t="s">
        <v>135</v>
      </c>
      <c r="BA1260">
        <v>-17.017400000000002</v>
      </c>
      <c r="BB1260">
        <v>-30.312433202707521</v>
      </c>
      <c r="BC1260" t="s">
        <v>133</v>
      </c>
      <c r="BD1260">
        <v>1</v>
      </c>
      <c r="BE1260" t="s">
        <v>133</v>
      </c>
      <c r="BF126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2.8069999999999999</v>
      </c>
    </row>
    <row r="1261" spans="1:58" x14ac:dyDescent="0.25">
      <c r="A1261" t="s">
        <v>1541</v>
      </c>
      <c r="B1261" t="s">
        <v>19</v>
      </c>
      <c r="C1261">
        <v>3</v>
      </c>
      <c r="D1261">
        <v>25</v>
      </c>
      <c r="E1261" t="s">
        <v>2111</v>
      </c>
      <c r="F1261" t="s">
        <v>123</v>
      </c>
      <c r="G1261" t="s">
        <v>124</v>
      </c>
      <c r="H1261" t="s">
        <v>125</v>
      </c>
      <c r="I1261" t="s">
        <v>126</v>
      </c>
      <c r="J1261" t="s">
        <v>126</v>
      </c>
      <c r="K1261" t="s">
        <v>127</v>
      </c>
      <c r="L1261">
        <v>50</v>
      </c>
      <c r="M1261">
        <v>1704115</v>
      </c>
      <c r="N1261">
        <v>6</v>
      </c>
      <c r="O1261">
        <v>5</v>
      </c>
      <c r="P1261" t="s">
        <v>1515</v>
      </c>
      <c r="Q1261" t="s">
        <v>129</v>
      </c>
      <c r="R1261">
        <v>3</v>
      </c>
      <c r="T1261">
        <v>0</v>
      </c>
      <c r="U1261">
        <v>5</v>
      </c>
      <c r="V1261">
        <v>0</v>
      </c>
      <c r="W1261">
        <v>0</v>
      </c>
      <c r="X1261">
        <v>0</v>
      </c>
      <c r="Y1261">
        <v>5</v>
      </c>
      <c r="Z1261">
        <v>5</v>
      </c>
      <c r="AA1261">
        <v>10</v>
      </c>
      <c r="AB1261">
        <v>50</v>
      </c>
      <c r="AC1261">
        <v>5</v>
      </c>
      <c r="AD1261">
        <v>0</v>
      </c>
      <c r="AE1261">
        <v>20</v>
      </c>
      <c r="AF1261">
        <v>25</v>
      </c>
      <c r="AG1261">
        <v>0</v>
      </c>
      <c r="AH1261">
        <v>45</v>
      </c>
      <c r="AI1261">
        <v>25</v>
      </c>
      <c r="AJ1261">
        <v>25</v>
      </c>
      <c r="AK1261">
        <v>45</v>
      </c>
      <c r="AL1261">
        <v>0</v>
      </c>
      <c r="AM1261">
        <v>0.12</v>
      </c>
      <c r="AN1261">
        <v>2.2727272727272729</v>
      </c>
      <c r="AO1261">
        <v>0</v>
      </c>
      <c r="AP1261" t="s">
        <v>130</v>
      </c>
      <c r="AQ1261" t="s">
        <v>131</v>
      </c>
      <c r="AR1261" t="s">
        <v>1184</v>
      </c>
      <c r="AS1261">
        <v>272</v>
      </c>
      <c r="AT1261">
        <v>267</v>
      </c>
      <c r="AU1261">
        <v>0</v>
      </c>
      <c r="AV1261">
        <v>0</v>
      </c>
      <c r="AW1261">
        <v>0.53900000000000003</v>
      </c>
      <c r="AX1261">
        <v>0.10780000000000001</v>
      </c>
      <c r="AY1261">
        <v>2.6950000000000003</v>
      </c>
      <c r="AZ1261" t="s">
        <v>135</v>
      </c>
      <c r="BA1261">
        <v>3.3049999999999997</v>
      </c>
      <c r="BB1261">
        <v>30.658627087198511</v>
      </c>
      <c r="BC1261" t="s">
        <v>133</v>
      </c>
      <c r="BD1261">
        <v>2</v>
      </c>
      <c r="BE1261" t="s">
        <v>133</v>
      </c>
      <c r="BF126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0.53900000000000003</v>
      </c>
    </row>
    <row r="1262" spans="1:58" x14ac:dyDescent="0.25">
      <c r="A1262" t="s">
        <v>1542</v>
      </c>
      <c r="B1262" t="s">
        <v>19</v>
      </c>
      <c r="C1262">
        <v>3</v>
      </c>
      <c r="D1262">
        <v>26</v>
      </c>
      <c r="E1262" t="s">
        <v>2111</v>
      </c>
      <c r="F1262" t="s">
        <v>123</v>
      </c>
      <c r="G1262" t="s">
        <v>124</v>
      </c>
      <c r="H1262" t="s">
        <v>125</v>
      </c>
      <c r="I1262" t="s">
        <v>126</v>
      </c>
      <c r="J1262" t="s">
        <v>126</v>
      </c>
      <c r="K1262" t="s">
        <v>127</v>
      </c>
      <c r="L1262">
        <v>50</v>
      </c>
      <c r="M1262">
        <v>1704117</v>
      </c>
      <c r="N1262">
        <v>6</v>
      </c>
      <c r="O1262">
        <v>5</v>
      </c>
      <c r="P1262" t="s">
        <v>1515</v>
      </c>
      <c r="Q1262" t="s">
        <v>129</v>
      </c>
      <c r="R1262">
        <v>3</v>
      </c>
      <c r="T1262">
        <v>0</v>
      </c>
      <c r="U1262">
        <v>5</v>
      </c>
      <c r="V1262">
        <v>0</v>
      </c>
      <c r="W1262">
        <v>0</v>
      </c>
      <c r="X1262">
        <v>0</v>
      </c>
      <c r="Y1262">
        <v>5</v>
      </c>
      <c r="Z1262">
        <v>5</v>
      </c>
      <c r="AA1262">
        <v>10</v>
      </c>
      <c r="AB1262">
        <v>50</v>
      </c>
      <c r="AC1262">
        <v>5</v>
      </c>
      <c r="AD1262">
        <v>0</v>
      </c>
      <c r="AE1262">
        <v>20</v>
      </c>
      <c r="AF1262">
        <v>25</v>
      </c>
      <c r="AG1262">
        <v>0</v>
      </c>
      <c r="AH1262">
        <v>45</v>
      </c>
      <c r="AI1262">
        <v>25</v>
      </c>
      <c r="AJ1262">
        <v>25</v>
      </c>
      <c r="AK1262">
        <v>45</v>
      </c>
      <c r="AL1262">
        <v>0</v>
      </c>
      <c r="AM1262">
        <v>0.12</v>
      </c>
      <c r="AN1262">
        <v>2.2727272727272729</v>
      </c>
      <c r="AO1262">
        <v>0</v>
      </c>
      <c r="AP1262" t="s">
        <v>130</v>
      </c>
      <c r="AQ1262" t="s">
        <v>131</v>
      </c>
      <c r="AR1262" t="s">
        <v>1184</v>
      </c>
      <c r="AS1262">
        <v>261</v>
      </c>
      <c r="AT1262">
        <v>286</v>
      </c>
      <c r="AU1262">
        <v>0</v>
      </c>
      <c r="AV1262">
        <v>0</v>
      </c>
      <c r="AW1262">
        <v>0.54700000000000004</v>
      </c>
      <c r="AX1262">
        <v>0.10940000000000001</v>
      </c>
      <c r="AY1262">
        <v>2.7350000000000003</v>
      </c>
      <c r="AZ1262" t="s">
        <v>135</v>
      </c>
      <c r="BA1262">
        <v>3.2649999999999997</v>
      </c>
      <c r="BB1262">
        <v>29.844606946983539</v>
      </c>
      <c r="BC1262" t="s">
        <v>133</v>
      </c>
      <c r="BD1262">
        <v>3</v>
      </c>
      <c r="BE1262" t="s">
        <v>133</v>
      </c>
      <c r="BF126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0.54700000000000004</v>
      </c>
    </row>
    <row r="1263" spans="1:58" x14ac:dyDescent="0.25">
      <c r="A1263" t="s">
        <v>1543</v>
      </c>
      <c r="B1263" t="s">
        <v>19</v>
      </c>
      <c r="C1263">
        <v>3</v>
      </c>
      <c r="D1263">
        <v>27</v>
      </c>
      <c r="E1263" t="s">
        <v>2111</v>
      </c>
      <c r="F1263" t="s">
        <v>123</v>
      </c>
      <c r="G1263" t="s">
        <v>124</v>
      </c>
      <c r="H1263" t="s">
        <v>125</v>
      </c>
      <c r="I1263" t="s">
        <v>126</v>
      </c>
      <c r="J1263" t="s">
        <v>126</v>
      </c>
      <c r="K1263" t="s">
        <v>127</v>
      </c>
      <c r="L1263">
        <v>50</v>
      </c>
      <c r="M1263">
        <v>1704119</v>
      </c>
      <c r="N1263">
        <v>6</v>
      </c>
      <c r="O1263">
        <v>5</v>
      </c>
      <c r="P1263" t="s">
        <v>1515</v>
      </c>
      <c r="Q1263" t="s">
        <v>129</v>
      </c>
      <c r="R1263">
        <v>3</v>
      </c>
      <c r="T1263">
        <v>0</v>
      </c>
      <c r="U1263">
        <v>5</v>
      </c>
      <c r="V1263">
        <v>0</v>
      </c>
      <c r="W1263">
        <v>0</v>
      </c>
      <c r="X1263">
        <v>0</v>
      </c>
      <c r="Y1263">
        <v>5</v>
      </c>
      <c r="Z1263">
        <v>5</v>
      </c>
      <c r="AA1263">
        <v>10</v>
      </c>
      <c r="AB1263">
        <v>50</v>
      </c>
      <c r="AC1263">
        <v>5</v>
      </c>
      <c r="AD1263">
        <v>0</v>
      </c>
      <c r="AE1263">
        <v>20</v>
      </c>
      <c r="AF1263">
        <v>25</v>
      </c>
      <c r="AG1263">
        <v>0</v>
      </c>
      <c r="AH1263">
        <v>45</v>
      </c>
      <c r="AI1263">
        <v>25</v>
      </c>
      <c r="AJ1263">
        <v>25</v>
      </c>
      <c r="AK1263">
        <v>45</v>
      </c>
      <c r="AL1263">
        <v>0</v>
      </c>
      <c r="AM1263">
        <v>0.12</v>
      </c>
      <c r="AN1263">
        <v>2.2727272727272729</v>
      </c>
      <c r="AO1263">
        <v>0</v>
      </c>
      <c r="AP1263" t="s">
        <v>130</v>
      </c>
      <c r="AQ1263" t="s">
        <v>131</v>
      </c>
      <c r="AR1263" t="s">
        <v>1184</v>
      </c>
      <c r="AS1263">
        <v>277</v>
      </c>
      <c r="AT1263">
        <v>267</v>
      </c>
      <c r="AU1263">
        <v>0</v>
      </c>
      <c r="AV1263">
        <v>0</v>
      </c>
      <c r="AW1263">
        <v>0.54400000000000004</v>
      </c>
      <c r="AX1263">
        <v>0.10880000000000001</v>
      </c>
      <c r="AY1263">
        <v>2.72</v>
      </c>
      <c r="AZ1263" t="s">
        <v>135</v>
      </c>
      <c r="BA1263">
        <v>3.28</v>
      </c>
      <c r="BB1263">
        <v>30.147058823529409</v>
      </c>
      <c r="BC1263" t="s">
        <v>133</v>
      </c>
      <c r="BD1263">
        <v>4</v>
      </c>
      <c r="BE1263" t="s">
        <v>133</v>
      </c>
      <c r="BF126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0.54400000000000004</v>
      </c>
    </row>
    <row r="1264" spans="1:58" x14ac:dyDescent="0.25">
      <c r="A1264" t="s">
        <v>1544</v>
      </c>
      <c r="B1264" t="s">
        <v>19</v>
      </c>
      <c r="C1264">
        <v>3</v>
      </c>
      <c r="D1264">
        <v>28</v>
      </c>
      <c r="E1264" t="s">
        <v>2111</v>
      </c>
      <c r="F1264" t="s">
        <v>123</v>
      </c>
      <c r="G1264" t="s">
        <v>124</v>
      </c>
      <c r="H1264" t="s">
        <v>136</v>
      </c>
      <c r="I1264" t="s">
        <v>137</v>
      </c>
      <c r="J1264" t="s">
        <v>138</v>
      </c>
      <c r="K1264" t="s">
        <v>127</v>
      </c>
      <c r="L1264">
        <v>50</v>
      </c>
      <c r="M1264">
        <v>1704121</v>
      </c>
      <c r="N1264">
        <v>5</v>
      </c>
      <c r="O1264">
        <v>5</v>
      </c>
      <c r="P1264" t="s">
        <v>1515</v>
      </c>
      <c r="Q1264" t="s">
        <v>129</v>
      </c>
      <c r="R1264">
        <v>3</v>
      </c>
      <c r="T1264">
        <v>0</v>
      </c>
      <c r="U1264">
        <v>4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4</v>
      </c>
      <c r="AB1264">
        <v>50</v>
      </c>
      <c r="AC1264">
        <v>4</v>
      </c>
      <c r="AD1264">
        <v>0</v>
      </c>
      <c r="AE1264">
        <v>0</v>
      </c>
      <c r="AF1264">
        <v>4</v>
      </c>
      <c r="AG1264">
        <v>0</v>
      </c>
      <c r="AH1264">
        <v>46</v>
      </c>
      <c r="AI1264">
        <v>46</v>
      </c>
      <c r="AJ1264">
        <v>46</v>
      </c>
      <c r="AK1264">
        <v>46</v>
      </c>
      <c r="AL1264">
        <v>0</v>
      </c>
      <c r="AM1264">
        <v>0.1</v>
      </c>
      <c r="AN1264">
        <v>4.1818181818181817</v>
      </c>
      <c r="AO1264">
        <v>0</v>
      </c>
      <c r="AP1264" t="s">
        <v>139</v>
      </c>
      <c r="AQ1264" t="s">
        <v>131</v>
      </c>
      <c r="AR1264" t="s">
        <v>1184</v>
      </c>
      <c r="AS1264">
        <v>0</v>
      </c>
      <c r="AT1264">
        <v>0</v>
      </c>
      <c r="AU1264">
        <v>0</v>
      </c>
      <c r="AV1264">
        <v>0</v>
      </c>
      <c r="AW1264">
        <v>0</v>
      </c>
      <c r="AX1264">
        <v>0</v>
      </c>
      <c r="AY1264">
        <v>0</v>
      </c>
      <c r="AZ1264" t="s">
        <v>134</v>
      </c>
      <c r="BA1264">
        <v>5</v>
      </c>
      <c r="BB1264">
        <v>0</v>
      </c>
      <c r="BC1264" t="s">
        <v>133</v>
      </c>
      <c r="BD1264">
        <v>0</v>
      </c>
      <c r="BE1264" t="s">
        <v>133</v>
      </c>
      <c r="BF126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65" spans="1:58" x14ac:dyDescent="0.25">
      <c r="A1265" t="s">
        <v>1545</v>
      </c>
      <c r="B1265" t="s">
        <v>19</v>
      </c>
      <c r="C1265">
        <v>3</v>
      </c>
      <c r="D1265">
        <v>29</v>
      </c>
      <c r="E1265" t="s">
        <v>2111</v>
      </c>
      <c r="F1265" t="s">
        <v>123</v>
      </c>
      <c r="G1265" t="s">
        <v>124</v>
      </c>
      <c r="H1265" t="s">
        <v>125</v>
      </c>
      <c r="I1265" t="s">
        <v>126</v>
      </c>
      <c r="J1265" t="s">
        <v>126</v>
      </c>
      <c r="K1265" t="s">
        <v>127</v>
      </c>
      <c r="L1265">
        <v>50</v>
      </c>
      <c r="M1265">
        <v>1704123</v>
      </c>
      <c r="N1265">
        <v>6</v>
      </c>
      <c r="O1265">
        <v>5</v>
      </c>
      <c r="P1265" t="s">
        <v>1515</v>
      </c>
      <c r="Q1265" t="s">
        <v>129</v>
      </c>
      <c r="R1265">
        <v>3</v>
      </c>
      <c r="T1265">
        <v>0</v>
      </c>
      <c r="U1265">
        <v>5</v>
      </c>
      <c r="V1265">
        <v>0</v>
      </c>
      <c r="W1265">
        <v>0</v>
      </c>
      <c r="X1265">
        <v>0</v>
      </c>
      <c r="Y1265">
        <v>5</v>
      </c>
      <c r="Z1265">
        <v>5</v>
      </c>
      <c r="AA1265">
        <v>10</v>
      </c>
      <c r="AB1265">
        <v>50</v>
      </c>
      <c r="AC1265">
        <v>5</v>
      </c>
      <c r="AD1265">
        <v>0</v>
      </c>
      <c r="AE1265">
        <v>20</v>
      </c>
      <c r="AF1265">
        <v>25</v>
      </c>
      <c r="AG1265">
        <v>0</v>
      </c>
      <c r="AH1265">
        <v>45</v>
      </c>
      <c r="AI1265">
        <v>25</v>
      </c>
      <c r="AJ1265">
        <v>25</v>
      </c>
      <c r="AK1265">
        <v>45</v>
      </c>
      <c r="AL1265">
        <v>0</v>
      </c>
      <c r="AM1265">
        <v>0.12</v>
      </c>
      <c r="AN1265">
        <v>2.2727272727272729</v>
      </c>
      <c r="AO1265">
        <v>0</v>
      </c>
      <c r="AP1265" t="s">
        <v>130</v>
      </c>
      <c r="AQ1265" t="s">
        <v>131</v>
      </c>
      <c r="AR1265" t="s">
        <v>1184</v>
      </c>
      <c r="AS1265">
        <v>313</v>
      </c>
      <c r="AT1265">
        <v>233</v>
      </c>
      <c r="AU1265">
        <v>0</v>
      </c>
      <c r="AV1265">
        <v>0</v>
      </c>
      <c r="AW1265">
        <v>0.54600000000000004</v>
      </c>
      <c r="AX1265">
        <v>0.10920000000000001</v>
      </c>
      <c r="AY1265">
        <v>2.73</v>
      </c>
      <c r="AZ1265" t="s">
        <v>135</v>
      </c>
      <c r="BA1265">
        <v>3.27</v>
      </c>
      <c r="BB1265">
        <v>29.945054945054945</v>
      </c>
      <c r="BC1265" t="s">
        <v>133</v>
      </c>
      <c r="BD1265">
        <v>1</v>
      </c>
      <c r="BE1265" t="s">
        <v>133</v>
      </c>
      <c r="BF126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0.54600000000000004</v>
      </c>
    </row>
    <row r="1266" spans="1:58" x14ac:dyDescent="0.25">
      <c r="A1266" t="s">
        <v>1546</v>
      </c>
      <c r="B1266" t="s">
        <v>19</v>
      </c>
      <c r="C1266">
        <v>3</v>
      </c>
      <c r="D1266">
        <v>30</v>
      </c>
      <c r="E1266" t="s">
        <v>2111</v>
      </c>
      <c r="F1266" t="s">
        <v>123</v>
      </c>
      <c r="G1266" t="s">
        <v>124</v>
      </c>
      <c r="H1266" t="s">
        <v>125</v>
      </c>
      <c r="I1266" t="s">
        <v>126</v>
      </c>
      <c r="J1266" t="s">
        <v>126</v>
      </c>
      <c r="K1266" t="s">
        <v>127</v>
      </c>
      <c r="L1266">
        <v>50</v>
      </c>
      <c r="M1266">
        <v>1704125</v>
      </c>
      <c r="N1266">
        <v>6</v>
      </c>
      <c r="O1266">
        <v>5</v>
      </c>
      <c r="P1266" t="s">
        <v>1515</v>
      </c>
      <c r="Q1266" t="s">
        <v>129</v>
      </c>
      <c r="R1266">
        <v>3</v>
      </c>
      <c r="T1266">
        <v>0</v>
      </c>
      <c r="U1266">
        <v>5</v>
      </c>
      <c r="V1266">
        <v>0</v>
      </c>
      <c r="W1266">
        <v>0</v>
      </c>
      <c r="X1266">
        <v>0</v>
      </c>
      <c r="Y1266">
        <v>5</v>
      </c>
      <c r="Z1266">
        <v>5</v>
      </c>
      <c r="AA1266">
        <v>10</v>
      </c>
      <c r="AB1266">
        <v>50</v>
      </c>
      <c r="AC1266">
        <v>5</v>
      </c>
      <c r="AD1266">
        <v>0</v>
      </c>
      <c r="AE1266">
        <v>20</v>
      </c>
      <c r="AF1266">
        <v>25</v>
      </c>
      <c r="AG1266">
        <v>0</v>
      </c>
      <c r="AH1266">
        <v>45</v>
      </c>
      <c r="AI1266">
        <v>25</v>
      </c>
      <c r="AJ1266">
        <v>25</v>
      </c>
      <c r="AK1266">
        <v>45</v>
      </c>
      <c r="AL1266">
        <v>0</v>
      </c>
      <c r="AM1266">
        <v>0.12</v>
      </c>
      <c r="AN1266">
        <v>2.2727272727272729</v>
      </c>
      <c r="AO1266">
        <v>0</v>
      </c>
      <c r="AP1266" t="s">
        <v>130</v>
      </c>
      <c r="AQ1266" t="s">
        <v>131</v>
      </c>
      <c r="AR1266" t="s">
        <v>1184</v>
      </c>
      <c r="AS1266">
        <v>294</v>
      </c>
      <c r="AT1266">
        <v>282</v>
      </c>
      <c r="AU1266">
        <v>0</v>
      </c>
      <c r="AV1266">
        <v>0</v>
      </c>
      <c r="AW1266">
        <v>0.57599999999999996</v>
      </c>
      <c r="AX1266">
        <v>0.1152</v>
      </c>
      <c r="AY1266">
        <v>2.88</v>
      </c>
      <c r="AZ1266" t="s">
        <v>135</v>
      </c>
      <c r="BA1266">
        <v>3.12</v>
      </c>
      <c r="BB1266">
        <v>27.083333333333336</v>
      </c>
      <c r="BC1266" t="s">
        <v>133</v>
      </c>
      <c r="BD1266">
        <v>2</v>
      </c>
      <c r="BE1266" t="s">
        <v>133</v>
      </c>
      <c r="BF126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0.57599999999999996</v>
      </c>
    </row>
    <row r="1267" spans="1:58" x14ac:dyDescent="0.25">
      <c r="A1267" t="s">
        <v>1547</v>
      </c>
      <c r="B1267" t="s">
        <v>19</v>
      </c>
      <c r="C1267">
        <v>3</v>
      </c>
      <c r="D1267">
        <v>31</v>
      </c>
      <c r="E1267" t="s">
        <v>2111</v>
      </c>
      <c r="F1267" t="s">
        <v>123</v>
      </c>
      <c r="G1267" t="s">
        <v>124</v>
      </c>
      <c r="H1267" t="s">
        <v>125</v>
      </c>
      <c r="I1267" t="s">
        <v>126</v>
      </c>
      <c r="J1267" t="s">
        <v>126</v>
      </c>
      <c r="K1267" t="s">
        <v>127</v>
      </c>
      <c r="L1267">
        <v>50</v>
      </c>
      <c r="M1267">
        <v>1704127</v>
      </c>
      <c r="N1267">
        <v>6</v>
      </c>
      <c r="O1267">
        <v>5</v>
      </c>
      <c r="P1267" t="s">
        <v>1515</v>
      </c>
      <c r="Q1267" t="s">
        <v>129</v>
      </c>
      <c r="R1267">
        <v>3</v>
      </c>
      <c r="T1267">
        <v>0</v>
      </c>
      <c r="U1267">
        <v>5</v>
      </c>
      <c r="V1267">
        <v>0</v>
      </c>
      <c r="W1267">
        <v>0</v>
      </c>
      <c r="X1267">
        <v>0</v>
      </c>
      <c r="Y1267">
        <v>5</v>
      </c>
      <c r="Z1267">
        <v>5</v>
      </c>
      <c r="AA1267">
        <v>10</v>
      </c>
      <c r="AB1267">
        <v>50</v>
      </c>
      <c r="AC1267">
        <v>5</v>
      </c>
      <c r="AD1267">
        <v>0</v>
      </c>
      <c r="AE1267">
        <v>20</v>
      </c>
      <c r="AF1267">
        <v>25</v>
      </c>
      <c r="AG1267">
        <v>0</v>
      </c>
      <c r="AH1267">
        <v>45</v>
      </c>
      <c r="AI1267">
        <v>25</v>
      </c>
      <c r="AJ1267">
        <v>25</v>
      </c>
      <c r="AK1267">
        <v>45</v>
      </c>
      <c r="AL1267">
        <v>0</v>
      </c>
      <c r="AM1267">
        <v>0.12</v>
      </c>
      <c r="AN1267">
        <v>2.2727272727272729</v>
      </c>
      <c r="AO1267">
        <v>0</v>
      </c>
      <c r="AP1267" t="s">
        <v>130</v>
      </c>
      <c r="AQ1267" t="s">
        <v>131</v>
      </c>
      <c r="AR1267" t="s">
        <v>1184</v>
      </c>
      <c r="AS1267">
        <v>302</v>
      </c>
      <c r="AT1267">
        <v>243</v>
      </c>
      <c r="AU1267">
        <v>0</v>
      </c>
      <c r="AV1267">
        <v>0</v>
      </c>
      <c r="AW1267">
        <v>0.54500000000000004</v>
      </c>
      <c r="AX1267">
        <v>0.10900000000000001</v>
      </c>
      <c r="AY1267">
        <v>2.7250000000000005</v>
      </c>
      <c r="AZ1267" t="s">
        <v>135</v>
      </c>
      <c r="BA1267">
        <v>3.2749999999999995</v>
      </c>
      <c r="BB1267">
        <v>30.045871559633017</v>
      </c>
      <c r="BC1267" t="s">
        <v>133</v>
      </c>
      <c r="BD1267">
        <v>3</v>
      </c>
      <c r="BE1267" t="s">
        <v>133</v>
      </c>
      <c r="BF126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0.54500000000000004</v>
      </c>
    </row>
    <row r="1268" spans="1:58" x14ac:dyDescent="0.25">
      <c r="A1268" t="s">
        <v>1548</v>
      </c>
      <c r="B1268" t="s">
        <v>19</v>
      </c>
      <c r="C1268">
        <v>3</v>
      </c>
      <c r="D1268">
        <v>32</v>
      </c>
      <c r="E1268" t="s">
        <v>2111</v>
      </c>
      <c r="F1268" t="s">
        <v>123</v>
      </c>
      <c r="G1268" t="s">
        <v>124</v>
      </c>
      <c r="H1268" t="s">
        <v>125</v>
      </c>
      <c r="I1268" t="s">
        <v>126</v>
      </c>
      <c r="J1268" t="s">
        <v>126</v>
      </c>
      <c r="K1268" t="s">
        <v>127</v>
      </c>
      <c r="L1268">
        <v>50</v>
      </c>
      <c r="M1268">
        <v>1704129</v>
      </c>
      <c r="N1268">
        <v>6</v>
      </c>
      <c r="O1268">
        <v>5</v>
      </c>
      <c r="P1268" t="s">
        <v>1515</v>
      </c>
      <c r="Q1268" t="s">
        <v>129</v>
      </c>
      <c r="R1268">
        <v>3</v>
      </c>
      <c r="T1268">
        <v>0</v>
      </c>
      <c r="U1268">
        <v>5</v>
      </c>
      <c r="V1268">
        <v>0</v>
      </c>
      <c r="W1268">
        <v>0</v>
      </c>
      <c r="X1268">
        <v>0</v>
      </c>
      <c r="Y1268">
        <v>5</v>
      </c>
      <c r="Z1268">
        <v>5</v>
      </c>
      <c r="AA1268">
        <v>10</v>
      </c>
      <c r="AB1268">
        <v>50</v>
      </c>
      <c r="AC1268">
        <v>5</v>
      </c>
      <c r="AD1268">
        <v>0</v>
      </c>
      <c r="AE1268">
        <v>20</v>
      </c>
      <c r="AF1268">
        <v>25</v>
      </c>
      <c r="AG1268">
        <v>0</v>
      </c>
      <c r="AH1268">
        <v>45</v>
      </c>
      <c r="AI1268">
        <v>25</v>
      </c>
      <c r="AJ1268">
        <v>25</v>
      </c>
      <c r="AK1268">
        <v>45</v>
      </c>
      <c r="AL1268">
        <v>0</v>
      </c>
      <c r="AM1268">
        <v>0.12</v>
      </c>
      <c r="AN1268">
        <v>2.2727272727272729</v>
      </c>
      <c r="AO1268">
        <v>0</v>
      </c>
      <c r="AP1268" t="s">
        <v>130</v>
      </c>
      <c r="AQ1268" t="s">
        <v>131</v>
      </c>
      <c r="AR1268" t="s">
        <v>1184</v>
      </c>
      <c r="AS1268">
        <v>300</v>
      </c>
      <c r="AT1268">
        <v>251</v>
      </c>
      <c r="AU1268">
        <v>0</v>
      </c>
      <c r="AV1268">
        <v>0</v>
      </c>
      <c r="AW1268">
        <v>0.55100000000000005</v>
      </c>
      <c r="AX1268">
        <v>0.11020000000000001</v>
      </c>
      <c r="AY1268">
        <v>2.7550000000000003</v>
      </c>
      <c r="AZ1268" t="s">
        <v>135</v>
      </c>
      <c r="BA1268">
        <v>3.2449999999999997</v>
      </c>
      <c r="BB1268">
        <v>29.446460980036292</v>
      </c>
      <c r="BC1268" t="s">
        <v>133</v>
      </c>
      <c r="BD1268">
        <v>4</v>
      </c>
      <c r="BE1268" t="s">
        <v>133</v>
      </c>
      <c r="BF126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0.55100000000000005</v>
      </c>
    </row>
    <row r="1269" spans="1:58" x14ac:dyDescent="0.25">
      <c r="A1269" t="s">
        <v>1549</v>
      </c>
      <c r="B1269" t="s">
        <v>19</v>
      </c>
      <c r="C1269">
        <v>3</v>
      </c>
      <c r="D1269">
        <v>33</v>
      </c>
      <c r="E1269" t="s">
        <v>2111</v>
      </c>
      <c r="F1269" t="s">
        <v>123</v>
      </c>
      <c r="G1269" t="s">
        <v>124</v>
      </c>
      <c r="H1269" t="s">
        <v>125</v>
      </c>
      <c r="I1269" t="s">
        <v>126</v>
      </c>
      <c r="J1269" t="s">
        <v>126</v>
      </c>
      <c r="K1269" t="s">
        <v>127</v>
      </c>
      <c r="L1269">
        <v>50</v>
      </c>
      <c r="M1269">
        <v>1704131</v>
      </c>
      <c r="N1269">
        <v>6</v>
      </c>
      <c r="O1269">
        <v>5</v>
      </c>
      <c r="P1269" t="s">
        <v>1515</v>
      </c>
      <c r="Q1269" t="s">
        <v>129</v>
      </c>
      <c r="R1269">
        <v>3</v>
      </c>
      <c r="T1269">
        <v>0</v>
      </c>
      <c r="U1269">
        <v>5</v>
      </c>
      <c r="V1269">
        <v>0</v>
      </c>
      <c r="W1269">
        <v>0</v>
      </c>
      <c r="X1269">
        <v>0</v>
      </c>
      <c r="Y1269">
        <v>5</v>
      </c>
      <c r="Z1269">
        <v>5</v>
      </c>
      <c r="AA1269">
        <v>10</v>
      </c>
      <c r="AB1269">
        <v>50</v>
      </c>
      <c r="AC1269">
        <v>5</v>
      </c>
      <c r="AD1269">
        <v>0</v>
      </c>
      <c r="AE1269">
        <v>20</v>
      </c>
      <c r="AF1269">
        <v>25</v>
      </c>
      <c r="AG1269">
        <v>0</v>
      </c>
      <c r="AH1269">
        <v>45</v>
      </c>
      <c r="AI1269">
        <v>25</v>
      </c>
      <c r="AJ1269">
        <v>25</v>
      </c>
      <c r="AK1269">
        <v>45</v>
      </c>
      <c r="AL1269">
        <v>0</v>
      </c>
      <c r="AM1269">
        <v>0.12</v>
      </c>
      <c r="AN1269">
        <v>2.2727272727272729</v>
      </c>
      <c r="AO1269">
        <v>0</v>
      </c>
      <c r="AP1269" t="s">
        <v>130</v>
      </c>
      <c r="AQ1269" t="s">
        <v>131</v>
      </c>
      <c r="AR1269" t="s">
        <v>1184</v>
      </c>
      <c r="AS1269">
        <v>276</v>
      </c>
      <c r="AT1269">
        <v>285</v>
      </c>
      <c r="AU1269">
        <v>0</v>
      </c>
      <c r="AV1269">
        <v>0</v>
      </c>
      <c r="AW1269">
        <v>0.56100000000000005</v>
      </c>
      <c r="AX1269">
        <v>0.11220000000000001</v>
      </c>
      <c r="AY1269">
        <v>2.8050000000000002</v>
      </c>
      <c r="AZ1269" t="s">
        <v>135</v>
      </c>
      <c r="BA1269">
        <v>3.1949999999999998</v>
      </c>
      <c r="BB1269">
        <v>28.475935828877002</v>
      </c>
      <c r="BC1269" t="s">
        <v>144</v>
      </c>
      <c r="BD1269">
        <v>5</v>
      </c>
      <c r="BE1269" t="s">
        <v>133</v>
      </c>
      <c r="BF126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0.56100000000000005</v>
      </c>
    </row>
    <row r="1270" spans="1:58" x14ac:dyDescent="0.25">
      <c r="A1270" t="s">
        <v>1550</v>
      </c>
      <c r="B1270" t="s">
        <v>19</v>
      </c>
      <c r="C1270">
        <v>3</v>
      </c>
      <c r="D1270">
        <v>34</v>
      </c>
      <c r="E1270" t="s">
        <v>2111</v>
      </c>
      <c r="F1270" t="s">
        <v>123</v>
      </c>
      <c r="G1270" t="s">
        <v>124</v>
      </c>
      <c r="H1270" t="s">
        <v>125</v>
      </c>
      <c r="I1270" t="s">
        <v>148</v>
      </c>
      <c r="J1270" t="s">
        <v>157</v>
      </c>
      <c r="K1270" t="s">
        <v>127</v>
      </c>
      <c r="L1270">
        <v>50</v>
      </c>
      <c r="M1270">
        <v>1704133</v>
      </c>
      <c r="N1270">
        <v>6</v>
      </c>
      <c r="O1270">
        <v>5</v>
      </c>
      <c r="P1270" t="s">
        <v>1515</v>
      </c>
      <c r="Q1270" t="s">
        <v>129</v>
      </c>
      <c r="R1270">
        <v>4</v>
      </c>
      <c r="S1270" t="s">
        <v>1551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50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50</v>
      </c>
      <c r="AI1270">
        <v>50</v>
      </c>
      <c r="AJ1270">
        <v>50</v>
      </c>
      <c r="AK1270">
        <v>50</v>
      </c>
      <c r="AL1270">
        <v>0</v>
      </c>
      <c r="AM1270">
        <v>0.12</v>
      </c>
      <c r="AN1270">
        <v>4.5454545454545459</v>
      </c>
      <c r="AO1270">
        <v>0</v>
      </c>
      <c r="AP1270" t="s">
        <v>150</v>
      </c>
      <c r="AQ1270" t="s">
        <v>155</v>
      </c>
      <c r="AR1270" t="s">
        <v>1184</v>
      </c>
      <c r="AS1270">
        <v>0</v>
      </c>
      <c r="AT1270">
        <v>0</v>
      </c>
      <c r="AU1270">
        <v>0</v>
      </c>
      <c r="AV1270">
        <v>0</v>
      </c>
      <c r="AW1270">
        <v>0</v>
      </c>
      <c r="AX1270">
        <v>0</v>
      </c>
      <c r="AY1270">
        <v>0</v>
      </c>
      <c r="AZ1270" t="s">
        <v>147</v>
      </c>
      <c r="BA1270">
        <v>6</v>
      </c>
      <c r="BB1270">
        <v>0</v>
      </c>
      <c r="BC1270" t="s">
        <v>132</v>
      </c>
      <c r="BD1270">
        <v>1</v>
      </c>
      <c r="BE1270" t="s">
        <v>133</v>
      </c>
      <c r="BF127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71" spans="1:58" x14ac:dyDescent="0.25">
      <c r="A1271" t="s">
        <v>1552</v>
      </c>
      <c r="B1271" t="s">
        <v>19</v>
      </c>
      <c r="C1271">
        <v>3</v>
      </c>
      <c r="D1271">
        <v>35</v>
      </c>
      <c r="E1271" t="s">
        <v>2109</v>
      </c>
      <c r="F1271" t="s">
        <v>123</v>
      </c>
      <c r="G1271" t="s">
        <v>124</v>
      </c>
      <c r="H1271" t="s">
        <v>125</v>
      </c>
      <c r="I1271" t="s">
        <v>1553</v>
      </c>
      <c r="J1271" t="s">
        <v>1554</v>
      </c>
      <c r="K1271" t="s">
        <v>127</v>
      </c>
      <c r="L1271">
        <v>50</v>
      </c>
      <c r="M1271">
        <v>3375384</v>
      </c>
      <c r="N1271">
        <v>15</v>
      </c>
      <c r="O1271">
        <v>5</v>
      </c>
      <c r="P1271" t="s">
        <v>1515</v>
      </c>
      <c r="Q1271" t="s">
        <v>129</v>
      </c>
      <c r="R1271">
        <v>4</v>
      </c>
      <c r="S1271" t="s">
        <v>1555</v>
      </c>
      <c r="T1271">
        <v>20</v>
      </c>
      <c r="U1271">
        <v>23</v>
      </c>
      <c r="V1271">
        <v>0</v>
      </c>
      <c r="W1271">
        <v>0</v>
      </c>
      <c r="X1271">
        <v>0</v>
      </c>
      <c r="Y1271">
        <v>0</v>
      </c>
      <c r="Z1271">
        <v>20</v>
      </c>
      <c r="AA1271">
        <v>23</v>
      </c>
      <c r="AB1271">
        <v>50</v>
      </c>
      <c r="AC1271">
        <v>41</v>
      </c>
      <c r="AD1271">
        <v>0</v>
      </c>
      <c r="AE1271">
        <v>0</v>
      </c>
      <c r="AF1271">
        <v>41</v>
      </c>
      <c r="AG1271">
        <v>0</v>
      </c>
      <c r="AH1271">
        <v>9</v>
      </c>
      <c r="AI1271">
        <v>9</v>
      </c>
      <c r="AJ1271">
        <v>9</v>
      </c>
      <c r="AK1271">
        <v>9</v>
      </c>
      <c r="AL1271">
        <v>0</v>
      </c>
      <c r="AM1271">
        <v>0.3</v>
      </c>
      <c r="AN1271">
        <v>0.81818181818181823</v>
      </c>
      <c r="AO1271">
        <v>0</v>
      </c>
      <c r="AP1271" t="s">
        <v>1556</v>
      </c>
      <c r="AQ1271" t="s">
        <v>131</v>
      </c>
      <c r="AR1271" t="s">
        <v>229</v>
      </c>
      <c r="AS1271">
        <v>0</v>
      </c>
      <c r="AT1271">
        <v>0</v>
      </c>
      <c r="AU1271">
        <v>0</v>
      </c>
      <c r="AV1271">
        <v>0</v>
      </c>
      <c r="AW1271">
        <v>0</v>
      </c>
      <c r="AX1271">
        <v>0</v>
      </c>
      <c r="AY1271">
        <v>0</v>
      </c>
      <c r="AZ1271" t="s">
        <v>147</v>
      </c>
      <c r="BA1271">
        <v>15</v>
      </c>
      <c r="BB1271">
        <v>0</v>
      </c>
      <c r="BC1271" t="s">
        <v>133</v>
      </c>
      <c r="BD1271">
        <v>0</v>
      </c>
      <c r="BE1271" t="s">
        <v>133</v>
      </c>
      <c r="BF127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72" spans="1:58" x14ac:dyDescent="0.25">
      <c r="A1272" t="s">
        <v>1557</v>
      </c>
      <c r="B1272" t="s">
        <v>19</v>
      </c>
      <c r="C1272">
        <v>3</v>
      </c>
      <c r="D1272">
        <v>36</v>
      </c>
      <c r="E1272" t="s">
        <v>2111</v>
      </c>
      <c r="F1272" t="s">
        <v>123</v>
      </c>
      <c r="G1272" t="s">
        <v>124</v>
      </c>
      <c r="H1272" t="s">
        <v>125</v>
      </c>
      <c r="I1272" t="s">
        <v>148</v>
      </c>
      <c r="J1272" t="s">
        <v>157</v>
      </c>
      <c r="K1272" t="s">
        <v>127</v>
      </c>
      <c r="L1272">
        <v>50</v>
      </c>
      <c r="M1272">
        <v>1704137</v>
      </c>
      <c r="N1272">
        <v>6</v>
      </c>
      <c r="O1272">
        <v>5</v>
      </c>
      <c r="P1272" t="s">
        <v>1515</v>
      </c>
      <c r="Q1272" t="s">
        <v>129</v>
      </c>
      <c r="R1272">
        <v>4</v>
      </c>
      <c r="S1272" t="s">
        <v>1551</v>
      </c>
      <c r="T1272">
        <v>0</v>
      </c>
      <c r="U1272">
        <v>12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12</v>
      </c>
      <c r="AB1272">
        <v>50</v>
      </c>
      <c r="AC1272">
        <v>46</v>
      </c>
      <c r="AD1272">
        <v>0</v>
      </c>
      <c r="AE1272">
        <v>0</v>
      </c>
      <c r="AF1272">
        <v>46</v>
      </c>
      <c r="AG1272">
        <v>0</v>
      </c>
      <c r="AH1272">
        <v>4</v>
      </c>
      <c r="AI1272">
        <v>4</v>
      </c>
      <c r="AJ1272">
        <v>4</v>
      </c>
      <c r="AK1272">
        <v>4</v>
      </c>
      <c r="AL1272">
        <v>0</v>
      </c>
      <c r="AM1272">
        <v>0.12</v>
      </c>
      <c r="AN1272">
        <v>0.36363636363636365</v>
      </c>
      <c r="AO1272">
        <v>0</v>
      </c>
      <c r="AP1272" t="s">
        <v>150</v>
      </c>
      <c r="AQ1272" t="s">
        <v>131</v>
      </c>
      <c r="AR1272" t="s">
        <v>1184</v>
      </c>
      <c r="AS1272">
        <v>0</v>
      </c>
      <c r="AT1272">
        <v>0</v>
      </c>
      <c r="AU1272">
        <v>0</v>
      </c>
      <c r="AV1272">
        <v>0</v>
      </c>
      <c r="AW1272">
        <v>0</v>
      </c>
      <c r="AX1272">
        <v>0</v>
      </c>
      <c r="AY1272">
        <v>0</v>
      </c>
      <c r="AZ1272" t="s">
        <v>147</v>
      </c>
      <c r="BA1272">
        <v>6</v>
      </c>
      <c r="BB1272">
        <v>0</v>
      </c>
      <c r="BC1272" t="s">
        <v>133</v>
      </c>
      <c r="BD1272">
        <v>0</v>
      </c>
      <c r="BE1272" t="s">
        <v>133</v>
      </c>
      <c r="BF127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73" spans="1:58" x14ac:dyDescent="0.25">
      <c r="A1273" t="s">
        <v>1558</v>
      </c>
      <c r="B1273" t="s">
        <v>19</v>
      </c>
      <c r="C1273">
        <v>3</v>
      </c>
      <c r="D1273">
        <v>37</v>
      </c>
      <c r="E1273" t="s">
        <v>2111</v>
      </c>
      <c r="F1273" t="s">
        <v>123</v>
      </c>
      <c r="G1273" t="s">
        <v>124</v>
      </c>
      <c r="H1273" t="s">
        <v>125</v>
      </c>
      <c r="I1273" t="s">
        <v>148</v>
      </c>
      <c r="J1273" t="s">
        <v>157</v>
      </c>
      <c r="K1273" t="s">
        <v>127</v>
      </c>
      <c r="L1273">
        <v>50</v>
      </c>
      <c r="M1273">
        <v>1704139</v>
      </c>
      <c r="N1273">
        <v>6</v>
      </c>
      <c r="O1273">
        <v>5</v>
      </c>
      <c r="P1273" t="s">
        <v>1515</v>
      </c>
      <c r="Q1273" t="s">
        <v>129</v>
      </c>
      <c r="R1273">
        <v>4</v>
      </c>
      <c r="S1273" t="s">
        <v>1551</v>
      </c>
      <c r="T1273">
        <v>0</v>
      </c>
      <c r="U1273">
        <v>10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10</v>
      </c>
      <c r="AB1273">
        <v>50</v>
      </c>
      <c r="AC1273">
        <v>30</v>
      </c>
      <c r="AD1273">
        <v>0</v>
      </c>
      <c r="AE1273">
        <v>0</v>
      </c>
      <c r="AF1273">
        <v>30</v>
      </c>
      <c r="AG1273">
        <v>0</v>
      </c>
      <c r="AH1273">
        <v>20</v>
      </c>
      <c r="AI1273">
        <v>20</v>
      </c>
      <c r="AJ1273">
        <v>20</v>
      </c>
      <c r="AK1273">
        <v>20</v>
      </c>
      <c r="AL1273">
        <v>0</v>
      </c>
      <c r="AM1273">
        <v>0.12</v>
      </c>
      <c r="AN1273">
        <v>1.8181818181818183</v>
      </c>
      <c r="AO1273">
        <v>0</v>
      </c>
      <c r="AP1273" t="s">
        <v>150</v>
      </c>
      <c r="AQ1273" t="s">
        <v>131</v>
      </c>
      <c r="AR1273" t="s">
        <v>1184</v>
      </c>
      <c r="AS1273">
        <v>0</v>
      </c>
      <c r="AT1273">
        <v>0</v>
      </c>
      <c r="AU1273">
        <v>0</v>
      </c>
      <c r="AV1273">
        <v>0</v>
      </c>
      <c r="AW1273">
        <v>0</v>
      </c>
      <c r="AX1273">
        <v>0</v>
      </c>
      <c r="AY1273">
        <v>0</v>
      </c>
      <c r="AZ1273" t="s">
        <v>147</v>
      </c>
      <c r="BA1273">
        <v>6</v>
      </c>
      <c r="BB1273">
        <v>0</v>
      </c>
      <c r="BC1273" t="s">
        <v>133</v>
      </c>
      <c r="BD1273">
        <v>0</v>
      </c>
      <c r="BE1273" t="s">
        <v>133</v>
      </c>
      <c r="BF127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74" spans="1:58" x14ac:dyDescent="0.25">
      <c r="A1274" t="s">
        <v>1559</v>
      </c>
      <c r="B1274" t="s">
        <v>19</v>
      </c>
      <c r="C1274">
        <v>3</v>
      </c>
      <c r="D1274">
        <v>38</v>
      </c>
      <c r="E1274" t="s">
        <v>2111</v>
      </c>
      <c r="F1274" t="s">
        <v>123</v>
      </c>
      <c r="G1274" t="s">
        <v>124</v>
      </c>
      <c r="H1274" t="s">
        <v>125</v>
      </c>
      <c r="I1274" t="s">
        <v>148</v>
      </c>
      <c r="J1274" t="s">
        <v>157</v>
      </c>
      <c r="K1274" t="s">
        <v>127</v>
      </c>
      <c r="L1274">
        <v>50</v>
      </c>
      <c r="M1274">
        <v>1704141</v>
      </c>
      <c r="N1274">
        <v>6</v>
      </c>
      <c r="O1274">
        <v>5</v>
      </c>
      <c r="P1274" t="s">
        <v>1515</v>
      </c>
      <c r="Q1274" t="s">
        <v>129</v>
      </c>
      <c r="R1274">
        <v>4</v>
      </c>
      <c r="S1274" t="s">
        <v>1551</v>
      </c>
      <c r="T1274">
        <v>0</v>
      </c>
      <c r="U1274">
        <v>12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12</v>
      </c>
      <c r="AB1274">
        <v>50</v>
      </c>
      <c r="AC1274">
        <v>48</v>
      </c>
      <c r="AD1274">
        <v>0</v>
      </c>
      <c r="AE1274">
        <v>0</v>
      </c>
      <c r="AF1274">
        <v>48</v>
      </c>
      <c r="AG1274">
        <v>0</v>
      </c>
      <c r="AH1274">
        <v>2</v>
      </c>
      <c r="AI1274">
        <v>2</v>
      </c>
      <c r="AJ1274">
        <v>2</v>
      </c>
      <c r="AK1274">
        <v>2</v>
      </c>
      <c r="AL1274">
        <v>0</v>
      </c>
      <c r="AM1274">
        <v>0.12</v>
      </c>
      <c r="AN1274">
        <v>0.18181818181818182</v>
      </c>
      <c r="AO1274">
        <v>0</v>
      </c>
      <c r="AP1274" t="s">
        <v>150</v>
      </c>
      <c r="AQ1274" t="s">
        <v>131</v>
      </c>
      <c r="AR1274" t="s">
        <v>1184</v>
      </c>
      <c r="AS1274">
        <v>0</v>
      </c>
      <c r="AT1274">
        <v>0</v>
      </c>
      <c r="AU1274">
        <v>0</v>
      </c>
      <c r="AV1274">
        <v>0</v>
      </c>
      <c r="AW1274">
        <v>0</v>
      </c>
      <c r="AX1274">
        <v>0</v>
      </c>
      <c r="AY1274">
        <v>0</v>
      </c>
      <c r="AZ1274" t="s">
        <v>147</v>
      </c>
      <c r="BA1274">
        <v>6</v>
      </c>
      <c r="BB1274">
        <v>0</v>
      </c>
      <c r="BC1274" t="s">
        <v>133</v>
      </c>
      <c r="BD1274">
        <v>0</v>
      </c>
      <c r="BE1274" t="s">
        <v>133</v>
      </c>
      <c r="BF127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75" spans="1:58" x14ac:dyDescent="0.25">
      <c r="A1275" t="s">
        <v>1560</v>
      </c>
      <c r="B1275" t="s">
        <v>19</v>
      </c>
      <c r="C1275">
        <v>3</v>
      </c>
      <c r="D1275">
        <v>39</v>
      </c>
      <c r="E1275" t="s">
        <v>2111</v>
      </c>
      <c r="F1275" t="s">
        <v>123</v>
      </c>
      <c r="G1275" t="s">
        <v>124</v>
      </c>
      <c r="H1275" t="s">
        <v>125</v>
      </c>
      <c r="I1275" t="s">
        <v>148</v>
      </c>
      <c r="J1275" t="s">
        <v>157</v>
      </c>
      <c r="K1275" t="s">
        <v>127</v>
      </c>
      <c r="L1275">
        <v>50</v>
      </c>
      <c r="M1275">
        <v>1704143</v>
      </c>
      <c r="N1275">
        <v>6</v>
      </c>
      <c r="O1275">
        <v>5</v>
      </c>
      <c r="P1275" t="s">
        <v>1515</v>
      </c>
      <c r="Q1275" t="s">
        <v>129</v>
      </c>
      <c r="R1275">
        <v>4</v>
      </c>
      <c r="S1275" t="s">
        <v>1551</v>
      </c>
      <c r="T1275">
        <v>0</v>
      </c>
      <c r="U1275">
        <v>9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9</v>
      </c>
      <c r="AB1275">
        <v>50</v>
      </c>
      <c r="AC1275">
        <v>29</v>
      </c>
      <c r="AD1275">
        <v>0</v>
      </c>
      <c r="AE1275">
        <v>0</v>
      </c>
      <c r="AF1275">
        <v>29</v>
      </c>
      <c r="AG1275">
        <v>0</v>
      </c>
      <c r="AH1275">
        <v>21</v>
      </c>
      <c r="AI1275">
        <v>21</v>
      </c>
      <c r="AJ1275">
        <v>21</v>
      </c>
      <c r="AK1275">
        <v>21</v>
      </c>
      <c r="AL1275">
        <v>0</v>
      </c>
      <c r="AM1275">
        <v>0.12</v>
      </c>
      <c r="AN1275">
        <v>1.9090909090909092</v>
      </c>
      <c r="AO1275">
        <v>0</v>
      </c>
      <c r="AP1275" t="s">
        <v>150</v>
      </c>
      <c r="AQ1275" t="s">
        <v>131</v>
      </c>
      <c r="AR1275" t="s">
        <v>1184</v>
      </c>
      <c r="AS1275">
        <v>0</v>
      </c>
      <c r="AT1275">
        <v>0</v>
      </c>
      <c r="AU1275">
        <v>0</v>
      </c>
      <c r="AV1275">
        <v>0</v>
      </c>
      <c r="AW1275">
        <v>0</v>
      </c>
      <c r="AX1275">
        <v>0</v>
      </c>
      <c r="AY1275">
        <v>0</v>
      </c>
      <c r="AZ1275" t="s">
        <v>147</v>
      </c>
      <c r="BA1275">
        <v>6</v>
      </c>
      <c r="BB1275">
        <v>0</v>
      </c>
      <c r="BC1275" t="s">
        <v>133</v>
      </c>
      <c r="BD1275">
        <v>0</v>
      </c>
      <c r="BE1275" t="s">
        <v>133</v>
      </c>
      <c r="BF127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76" spans="1:58" x14ac:dyDescent="0.25">
      <c r="A1276" t="s">
        <v>1561</v>
      </c>
      <c r="B1276" t="s">
        <v>19</v>
      </c>
      <c r="C1276">
        <v>3</v>
      </c>
      <c r="D1276">
        <v>40</v>
      </c>
      <c r="E1276" t="s">
        <v>2111</v>
      </c>
      <c r="F1276" t="s">
        <v>123</v>
      </c>
      <c r="G1276" t="s">
        <v>124</v>
      </c>
      <c r="H1276" t="s">
        <v>125</v>
      </c>
      <c r="I1276" t="s">
        <v>148</v>
      </c>
      <c r="J1276" t="s">
        <v>157</v>
      </c>
      <c r="K1276" t="s">
        <v>127</v>
      </c>
      <c r="L1276">
        <v>50</v>
      </c>
      <c r="M1276">
        <v>1704145</v>
      </c>
      <c r="N1276">
        <v>6</v>
      </c>
      <c r="O1276">
        <v>5</v>
      </c>
      <c r="P1276" t="s">
        <v>1515</v>
      </c>
      <c r="Q1276" t="s">
        <v>129</v>
      </c>
      <c r="R1276">
        <v>4</v>
      </c>
      <c r="S1276" t="s">
        <v>1551</v>
      </c>
      <c r="T1276">
        <v>0</v>
      </c>
      <c r="U1276">
        <v>5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5</v>
      </c>
      <c r="AB1276">
        <v>50</v>
      </c>
      <c r="AC1276">
        <v>21</v>
      </c>
      <c r="AD1276">
        <v>0</v>
      </c>
      <c r="AE1276">
        <v>0</v>
      </c>
      <c r="AF1276">
        <v>21</v>
      </c>
      <c r="AG1276">
        <v>0</v>
      </c>
      <c r="AH1276">
        <v>29</v>
      </c>
      <c r="AI1276">
        <v>29</v>
      </c>
      <c r="AJ1276">
        <v>29</v>
      </c>
      <c r="AK1276">
        <v>29</v>
      </c>
      <c r="AL1276">
        <v>0</v>
      </c>
      <c r="AM1276">
        <v>0.12</v>
      </c>
      <c r="AN1276">
        <v>2.6363636363636362</v>
      </c>
      <c r="AO1276">
        <v>0</v>
      </c>
      <c r="AP1276" t="s">
        <v>150</v>
      </c>
      <c r="AQ1276" t="s">
        <v>131</v>
      </c>
      <c r="AR1276" t="s">
        <v>1184</v>
      </c>
      <c r="AS1276">
        <v>0</v>
      </c>
      <c r="AT1276">
        <v>0</v>
      </c>
      <c r="AU1276">
        <v>0</v>
      </c>
      <c r="AV1276">
        <v>0</v>
      </c>
      <c r="AW1276">
        <v>0</v>
      </c>
      <c r="AX1276">
        <v>0</v>
      </c>
      <c r="AY1276">
        <v>0</v>
      </c>
      <c r="AZ1276" t="s">
        <v>147</v>
      </c>
      <c r="BA1276">
        <v>6</v>
      </c>
      <c r="BB1276">
        <v>0</v>
      </c>
      <c r="BC1276" t="s">
        <v>133</v>
      </c>
      <c r="BD1276">
        <v>0</v>
      </c>
      <c r="BE1276" t="s">
        <v>133</v>
      </c>
      <c r="BF127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77" spans="1:58" x14ac:dyDescent="0.25">
      <c r="A1277" t="s">
        <v>1562</v>
      </c>
      <c r="B1277" t="s">
        <v>19</v>
      </c>
      <c r="C1277">
        <v>3</v>
      </c>
      <c r="D1277">
        <v>41</v>
      </c>
      <c r="E1277" t="s">
        <v>2111</v>
      </c>
      <c r="F1277" t="s">
        <v>123</v>
      </c>
      <c r="G1277" t="s">
        <v>124</v>
      </c>
      <c r="H1277" t="s">
        <v>125</v>
      </c>
      <c r="I1277" t="s">
        <v>148</v>
      </c>
      <c r="J1277" t="s">
        <v>157</v>
      </c>
      <c r="K1277" t="s">
        <v>127</v>
      </c>
      <c r="L1277">
        <v>50</v>
      </c>
      <c r="M1277">
        <v>1704147</v>
      </c>
      <c r="N1277">
        <v>6</v>
      </c>
      <c r="O1277">
        <v>5</v>
      </c>
      <c r="P1277" t="s">
        <v>1515</v>
      </c>
      <c r="Q1277" t="s">
        <v>129</v>
      </c>
      <c r="R1277">
        <v>4</v>
      </c>
      <c r="S1277" t="s">
        <v>1563</v>
      </c>
      <c r="T1277">
        <v>0</v>
      </c>
      <c r="U1277">
        <v>5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5</v>
      </c>
      <c r="AB1277">
        <v>50</v>
      </c>
      <c r="AC1277">
        <v>7</v>
      </c>
      <c r="AD1277">
        <v>0</v>
      </c>
      <c r="AE1277">
        <v>0</v>
      </c>
      <c r="AF1277">
        <v>7</v>
      </c>
      <c r="AG1277">
        <v>0</v>
      </c>
      <c r="AH1277">
        <v>43</v>
      </c>
      <c r="AI1277">
        <v>43</v>
      </c>
      <c r="AJ1277">
        <v>43</v>
      </c>
      <c r="AK1277">
        <v>43</v>
      </c>
      <c r="AL1277">
        <v>0</v>
      </c>
      <c r="AM1277">
        <v>0.12</v>
      </c>
      <c r="AN1277">
        <v>3.9090909090909092</v>
      </c>
      <c r="AO1277">
        <v>0</v>
      </c>
      <c r="AP1277" t="s">
        <v>150</v>
      </c>
      <c r="AQ1277" t="s">
        <v>131</v>
      </c>
      <c r="AR1277" t="s">
        <v>1184</v>
      </c>
      <c r="AS1277">
        <v>0</v>
      </c>
      <c r="AT1277">
        <v>0</v>
      </c>
      <c r="AU1277">
        <v>0</v>
      </c>
      <c r="AV1277">
        <v>0</v>
      </c>
      <c r="AW1277">
        <v>0</v>
      </c>
      <c r="AX1277">
        <v>0</v>
      </c>
      <c r="AY1277">
        <v>0</v>
      </c>
      <c r="AZ1277" t="s">
        <v>147</v>
      </c>
      <c r="BA1277">
        <v>6</v>
      </c>
      <c r="BB1277">
        <v>0</v>
      </c>
      <c r="BC1277" t="s">
        <v>133</v>
      </c>
      <c r="BD1277">
        <v>0</v>
      </c>
      <c r="BE1277" t="s">
        <v>133</v>
      </c>
      <c r="BF127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78" spans="1:58" x14ac:dyDescent="0.25">
      <c r="A1278" t="s">
        <v>1564</v>
      </c>
      <c r="B1278" t="s">
        <v>19</v>
      </c>
      <c r="C1278">
        <v>3</v>
      </c>
      <c r="D1278">
        <v>42</v>
      </c>
      <c r="E1278" t="s">
        <v>2111</v>
      </c>
      <c r="F1278" t="s">
        <v>123</v>
      </c>
      <c r="G1278" t="s">
        <v>124</v>
      </c>
      <c r="H1278" t="s">
        <v>125</v>
      </c>
      <c r="I1278" t="s">
        <v>148</v>
      </c>
      <c r="J1278" t="s">
        <v>157</v>
      </c>
      <c r="K1278" t="s">
        <v>127</v>
      </c>
      <c r="L1278">
        <v>50</v>
      </c>
      <c r="M1278">
        <v>1704149</v>
      </c>
      <c r="N1278">
        <v>6</v>
      </c>
      <c r="O1278">
        <v>5</v>
      </c>
      <c r="P1278" t="s">
        <v>1515</v>
      </c>
      <c r="Q1278" t="s">
        <v>129</v>
      </c>
      <c r="R1278">
        <v>4</v>
      </c>
      <c r="S1278" t="s">
        <v>1563</v>
      </c>
      <c r="T1278">
        <v>0</v>
      </c>
      <c r="U1278">
        <v>7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7</v>
      </c>
      <c r="AB1278">
        <v>50</v>
      </c>
      <c r="AC1278">
        <v>23</v>
      </c>
      <c r="AD1278">
        <v>0</v>
      </c>
      <c r="AE1278">
        <v>0</v>
      </c>
      <c r="AF1278">
        <v>23</v>
      </c>
      <c r="AG1278">
        <v>0</v>
      </c>
      <c r="AH1278">
        <v>27</v>
      </c>
      <c r="AI1278">
        <v>27</v>
      </c>
      <c r="AJ1278">
        <v>27</v>
      </c>
      <c r="AK1278">
        <v>27</v>
      </c>
      <c r="AL1278">
        <v>0</v>
      </c>
      <c r="AM1278">
        <v>0.12</v>
      </c>
      <c r="AN1278">
        <v>2.4545454545454546</v>
      </c>
      <c r="AO1278">
        <v>0</v>
      </c>
      <c r="AP1278" t="s">
        <v>150</v>
      </c>
      <c r="AQ1278" t="s">
        <v>131</v>
      </c>
      <c r="AR1278" t="s">
        <v>1184</v>
      </c>
      <c r="AS1278">
        <v>0</v>
      </c>
      <c r="AT1278">
        <v>0</v>
      </c>
      <c r="AU1278">
        <v>0</v>
      </c>
      <c r="AV1278">
        <v>0</v>
      </c>
      <c r="AW1278">
        <v>0</v>
      </c>
      <c r="AX1278">
        <v>0</v>
      </c>
      <c r="AY1278">
        <v>0</v>
      </c>
      <c r="AZ1278" t="s">
        <v>147</v>
      </c>
      <c r="BA1278">
        <v>6</v>
      </c>
      <c r="BB1278">
        <v>0</v>
      </c>
      <c r="BC1278" t="s">
        <v>133</v>
      </c>
      <c r="BD1278">
        <v>0</v>
      </c>
      <c r="BE1278" t="s">
        <v>133</v>
      </c>
      <c r="BF127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79" spans="1:58" x14ac:dyDescent="0.25">
      <c r="A1279" t="s">
        <v>1565</v>
      </c>
      <c r="B1279" t="s">
        <v>19</v>
      </c>
      <c r="C1279">
        <v>3</v>
      </c>
      <c r="D1279">
        <v>43</v>
      </c>
      <c r="E1279" t="s">
        <v>2111</v>
      </c>
      <c r="F1279" t="s">
        <v>123</v>
      </c>
      <c r="G1279" t="s">
        <v>124</v>
      </c>
      <c r="H1279" t="s">
        <v>125</v>
      </c>
      <c r="I1279" t="s">
        <v>148</v>
      </c>
      <c r="J1279" t="s">
        <v>157</v>
      </c>
      <c r="K1279" t="s">
        <v>127</v>
      </c>
      <c r="L1279">
        <v>50</v>
      </c>
      <c r="M1279">
        <v>1704151</v>
      </c>
      <c r="N1279">
        <v>6</v>
      </c>
      <c r="O1279">
        <v>5</v>
      </c>
      <c r="P1279" t="s">
        <v>1515</v>
      </c>
      <c r="Q1279" t="s">
        <v>129</v>
      </c>
      <c r="R1279">
        <v>4</v>
      </c>
      <c r="S1279" t="s">
        <v>1551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50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50</v>
      </c>
      <c r="AI1279">
        <v>50</v>
      </c>
      <c r="AJ1279">
        <v>50</v>
      </c>
      <c r="AK1279">
        <v>50</v>
      </c>
      <c r="AL1279">
        <v>0</v>
      </c>
      <c r="AM1279">
        <v>0.12</v>
      </c>
      <c r="AN1279">
        <v>4.5454545454545459</v>
      </c>
      <c r="AO1279">
        <v>0</v>
      </c>
      <c r="AP1279" t="s">
        <v>150</v>
      </c>
      <c r="AQ1279" t="s">
        <v>155</v>
      </c>
      <c r="AR1279" t="s">
        <v>1184</v>
      </c>
      <c r="AS1279">
        <v>0</v>
      </c>
      <c r="AT1279">
        <v>0</v>
      </c>
      <c r="AU1279">
        <v>0</v>
      </c>
      <c r="AV1279">
        <v>0</v>
      </c>
      <c r="AW1279">
        <v>0</v>
      </c>
      <c r="AX1279">
        <v>0</v>
      </c>
      <c r="AY1279">
        <v>0</v>
      </c>
      <c r="AZ1279" t="s">
        <v>147</v>
      </c>
      <c r="BA1279">
        <v>6</v>
      </c>
      <c r="BB1279">
        <v>0</v>
      </c>
      <c r="BC1279" t="s">
        <v>133</v>
      </c>
      <c r="BD1279">
        <v>1</v>
      </c>
      <c r="BE1279" t="s">
        <v>133</v>
      </c>
      <c r="BF127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80" spans="1:58" x14ac:dyDescent="0.25">
      <c r="A1280" t="s">
        <v>1566</v>
      </c>
      <c r="B1280" t="s">
        <v>19</v>
      </c>
      <c r="C1280">
        <v>3</v>
      </c>
      <c r="D1280">
        <v>44</v>
      </c>
      <c r="E1280" t="s">
        <v>2111</v>
      </c>
      <c r="F1280" t="s">
        <v>123</v>
      </c>
      <c r="G1280" t="s">
        <v>124</v>
      </c>
      <c r="H1280" t="s">
        <v>125</v>
      </c>
      <c r="I1280" t="s">
        <v>148</v>
      </c>
      <c r="J1280" t="s">
        <v>157</v>
      </c>
      <c r="K1280" t="s">
        <v>127</v>
      </c>
      <c r="L1280">
        <v>50</v>
      </c>
      <c r="M1280">
        <v>1704153</v>
      </c>
      <c r="N1280">
        <v>6</v>
      </c>
      <c r="O1280">
        <v>5</v>
      </c>
      <c r="P1280" t="s">
        <v>1515</v>
      </c>
      <c r="Q1280" t="s">
        <v>129</v>
      </c>
      <c r="R1280">
        <v>4</v>
      </c>
      <c r="S1280" t="s">
        <v>1551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50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50</v>
      </c>
      <c r="AI1280">
        <v>50</v>
      </c>
      <c r="AJ1280">
        <v>50</v>
      </c>
      <c r="AK1280">
        <v>50</v>
      </c>
      <c r="AL1280">
        <v>0</v>
      </c>
      <c r="AM1280">
        <v>0.12</v>
      </c>
      <c r="AN1280">
        <v>4.5454545454545459</v>
      </c>
      <c r="AO1280">
        <v>0</v>
      </c>
      <c r="AP1280" t="s">
        <v>150</v>
      </c>
      <c r="AQ1280" t="s">
        <v>155</v>
      </c>
      <c r="AR1280" t="s">
        <v>1184</v>
      </c>
      <c r="AS1280">
        <v>0</v>
      </c>
      <c r="AT1280">
        <v>0</v>
      </c>
      <c r="AU1280">
        <v>0</v>
      </c>
      <c r="AV1280">
        <v>0</v>
      </c>
      <c r="AW1280">
        <v>0</v>
      </c>
      <c r="AX1280">
        <v>0</v>
      </c>
      <c r="AY1280">
        <v>0</v>
      </c>
      <c r="AZ1280" t="s">
        <v>147</v>
      </c>
      <c r="BA1280">
        <v>6</v>
      </c>
      <c r="BB1280">
        <v>0</v>
      </c>
      <c r="BC1280" t="s">
        <v>144</v>
      </c>
      <c r="BD1280">
        <v>2</v>
      </c>
      <c r="BE1280" t="s">
        <v>133</v>
      </c>
      <c r="BF128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81" spans="1:58" x14ac:dyDescent="0.25">
      <c r="A1281" t="s">
        <v>1567</v>
      </c>
      <c r="B1281" t="s">
        <v>19</v>
      </c>
      <c r="C1281">
        <v>3</v>
      </c>
      <c r="D1281">
        <v>45</v>
      </c>
      <c r="E1281" t="s">
        <v>2109</v>
      </c>
      <c r="F1281" t="s">
        <v>123</v>
      </c>
      <c r="G1281" t="s">
        <v>124</v>
      </c>
      <c r="H1281" t="s">
        <v>125</v>
      </c>
      <c r="I1281" t="s">
        <v>183</v>
      </c>
      <c r="J1281" t="s">
        <v>140</v>
      </c>
      <c r="K1281" t="s">
        <v>127</v>
      </c>
      <c r="L1281">
        <v>50</v>
      </c>
      <c r="M1281">
        <v>3204716</v>
      </c>
      <c r="N1281">
        <v>20</v>
      </c>
      <c r="O1281">
        <v>5</v>
      </c>
      <c r="P1281" t="s">
        <v>1515</v>
      </c>
      <c r="Q1281" t="s">
        <v>129</v>
      </c>
      <c r="R1281">
        <v>5</v>
      </c>
      <c r="S1281" t="s">
        <v>1568</v>
      </c>
      <c r="T1281">
        <v>22</v>
      </c>
      <c r="U1281">
        <v>25</v>
      </c>
      <c r="V1281">
        <v>0</v>
      </c>
      <c r="W1281">
        <v>0</v>
      </c>
      <c r="X1281">
        <v>0</v>
      </c>
      <c r="Y1281">
        <v>0</v>
      </c>
      <c r="Z1281">
        <v>22</v>
      </c>
      <c r="AA1281">
        <v>25</v>
      </c>
      <c r="AB1281">
        <v>50</v>
      </c>
      <c r="AC1281">
        <v>49</v>
      </c>
      <c r="AD1281">
        <v>0</v>
      </c>
      <c r="AE1281">
        <v>0</v>
      </c>
      <c r="AF1281">
        <v>49</v>
      </c>
      <c r="AG1281">
        <v>0</v>
      </c>
      <c r="AH1281">
        <v>1</v>
      </c>
      <c r="AI1281">
        <v>1</v>
      </c>
      <c r="AJ1281">
        <v>1</v>
      </c>
      <c r="AK1281">
        <v>1</v>
      </c>
      <c r="AL1281">
        <v>0</v>
      </c>
      <c r="AM1281">
        <v>0.4</v>
      </c>
      <c r="AN1281">
        <v>9.0909090909090912E-2</v>
      </c>
      <c r="AO1281">
        <v>0</v>
      </c>
      <c r="AP1281" t="s">
        <v>188</v>
      </c>
      <c r="AQ1281" t="s">
        <v>131</v>
      </c>
      <c r="AR1281" t="s">
        <v>229</v>
      </c>
      <c r="AS1281">
        <v>0</v>
      </c>
      <c r="AT1281">
        <v>0</v>
      </c>
      <c r="AU1281">
        <v>0</v>
      </c>
      <c r="AV1281">
        <v>0</v>
      </c>
      <c r="AW1281">
        <v>0</v>
      </c>
      <c r="AX1281">
        <v>0</v>
      </c>
      <c r="AY1281">
        <v>0</v>
      </c>
      <c r="AZ1281" t="s">
        <v>147</v>
      </c>
      <c r="BA1281">
        <v>20</v>
      </c>
      <c r="BB1281">
        <v>0</v>
      </c>
      <c r="BC1281" t="s">
        <v>132</v>
      </c>
      <c r="BD1281">
        <v>0</v>
      </c>
      <c r="BE1281" t="s">
        <v>133</v>
      </c>
      <c r="BF128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82" spans="1:58" x14ac:dyDescent="0.25">
      <c r="A1282" t="s">
        <v>1569</v>
      </c>
      <c r="B1282" t="s">
        <v>19</v>
      </c>
      <c r="C1282">
        <v>3</v>
      </c>
      <c r="D1282">
        <v>46</v>
      </c>
      <c r="E1282" t="s">
        <v>2109</v>
      </c>
      <c r="F1282" t="s">
        <v>123</v>
      </c>
      <c r="G1282" t="s">
        <v>124</v>
      </c>
      <c r="H1282" t="s">
        <v>125</v>
      </c>
      <c r="I1282" t="s">
        <v>183</v>
      </c>
      <c r="J1282" t="s">
        <v>140</v>
      </c>
      <c r="K1282" t="s">
        <v>127</v>
      </c>
      <c r="L1282">
        <v>50</v>
      </c>
      <c r="M1282">
        <v>3204718</v>
      </c>
      <c r="N1282">
        <v>20</v>
      </c>
      <c r="O1282">
        <v>5</v>
      </c>
      <c r="P1282" t="s">
        <v>1515</v>
      </c>
      <c r="Q1282" t="s">
        <v>129</v>
      </c>
      <c r="R1282">
        <v>5</v>
      </c>
      <c r="S1282" t="s">
        <v>1568</v>
      </c>
      <c r="T1282">
        <v>22</v>
      </c>
      <c r="U1282">
        <v>25</v>
      </c>
      <c r="V1282">
        <v>0</v>
      </c>
      <c r="W1282">
        <v>0</v>
      </c>
      <c r="X1282">
        <v>0</v>
      </c>
      <c r="Y1282">
        <v>0</v>
      </c>
      <c r="Z1282">
        <v>22</v>
      </c>
      <c r="AA1282">
        <v>25</v>
      </c>
      <c r="AB1282">
        <v>50</v>
      </c>
      <c r="AC1282">
        <v>49</v>
      </c>
      <c r="AD1282">
        <v>0</v>
      </c>
      <c r="AE1282">
        <v>0</v>
      </c>
      <c r="AF1282">
        <v>49</v>
      </c>
      <c r="AG1282">
        <v>0</v>
      </c>
      <c r="AH1282">
        <v>1</v>
      </c>
      <c r="AI1282">
        <v>1</v>
      </c>
      <c r="AJ1282">
        <v>1</v>
      </c>
      <c r="AK1282">
        <v>1</v>
      </c>
      <c r="AL1282">
        <v>0</v>
      </c>
      <c r="AM1282">
        <v>0.4</v>
      </c>
      <c r="AN1282">
        <v>9.0909090909090912E-2</v>
      </c>
      <c r="AO1282">
        <v>0</v>
      </c>
      <c r="AP1282" t="s">
        <v>188</v>
      </c>
      <c r="AQ1282" t="s">
        <v>131</v>
      </c>
      <c r="AR1282" t="s">
        <v>229</v>
      </c>
      <c r="AS1282">
        <v>0</v>
      </c>
      <c r="AT1282">
        <v>0</v>
      </c>
      <c r="AU1282">
        <v>0</v>
      </c>
      <c r="AV1282">
        <v>0</v>
      </c>
      <c r="AW1282">
        <v>0</v>
      </c>
      <c r="AX1282">
        <v>0</v>
      </c>
      <c r="AY1282">
        <v>0</v>
      </c>
      <c r="AZ1282" t="s">
        <v>147</v>
      </c>
      <c r="BA1282">
        <v>20</v>
      </c>
      <c r="BB1282">
        <v>0</v>
      </c>
      <c r="BC1282" t="s">
        <v>133</v>
      </c>
      <c r="BD1282">
        <v>0</v>
      </c>
      <c r="BE1282" t="s">
        <v>133</v>
      </c>
      <c r="BF128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83" spans="1:58" x14ac:dyDescent="0.25">
      <c r="A1283" t="s">
        <v>1570</v>
      </c>
      <c r="B1283" t="s">
        <v>19</v>
      </c>
      <c r="C1283">
        <v>3</v>
      </c>
      <c r="D1283">
        <v>47</v>
      </c>
      <c r="E1283" t="s">
        <v>2109</v>
      </c>
      <c r="F1283" t="s">
        <v>123</v>
      </c>
      <c r="G1283" t="s">
        <v>124</v>
      </c>
      <c r="H1283" t="s">
        <v>125</v>
      </c>
      <c r="I1283" t="s">
        <v>183</v>
      </c>
      <c r="J1283" t="s">
        <v>140</v>
      </c>
      <c r="K1283" t="s">
        <v>127</v>
      </c>
      <c r="L1283">
        <v>50</v>
      </c>
      <c r="M1283">
        <v>3204720</v>
      </c>
      <c r="N1283">
        <v>20</v>
      </c>
      <c r="O1283">
        <v>5</v>
      </c>
      <c r="P1283" t="s">
        <v>1515</v>
      </c>
      <c r="Q1283" t="s">
        <v>129</v>
      </c>
      <c r="R1283">
        <v>5</v>
      </c>
      <c r="S1283" t="s">
        <v>1568</v>
      </c>
      <c r="T1283">
        <v>22</v>
      </c>
      <c r="U1283">
        <v>25</v>
      </c>
      <c r="V1283">
        <v>0</v>
      </c>
      <c r="W1283">
        <v>0</v>
      </c>
      <c r="X1283">
        <v>0</v>
      </c>
      <c r="Y1283">
        <v>0</v>
      </c>
      <c r="Z1283">
        <v>22</v>
      </c>
      <c r="AA1283">
        <v>25</v>
      </c>
      <c r="AB1283">
        <v>50</v>
      </c>
      <c r="AC1283">
        <v>49</v>
      </c>
      <c r="AD1283">
        <v>0</v>
      </c>
      <c r="AE1283">
        <v>0</v>
      </c>
      <c r="AF1283">
        <v>49</v>
      </c>
      <c r="AG1283">
        <v>0</v>
      </c>
      <c r="AH1283">
        <v>1</v>
      </c>
      <c r="AI1283">
        <v>1</v>
      </c>
      <c r="AJ1283">
        <v>1</v>
      </c>
      <c r="AK1283">
        <v>1</v>
      </c>
      <c r="AL1283">
        <v>0</v>
      </c>
      <c r="AM1283">
        <v>0.4</v>
      </c>
      <c r="AN1283">
        <v>9.0909090909090912E-2</v>
      </c>
      <c r="AO1283">
        <v>0</v>
      </c>
      <c r="AP1283" t="s">
        <v>188</v>
      </c>
      <c r="AQ1283" t="s">
        <v>131</v>
      </c>
      <c r="AR1283" t="s">
        <v>229</v>
      </c>
      <c r="AS1283">
        <v>0</v>
      </c>
      <c r="AT1283">
        <v>0</v>
      </c>
      <c r="AU1283">
        <v>0</v>
      </c>
      <c r="AV1283">
        <v>0</v>
      </c>
      <c r="AW1283">
        <v>0</v>
      </c>
      <c r="AX1283">
        <v>0</v>
      </c>
      <c r="AY1283">
        <v>0</v>
      </c>
      <c r="AZ1283" t="s">
        <v>147</v>
      </c>
      <c r="BA1283">
        <v>20</v>
      </c>
      <c r="BB1283">
        <v>0</v>
      </c>
      <c r="BC1283" t="s">
        <v>133</v>
      </c>
      <c r="BD1283">
        <v>0</v>
      </c>
      <c r="BE1283" t="s">
        <v>133</v>
      </c>
      <c r="BF128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84" spans="1:58" x14ac:dyDescent="0.25">
      <c r="A1284" t="s">
        <v>1571</v>
      </c>
      <c r="B1284" t="s">
        <v>19</v>
      </c>
      <c r="C1284">
        <v>3</v>
      </c>
      <c r="D1284">
        <v>48</v>
      </c>
      <c r="E1284" t="s">
        <v>2109</v>
      </c>
      <c r="F1284" t="s">
        <v>123</v>
      </c>
      <c r="G1284" t="s">
        <v>124</v>
      </c>
      <c r="H1284" t="s">
        <v>125</v>
      </c>
      <c r="I1284" t="s">
        <v>183</v>
      </c>
      <c r="J1284" t="s">
        <v>140</v>
      </c>
      <c r="K1284" t="s">
        <v>127</v>
      </c>
      <c r="L1284">
        <v>50</v>
      </c>
      <c r="M1284">
        <v>3204722</v>
      </c>
      <c r="N1284">
        <v>20</v>
      </c>
      <c r="O1284">
        <v>5</v>
      </c>
      <c r="P1284" t="s">
        <v>1515</v>
      </c>
      <c r="Q1284" t="s">
        <v>129</v>
      </c>
      <c r="R1284">
        <v>5</v>
      </c>
      <c r="S1284" t="s">
        <v>1568</v>
      </c>
      <c r="T1284">
        <v>22</v>
      </c>
      <c r="U1284">
        <v>25</v>
      </c>
      <c r="V1284">
        <v>0</v>
      </c>
      <c r="W1284">
        <v>0</v>
      </c>
      <c r="X1284">
        <v>0</v>
      </c>
      <c r="Y1284">
        <v>0</v>
      </c>
      <c r="Z1284">
        <v>22</v>
      </c>
      <c r="AA1284">
        <v>25</v>
      </c>
      <c r="AB1284">
        <v>50</v>
      </c>
      <c r="AC1284">
        <v>49</v>
      </c>
      <c r="AD1284">
        <v>0</v>
      </c>
      <c r="AE1284">
        <v>0</v>
      </c>
      <c r="AF1284">
        <v>49</v>
      </c>
      <c r="AG1284">
        <v>0</v>
      </c>
      <c r="AH1284">
        <v>1</v>
      </c>
      <c r="AI1284">
        <v>1</v>
      </c>
      <c r="AJ1284">
        <v>1</v>
      </c>
      <c r="AK1284">
        <v>1</v>
      </c>
      <c r="AL1284">
        <v>0</v>
      </c>
      <c r="AM1284">
        <v>0.4</v>
      </c>
      <c r="AN1284">
        <v>9.0909090909090912E-2</v>
      </c>
      <c r="AO1284">
        <v>0</v>
      </c>
      <c r="AP1284" t="s">
        <v>188</v>
      </c>
      <c r="AQ1284" t="s">
        <v>131</v>
      </c>
      <c r="AR1284" t="s">
        <v>229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 t="s">
        <v>147</v>
      </c>
      <c r="BA1284">
        <v>20</v>
      </c>
      <c r="BB1284">
        <v>0</v>
      </c>
      <c r="BC1284" t="s">
        <v>133</v>
      </c>
      <c r="BD1284">
        <v>0</v>
      </c>
      <c r="BE1284" t="s">
        <v>133</v>
      </c>
      <c r="BF128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85" spans="1:58" x14ac:dyDescent="0.25">
      <c r="A1285" t="s">
        <v>1572</v>
      </c>
      <c r="B1285" t="s">
        <v>19</v>
      </c>
      <c r="C1285">
        <v>3</v>
      </c>
      <c r="D1285">
        <v>49</v>
      </c>
      <c r="E1285" t="s">
        <v>2109</v>
      </c>
      <c r="F1285" t="s">
        <v>123</v>
      </c>
      <c r="G1285" t="s">
        <v>124</v>
      </c>
      <c r="H1285" t="s">
        <v>125</v>
      </c>
      <c r="I1285" t="s">
        <v>183</v>
      </c>
      <c r="J1285" t="s">
        <v>126</v>
      </c>
      <c r="K1285" t="s">
        <v>127</v>
      </c>
      <c r="L1285">
        <v>50</v>
      </c>
      <c r="M1285">
        <v>3204724</v>
      </c>
      <c r="N1285">
        <v>20</v>
      </c>
      <c r="O1285">
        <v>5</v>
      </c>
      <c r="P1285" t="s">
        <v>1515</v>
      </c>
      <c r="Q1285" t="s">
        <v>129</v>
      </c>
      <c r="R1285">
        <v>5</v>
      </c>
      <c r="S1285" t="s">
        <v>1568</v>
      </c>
      <c r="T1285">
        <v>34</v>
      </c>
      <c r="U1285">
        <v>38</v>
      </c>
      <c r="V1285">
        <v>0</v>
      </c>
      <c r="W1285">
        <v>0</v>
      </c>
      <c r="X1285">
        <v>0</v>
      </c>
      <c r="Y1285">
        <v>0</v>
      </c>
      <c r="Z1285">
        <v>34</v>
      </c>
      <c r="AA1285">
        <v>38</v>
      </c>
      <c r="AB1285">
        <v>50</v>
      </c>
      <c r="AC1285">
        <v>40</v>
      </c>
      <c r="AD1285">
        <v>0</v>
      </c>
      <c r="AE1285">
        <v>0</v>
      </c>
      <c r="AF1285">
        <v>40</v>
      </c>
      <c r="AG1285">
        <v>0</v>
      </c>
      <c r="AH1285">
        <v>10</v>
      </c>
      <c r="AI1285">
        <v>10</v>
      </c>
      <c r="AJ1285">
        <v>10</v>
      </c>
      <c r="AK1285">
        <v>10</v>
      </c>
      <c r="AL1285">
        <v>0</v>
      </c>
      <c r="AM1285">
        <v>0.4</v>
      </c>
      <c r="AN1285">
        <v>0.90909090909090917</v>
      </c>
      <c r="AO1285">
        <v>0</v>
      </c>
      <c r="AP1285" t="s">
        <v>188</v>
      </c>
      <c r="AQ1285" t="s">
        <v>131</v>
      </c>
      <c r="AR1285" t="s">
        <v>229</v>
      </c>
      <c r="AS1285">
        <v>0</v>
      </c>
      <c r="AT1285">
        <v>0</v>
      </c>
      <c r="AU1285">
        <v>0</v>
      </c>
      <c r="AV1285">
        <v>0</v>
      </c>
      <c r="AW1285">
        <v>0</v>
      </c>
      <c r="AX1285">
        <v>0</v>
      </c>
      <c r="AY1285">
        <v>0</v>
      </c>
      <c r="AZ1285" t="s">
        <v>147</v>
      </c>
      <c r="BA1285">
        <v>20</v>
      </c>
      <c r="BB1285">
        <v>0</v>
      </c>
      <c r="BC1285" t="s">
        <v>133</v>
      </c>
      <c r="BD1285">
        <v>0</v>
      </c>
      <c r="BE1285" t="s">
        <v>133</v>
      </c>
      <c r="BF128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86" spans="1:58" x14ac:dyDescent="0.25">
      <c r="A1286" t="s">
        <v>1573</v>
      </c>
      <c r="B1286" t="s">
        <v>19</v>
      </c>
      <c r="C1286">
        <v>3</v>
      </c>
      <c r="D1286">
        <v>50</v>
      </c>
      <c r="E1286" t="s">
        <v>2109</v>
      </c>
      <c r="F1286" t="s">
        <v>123</v>
      </c>
      <c r="G1286" t="s">
        <v>124</v>
      </c>
      <c r="H1286" t="s">
        <v>125</v>
      </c>
      <c r="I1286" t="s">
        <v>183</v>
      </c>
      <c r="J1286" t="s">
        <v>126</v>
      </c>
      <c r="K1286" t="s">
        <v>127</v>
      </c>
      <c r="L1286">
        <v>50</v>
      </c>
      <c r="M1286">
        <v>3204726</v>
      </c>
      <c r="N1286">
        <v>20</v>
      </c>
      <c r="O1286">
        <v>5</v>
      </c>
      <c r="P1286" t="s">
        <v>1515</v>
      </c>
      <c r="Q1286" t="s">
        <v>129</v>
      </c>
      <c r="R1286">
        <v>5</v>
      </c>
      <c r="S1286" t="s">
        <v>1568</v>
      </c>
      <c r="T1286">
        <v>33</v>
      </c>
      <c r="U1286">
        <v>37</v>
      </c>
      <c r="V1286">
        <v>0</v>
      </c>
      <c r="W1286">
        <v>0</v>
      </c>
      <c r="X1286">
        <v>0</v>
      </c>
      <c r="Y1286">
        <v>0</v>
      </c>
      <c r="Z1286">
        <v>33</v>
      </c>
      <c r="AA1286">
        <v>37</v>
      </c>
      <c r="AB1286">
        <v>50</v>
      </c>
      <c r="AC1286">
        <v>39</v>
      </c>
      <c r="AD1286">
        <v>0</v>
      </c>
      <c r="AE1286">
        <v>0</v>
      </c>
      <c r="AF1286">
        <v>39</v>
      </c>
      <c r="AG1286">
        <v>0</v>
      </c>
      <c r="AH1286">
        <v>11</v>
      </c>
      <c r="AI1286">
        <v>11</v>
      </c>
      <c r="AJ1286">
        <v>11</v>
      </c>
      <c r="AK1286">
        <v>11</v>
      </c>
      <c r="AL1286">
        <v>0</v>
      </c>
      <c r="AM1286">
        <v>0.4</v>
      </c>
      <c r="AN1286">
        <v>1</v>
      </c>
      <c r="AO1286">
        <v>0</v>
      </c>
      <c r="AP1286" t="s">
        <v>188</v>
      </c>
      <c r="AQ1286" t="s">
        <v>131</v>
      </c>
      <c r="AR1286" t="s">
        <v>229</v>
      </c>
      <c r="AS1286">
        <v>0</v>
      </c>
      <c r="AT1286">
        <v>0</v>
      </c>
      <c r="AU1286">
        <v>0</v>
      </c>
      <c r="AV1286">
        <v>0</v>
      </c>
      <c r="AW1286">
        <v>0</v>
      </c>
      <c r="AX1286">
        <v>0</v>
      </c>
      <c r="AY1286">
        <v>0</v>
      </c>
      <c r="AZ1286" t="s">
        <v>147</v>
      </c>
      <c r="BA1286">
        <v>20</v>
      </c>
      <c r="BB1286">
        <v>0</v>
      </c>
      <c r="BC1286" t="s">
        <v>133</v>
      </c>
      <c r="BD1286">
        <v>0</v>
      </c>
      <c r="BE1286" t="s">
        <v>133</v>
      </c>
      <c r="BF128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87" spans="1:58" x14ac:dyDescent="0.25">
      <c r="A1287" t="s">
        <v>1574</v>
      </c>
      <c r="B1287" t="s">
        <v>19</v>
      </c>
      <c r="C1287">
        <v>3</v>
      </c>
      <c r="D1287">
        <v>51</v>
      </c>
      <c r="E1287" t="s">
        <v>2109</v>
      </c>
      <c r="F1287" t="s">
        <v>123</v>
      </c>
      <c r="G1287" t="s">
        <v>124</v>
      </c>
      <c r="H1287" t="s">
        <v>125</v>
      </c>
      <c r="I1287" t="s">
        <v>183</v>
      </c>
      <c r="J1287" t="s">
        <v>126</v>
      </c>
      <c r="K1287" t="s">
        <v>127</v>
      </c>
      <c r="L1287">
        <v>50</v>
      </c>
      <c r="M1287">
        <v>3204728</v>
      </c>
      <c r="N1287">
        <v>20</v>
      </c>
      <c r="O1287">
        <v>5</v>
      </c>
      <c r="P1287" t="s">
        <v>1515</v>
      </c>
      <c r="Q1287" t="s">
        <v>129</v>
      </c>
      <c r="R1287">
        <v>5</v>
      </c>
      <c r="S1287" t="s">
        <v>1568</v>
      </c>
      <c r="T1287">
        <v>33</v>
      </c>
      <c r="U1287">
        <v>37</v>
      </c>
      <c r="V1287">
        <v>0</v>
      </c>
      <c r="W1287">
        <v>0</v>
      </c>
      <c r="X1287">
        <v>0</v>
      </c>
      <c r="Y1287">
        <v>0</v>
      </c>
      <c r="Z1287">
        <v>33</v>
      </c>
      <c r="AA1287">
        <v>37</v>
      </c>
      <c r="AB1287">
        <v>50</v>
      </c>
      <c r="AC1287">
        <v>39</v>
      </c>
      <c r="AD1287">
        <v>0</v>
      </c>
      <c r="AE1287">
        <v>0</v>
      </c>
      <c r="AF1287">
        <v>39</v>
      </c>
      <c r="AG1287">
        <v>0</v>
      </c>
      <c r="AH1287">
        <v>11</v>
      </c>
      <c r="AI1287">
        <v>11</v>
      </c>
      <c r="AJ1287">
        <v>11</v>
      </c>
      <c r="AK1287">
        <v>11</v>
      </c>
      <c r="AL1287">
        <v>0</v>
      </c>
      <c r="AM1287">
        <v>0.4</v>
      </c>
      <c r="AN1287">
        <v>1</v>
      </c>
      <c r="AO1287">
        <v>0</v>
      </c>
      <c r="AP1287" t="s">
        <v>188</v>
      </c>
      <c r="AQ1287" t="s">
        <v>131</v>
      </c>
      <c r="AR1287" t="s">
        <v>229</v>
      </c>
      <c r="AS1287">
        <v>0</v>
      </c>
      <c r="AT1287">
        <v>0</v>
      </c>
      <c r="AU1287">
        <v>0</v>
      </c>
      <c r="AV1287">
        <v>0</v>
      </c>
      <c r="AW1287">
        <v>0</v>
      </c>
      <c r="AX1287">
        <v>0</v>
      </c>
      <c r="AY1287">
        <v>0</v>
      </c>
      <c r="AZ1287" t="s">
        <v>147</v>
      </c>
      <c r="BA1287">
        <v>20</v>
      </c>
      <c r="BB1287">
        <v>0</v>
      </c>
      <c r="BC1287" t="s">
        <v>133</v>
      </c>
      <c r="BD1287">
        <v>0</v>
      </c>
      <c r="BE1287" t="s">
        <v>133</v>
      </c>
      <c r="BF128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88" spans="1:58" x14ac:dyDescent="0.25">
      <c r="A1288" t="s">
        <v>1575</v>
      </c>
      <c r="B1288" t="s">
        <v>19</v>
      </c>
      <c r="C1288">
        <v>3</v>
      </c>
      <c r="D1288">
        <v>52</v>
      </c>
      <c r="E1288" t="s">
        <v>2109</v>
      </c>
      <c r="F1288" t="s">
        <v>123</v>
      </c>
      <c r="G1288" t="s">
        <v>124</v>
      </c>
      <c r="H1288" t="s">
        <v>125</v>
      </c>
      <c r="I1288" t="s">
        <v>154</v>
      </c>
      <c r="J1288" t="s">
        <v>154</v>
      </c>
      <c r="K1288" t="s">
        <v>151</v>
      </c>
      <c r="L1288">
        <v>50</v>
      </c>
      <c r="M1288">
        <v>3204730</v>
      </c>
      <c r="N1288">
        <v>0</v>
      </c>
      <c r="O1288">
        <v>5</v>
      </c>
      <c r="P1288" t="s">
        <v>1515</v>
      </c>
      <c r="Q1288" t="s">
        <v>129</v>
      </c>
      <c r="R1288">
        <v>5</v>
      </c>
      <c r="S1288" t="s">
        <v>189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50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50</v>
      </c>
      <c r="AJ1288">
        <v>50</v>
      </c>
      <c r="AK1288">
        <v>50</v>
      </c>
      <c r="AL1288">
        <v>50</v>
      </c>
      <c r="AM1288">
        <v>0</v>
      </c>
      <c r="AN1288">
        <v>4.5454545454545459</v>
      </c>
      <c r="AO1288">
        <v>0</v>
      </c>
      <c r="AP1288" t="s">
        <v>172</v>
      </c>
      <c r="AQ1288" t="s">
        <v>155</v>
      </c>
      <c r="AR1288" t="s">
        <v>229</v>
      </c>
      <c r="AS1288">
        <v>0</v>
      </c>
      <c r="AT1288">
        <v>0</v>
      </c>
      <c r="AU1288">
        <v>0</v>
      </c>
      <c r="AV1288">
        <v>0</v>
      </c>
      <c r="AW1288">
        <v>0</v>
      </c>
      <c r="AX1288">
        <v>0</v>
      </c>
      <c r="AY1288">
        <v>0</v>
      </c>
      <c r="AZ1288" t="s">
        <v>147</v>
      </c>
      <c r="BA1288">
        <v>0</v>
      </c>
      <c r="BB1288">
        <v>0</v>
      </c>
      <c r="BC1288" t="s">
        <v>133</v>
      </c>
      <c r="BD1288">
        <v>1</v>
      </c>
      <c r="BE1288" t="s">
        <v>133</v>
      </c>
      <c r="BF128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89" spans="1:58" x14ac:dyDescent="0.25">
      <c r="A1289" t="s">
        <v>1576</v>
      </c>
      <c r="B1289" t="s">
        <v>19</v>
      </c>
      <c r="C1289">
        <v>3</v>
      </c>
      <c r="D1289">
        <v>53</v>
      </c>
      <c r="E1289" t="s">
        <v>2109</v>
      </c>
      <c r="F1289" t="s">
        <v>123</v>
      </c>
      <c r="G1289" t="s">
        <v>124</v>
      </c>
      <c r="H1289" t="s">
        <v>125</v>
      </c>
      <c r="I1289" t="s">
        <v>154</v>
      </c>
      <c r="J1289" t="s">
        <v>154</v>
      </c>
      <c r="K1289" t="s">
        <v>151</v>
      </c>
      <c r="L1289">
        <v>50</v>
      </c>
      <c r="M1289">
        <v>3204732</v>
      </c>
      <c r="N1289">
        <v>0</v>
      </c>
      <c r="O1289">
        <v>5</v>
      </c>
      <c r="P1289" t="s">
        <v>1515</v>
      </c>
      <c r="Q1289" t="s">
        <v>129</v>
      </c>
      <c r="R1289">
        <v>5</v>
      </c>
      <c r="S1289" t="s">
        <v>189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50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>
        <v>50</v>
      </c>
      <c r="AJ1289">
        <v>50</v>
      </c>
      <c r="AK1289">
        <v>50</v>
      </c>
      <c r="AL1289">
        <v>50</v>
      </c>
      <c r="AM1289">
        <v>0</v>
      </c>
      <c r="AN1289">
        <v>4.5454545454545459</v>
      </c>
      <c r="AO1289">
        <v>0</v>
      </c>
      <c r="AP1289" t="s">
        <v>172</v>
      </c>
      <c r="AQ1289" t="s">
        <v>155</v>
      </c>
      <c r="AR1289" t="s">
        <v>229</v>
      </c>
      <c r="AS1289">
        <v>0</v>
      </c>
      <c r="AT1289">
        <v>0</v>
      </c>
      <c r="AU1289">
        <v>0</v>
      </c>
      <c r="AV1289">
        <v>0</v>
      </c>
      <c r="AW1289">
        <v>0</v>
      </c>
      <c r="AX1289">
        <v>0</v>
      </c>
      <c r="AY1289">
        <v>0</v>
      </c>
      <c r="AZ1289" t="s">
        <v>147</v>
      </c>
      <c r="BA1289">
        <v>0</v>
      </c>
      <c r="BB1289">
        <v>0</v>
      </c>
      <c r="BC1289" t="s">
        <v>133</v>
      </c>
      <c r="BD1289">
        <v>2</v>
      </c>
      <c r="BE1289" t="s">
        <v>133</v>
      </c>
      <c r="BF128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90" spans="1:58" x14ac:dyDescent="0.25">
      <c r="A1290" t="s">
        <v>1577</v>
      </c>
      <c r="B1290" t="s">
        <v>19</v>
      </c>
      <c r="C1290">
        <v>3</v>
      </c>
      <c r="D1290">
        <v>54</v>
      </c>
      <c r="E1290" t="s">
        <v>2109</v>
      </c>
      <c r="F1290" t="s">
        <v>123</v>
      </c>
      <c r="G1290" t="s">
        <v>124</v>
      </c>
      <c r="H1290" t="s">
        <v>125</v>
      </c>
      <c r="I1290" t="s">
        <v>154</v>
      </c>
      <c r="J1290" t="s">
        <v>154</v>
      </c>
      <c r="K1290" t="s">
        <v>151</v>
      </c>
      <c r="L1290">
        <v>50</v>
      </c>
      <c r="M1290">
        <v>3204734</v>
      </c>
      <c r="N1290">
        <v>0</v>
      </c>
      <c r="O1290">
        <v>5</v>
      </c>
      <c r="P1290" t="s">
        <v>1515</v>
      </c>
      <c r="Q1290" t="s">
        <v>129</v>
      </c>
      <c r="R1290">
        <v>5</v>
      </c>
      <c r="S1290" t="s">
        <v>189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50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>
        <v>50</v>
      </c>
      <c r="AJ1290">
        <v>50</v>
      </c>
      <c r="AK1290">
        <v>50</v>
      </c>
      <c r="AL1290">
        <v>50</v>
      </c>
      <c r="AM1290">
        <v>0</v>
      </c>
      <c r="AN1290">
        <v>4.5454545454545459</v>
      </c>
      <c r="AO1290">
        <v>0</v>
      </c>
      <c r="AP1290" t="s">
        <v>172</v>
      </c>
      <c r="AQ1290" t="s">
        <v>155</v>
      </c>
      <c r="AR1290" t="s">
        <v>229</v>
      </c>
      <c r="AS1290">
        <v>0</v>
      </c>
      <c r="AT1290">
        <v>0</v>
      </c>
      <c r="AU1290">
        <v>0</v>
      </c>
      <c r="AV1290">
        <v>0</v>
      </c>
      <c r="AW1290">
        <v>0</v>
      </c>
      <c r="AX1290">
        <v>0</v>
      </c>
      <c r="AY1290">
        <v>0</v>
      </c>
      <c r="AZ1290" t="s">
        <v>147</v>
      </c>
      <c r="BA1290">
        <v>0</v>
      </c>
      <c r="BB1290">
        <v>0</v>
      </c>
      <c r="BC1290" t="s">
        <v>133</v>
      </c>
      <c r="BD1290">
        <v>3</v>
      </c>
      <c r="BE1290" t="s">
        <v>133</v>
      </c>
      <c r="BF129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91" spans="1:58" x14ac:dyDescent="0.25">
      <c r="A1291" t="s">
        <v>1578</v>
      </c>
      <c r="B1291" t="s">
        <v>19</v>
      </c>
      <c r="C1291">
        <v>3</v>
      </c>
      <c r="D1291">
        <v>55</v>
      </c>
      <c r="E1291" t="s">
        <v>2109</v>
      </c>
      <c r="F1291" t="s">
        <v>123</v>
      </c>
      <c r="G1291" t="s">
        <v>124</v>
      </c>
      <c r="H1291" t="s">
        <v>125</v>
      </c>
      <c r="I1291" t="s">
        <v>154</v>
      </c>
      <c r="J1291" t="s">
        <v>154</v>
      </c>
      <c r="K1291" t="s">
        <v>151</v>
      </c>
      <c r="L1291">
        <v>50</v>
      </c>
      <c r="M1291">
        <v>3204736</v>
      </c>
      <c r="N1291">
        <v>0</v>
      </c>
      <c r="O1291">
        <v>5</v>
      </c>
      <c r="P1291" t="s">
        <v>1515</v>
      </c>
      <c r="Q1291" t="s">
        <v>129</v>
      </c>
      <c r="R1291">
        <v>5</v>
      </c>
      <c r="S1291" t="s">
        <v>189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50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50</v>
      </c>
      <c r="AJ1291">
        <v>50</v>
      </c>
      <c r="AK1291">
        <v>50</v>
      </c>
      <c r="AL1291">
        <v>50</v>
      </c>
      <c r="AM1291">
        <v>0</v>
      </c>
      <c r="AN1291">
        <v>4.5454545454545459</v>
      </c>
      <c r="AO1291">
        <v>0</v>
      </c>
      <c r="AP1291" t="s">
        <v>172</v>
      </c>
      <c r="AQ1291" t="s">
        <v>155</v>
      </c>
      <c r="AR1291" t="s">
        <v>229</v>
      </c>
      <c r="AS1291">
        <v>0</v>
      </c>
      <c r="AT1291">
        <v>0</v>
      </c>
      <c r="AU1291">
        <v>0</v>
      </c>
      <c r="AV1291">
        <v>0</v>
      </c>
      <c r="AW1291">
        <v>0</v>
      </c>
      <c r="AX1291">
        <v>0</v>
      </c>
      <c r="AY1291">
        <v>0</v>
      </c>
      <c r="AZ1291" t="s">
        <v>147</v>
      </c>
      <c r="BA1291">
        <v>0</v>
      </c>
      <c r="BB1291">
        <v>0</v>
      </c>
      <c r="BC1291" t="s">
        <v>144</v>
      </c>
      <c r="BD1291">
        <v>4</v>
      </c>
      <c r="BE1291" t="s">
        <v>133</v>
      </c>
      <c r="BF129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92" spans="1:58" x14ac:dyDescent="0.25">
      <c r="A1292" t="s">
        <v>1579</v>
      </c>
      <c r="B1292" t="s">
        <v>19</v>
      </c>
      <c r="C1292">
        <v>3</v>
      </c>
      <c r="D1292">
        <v>56</v>
      </c>
      <c r="E1292" t="s">
        <v>2111</v>
      </c>
      <c r="F1292" t="s">
        <v>123</v>
      </c>
      <c r="G1292" t="s">
        <v>124</v>
      </c>
      <c r="H1292" t="s">
        <v>125</v>
      </c>
      <c r="I1292" t="s">
        <v>148</v>
      </c>
      <c r="J1292" t="s">
        <v>157</v>
      </c>
      <c r="K1292" t="s">
        <v>127</v>
      </c>
      <c r="L1292">
        <v>50</v>
      </c>
      <c r="M1292">
        <v>1704177</v>
      </c>
      <c r="N1292">
        <v>6</v>
      </c>
      <c r="O1292">
        <v>5</v>
      </c>
      <c r="P1292" t="s">
        <v>1515</v>
      </c>
      <c r="Q1292" t="s">
        <v>129</v>
      </c>
      <c r="R1292">
        <v>6</v>
      </c>
      <c r="T1292">
        <v>0</v>
      </c>
      <c r="U1292">
        <v>12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12</v>
      </c>
      <c r="AB1292">
        <v>50</v>
      </c>
      <c r="AC1292">
        <v>46</v>
      </c>
      <c r="AD1292">
        <v>0</v>
      </c>
      <c r="AE1292">
        <v>0</v>
      </c>
      <c r="AF1292">
        <v>46</v>
      </c>
      <c r="AG1292">
        <v>0</v>
      </c>
      <c r="AH1292">
        <v>4</v>
      </c>
      <c r="AI1292">
        <v>4</v>
      </c>
      <c r="AJ1292">
        <v>4</v>
      </c>
      <c r="AK1292">
        <v>4</v>
      </c>
      <c r="AL1292">
        <v>0</v>
      </c>
      <c r="AM1292">
        <v>0.12</v>
      </c>
      <c r="AN1292">
        <v>0.36363636363636365</v>
      </c>
      <c r="AO1292">
        <v>0</v>
      </c>
      <c r="AP1292" t="s">
        <v>150</v>
      </c>
      <c r="AQ1292" t="s">
        <v>131</v>
      </c>
      <c r="AR1292" t="s">
        <v>1184</v>
      </c>
      <c r="AS1292">
        <v>0</v>
      </c>
      <c r="AT1292">
        <v>0</v>
      </c>
      <c r="AU1292">
        <v>0</v>
      </c>
      <c r="AV1292">
        <v>0</v>
      </c>
      <c r="AW1292">
        <v>0</v>
      </c>
      <c r="AX1292">
        <v>0</v>
      </c>
      <c r="AY1292">
        <v>0</v>
      </c>
      <c r="AZ1292" t="s">
        <v>147</v>
      </c>
      <c r="BA1292">
        <v>6</v>
      </c>
      <c r="BB1292">
        <v>0</v>
      </c>
      <c r="BC1292" t="s">
        <v>132</v>
      </c>
      <c r="BD1292">
        <v>0</v>
      </c>
      <c r="BE1292" t="s">
        <v>133</v>
      </c>
      <c r="BF129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93" spans="1:58" x14ac:dyDescent="0.25">
      <c r="A1293" t="s">
        <v>1580</v>
      </c>
      <c r="B1293" t="s">
        <v>19</v>
      </c>
      <c r="C1293">
        <v>3</v>
      </c>
      <c r="D1293">
        <v>57</v>
      </c>
      <c r="E1293" t="s">
        <v>2111</v>
      </c>
      <c r="F1293" t="s">
        <v>123</v>
      </c>
      <c r="G1293" t="s">
        <v>124</v>
      </c>
      <c r="H1293" t="s">
        <v>125</v>
      </c>
      <c r="I1293" t="s">
        <v>148</v>
      </c>
      <c r="J1293" t="s">
        <v>157</v>
      </c>
      <c r="K1293" t="s">
        <v>127</v>
      </c>
      <c r="L1293">
        <v>50</v>
      </c>
      <c r="M1293">
        <v>1704179</v>
      </c>
      <c r="N1293">
        <v>6</v>
      </c>
      <c r="O1293">
        <v>5</v>
      </c>
      <c r="P1293" t="s">
        <v>1515</v>
      </c>
      <c r="Q1293" t="s">
        <v>129</v>
      </c>
      <c r="R1293">
        <v>6</v>
      </c>
      <c r="T1293">
        <v>0</v>
      </c>
      <c r="U1293">
        <v>10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10</v>
      </c>
      <c r="AB1293">
        <v>50</v>
      </c>
      <c r="AC1293">
        <v>30</v>
      </c>
      <c r="AD1293">
        <v>0</v>
      </c>
      <c r="AE1293">
        <v>0</v>
      </c>
      <c r="AF1293">
        <v>30</v>
      </c>
      <c r="AG1293">
        <v>0</v>
      </c>
      <c r="AH1293">
        <v>20</v>
      </c>
      <c r="AI1293">
        <v>20</v>
      </c>
      <c r="AJ1293">
        <v>20</v>
      </c>
      <c r="AK1293">
        <v>20</v>
      </c>
      <c r="AL1293">
        <v>0</v>
      </c>
      <c r="AM1293">
        <v>0.12</v>
      </c>
      <c r="AN1293">
        <v>1.8181818181818183</v>
      </c>
      <c r="AO1293">
        <v>0</v>
      </c>
      <c r="AP1293" t="s">
        <v>150</v>
      </c>
      <c r="AQ1293" t="s">
        <v>131</v>
      </c>
      <c r="AR1293" t="s">
        <v>1184</v>
      </c>
      <c r="AS1293">
        <v>0</v>
      </c>
      <c r="AT1293">
        <v>0</v>
      </c>
      <c r="AU1293">
        <v>0</v>
      </c>
      <c r="AV1293">
        <v>0</v>
      </c>
      <c r="AW1293">
        <v>0</v>
      </c>
      <c r="AX1293">
        <v>0</v>
      </c>
      <c r="AY1293">
        <v>0</v>
      </c>
      <c r="AZ1293" t="s">
        <v>147</v>
      </c>
      <c r="BA1293">
        <v>6</v>
      </c>
      <c r="BB1293">
        <v>0</v>
      </c>
      <c r="BC1293" t="s">
        <v>133</v>
      </c>
      <c r="BD1293">
        <v>0</v>
      </c>
      <c r="BE1293" t="s">
        <v>133</v>
      </c>
      <c r="BF129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94" spans="1:58" x14ac:dyDescent="0.25">
      <c r="A1294" t="s">
        <v>1581</v>
      </c>
      <c r="B1294" t="s">
        <v>19</v>
      </c>
      <c r="C1294">
        <v>3</v>
      </c>
      <c r="D1294">
        <v>58</v>
      </c>
      <c r="E1294" t="s">
        <v>2111</v>
      </c>
      <c r="F1294" t="s">
        <v>123</v>
      </c>
      <c r="G1294" t="s">
        <v>124</v>
      </c>
      <c r="H1294" t="s">
        <v>125</v>
      </c>
      <c r="I1294" t="s">
        <v>148</v>
      </c>
      <c r="J1294" t="s">
        <v>157</v>
      </c>
      <c r="K1294" t="s">
        <v>127</v>
      </c>
      <c r="L1294">
        <v>50</v>
      </c>
      <c r="M1294">
        <v>1704181</v>
      </c>
      <c r="N1294">
        <v>6</v>
      </c>
      <c r="O1294">
        <v>5</v>
      </c>
      <c r="P1294" t="s">
        <v>1515</v>
      </c>
      <c r="Q1294" t="s">
        <v>129</v>
      </c>
      <c r="R1294">
        <v>6</v>
      </c>
      <c r="T1294">
        <v>0</v>
      </c>
      <c r="U1294">
        <v>8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8</v>
      </c>
      <c r="AB1294">
        <v>50</v>
      </c>
      <c r="AC1294">
        <v>28</v>
      </c>
      <c r="AD1294">
        <v>0</v>
      </c>
      <c r="AE1294">
        <v>0</v>
      </c>
      <c r="AF1294">
        <v>28</v>
      </c>
      <c r="AG1294">
        <v>0</v>
      </c>
      <c r="AH1294">
        <v>22</v>
      </c>
      <c r="AI1294">
        <v>22</v>
      </c>
      <c r="AJ1294">
        <v>22</v>
      </c>
      <c r="AK1294">
        <v>22</v>
      </c>
      <c r="AL1294">
        <v>0</v>
      </c>
      <c r="AM1294">
        <v>0.12</v>
      </c>
      <c r="AN1294">
        <v>2</v>
      </c>
      <c r="AO1294">
        <v>0</v>
      </c>
      <c r="AP1294" t="s">
        <v>150</v>
      </c>
      <c r="AQ1294" t="s">
        <v>131</v>
      </c>
      <c r="AR1294" t="s">
        <v>1184</v>
      </c>
      <c r="AS1294">
        <v>0</v>
      </c>
      <c r="AT1294">
        <v>0</v>
      </c>
      <c r="AU1294">
        <v>0</v>
      </c>
      <c r="AV1294">
        <v>0</v>
      </c>
      <c r="AW1294">
        <v>0</v>
      </c>
      <c r="AX1294">
        <v>0</v>
      </c>
      <c r="AY1294">
        <v>0</v>
      </c>
      <c r="AZ1294" t="s">
        <v>147</v>
      </c>
      <c r="BA1294">
        <v>6</v>
      </c>
      <c r="BB1294">
        <v>0</v>
      </c>
      <c r="BC1294" t="s">
        <v>133</v>
      </c>
      <c r="BD1294">
        <v>0</v>
      </c>
      <c r="BE1294" t="s">
        <v>133</v>
      </c>
      <c r="BF129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95" spans="1:58" x14ac:dyDescent="0.25">
      <c r="A1295" t="s">
        <v>1582</v>
      </c>
      <c r="B1295" t="s">
        <v>19</v>
      </c>
      <c r="C1295">
        <v>3</v>
      </c>
      <c r="D1295">
        <v>59</v>
      </c>
      <c r="E1295" t="s">
        <v>2111</v>
      </c>
      <c r="F1295" t="s">
        <v>123</v>
      </c>
      <c r="G1295" t="s">
        <v>124</v>
      </c>
      <c r="H1295" t="s">
        <v>125</v>
      </c>
      <c r="I1295" t="s">
        <v>148</v>
      </c>
      <c r="J1295" t="s">
        <v>157</v>
      </c>
      <c r="K1295" t="s">
        <v>127</v>
      </c>
      <c r="L1295">
        <v>50</v>
      </c>
      <c r="M1295">
        <v>1704183</v>
      </c>
      <c r="N1295">
        <v>6</v>
      </c>
      <c r="O1295">
        <v>5</v>
      </c>
      <c r="P1295" t="s">
        <v>1515</v>
      </c>
      <c r="Q1295" t="s">
        <v>129</v>
      </c>
      <c r="R1295">
        <v>6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50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50</v>
      </c>
      <c r="AI1295">
        <v>50</v>
      </c>
      <c r="AJ1295">
        <v>50</v>
      </c>
      <c r="AK1295">
        <v>50</v>
      </c>
      <c r="AL1295">
        <v>0</v>
      </c>
      <c r="AM1295">
        <v>0.12</v>
      </c>
      <c r="AN1295">
        <v>4.5454545454545459</v>
      </c>
      <c r="AO1295">
        <v>0</v>
      </c>
      <c r="AP1295" t="s">
        <v>150</v>
      </c>
      <c r="AQ1295" t="s">
        <v>155</v>
      </c>
      <c r="AR1295" t="s">
        <v>1184</v>
      </c>
      <c r="AS1295">
        <v>0</v>
      </c>
      <c r="AT1295">
        <v>0</v>
      </c>
      <c r="AU1295">
        <v>0</v>
      </c>
      <c r="AV1295">
        <v>0</v>
      </c>
      <c r="AW1295">
        <v>0</v>
      </c>
      <c r="AX1295">
        <v>0</v>
      </c>
      <c r="AY1295">
        <v>0</v>
      </c>
      <c r="AZ1295" t="s">
        <v>147</v>
      </c>
      <c r="BA1295">
        <v>6</v>
      </c>
      <c r="BB1295">
        <v>0</v>
      </c>
      <c r="BC1295" t="s">
        <v>133</v>
      </c>
      <c r="BD1295">
        <v>1</v>
      </c>
      <c r="BE1295" t="s">
        <v>133</v>
      </c>
      <c r="BF129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96" spans="1:58" x14ac:dyDescent="0.25">
      <c r="A1296" t="s">
        <v>1583</v>
      </c>
      <c r="B1296" t="s">
        <v>19</v>
      </c>
      <c r="C1296">
        <v>3</v>
      </c>
      <c r="D1296">
        <v>60</v>
      </c>
      <c r="E1296" t="s">
        <v>2111</v>
      </c>
      <c r="F1296" t="s">
        <v>123</v>
      </c>
      <c r="G1296" t="s">
        <v>124</v>
      </c>
      <c r="H1296" t="s">
        <v>125</v>
      </c>
      <c r="I1296" t="s">
        <v>148</v>
      </c>
      <c r="J1296" t="s">
        <v>157</v>
      </c>
      <c r="K1296" t="s">
        <v>127</v>
      </c>
      <c r="L1296">
        <v>50</v>
      </c>
      <c r="M1296">
        <v>1704185</v>
      </c>
      <c r="N1296">
        <v>6</v>
      </c>
      <c r="O1296">
        <v>5</v>
      </c>
      <c r="P1296" t="s">
        <v>1515</v>
      </c>
      <c r="Q1296" t="s">
        <v>129</v>
      </c>
      <c r="R1296">
        <v>6</v>
      </c>
      <c r="T1296">
        <v>0</v>
      </c>
      <c r="U1296">
        <v>1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1</v>
      </c>
      <c r="AB1296">
        <v>50</v>
      </c>
      <c r="AC1296">
        <v>1</v>
      </c>
      <c r="AD1296">
        <v>0</v>
      </c>
      <c r="AE1296">
        <v>0</v>
      </c>
      <c r="AF1296">
        <v>1</v>
      </c>
      <c r="AG1296">
        <v>0</v>
      </c>
      <c r="AH1296">
        <v>49</v>
      </c>
      <c r="AI1296">
        <v>49</v>
      </c>
      <c r="AJ1296">
        <v>49</v>
      </c>
      <c r="AK1296">
        <v>49</v>
      </c>
      <c r="AL1296">
        <v>0</v>
      </c>
      <c r="AM1296">
        <v>0.12</v>
      </c>
      <c r="AN1296">
        <v>4.454545454545455</v>
      </c>
      <c r="AO1296">
        <v>0</v>
      </c>
      <c r="AP1296" t="s">
        <v>150</v>
      </c>
      <c r="AQ1296" t="s">
        <v>131</v>
      </c>
      <c r="AR1296" t="s">
        <v>1184</v>
      </c>
      <c r="AS1296">
        <v>0</v>
      </c>
      <c r="AT1296">
        <v>0</v>
      </c>
      <c r="AU1296">
        <v>0</v>
      </c>
      <c r="AV1296">
        <v>0</v>
      </c>
      <c r="AW1296">
        <v>0</v>
      </c>
      <c r="AX1296">
        <v>0</v>
      </c>
      <c r="AY1296">
        <v>0</v>
      </c>
      <c r="AZ1296" t="s">
        <v>147</v>
      </c>
      <c r="BA1296">
        <v>6</v>
      </c>
      <c r="BB1296">
        <v>0</v>
      </c>
      <c r="BC1296" t="s">
        <v>133</v>
      </c>
      <c r="BD1296">
        <v>0</v>
      </c>
      <c r="BE1296" t="s">
        <v>133</v>
      </c>
      <c r="BF129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97" spans="1:58" x14ac:dyDescent="0.25">
      <c r="A1297" t="s">
        <v>1584</v>
      </c>
      <c r="B1297" t="s">
        <v>19</v>
      </c>
      <c r="C1297">
        <v>3</v>
      </c>
      <c r="D1297">
        <v>61</v>
      </c>
      <c r="E1297" t="s">
        <v>2111</v>
      </c>
      <c r="F1297" t="s">
        <v>123</v>
      </c>
      <c r="G1297" t="s">
        <v>124</v>
      </c>
      <c r="H1297" t="s">
        <v>125</v>
      </c>
      <c r="I1297" t="s">
        <v>148</v>
      </c>
      <c r="J1297" t="s">
        <v>157</v>
      </c>
      <c r="K1297" t="s">
        <v>127</v>
      </c>
      <c r="L1297">
        <v>50</v>
      </c>
      <c r="M1297">
        <v>1704187</v>
      </c>
      <c r="N1297">
        <v>6</v>
      </c>
      <c r="O1297">
        <v>5</v>
      </c>
      <c r="P1297" t="s">
        <v>1515</v>
      </c>
      <c r="Q1297" t="s">
        <v>129</v>
      </c>
      <c r="R1297">
        <v>6</v>
      </c>
      <c r="T1297">
        <v>0</v>
      </c>
      <c r="U1297">
        <v>1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1</v>
      </c>
      <c r="AB1297">
        <v>50</v>
      </c>
      <c r="AC1297">
        <v>1</v>
      </c>
      <c r="AD1297">
        <v>0</v>
      </c>
      <c r="AE1297">
        <v>0</v>
      </c>
      <c r="AF1297">
        <v>1</v>
      </c>
      <c r="AG1297">
        <v>0</v>
      </c>
      <c r="AH1297">
        <v>49</v>
      </c>
      <c r="AI1297">
        <v>49</v>
      </c>
      <c r="AJ1297">
        <v>49</v>
      </c>
      <c r="AK1297">
        <v>49</v>
      </c>
      <c r="AL1297">
        <v>0</v>
      </c>
      <c r="AM1297">
        <v>0.12</v>
      </c>
      <c r="AN1297">
        <v>4.454545454545455</v>
      </c>
      <c r="AO1297">
        <v>0</v>
      </c>
      <c r="AP1297" t="s">
        <v>150</v>
      </c>
      <c r="AQ1297" t="s">
        <v>131</v>
      </c>
      <c r="AR1297" t="s">
        <v>1184</v>
      </c>
      <c r="AS1297">
        <v>0</v>
      </c>
      <c r="AT1297">
        <v>0</v>
      </c>
      <c r="AU1297">
        <v>0</v>
      </c>
      <c r="AV1297">
        <v>0</v>
      </c>
      <c r="AW1297">
        <v>0</v>
      </c>
      <c r="AX1297">
        <v>0</v>
      </c>
      <c r="AY1297">
        <v>0</v>
      </c>
      <c r="AZ1297" t="s">
        <v>147</v>
      </c>
      <c r="BA1297">
        <v>6</v>
      </c>
      <c r="BB1297">
        <v>0</v>
      </c>
      <c r="BC1297" t="s">
        <v>133</v>
      </c>
      <c r="BD1297">
        <v>0</v>
      </c>
      <c r="BE1297" t="s">
        <v>133</v>
      </c>
      <c r="BF129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98" spans="1:58" x14ac:dyDescent="0.25">
      <c r="A1298" t="s">
        <v>1585</v>
      </c>
      <c r="B1298" t="s">
        <v>19</v>
      </c>
      <c r="C1298">
        <v>3</v>
      </c>
      <c r="D1298">
        <v>62</v>
      </c>
      <c r="E1298" t="s">
        <v>2111</v>
      </c>
      <c r="F1298" t="s">
        <v>123</v>
      </c>
      <c r="G1298" t="s">
        <v>124</v>
      </c>
      <c r="H1298" t="s">
        <v>125</v>
      </c>
      <c r="I1298" t="s">
        <v>148</v>
      </c>
      <c r="J1298" t="s">
        <v>157</v>
      </c>
      <c r="K1298" t="s">
        <v>127</v>
      </c>
      <c r="L1298">
        <v>50</v>
      </c>
      <c r="M1298">
        <v>1704189</v>
      </c>
      <c r="N1298">
        <v>6</v>
      </c>
      <c r="O1298">
        <v>5</v>
      </c>
      <c r="P1298" t="s">
        <v>1515</v>
      </c>
      <c r="Q1298" t="s">
        <v>129</v>
      </c>
      <c r="R1298">
        <v>6</v>
      </c>
      <c r="T1298">
        <v>0</v>
      </c>
      <c r="U1298">
        <v>6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6</v>
      </c>
      <c r="AB1298">
        <v>50</v>
      </c>
      <c r="AC1298">
        <v>12</v>
      </c>
      <c r="AD1298">
        <v>0</v>
      </c>
      <c r="AE1298">
        <v>0</v>
      </c>
      <c r="AF1298">
        <v>12</v>
      </c>
      <c r="AG1298">
        <v>0</v>
      </c>
      <c r="AH1298">
        <v>38</v>
      </c>
      <c r="AI1298">
        <v>38</v>
      </c>
      <c r="AJ1298">
        <v>38</v>
      </c>
      <c r="AK1298">
        <v>38</v>
      </c>
      <c r="AL1298">
        <v>0</v>
      </c>
      <c r="AM1298">
        <v>0.12</v>
      </c>
      <c r="AN1298">
        <v>3.4545454545454546</v>
      </c>
      <c r="AO1298">
        <v>0</v>
      </c>
      <c r="AP1298" t="s">
        <v>150</v>
      </c>
      <c r="AQ1298" t="s">
        <v>131</v>
      </c>
      <c r="AR1298" t="s">
        <v>1184</v>
      </c>
      <c r="AS1298">
        <v>0</v>
      </c>
      <c r="AT1298">
        <v>0</v>
      </c>
      <c r="AU1298">
        <v>0</v>
      </c>
      <c r="AV1298">
        <v>0</v>
      </c>
      <c r="AW1298">
        <v>0</v>
      </c>
      <c r="AX1298">
        <v>0</v>
      </c>
      <c r="AY1298">
        <v>0</v>
      </c>
      <c r="AZ1298" t="s">
        <v>147</v>
      </c>
      <c r="BA1298">
        <v>6</v>
      </c>
      <c r="BB1298">
        <v>0</v>
      </c>
      <c r="BC1298" t="s">
        <v>133</v>
      </c>
      <c r="BD1298">
        <v>0</v>
      </c>
      <c r="BE1298" t="s">
        <v>133</v>
      </c>
      <c r="BF129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299" spans="1:58" x14ac:dyDescent="0.25">
      <c r="A1299" t="s">
        <v>1586</v>
      </c>
      <c r="B1299" t="s">
        <v>19</v>
      </c>
      <c r="C1299">
        <v>3</v>
      </c>
      <c r="D1299">
        <v>63</v>
      </c>
      <c r="E1299" t="s">
        <v>2111</v>
      </c>
      <c r="F1299" t="s">
        <v>123</v>
      </c>
      <c r="G1299" t="s">
        <v>124</v>
      </c>
      <c r="H1299" t="s">
        <v>125</v>
      </c>
      <c r="I1299" t="s">
        <v>148</v>
      </c>
      <c r="J1299" t="s">
        <v>157</v>
      </c>
      <c r="K1299" t="s">
        <v>127</v>
      </c>
      <c r="L1299">
        <v>50</v>
      </c>
      <c r="M1299">
        <v>1704191</v>
      </c>
      <c r="N1299">
        <v>6</v>
      </c>
      <c r="O1299">
        <v>5</v>
      </c>
      <c r="P1299" t="s">
        <v>1515</v>
      </c>
      <c r="Q1299" t="s">
        <v>129</v>
      </c>
      <c r="R1299">
        <v>6</v>
      </c>
      <c r="T1299">
        <v>0</v>
      </c>
      <c r="U1299">
        <v>12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12</v>
      </c>
      <c r="AB1299">
        <v>50</v>
      </c>
      <c r="AC1299">
        <v>46</v>
      </c>
      <c r="AD1299">
        <v>0</v>
      </c>
      <c r="AE1299">
        <v>0</v>
      </c>
      <c r="AF1299">
        <v>46</v>
      </c>
      <c r="AG1299">
        <v>0</v>
      </c>
      <c r="AH1299">
        <v>4</v>
      </c>
      <c r="AI1299">
        <v>4</v>
      </c>
      <c r="AJ1299">
        <v>4</v>
      </c>
      <c r="AK1299">
        <v>4</v>
      </c>
      <c r="AL1299">
        <v>0</v>
      </c>
      <c r="AM1299">
        <v>0.12</v>
      </c>
      <c r="AN1299">
        <v>0.36363636363636365</v>
      </c>
      <c r="AO1299">
        <v>0</v>
      </c>
      <c r="AP1299" t="s">
        <v>150</v>
      </c>
      <c r="AQ1299" t="s">
        <v>131</v>
      </c>
      <c r="AR1299" t="s">
        <v>1184</v>
      </c>
      <c r="AS1299">
        <v>0</v>
      </c>
      <c r="AT1299">
        <v>0</v>
      </c>
      <c r="AU1299">
        <v>0</v>
      </c>
      <c r="AV1299">
        <v>0</v>
      </c>
      <c r="AW1299">
        <v>0</v>
      </c>
      <c r="AX1299">
        <v>0</v>
      </c>
      <c r="AY1299">
        <v>0</v>
      </c>
      <c r="AZ1299" t="s">
        <v>147</v>
      </c>
      <c r="BA1299">
        <v>6</v>
      </c>
      <c r="BB1299">
        <v>0</v>
      </c>
      <c r="BC1299" t="s">
        <v>133</v>
      </c>
      <c r="BD1299">
        <v>0</v>
      </c>
      <c r="BE1299" t="s">
        <v>133</v>
      </c>
      <c r="BF129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00" spans="1:58" x14ac:dyDescent="0.25">
      <c r="A1300" t="s">
        <v>1587</v>
      </c>
      <c r="B1300" t="s">
        <v>19</v>
      </c>
      <c r="C1300">
        <v>3</v>
      </c>
      <c r="D1300">
        <v>64</v>
      </c>
      <c r="E1300" t="s">
        <v>2111</v>
      </c>
      <c r="F1300" t="s">
        <v>123</v>
      </c>
      <c r="G1300" t="s">
        <v>124</v>
      </c>
      <c r="H1300" t="s">
        <v>125</v>
      </c>
      <c r="I1300" t="s">
        <v>148</v>
      </c>
      <c r="J1300" t="s">
        <v>157</v>
      </c>
      <c r="K1300" t="s">
        <v>127</v>
      </c>
      <c r="L1300">
        <v>50</v>
      </c>
      <c r="M1300">
        <v>1704193</v>
      </c>
      <c r="N1300">
        <v>6</v>
      </c>
      <c r="O1300">
        <v>5</v>
      </c>
      <c r="P1300" t="s">
        <v>1515</v>
      </c>
      <c r="Q1300" t="s">
        <v>129</v>
      </c>
      <c r="R1300">
        <v>6</v>
      </c>
      <c r="T1300">
        <v>0</v>
      </c>
      <c r="U1300">
        <v>10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10</v>
      </c>
      <c r="AB1300">
        <v>50</v>
      </c>
      <c r="AC1300">
        <v>30</v>
      </c>
      <c r="AD1300">
        <v>0</v>
      </c>
      <c r="AE1300">
        <v>0</v>
      </c>
      <c r="AF1300">
        <v>30</v>
      </c>
      <c r="AG1300">
        <v>0</v>
      </c>
      <c r="AH1300">
        <v>20</v>
      </c>
      <c r="AI1300">
        <v>20</v>
      </c>
      <c r="AJ1300">
        <v>20</v>
      </c>
      <c r="AK1300">
        <v>20</v>
      </c>
      <c r="AL1300">
        <v>0</v>
      </c>
      <c r="AM1300">
        <v>0.12</v>
      </c>
      <c r="AN1300">
        <v>1.8181818181818183</v>
      </c>
      <c r="AO1300">
        <v>0</v>
      </c>
      <c r="AP1300" t="s">
        <v>150</v>
      </c>
      <c r="AQ1300" t="s">
        <v>131</v>
      </c>
      <c r="AR1300" t="s">
        <v>1184</v>
      </c>
      <c r="AS1300">
        <v>0</v>
      </c>
      <c r="AT1300">
        <v>0</v>
      </c>
      <c r="AU1300">
        <v>0</v>
      </c>
      <c r="AV1300">
        <v>0</v>
      </c>
      <c r="AW1300">
        <v>0</v>
      </c>
      <c r="AX1300">
        <v>0</v>
      </c>
      <c r="AY1300">
        <v>0</v>
      </c>
      <c r="AZ1300" t="s">
        <v>147</v>
      </c>
      <c r="BA1300">
        <v>6</v>
      </c>
      <c r="BB1300">
        <v>0</v>
      </c>
      <c r="BC1300" t="s">
        <v>133</v>
      </c>
      <c r="BD1300">
        <v>0</v>
      </c>
      <c r="BE1300" t="s">
        <v>133</v>
      </c>
      <c r="BF130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01" spans="1:58" x14ac:dyDescent="0.25">
      <c r="A1301" t="s">
        <v>1588</v>
      </c>
      <c r="B1301" t="s">
        <v>19</v>
      </c>
      <c r="C1301">
        <v>3</v>
      </c>
      <c r="D1301">
        <v>65</v>
      </c>
      <c r="E1301" t="s">
        <v>2111</v>
      </c>
      <c r="F1301" t="s">
        <v>123</v>
      </c>
      <c r="G1301" t="s">
        <v>124</v>
      </c>
      <c r="H1301" t="s">
        <v>125</v>
      </c>
      <c r="I1301" t="s">
        <v>148</v>
      </c>
      <c r="J1301" t="s">
        <v>157</v>
      </c>
      <c r="K1301" t="s">
        <v>127</v>
      </c>
      <c r="L1301">
        <v>50</v>
      </c>
      <c r="M1301">
        <v>1704195</v>
      </c>
      <c r="N1301">
        <v>6</v>
      </c>
      <c r="O1301">
        <v>5</v>
      </c>
      <c r="P1301" t="s">
        <v>1515</v>
      </c>
      <c r="Q1301" t="s">
        <v>129</v>
      </c>
      <c r="R1301">
        <v>6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0</v>
      </c>
      <c r="AB1301">
        <v>50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50</v>
      </c>
      <c r="AI1301">
        <v>50</v>
      </c>
      <c r="AJ1301">
        <v>50</v>
      </c>
      <c r="AK1301">
        <v>50</v>
      </c>
      <c r="AL1301">
        <v>0</v>
      </c>
      <c r="AM1301">
        <v>0.12</v>
      </c>
      <c r="AN1301">
        <v>4.5454545454545459</v>
      </c>
      <c r="AO1301">
        <v>0</v>
      </c>
      <c r="AP1301" t="s">
        <v>150</v>
      </c>
      <c r="AQ1301" t="s">
        <v>155</v>
      </c>
      <c r="AR1301" t="s">
        <v>1184</v>
      </c>
      <c r="AS1301">
        <v>0</v>
      </c>
      <c r="AT1301">
        <v>0</v>
      </c>
      <c r="AU1301">
        <v>0</v>
      </c>
      <c r="AV1301">
        <v>0</v>
      </c>
      <c r="AW1301">
        <v>0</v>
      </c>
      <c r="AX1301">
        <v>0</v>
      </c>
      <c r="AY1301">
        <v>0</v>
      </c>
      <c r="AZ1301" t="s">
        <v>147</v>
      </c>
      <c r="BA1301">
        <v>6</v>
      </c>
      <c r="BB1301">
        <v>0</v>
      </c>
      <c r="BC1301" t="s">
        <v>133</v>
      </c>
      <c r="BD1301">
        <v>1</v>
      </c>
      <c r="BE1301" t="s">
        <v>133</v>
      </c>
      <c r="BF130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02" spans="1:58" x14ac:dyDescent="0.25">
      <c r="A1302" t="s">
        <v>1589</v>
      </c>
      <c r="B1302" t="s">
        <v>19</v>
      </c>
      <c r="C1302">
        <v>3</v>
      </c>
      <c r="D1302">
        <v>66</v>
      </c>
      <c r="E1302" t="s">
        <v>2111</v>
      </c>
      <c r="F1302" t="s">
        <v>123</v>
      </c>
      <c r="G1302" t="s">
        <v>124</v>
      </c>
      <c r="H1302" t="s">
        <v>125</v>
      </c>
      <c r="I1302" t="s">
        <v>148</v>
      </c>
      <c r="J1302" t="s">
        <v>157</v>
      </c>
      <c r="K1302" t="s">
        <v>127</v>
      </c>
      <c r="L1302">
        <v>50</v>
      </c>
      <c r="M1302">
        <v>1704197</v>
      </c>
      <c r="N1302">
        <v>6</v>
      </c>
      <c r="O1302">
        <v>5</v>
      </c>
      <c r="P1302" t="s">
        <v>1515</v>
      </c>
      <c r="Q1302" t="s">
        <v>129</v>
      </c>
      <c r="R1302">
        <v>6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50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50</v>
      </c>
      <c r="AI1302">
        <v>50</v>
      </c>
      <c r="AJ1302">
        <v>50</v>
      </c>
      <c r="AK1302">
        <v>50</v>
      </c>
      <c r="AL1302">
        <v>0</v>
      </c>
      <c r="AM1302">
        <v>0.12</v>
      </c>
      <c r="AN1302">
        <v>4.5454545454545459</v>
      </c>
      <c r="AO1302">
        <v>0</v>
      </c>
      <c r="AP1302" t="s">
        <v>150</v>
      </c>
      <c r="AQ1302" t="s">
        <v>155</v>
      </c>
      <c r="AR1302" t="s">
        <v>1184</v>
      </c>
      <c r="AS1302">
        <v>0</v>
      </c>
      <c r="AT1302">
        <v>0</v>
      </c>
      <c r="AU1302">
        <v>0</v>
      </c>
      <c r="AV1302">
        <v>0</v>
      </c>
      <c r="AW1302">
        <v>0</v>
      </c>
      <c r="AX1302">
        <v>0</v>
      </c>
      <c r="AY1302">
        <v>0</v>
      </c>
      <c r="AZ1302" t="s">
        <v>147</v>
      </c>
      <c r="BA1302">
        <v>6</v>
      </c>
      <c r="BB1302">
        <v>0</v>
      </c>
      <c r="BC1302" t="s">
        <v>144</v>
      </c>
      <c r="BD1302">
        <v>2</v>
      </c>
      <c r="BE1302" t="s">
        <v>133</v>
      </c>
      <c r="BF130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03" spans="1:58" x14ac:dyDescent="0.25">
      <c r="A1303" t="s">
        <v>1590</v>
      </c>
      <c r="B1303" t="s">
        <v>19</v>
      </c>
      <c r="C1303">
        <v>3</v>
      </c>
      <c r="D1303">
        <v>67</v>
      </c>
      <c r="E1303" t="s">
        <v>2109</v>
      </c>
      <c r="F1303" t="s">
        <v>123</v>
      </c>
      <c r="G1303" t="s">
        <v>124</v>
      </c>
      <c r="H1303" t="s">
        <v>125</v>
      </c>
      <c r="I1303" t="s">
        <v>183</v>
      </c>
      <c r="J1303" t="s">
        <v>140</v>
      </c>
      <c r="K1303" t="s">
        <v>127</v>
      </c>
      <c r="L1303">
        <v>50</v>
      </c>
      <c r="M1303">
        <v>3183948</v>
      </c>
      <c r="N1303">
        <v>20</v>
      </c>
      <c r="O1303">
        <v>5</v>
      </c>
      <c r="P1303" t="s">
        <v>1515</v>
      </c>
      <c r="Q1303" t="s">
        <v>129</v>
      </c>
      <c r="R1303">
        <v>7</v>
      </c>
      <c r="T1303">
        <v>22</v>
      </c>
      <c r="U1303">
        <v>25</v>
      </c>
      <c r="V1303">
        <v>0</v>
      </c>
      <c r="W1303">
        <v>0</v>
      </c>
      <c r="X1303">
        <v>0</v>
      </c>
      <c r="Y1303">
        <v>0</v>
      </c>
      <c r="Z1303">
        <v>22</v>
      </c>
      <c r="AA1303">
        <v>25</v>
      </c>
      <c r="AB1303">
        <v>50</v>
      </c>
      <c r="AC1303">
        <v>49</v>
      </c>
      <c r="AD1303">
        <v>0</v>
      </c>
      <c r="AE1303">
        <v>0</v>
      </c>
      <c r="AF1303">
        <v>49</v>
      </c>
      <c r="AG1303">
        <v>0</v>
      </c>
      <c r="AH1303">
        <v>1</v>
      </c>
      <c r="AI1303">
        <v>1</v>
      </c>
      <c r="AJ1303">
        <v>1</v>
      </c>
      <c r="AK1303">
        <v>1</v>
      </c>
      <c r="AL1303">
        <v>0</v>
      </c>
      <c r="AM1303">
        <v>0.4</v>
      </c>
      <c r="AN1303">
        <v>9.0909090909090912E-2</v>
      </c>
      <c r="AO1303">
        <v>0</v>
      </c>
      <c r="AP1303" t="s">
        <v>188</v>
      </c>
      <c r="AQ1303" t="s">
        <v>131</v>
      </c>
      <c r="AR1303" t="s">
        <v>229</v>
      </c>
      <c r="AS1303">
        <v>0</v>
      </c>
      <c r="AT1303">
        <v>0</v>
      </c>
      <c r="AU1303">
        <v>0</v>
      </c>
      <c r="AV1303">
        <v>0</v>
      </c>
      <c r="AW1303">
        <v>0</v>
      </c>
      <c r="AX1303">
        <v>0</v>
      </c>
      <c r="AY1303">
        <v>0</v>
      </c>
      <c r="AZ1303" t="s">
        <v>147</v>
      </c>
      <c r="BA1303">
        <v>20</v>
      </c>
      <c r="BB1303">
        <v>0</v>
      </c>
      <c r="BC1303" t="s">
        <v>132</v>
      </c>
      <c r="BD1303">
        <v>0</v>
      </c>
      <c r="BE1303" t="s">
        <v>133</v>
      </c>
      <c r="BF130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04" spans="1:58" x14ac:dyDescent="0.25">
      <c r="A1304" t="s">
        <v>1591</v>
      </c>
      <c r="B1304" t="s">
        <v>19</v>
      </c>
      <c r="C1304">
        <v>3</v>
      </c>
      <c r="D1304">
        <v>68</v>
      </c>
      <c r="E1304" t="s">
        <v>2109</v>
      </c>
      <c r="F1304" t="s">
        <v>123</v>
      </c>
      <c r="G1304" t="s">
        <v>124</v>
      </c>
      <c r="H1304" t="s">
        <v>125</v>
      </c>
      <c r="I1304" t="s">
        <v>183</v>
      </c>
      <c r="J1304" t="s">
        <v>140</v>
      </c>
      <c r="K1304" t="s">
        <v>127</v>
      </c>
      <c r="L1304">
        <v>50</v>
      </c>
      <c r="M1304">
        <v>3183950</v>
      </c>
      <c r="N1304">
        <v>20</v>
      </c>
      <c r="O1304">
        <v>5</v>
      </c>
      <c r="P1304" t="s">
        <v>1515</v>
      </c>
      <c r="Q1304" t="s">
        <v>129</v>
      </c>
      <c r="R1304">
        <v>7</v>
      </c>
      <c r="T1304">
        <v>22</v>
      </c>
      <c r="U1304">
        <v>25</v>
      </c>
      <c r="V1304">
        <v>0</v>
      </c>
      <c r="W1304">
        <v>0</v>
      </c>
      <c r="X1304">
        <v>0</v>
      </c>
      <c r="Y1304">
        <v>0</v>
      </c>
      <c r="Z1304">
        <v>22</v>
      </c>
      <c r="AA1304">
        <v>25</v>
      </c>
      <c r="AB1304">
        <v>50</v>
      </c>
      <c r="AC1304">
        <v>49</v>
      </c>
      <c r="AD1304">
        <v>0</v>
      </c>
      <c r="AE1304">
        <v>0</v>
      </c>
      <c r="AF1304">
        <v>49</v>
      </c>
      <c r="AG1304">
        <v>0</v>
      </c>
      <c r="AH1304">
        <v>1</v>
      </c>
      <c r="AI1304">
        <v>1</v>
      </c>
      <c r="AJ1304">
        <v>1</v>
      </c>
      <c r="AK1304">
        <v>1</v>
      </c>
      <c r="AL1304">
        <v>0</v>
      </c>
      <c r="AM1304">
        <v>0.4</v>
      </c>
      <c r="AN1304">
        <v>9.0909090909090912E-2</v>
      </c>
      <c r="AO1304">
        <v>0</v>
      </c>
      <c r="AP1304" t="s">
        <v>188</v>
      </c>
      <c r="AQ1304" t="s">
        <v>131</v>
      </c>
      <c r="AR1304" t="s">
        <v>229</v>
      </c>
      <c r="AS1304">
        <v>0</v>
      </c>
      <c r="AT1304">
        <v>0</v>
      </c>
      <c r="AU1304">
        <v>0</v>
      </c>
      <c r="AV1304">
        <v>0</v>
      </c>
      <c r="AW1304">
        <v>0</v>
      </c>
      <c r="AX1304">
        <v>0</v>
      </c>
      <c r="AY1304">
        <v>0</v>
      </c>
      <c r="AZ1304" t="s">
        <v>147</v>
      </c>
      <c r="BA1304">
        <v>20</v>
      </c>
      <c r="BB1304">
        <v>0</v>
      </c>
      <c r="BC1304" t="s">
        <v>133</v>
      </c>
      <c r="BD1304">
        <v>0</v>
      </c>
      <c r="BE1304" t="s">
        <v>133</v>
      </c>
      <c r="BF130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05" spans="1:58" x14ac:dyDescent="0.25">
      <c r="A1305" t="s">
        <v>1592</v>
      </c>
      <c r="B1305" t="s">
        <v>19</v>
      </c>
      <c r="C1305">
        <v>3</v>
      </c>
      <c r="D1305">
        <v>69</v>
      </c>
      <c r="E1305" t="s">
        <v>2109</v>
      </c>
      <c r="F1305" t="s">
        <v>123</v>
      </c>
      <c r="G1305" t="s">
        <v>124</v>
      </c>
      <c r="H1305" t="s">
        <v>125</v>
      </c>
      <c r="I1305" t="s">
        <v>183</v>
      </c>
      <c r="J1305" t="s">
        <v>140</v>
      </c>
      <c r="K1305" t="s">
        <v>127</v>
      </c>
      <c r="L1305">
        <v>50</v>
      </c>
      <c r="M1305">
        <v>3183952</v>
      </c>
      <c r="N1305">
        <v>20</v>
      </c>
      <c r="O1305">
        <v>5</v>
      </c>
      <c r="P1305" t="s">
        <v>1515</v>
      </c>
      <c r="Q1305" t="s">
        <v>129</v>
      </c>
      <c r="R1305">
        <v>7</v>
      </c>
      <c r="T1305">
        <v>22</v>
      </c>
      <c r="U1305">
        <v>25</v>
      </c>
      <c r="V1305">
        <v>0</v>
      </c>
      <c r="W1305">
        <v>0</v>
      </c>
      <c r="X1305">
        <v>0</v>
      </c>
      <c r="Y1305">
        <v>0</v>
      </c>
      <c r="Z1305">
        <v>22</v>
      </c>
      <c r="AA1305">
        <v>25</v>
      </c>
      <c r="AB1305">
        <v>50</v>
      </c>
      <c r="AC1305">
        <v>49</v>
      </c>
      <c r="AD1305">
        <v>0</v>
      </c>
      <c r="AE1305">
        <v>0</v>
      </c>
      <c r="AF1305">
        <v>49</v>
      </c>
      <c r="AG1305">
        <v>0</v>
      </c>
      <c r="AH1305">
        <v>1</v>
      </c>
      <c r="AI1305">
        <v>1</v>
      </c>
      <c r="AJ1305">
        <v>1</v>
      </c>
      <c r="AK1305">
        <v>1</v>
      </c>
      <c r="AL1305">
        <v>0</v>
      </c>
      <c r="AM1305">
        <v>0.4</v>
      </c>
      <c r="AN1305">
        <v>9.0909090909090912E-2</v>
      </c>
      <c r="AO1305">
        <v>0</v>
      </c>
      <c r="AP1305" t="s">
        <v>188</v>
      </c>
      <c r="AQ1305" t="s">
        <v>131</v>
      </c>
      <c r="AR1305" t="s">
        <v>229</v>
      </c>
      <c r="AS1305">
        <v>0</v>
      </c>
      <c r="AT1305">
        <v>0</v>
      </c>
      <c r="AU1305">
        <v>0</v>
      </c>
      <c r="AV1305">
        <v>0</v>
      </c>
      <c r="AW1305">
        <v>0</v>
      </c>
      <c r="AX1305">
        <v>0</v>
      </c>
      <c r="AY1305">
        <v>0</v>
      </c>
      <c r="AZ1305" t="s">
        <v>147</v>
      </c>
      <c r="BA1305">
        <v>20</v>
      </c>
      <c r="BB1305">
        <v>0</v>
      </c>
      <c r="BC1305" t="s">
        <v>133</v>
      </c>
      <c r="BD1305">
        <v>0</v>
      </c>
      <c r="BE1305" t="s">
        <v>133</v>
      </c>
      <c r="BF130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06" spans="1:58" x14ac:dyDescent="0.25">
      <c r="A1306" t="s">
        <v>1593</v>
      </c>
      <c r="B1306" t="s">
        <v>19</v>
      </c>
      <c r="C1306">
        <v>3</v>
      </c>
      <c r="D1306">
        <v>70</v>
      </c>
      <c r="E1306" t="s">
        <v>2109</v>
      </c>
      <c r="F1306" t="s">
        <v>123</v>
      </c>
      <c r="G1306" t="s">
        <v>124</v>
      </c>
      <c r="H1306" t="s">
        <v>125</v>
      </c>
      <c r="I1306" t="s">
        <v>183</v>
      </c>
      <c r="J1306" t="s">
        <v>140</v>
      </c>
      <c r="K1306" t="s">
        <v>127</v>
      </c>
      <c r="L1306">
        <v>50</v>
      </c>
      <c r="M1306">
        <v>3183954</v>
      </c>
      <c r="N1306">
        <v>20</v>
      </c>
      <c r="O1306">
        <v>5</v>
      </c>
      <c r="P1306" t="s">
        <v>1515</v>
      </c>
      <c r="Q1306" t="s">
        <v>129</v>
      </c>
      <c r="R1306">
        <v>7</v>
      </c>
      <c r="T1306">
        <v>22</v>
      </c>
      <c r="U1306">
        <v>25</v>
      </c>
      <c r="V1306">
        <v>0</v>
      </c>
      <c r="W1306">
        <v>0</v>
      </c>
      <c r="X1306">
        <v>0</v>
      </c>
      <c r="Y1306">
        <v>0</v>
      </c>
      <c r="Z1306">
        <v>22</v>
      </c>
      <c r="AA1306">
        <v>25</v>
      </c>
      <c r="AB1306">
        <v>50</v>
      </c>
      <c r="AC1306">
        <v>49</v>
      </c>
      <c r="AD1306">
        <v>0</v>
      </c>
      <c r="AE1306">
        <v>0</v>
      </c>
      <c r="AF1306">
        <v>49</v>
      </c>
      <c r="AG1306">
        <v>0</v>
      </c>
      <c r="AH1306">
        <v>1</v>
      </c>
      <c r="AI1306">
        <v>1</v>
      </c>
      <c r="AJ1306">
        <v>1</v>
      </c>
      <c r="AK1306">
        <v>1</v>
      </c>
      <c r="AL1306">
        <v>0</v>
      </c>
      <c r="AM1306">
        <v>0.4</v>
      </c>
      <c r="AN1306">
        <v>9.0909090909090912E-2</v>
      </c>
      <c r="AO1306">
        <v>0</v>
      </c>
      <c r="AP1306" t="s">
        <v>188</v>
      </c>
      <c r="AQ1306" t="s">
        <v>131</v>
      </c>
      <c r="AR1306" t="s">
        <v>229</v>
      </c>
      <c r="AS1306">
        <v>0</v>
      </c>
      <c r="AT1306">
        <v>0</v>
      </c>
      <c r="AU1306">
        <v>0</v>
      </c>
      <c r="AV1306">
        <v>0</v>
      </c>
      <c r="AW1306">
        <v>0</v>
      </c>
      <c r="AX1306">
        <v>0</v>
      </c>
      <c r="AY1306">
        <v>0</v>
      </c>
      <c r="AZ1306" t="s">
        <v>147</v>
      </c>
      <c r="BA1306">
        <v>20</v>
      </c>
      <c r="BB1306">
        <v>0</v>
      </c>
      <c r="BC1306" t="s">
        <v>133</v>
      </c>
      <c r="BD1306">
        <v>0</v>
      </c>
      <c r="BE1306" t="s">
        <v>133</v>
      </c>
      <c r="BF130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07" spans="1:58" x14ac:dyDescent="0.25">
      <c r="A1307" t="s">
        <v>1594</v>
      </c>
      <c r="B1307" t="s">
        <v>19</v>
      </c>
      <c r="C1307">
        <v>3</v>
      </c>
      <c r="D1307">
        <v>71</v>
      </c>
      <c r="E1307" t="s">
        <v>2109</v>
      </c>
      <c r="F1307" t="s">
        <v>123</v>
      </c>
      <c r="G1307" t="s">
        <v>124</v>
      </c>
      <c r="H1307" t="s">
        <v>125</v>
      </c>
      <c r="I1307" t="s">
        <v>183</v>
      </c>
      <c r="J1307" t="s">
        <v>140</v>
      </c>
      <c r="K1307" t="s">
        <v>127</v>
      </c>
      <c r="L1307">
        <v>50</v>
      </c>
      <c r="M1307">
        <v>3183956</v>
      </c>
      <c r="N1307">
        <v>20</v>
      </c>
      <c r="O1307">
        <v>5</v>
      </c>
      <c r="P1307" t="s">
        <v>1515</v>
      </c>
      <c r="Q1307" t="s">
        <v>129</v>
      </c>
      <c r="R1307">
        <v>7</v>
      </c>
      <c r="T1307">
        <v>22</v>
      </c>
      <c r="U1307">
        <v>25</v>
      </c>
      <c r="V1307">
        <v>0</v>
      </c>
      <c r="W1307">
        <v>0</v>
      </c>
      <c r="X1307">
        <v>0</v>
      </c>
      <c r="Y1307">
        <v>0</v>
      </c>
      <c r="Z1307">
        <v>22</v>
      </c>
      <c r="AA1307">
        <v>25</v>
      </c>
      <c r="AB1307">
        <v>50</v>
      </c>
      <c r="AC1307">
        <v>49</v>
      </c>
      <c r="AD1307">
        <v>0</v>
      </c>
      <c r="AE1307">
        <v>0</v>
      </c>
      <c r="AF1307">
        <v>49</v>
      </c>
      <c r="AG1307">
        <v>0</v>
      </c>
      <c r="AH1307">
        <v>1</v>
      </c>
      <c r="AI1307">
        <v>1</v>
      </c>
      <c r="AJ1307">
        <v>1</v>
      </c>
      <c r="AK1307">
        <v>1</v>
      </c>
      <c r="AL1307">
        <v>0</v>
      </c>
      <c r="AM1307">
        <v>0.4</v>
      </c>
      <c r="AN1307">
        <v>9.0909090909090912E-2</v>
      </c>
      <c r="AO1307">
        <v>0</v>
      </c>
      <c r="AP1307" t="s">
        <v>188</v>
      </c>
      <c r="AQ1307" t="s">
        <v>131</v>
      </c>
      <c r="AR1307" t="s">
        <v>229</v>
      </c>
      <c r="AS1307">
        <v>0</v>
      </c>
      <c r="AT1307">
        <v>0</v>
      </c>
      <c r="AU1307">
        <v>0</v>
      </c>
      <c r="AV1307">
        <v>0</v>
      </c>
      <c r="AW1307">
        <v>0</v>
      </c>
      <c r="AX1307">
        <v>0</v>
      </c>
      <c r="AY1307">
        <v>0</v>
      </c>
      <c r="AZ1307" t="s">
        <v>147</v>
      </c>
      <c r="BA1307">
        <v>20</v>
      </c>
      <c r="BB1307">
        <v>0</v>
      </c>
      <c r="BC1307" t="s">
        <v>133</v>
      </c>
      <c r="BD1307">
        <v>0</v>
      </c>
      <c r="BE1307" t="s">
        <v>133</v>
      </c>
      <c r="BF130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08" spans="1:58" x14ac:dyDescent="0.25">
      <c r="A1308" t="s">
        <v>1595</v>
      </c>
      <c r="B1308" t="s">
        <v>19</v>
      </c>
      <c r="C1308">
        <v>3</v>
      </c>
      <c r="D1308">
        <v>72</v>
      </c>
      <c r="E1308" t="s">
        <v>2109</v>
      </c>
      <c r="F1308" t="s">
        <v>123</v>
      </c>
      <c r="G1308" t="s">
        <v>124</v>
      </c>
      <c r="H1308" t="s">
        <v>125</v>
      </c>
      <c r="I1308" t="s">
        <v>183</v>
      </c>
      <c r="J1308" t="s">
        <v>140</v>
      </c>
      <c r="K1308" t="s">
        <v>127</v>
      </c>
      <c r="L1308">
        <v>50</v>
      </c>
      <c r="M1308">
        <v>3183958</v>
      </c>
      <c r="N1308">
        <v>20</v>
      </c>
      <c r="O1308">
        <v>5</v>
      </c>
      <c r="P1308" t="s">
        <v>1515</v>
      </c>
      <c r="Q1308" t="s">
        <v>129</v>
      </c>
      <c r="R1308">
        <v>7</v>
      </c>
      <c r="T1308">
        <v>22</v>
      </c>
      <c r="U1308">
        <v>25</v>
      </c>
      <c r="V1308">
        <v>0</v>
      </c>
      <c r="W1308">
        <v>0</v>
      </c>
      <c r="X1308">
        <v>0</v>
      </c>
      <c r="Y1308">
        <v>0</v>
      </c>
      <c r="Z1308">
        <v>22</v>
      </c>
      <c r="AA1308">
        <v>25</v>
      </c>
      <c r="AB1308">
        <v>50</v>
      </c>
      <c r="AC1308">
        <v>49</v>
      </c>
      <c r="AD1308">
        <v>0</v>
      </c>
      <c r="AE1308">
        <v>0</v>
      </c>
      <c r="AF1308">
        <v>49</v>
      </c>
      <c r="AG1308">
        <v>0</v>
      </c>
      <c r="AH1308">
        <v>1</v>
      </c>
      <c r="AI1308">
        <v>1</v>
      </c>
      <c r="AJ1308">
        <v>1</v>
      </c>
      <c r="AK1308">
        <v>1</v>
      </c>
      <c r="AL1308">
        <v>0</v>
      </c>
      <c r="AM1308">
        <v>0.4</v>
      </c>
      <c r="AN1308">
        <v>9.0909090909090912E-2</v>
      </c>
      <c r="AO1308">
        <v>0</v>
      </c>
      <c r="AP1308" t="s">
        <v>188</v>
      </c>
      <c r="AQ1308" t="s">
        <v>131</v>
      </c>
      <c r="AR1308" t="s">
        <v>229</v>
      </c>
      <c r="AS1308">
        <v>0</v>
      </c>
      <c r="AT1308">
        <v>0</v>
      </c>
      <c r="AU1308">
        <v>0</v>
      </c>
      <c r="AV1308">
        <v>0</v>
      </c>
      <c r="AW1308">
        <v>0</v>
      </c>
      <c r="AX1308">
        <v>0</v>
      </c>
      <c r="AY1308">
        <v>0</v>
      </c>
      <c r="AZ1308" t="s">
        <v>147</v>
      </c>
      <c r="BA1308">
        <v>20</v>
      </c>
      <c r="BB1308">
        <v>0</v>
      </c>
      <c r="BC1308" t="s">
        <v>133</v>
      </c>
      <c r="BD1308">
        <v>0</v>
      </c>
      <c r="BE1308" t="s">
        <v>133</v>
      </c>
      <c r="BF130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09" spans="1:58" x14ac:dyDescent="0.25">
      <c r="A1309" t="s">
        <v>1596</v>
      </c>
      <c r="B1309" t="s">
        <v>19</v>
      </c>
      <c r="C1309">
        <v>3</v>
      </c>
      <c r="D1309">
        <v>73</v>
      </c>
      <c r="E1309" t="s">
        <v>2109</v>
      </c>
      <c r="F1309" t="s">
        <v>123</v>
      </c>
      <c r="G1309" t="s">
        <v>124</v>
      </c>
      <c r="H1309" t="s">
        <v>125</v>
      </c>
      <c r="I1309" t="s">
        <v>183</v>
      </c>
      <c r="J1309" t="s">
        <v>140</v>
      </c>
      <c r="K1309" t="s">
        <v>127</v>
      </c>
      <c r="L1309">
        <v>50</v>
      </c>
      <c r="M1309">
        <v>3183960</v>
      </c>
      <c r="N1309">
        <v>20</v>
      </c>
      <c r="O1309">
        <v>5</v>
      </c>
      <c r="P1309" t="s">
        <v>1515</v>
      </c>
      <c r="Q1309" t="s">
        <v>129</v>
      </c>
      <c r="R1309">
        <v>7</v>
      </c>
      <c r="T1309">
        <v>22</v>
      </c>
      <c r="U1309">
        <v>25</v>
      </c>
      <c r="V1309">
        <v>0</v>
      </c>
      <c r="W1309">
        <v>0</v>
      </c>
      <c r="X1309">
        <v>0</v>
      </c>
      <c r="Y1309">
        <v>0</v>
      </c>
      <c r="Z1309">
        <v>22</v>
      </c>
      <c r="AA1309">
        <v>25</v>
      </c>
      <c r="AB1309">
        <v>50</v>
      </c>
      <c r="AC1309">
        <v>49</v>
      </c>
      <c r="AD1309">
        <v>0</v>
      </c>
      <c r="AE1309">
        <v>0</v>
      </c>
      <c r="AF1309">
        <v>49</v>
      </c>
      <c r="AG1309">
        <v>0</v>
      </c>
      <c r="AH1309">
        <v>1</v>
      </c>
      <c r="AI1309">
        <v>1</v>
      </c>
      <c r="AJ1309">
        <v>1</v>
      </c>
      <c r="AK1309">
        <v>1</v>
      </c>
      <c r="AL1309">
        <v>0</v>
      </c>
      <c r="AM1309">
        <v>0.4</v>
      </c>
      <c r="AN1309">
        <v>9.0909090909090912E-2</v>
      </c>
      <c r="AO1309">
        <v>0</v>
      </c>
      <c r="AP1309" t="s">
        <v>188</v>
      </c>
      <c r="AQ1309" t="s">
        <v>131</v>
      </c>
      <c r="AR1309" t="s">
        <v>229</v>
      </c>
      <c r="AS1309">
        <v>0</v>
      </c>
      <c r="AT1309">
        <v>0</v>
      </c>
      <c r="AU1309">
        <v>0</v>
      </c>
      <c r="AV1309">
        <v>0</v>
      </c>
      <c r="AW1309">
        <v>0</v>
      </c>
      <c r="AX1309">
        <v>0</v>
      </c>
      <c r="AY1309">
        <v>0</v>
      </c>
      <c r="AZ1309" t="s">
        <v>147</v>
      </c>
      <c r="BA1309">
        <v>20</v>
      </c>
      <c r="BB1309">
        <v>0</v>
      </c>
      <c r="BC1309" t="s">
        <v>133</v>
      </c>
      <c r="BD1309">
        <v>0</v>
      </c>
      <c r="BE1309" t="s">
        <v>133</v>
      </c>
      <c r="BF130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10" spans="1:58" x14ac:dyDescent="0.25">
      <c r="A1310" t="s">
        <v>1597</v>
      </c>
      <c r="B1310" t="s">
        <v>19</v>
      </c>
      <c r="C1310">
        <v>3</v>
      </c>
      <c r="D1310">
        <v>74</v>
      </c>
      <c r="E1310" t="s">
        <v>2109</v>
      </c>
      <c r="F1310" t="s">
        <v>123</v>
      </c>
      <c r="G1310" t="s">
        <v>124</v>
      </c>
      <c r="H1310" t="s">
        <v>125</v>
      </c>
      <c r="I1310" t="s">
        <v>154</v>
      </c>
      <c r="J1310" t="s">
        <v>154</v>
      </c>
      <c r="K1310" t="s">
        <v>151</v>
      </c>
      <c r="L1310">
        <v>50</v>
      </c>
      <c r="M1310">
        <v>3183962</v>
      </c>
      <c r="N1310">
        <v>0</v>
      </c>
      <c r="O1310">
        <v>5</v>
      </c>
      <c r="P1310" t="s">
        <v>1515</v>
      </c>
      <c r="Q1310" t="s">
        <v>129</v>
      </c>
      <c r="R1310">
        <v>7</v>
      </c>
      <c r="S1310" t="s">
        <v>189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0</v>
      </c>
      <c r="AB1310">
        <v>50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50</v>
      </c>
      <c r="AJ1310">
        <v>50</v>
      </c>
      <c r="AK1310">
        <v>50</v>
      </c>
      <c r="AL1310">
        <v>50</v>
      </c>
      <c r="AM1310">
        <v>0</v>
      </c>
      <c r="AN1310">
        <v>4.5454545454545459</v>
      </c>
      <c r="AO1310">
        <v>0</v>
      </c>
      <c r="AP1310" t="s">
        <v>172</v>
      </c>
      <c r="AQ1310" t="s">
        <v>155</v>
      </c>
      <c r="AR1310" t="s">
        <v>229</v>
      </c>
      <c r="AS1310">
        <v>0</v>
      </c>
      <c r="AT1310">
        <v>0</v>
      </c>
      <c r="AU1310">
        <v>0</v>
      </c>
      <c r="AV1310">
        <v>0</v>
      </c>
      <c r="AW1310">
        <v>0</v>
      </c>
      <c r="AX1310">
        <v>0</v>
      </c>
      <c r="AY1310">
        <v>0</v>
      </c>
      <c r="AZ1310" t="s">
        <v>147</v>
      </c>
      <c r="BA1310">
        <v>0</v>
      </c>
      <c r="BB1310">
        <v>0</v>
      </c>
      <c r="BC1310" t="s">
        <v>133</v>
      </c>
      <c r="BD1310">
        <v>1</v>
      </c>
      <c r="BE1310" t="s">
        <v>133</v>
      </c>
      <c r="BF131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11" spans="1:58" x14ac:dyDescent="0.25">
      <c r="A1311" t="s">
        <v>1598</v>
      </c>
      <c r="B1311" t="s">
        <v>19</v>
      </c>
      <c r="C1311">
        <v>3</v>
      </c>
      <c r="D1311">
        <v>75</v>
      </c>
      <c r="E1311" t="s">
        <v>2109</v>
      </c>
      <c r="F1311" t="s">
        <v>123</v>
      </c>
      <c r="G1311" t="s">
        <v>124</v>
      </c>
      <c r="H1311" t="s">
        <v>125</v>
      </c>
      <c r="I1311" t="s">
        <v>154</v>
      </c>
      <c r="J1311" t="s">
        <v>154</v>
      </c>
      <c r="K1311" t="s">
        <v>151</v>
      </c>
      <c r="L1311">
        <v>50</v>
      </c>
      <c r="M1311">
        <v>3183964</v>
      </c>
      <c r="N1311">
        <v>0</v>
      </c>
      <c r="O1311">
        <v>5</v>
      </c>
      <c r="P1311" t="s">
        <v>1515</v>
      </c>
      <c r="Q1311" t="s">
        <v>129</v>
      </c>
      <c r="R1311">
        <v>7</v>
      </c>
      <c r="S1311" t="s">
        <v>189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50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>
        <v>50</v>
      </c>
      <c r="AJ1311">
        <v>50</v>
      </c>
      <c r="AK1311">
        <v>50</v>
      </c>
      <c r="AL1311">
        <v>50</v>
      </c>
      <c r="AM1311">
        <v>0</v>
      </c>
      <c r="AN1311">
        <v>4.5454545454545459</v>
      </c>
      <c r="AO1311">
        <v>0</v>
      </c>
      <c r="AP1311" t="s">
        <v>172</v>
      </c>
      <c r="AQ1311" t="s">
        <v>155</v>
      </c>
      <c r="AR1311" t="s">
        <v>229</v>
      </c>
      <c r="AS1311">
        <v>0</v>
      </c>
      <c r="AT1311">
        <v>0</v>
      </c>
      <c r="AU1311">
        <v>0</v>
      </c>
      <c r="AV1311">
        <v>0</v>
      </c>
      <c r="AW1311">
        <v>0</v>
      </c>
      <c r="AX1311">
        <v>0</v>
      </c>
      <c r="AY1311">
        <v>0</v>
      </c>
      <c r="AZ1311" t="s">
        <v>147</v>
      </c>
      <c r="BA1311">
        <v>0</v>
      </c>
      <c r="BB1311">
        <v>0</v>
      </c>
      <c r="BC1311" t="s">
        <v>133</v>
      </c>
      <c r="BD1311">
        <v>2</v>
      </c>
      <c r="BE1311" t="s">
        <v>133</v>
      </c>
      <c r="BF131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12" spans="1:58" x14ac:dyDescent="0.25">
      <c r="A1312" t="s">
        <v>1599</v>
      </c>
      <c r="B1312" t="s">
        <v>19</v>
      </c>
      <c r="C1312">
        <v>3</v>
      </c>
      <c r="D1312">
        <v>76</v>
      </c>
      <c r="E1312" t="s">
        <v>2109</v>
      </c>
      <c r="F1312" t="s">
        <v>123</v>
      </c>
      <c r="G1312" t="s">
        <v>124</v>
      </c>
      <c r="H1312" t="s">
        <v>125</v>
      </c>
      <c r="I1312" t="s">
        <v>154</v>
      </c>
      <c r="J1312" t="s">
        <v>154</v>
      </c>
      <c r="K1312" t="s">
        <v>151</v>
      </c>
      <c r="L1312">
        <v>50</v>
      </c>
      <c r="M1312">
        <v>3183966</v>
      </c>
      <c r="N1312">
        <v>0</v>
      </c>
      <c r="O1312">
        <v>5</v>
      </c>
      <c r="P1312" t="s">
        <v>1515</v>
      </c>
      <c r="Q1312" t="s">
        <v>129</v>
      </c>
      <c r="R1312">
        <v>7</v>
      </c>
      <c r="S1312" t="s">
        <v>189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50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50</v>
      </c>
      <c r="AJ1312">
        <v>50</v>
      </c>
      <c r="AK1312">
        <v>50</v>
      </c>
      <c r="AL1312">
        <v>50</v>
      </c>
      <c r="AM1312">
        <v>0</v>
      </c>
      <c r="AN1312">
        <v>4.5454545454545459</v>
      </c>
      <c r="AO1312">
        <v>0</v>
      </c>
      <c r="AP1312" t="s">
        <v>172</v>
      </c>
      <c r="AQ1312" t="s">
        <v>155</v>
      </c>
      <c r="AR1312" t="s">
        <v>229</v>
      </c>
      <c r="AS1312">
        <v>0</v>
      </c>
      <c r="AT1312">
        <v>0</v>
      </c>
      <c r="AU1312">
        <v>0</v>
      </c>
      <c r="AV1312">
        <v>0</v>
      </c>
      <c r="AW1312">
        <v>0</v>
      </c>
      <c r="AX1312">
        <v>0</v>
      </c>
      <c r="AY1312">
        <v>0</v>
      </c>
      <c r="AZ1312" t="s">
        <v>147</v>
      </c>
      <c r="BA1312">
        <v>0</v>
      </c>
      <c r="BB1312">
        <v>0</v>
      </c>
      <c r="BC1312" t="s">
        <v>133</v>
      </c>
      <c r="BD1312">
        <v>3</v>
      </c>
      <c r="BE1312" t="s">
        <v>133</v>
      </c>
      <c r="BF131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13" spans="1:58" x14ac:dyDescent="0.25">
      <c r="A1313" t="s">
        <v>1600</v>
      </c>
      <c r="B1313" t="s">
        <v>19</v>
      </c>
      <c r="C1313">
        <v>3</v>
      </c>
      <c r="D1313">
        <v>77</v>
      </c>
      <c r="E1313" t="s">
        <v>2109</v>
      </c>
      <c r="F1313" t="s">
        <v>123</v>
      </c>
      <c r="G1313" t="s">
        <v>124</v>
      </c>
      <c r="H1313" t="s">
        <v>125</v>
      </c>
      <c r="I1313" t="s">
        <v>154</v>
      </c>
      <c r="J1313" t="s">
        <v>154</v>
      </c>
      <c r="K1313" t="s">
        <v>151</v>
      </c>
      <c r="L1313">
        <v>50</v>
      </c>
      <c r="M1313">
        <v>3183968</v>
      </c>
      <c r="N1313">
        <v>0</v>
      </c>
      <c r="O1313">
        <v>5</v>
      </c>
      <c r="P1313" t="s">
        <v>1515</v>
      </c>
      <c r="Q1313" t="s">
        <v>129</v>
      </c>
      <c r="R1313">
        <v>7</v>
      </c>
      <c r="S1313" t="s">
        <v>189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50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50</v>
      </c>
      <c r="AJ1313">
        <v>50</v>
      </c>
      <c r="AK1313">
        <v>50</v>
      </c>
      <c r="AL1313">
        <v>50</v>
      </c>
      <c r="AM1313">
        <v>0</v>
      </c>
      <c r="AN1313">
        <v>4.5454545454545459</v>
      </c>
      <c r="AO1313">
        <v>0</v>
      </c>
      <c r="AP1313" t="s">
        <v>172</v>
      </c>
      <c r="AQ1313" t="s">
        <v>155</v>
      </c>
      <c r="AR1313" t="s">
        <v>229</v>
      </c>
      <c r="AS1313">
        <v>0</v>
      </c>
      <c r="AT1313">
        <v>0</v>
      </c>
      <c r="AU1313">
        <v>0</v>
      </c>
      <c r="AV1313">
        <v>0</v>
      </c>
      <c r="AW1313">
        <v>0</v>
      </c>
      <c r="AX1313">
        <v>0</v>
      </c>
      <c r="AY1313">
        <v>0</v>
      </c>
      <c r="AZ1313" t="s">
        <v>147</v>
      </c>
      <c r="BA1313">
        <v>0</v>
      </c>
      <c r="BB1313">
        <v>0</v>
      </c>
      <c r="BC1313" t="s">
        <v>144</v>
      </c>
      <c r="BD1313">
        <v>4</v>
      </c>
      <c r="BE1313" t="s">
        <v>133</v>
      </c>
      <c r="BF131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14" spans="1:58" x14ac:dyDescent="0.25">
      <c r="A1314" t="s">
        <v>1601</v>
      </c>
      <c r="B1314" t="s">
        <v>19</v>
      </c>
      <c r="C1314">
        <v>3</v>
      </c>
      <c r="D1314">
        <v>78</v>
      </c>
      <c r="E1314" t="s">
        <v>2109</v>
      </c>
      <c r="F1314" t="s">
        <v>123</v>
      </c>
      <c r="G1314" t="s">
        <v>124</v>
      </c>
      <c r="H1314" t="s">
        <v>125</v>
      </c>
      <c r="I1314" t="s">
        <v>183</v>
      </c>
      <c r="J1314" t="s">
        <v>140</v>
      </c>
      <c r="K1314" t="s">
        <v>127</v>
      </c>
      <c r="L1314">
        <v>0</v>
      </c>
      <c r="M1314">
        <v>3325446</v>
      </c>
      <c r="N1314">
        <v>20</v>
      </c>
      <c r="O1314">
        <v>5</v>
      </c>
      <c r="P1314" t="s">
        <v>1515</v>
      </c>
      <c r="Q1314" t="s">
        <v>129</v>
      </c>
      <c r="R1314">
        <v>8</v>
      </c>
      <c r="S1314" t="s">
        <v>1602</v>
      </c>
      <c r="T1314">
        <v>22</v>
      </c>
      <c r="U1314">
        <v>25</v>
      </c>
      <c r="V1314">
        <v>0</v>
      </c>
      <c r="W1314">
        <v>0</v>
      </c>
      <c r="X1314">
        <v>0</v>
      </c>
      <c r="Y1314">
        <v>0</v>
      </c>
      <c r="Z1314">
        <v>22</v>
      </c>
      <c r="AA1314">
        <v>25</v>
      </c>
      <c r="AB1314">
        <v>50</v>
      </c>
      <c r="AC1314">
        <v>49</v>
      </c>
      <c r="AD1314">
        <v>0</v>
      </c>
      <c r="AE1314">
        <v>0</v>
      </c>
      <c r="AF1314">
        <v>49</v>
      </c>
      <c r="AG1314">
        <v>0</v>
      </c>
      <c r="AH1314">
        <v>1</v>
      </c>
      <c r="AI1314">
        <v>1</v>
      </c>
      <c r="AJ1314">
        <v>1</v>
      </c>
      <c r="AK1314">
        <v>1</v>
      </c>
      <c r="AL1314">
        <v>0</v>
      </c>
      <c r="AM1314">
        <v>0.4</v>
      </c>
      <c r="AN1314">
        <v>9.0909090909090912E-2</v>
      </c>
      <c r="AO1314">
        <v>0</v>
      </c>
      <c r="AP1314" t="s">
        <v>188</v>
      </c>
      <c r="AQ1314" t="s">
        <v>131</v>
      </c>
      <c r="AR1314" t="s">
        <v>229</v>
      </c>
      <c r="AS1314">
        <v>0</v>
      </c>
      <c r="AT1314">
        <v>0</v>
      </c>
      <c r="AU1314">
        <v>0</v>
      </c>
      <c r="AV1314">
        <v>0</v>
      </c>
      <c r="AW1314">
        <v>0</v>
      </c>
      <c r="AX1314">
        <v>0</v>
      </c>
      <c r="AY1314">
        <v>0</v>
      </c>
      <c r="AZ1314" t="s">
        <v>134</v>
      </c>
      <c r="BA1314">
        <v>20</v>
      </c>
      <c r="BB1314">
        <v>0</v>
      </c>
      <c r="BC1314" t="s">
        <v>132</v>
      </c>
      <c r="BD1314">
        <v>0</v>
      </c>
      <c r="BE1314" t="s">
        <v>133</v>
      </c>
      <c r="BF131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15" spans="1:58" x14ac:dyDescent="0.25">
      <c r="A1315" t="s">
        <v>1603</v>
      </c>
      <c r="B1315" t="s">
        <v>19</v>
      </c>
      <c r="C1315">
        <v>3</v>
      </c>
      <c r="D1315">
        <v>79</v>
      </c>
      <c r="E1315" t="s">
        <v>2109</v>
      </c>
      <c r="F1315" t="s">
        <v>123</v>
      </c>
      <c r="G1315" t="s">
        <v>124</v>
      </c>
      <c r="H1315" t="s">
        <v>125</v>
      </c>
      <c r="I1315" t="s">
        <v>183</v>
      </c>
      <c r="J1315" t="s">
        <v>140</v>
      </c>
      <c r="K1315" t="s">
        <v>127</v>
      </c>
      <c r="L1315">
        <v>0</v>
      </c>
      <c r="M1315">
        <v>3325346</v>
      </c>
      <c r="N1315">
        <v>20</v>
      </c>
      <c r="O1315">
        <v>5</v>
      </c>
      <c r="P1315" t="s">
        <v>1515</v>
      </c>
      <c r="Q1315" t="s">
        <v>129</v>
      </c>
      <c r="R1315">
        <v>8</v>
      </c>
      <c r="S1315" t="s">
        <v>1602</v>
      </c>
      <c r="T1315">
        <v>22</v>
      </c>
      <c r="U1315">
        <v>25</v>
      </c>
      <c r="V1315">
        <v>0</v>
      </c>
      <c r="W1315">
        <v>0</v>
      </c>
      <c r="X1315">
        <v>0</v>
      </c>
      <c r="Y1315">
        <v>0</v>
      </c>
      <c r="Z1315">
        <v>22</v>
      </c>
      <c r="AA1315">
        <v>25</v>
      </c>
      <c r="AB1315">
        <v>50</v>
      </c>
      <c r="AC1315">
        <v>49</v>
      </c>
      <c r="AD1315">
        <v>0</v>
      </c>
      <c r="AE1315">
        <v>0</v>
      </c>
      <c r="AF1315">
        <v>49</v>
      </c>
      <c r="AG1315">
        <v>0</v>
      </c>
      <c r="AH1315">
        <v>1</v>
      </c>
      <c r="AI1315">
        <v>1</v>
      </c>
      <c r="AJ1315">
        <v>1</v>
      </c>
      <c r="AK1315">
        <v>1</v>
      </c>
      <c r="AL1315">
        <v>0</v>
      </c>
      <c r="AM1315">
        <v>0.4</v>
      </c>
      <c r="AN1315">
        <v>9.0909090909090912E-2</v>
      </c>
      <c r="AO1315">
        <v>0</v>
      </c>
      <c r="AP1315" t="s">
        <v>188</v>
      </c>
      <c r="AQ1315" t="s">
        <v>131</v>
      </c>
      <c r="AR1315" t="s">
        <v>229</v>
      </c>
      <c r="AS1315">
        <v>0</v>
      </c>
      <c r="AT1315">
        <v>0</v>
      </c>
      <c r="AU1315">
        <v>0</v>
      </c>
      <c r="AV1315">
        <v>0</v>
      </c>
      <c r="AW1315">
        <v>0</v>
      </c>
      <c r="AX1315">
        <v>0</v>
      </c>
      <c r="AY1315">
        <v>0</v>
      </c>
      <c r="AZ1315" t="s">
        <v>147</v>
      </c>
      <c r="BA1315">
        <v>20</v>
      </c>
      <c r="BB1315">
        <v>0</v>
      </c>
      <c r="BC1315" t="s">
        <v>133</v>
      </c>
      <c r="BD1315">
        <v>0</v>
      </c>
      <c r="BE1315" t="s">
        <v>133</v>
      </c>
      <c r="BF131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16" spans="1:58" x14ac:dyDescent="0.25">
      <c r="A1316" t="s">
        <v>1604</v>
      </c>
      <c r="B1316" t="s">
        <v>19</v>
      </c>
      <c r="C1316">
        <v>3</v>
      </c>
      <c r="D1316">
        <v>80</v>
      </c>
      <c r="E1316" t="s">
        <v>2109</v>
      </c>
      <c r="F1316" t="s">
        <v>123</v>
      </c>
      <c r="G1316" t="s">
        <v>124</v>
      </c>
      <c r="H1316" t="s">
        <v>125</v>
      </c>
      <c r="I1316" t="s">
        <v>183</v>
      </c>
      <c r="J1316" t="s">
        <v>140</v>
      </c>
      <c r="K1316" t="s">
        <v>127</v>
      </c>
      <c r="L1316">
        <v>0</v>
      </c>
      <c r="M1316">
        <v>3325744</v>
      </c>
      <c r="N1316">
        <v>20</v>
      </c>
      <c r="O1316">
        <v>5</v>
      </c>
      <c r="P1316" t="s">
        <v>1515</v>
      </c>
      <c r="Q1316" t="s">
        <v>129</v>
      </c>
      <c r="R1316">
        <v>8</v>
      </c>
      <c r="S1316" t="s">
        <v>1602</v>
      </c>
      <c r="T1316">
        <v>22</v>
      </c>
      <c r="U1316">
        <v>25</v>
      </c>
      <c r="V1316">
        <v>0</v>
      </c>
      <c r="W1316">
        <v>0</v>
      </c>
      <c r="X1316">
        <v>0</v>
      </c>
      <c r="Y1316">
        <v>0</v>
      </c>
      <c r="Z1316">
        <v>22</v>
      </c>
      <c r="AA1316">
        <v>25</v>
      </c>
      <c r="AB1316">
        <v>50</v>
      </c>
      <c r="AC1316">
        <v>48</v>
      </c>
      <c r="AD1316">
        <v>0</v>
      </c>
      <c r="AE1316">
        <v>0</v>
      </c>
      <c r="AF1316">
        <v>48</v>
      </c>
      <c r="AG1316">
        <v>0</v>
      </c>
      <c r="AH1316">
        <v>2</v>
      </c>
      <c r="AI1316">
        <v>2</v>
      </c>
      <c r="AJ1316">
        <v>2</v>
      </c>
      <c r="AK1316">
        <v>2</v>
      </c>
      <c r="AL1316">
        <v>0</v>
      </c>
      <c r="AM1316">
        <v>0.4</v>
      </c>
      <c r="AN1316">
        <v>0.18181818181818182</v>
      </c>
      <c r="AO1316">
        <v>0</v>
      </c>
      <c r="AP1316" t="s">
        <v>188</v>
      </c>
      <c r="AQ1316" t="s">
        <v>131</v>
      </c>
      <c r="AR1316" t="s">
        <v>229</v>
      </c>
      <c r="AS1316">
        <v>0</v>
      </c>
      <c r="AT1316">
        <v>0</v>
      </c>
      <c r="AU1316">
        <v>0</v>
      </c>
      <c r="AV1316">
        <v>0</v>
      </c>
      <c r="AW1316">
        <v>0</v>
      </c>
      <c r="AX1316">
        <v>0</v>
      </c>
      <c r="AY1316">
        <v>0</v>
      </c>
      <c r="AZ1316" t="s">
        <v>147</v>
      </c>
      <c r="BA1316">
        <v>20</v>
      </c>
      <c r="BB1316">
        <v>0</v>
      </c>
      <c r="BC1316" t="s">
        <v>133</v>
      </c>
      <c r="BD1316">
        <v>0</v>
      </c>
      <c r="BE1316" t="s">
        <v>133</v>
      </c>
      <c r="BF131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17" spans="1:58" x14ac:dyDescent="0.25">
      <c r="A1317" t="s">
        <v>1605</v>
      </c>
      <c r="B1317" t="s">
        <v>19</v>
      </c>
      <c r="C1317">
        <v>3</v>
      </c>
      <c r="D1317">
        <v>81</v>
      </c>
      <c r="E1317" t="s">
        <v>2109</v>
      </c>
      <c r="F1317" t="s">
        <v>123</v>
      </c>
      <c r="G1317" t="s">
        <v>124</v>
      </c>
      <c r="H1317" t="s">
        <v>125</v>
      </c>
      <c r="I1317" t="s">
        <v>183</v>
      </c>
      <c r="J1317" t="s">
        <v>140</v>
      </c>
      <c r="K1317" t="s">
        <v>127</v>
      </c>
      <c r="L1317">
        <v>50</v>
      </c>
      <c r="M1317">
        <v>3324982</v>
      </c>
      <c r="N1317">
        <v>20</v>
      </c>
      <c r="O1317">
        <v>5</v>
      </c>
      <c r="P1317" t="s">
        <v>1515</v>
      </c>
      <c r="Q1317" t="s">
        <v>129</v>
      </c>
      <c r="R1317">
        <v>8</v>
      </c>
      <c r="S1317" t="s">
        <v>1602</v>
      </c>
      <c r="T1317">
        <v>22</v>
      </c>
      <c r="U1317">
        <v>25</v>
      </c>
      <c r="V1317">
        <v>0</v>
      </c>
      <c r="W1317">
        <v>0</v>
      </c>
      <c r="X1317">
        <v>0</v>
      </c>
      <c r="Y1317">
        <v>0</v>
      </c>
      <c r="Z1317">
        <v>22</v>
      </c>
      <c r="AA1317">
        <v>25</v>
      </c>
      <c r="AB1317">
        <v>50</v>
      </c>
      <c r="AC1317">
        <v>49</v>
      </c>
      <c r="AD1317">
        <v>0</v>
      </c>
      <c r="AE1317">
        <v>0</v>
      </c>
      <c r="AF1317">
        <v>49</v>
      </c>
      <c r="AG1317">
        <v>0</v>
      </c>
      <c r="AH1317">
        <v>1</v>
      </c>
      <c r="AI1317">
        <v>1</v>
      </c>
      <c r="AJ1317">
        <v>1</v>
      </c>
      <c r="AK1317">
        <v>1</v>
      </c>
      <c r="AL1317">
        <v>0</v>
      </c>
      <c r="AM1317">
        <v>0.4</v>
      </c>
      <c r="AN1317">
        <v>9.0909090909090912E-2</v>
      </c>
      <c r="AO1317">
        <v>0</v>
      </c>
      <c r="AP1317" t="s">
        <v>188</v>
      </c>
      <c r="AQ1317" t="s">
        <v>131</v>
      </c>
      <c r="AR1317" t="s">
        <v>229</v>
      </c>
      <c r="AS1317">
        <v>0</v>
      </c>
      <c r="AT1317">
        <v>0</v>
      </c>
      <c r="AU1317">
        <v>0</v>
      </c>
      <c r="AV1317">
        <v>0</v>
      </c>
      <c r="AW1317">
        <v>0</v>
      </c>
      <c r="AX1317">
        <v>0</v>
      </c>
      <c r="AY1317">
        <v>0</v>
      </c>
      <c r="AZ1317" t="s">
        <v>147</v>
      </c>
      <c r="BA1317">
        <v>20</v>
      </c>
      <c r="BB1317">
        <v>0</v>
      </c>
      <c r="BC1317" t="s">
        <v>133</v>
      </c>
      <c r="BD1317">
        <v>0</v>
      </c>
      <c r="BE1317" t="s">
        <v>133</v>
      </c>
      <c r="BF131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18" spans="1:58" x14ac:dyDescent="0.25">
      <c r="A1318" t="s">
        <v>1606</v>
      </c>
      <c r="B1318" t="s">
        <v>19</v>
      </c>
      <c r="C1318">
        <v>3</v>
      </c>
      <c r="D1318">
        <v>82</v>
      </c>
      <c r="E1318" t="s">
        <v>2109</v>
      </c>
      <c r="F1318" t="s">
        <v>123</v>
      </c>
      <c r="G1318" t="s">
        <v>124</v>
      </c>
      <c r="H1318" t="s">
        <v>125</v>
      </c>
      <c r="I1318" t="s">
        <v>183</v>
      </c>
      <c r="J1318" t="s">
        <v>140</v>
      </c>
      <c r="K1318" t="s">
        <v>127</v>
      </c>
      <c r="L1318">
        <v>50</v>
      </c>
      <c r="M1318">
        <v>3324984</v>
      </c>
      <c r="N1318">
        <v>20</v>
      </c>
      <c r="O1318">
        <v>5</v>
      </c>
      <c r="P1318" t="s">
        <v>1515</v>
      </c>
      <c r="Q1318" t="s">
        <v>129</v>
      </c>
      <c r="R1318">
        <v>8</v>
      </c>
      <c r="S1318" t="s">
        <v>1602</v>
      </c>
      <c r="T1318">
        <v>22</v>
      </c>
      <c r="U1318">
        <v>25</v>
      </c>
      <c r="V1318">
        <v>0</v>
      </c>
      <c r="W1318">
        <v>0</v>
      </c>
      <c r="X1318">
        <v>0</v>
      </c>
      <c r="Y1318">
        <v>1</v>
      </c>
      <c r="Z1318">
        <v>23</v>
      </c>
      <c r="AA1318">
        <v>26</v>
      </c>
      <c r="AB1318">
        <v>50</v>
      </c>
      <c r="AC1318">
        <v>49</v>
      </c>
      <c r="AD1318">
        <v>0</v>
      </c>
      <c r="AE1318">
        <v>2</v>
      </c>
      <c r="AF1318">
        <v>51</v>
      </c>
      <c r="AG1318">
        <v>0</v>
      </c>
      <c r="AH1318">
        <v>1</v>
      </c>
      <c r="AI1318">
        <v>-1</v>
      </c>
      <c r="AJ1318">
        <v>-1</v>
      </c>
      <c r="AK1318">
        <v>1</v>
      </c>
      <c r="AL1318">
        <v>0</v>
      </c>
      <c r="AM1318">
        <v>0.4</v>
      </c>
      <c r="AN1318">
        <v>-9.0909090909090912E-2</v>
      </c>
      <c r="AO1318">
        <v>0</v>
      </c>
      <c r="AP1318" t="s">
        <v>188</v>
      </c>
      <c r="AQ1318" t="s">
        <v>131</v>
      </c>
      <c r="AR1318" t="s">
        <v>229</v>
      </c>
      <c r="AS1318">
        <v>0</v>
      </c>
      <c r="AT1318">
        <v>0</v>
      </c>
      <c r="AU1318">
        <v>0</v>
      </c>
      <c r="AV1318">
        <v>0</v>
      </c>
      <c r="AW1318">
        <v>0</v>
      </c>
      <c r="AX1318">
        <v>0</v>
      </c>
      <c r="AY1318">
        <v>0</v>
      </c>
      <c r="AZ1318" t="s">
        <v>147</v>
      </c>
      <c r="BA1318">
        <v>20</v>
      </c>
      <c r="BB1318">
        <v>0</v>
      </c>
      <c r="BC1318" t="s">
        <v>133</v>
      </c>
      <c r="BD1318">
        <v>0</v>
      </c>
      <c r="BE1318" t="s">
        <v>133</v>
      </c>
      <c r="BF131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19" spans="1:58" x14ac:dyDescent="0.25">
      <c r="A1319" t="s">
        <v>1607</v>
      </c>
      <c r="B1319" t="s">
        <v>19</v>
      </c>
      <c r="C1319">
        <v>3</v>
      </c>
      <c r="D1319">
        <v>89</v>
      </c>
      <c r="E1319" t="s">
        <v>2109</v>
      </c>
      <c r="F1319" t="s">
        <v>123</v>
      </c>
      <c r="G1319" t="s">
        <v>124</v>
      </c>
      <c r="H1319" t="s">
        <v>125</v>
      </c>
      <c r="I1319" t="s">
        <v>183</v>
      </c>
      <c r="J1319" t="s">
        <v>140</v>
      </c>
      <c r="K1319" t="s">
        <v>127</v>
      </c>
      <c r="L1319">
        <v>0</v>
      </c>
      <c r="M1319">
        <v>3324978</v>
      </c>
      <c r="N1319">
        <v>20</v>
      </c>
      <c r="O1319">
        <v>5</v>
      </c>
      <c r="P1319" t="s">
        <v>1515</v>
      </c>
      <c r="Q1319" t="s">
        <v>129</v>
      </c>
      <c r="R1319">
        <v>9</v>
      </c>
      <c r="S1319" t="s">
        <v>1608</v>
      </c>
      <c r="T1319">
        <v>22</v>
      </c>
      <c r="U1319">
        <v>25</v>
      </c>
      <c r="V1319">
        <v>0</v>
      </c>
      <c r="W1319">
        <v>0</v>
      </c>
      <c r="X1319">
        <v>0</v>
      </c>
      <c r="Y1319">
        <v>0</v>
      </c>
      <c r="Z1319">
        <v>22</v>
      </c>
      <c r="AA1319">
        <v>25</v>
      </c>
      <c r="AB1319">
        <v>50</v>
      </c>
      <c r="AC1319">
        <v>49</v>
      </c>
      <c r="AD1319">
        <v>0</v>
      </c>
      <c r="AE1319">
        <v>0</v>
      </c>
      <c r="AF1319">
        <v>49</v>
      </c>
      <c r="AG1319">
        <v>0</v>
      </c>
      <c r="AH1319">
        <v>1</v>
      </c>
      <c r="AI1319">
        <v>1</v>
      </c>
      <c r="AJ1319">
        <v>1</v>
      </c>
      <c r="AK1319">
        <v>1</v>
      </c>
      <c r="AL1319">
        <v>0</v>
      </c>
      <c r="AM1319">
        <v>0.4</v>
      </c>
      <c r="AN1319">
        <v>9.0909090909090912E-2</v>
      </c>
      <c r="AO1319">
        <v>0</v>
      </c>
      <c r="AP1319" t="s">
        <v>188</v>
      </c>
      <c r="AQ1319" t="s">
        <v>131</v>
      </c>
      <c r="AR1319" t="s">
        <v>229</v>
      </c>
      <c r="AS1319">
        <v>0</v>
      </c>
      <c r="AT1319">
        <v>0</v>
      </c>
      <c r="AU1319">
        <v>0</v>
      </c>
      <c r="AV1319">
        <v>0</v>
      </c>
      <c r="AW1319">
        <v>0</v>
      </c>
      <c r="AX1319">
        <v>0</v>
      </c>
      <c r="AY1319">
        <v>0</v>
      </c>
      <c r="AZ1319" t="s">
        <v>147</v>
      </c>
      <c r="BA1319">
        <v>20</v>
      </c>
      <c r="BB1319">
        <v>0</v>
      </c>
      <c r="BC1319" t="s">
        <v>132</v>
      </c>
      <c r="BD1319">
        <v>0</v>
      </c>
      <c r="BE1319" t="s">
        <v>133</v>
      </c>
      <c r="BF131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20" spans="1:58" x14ac:dyDescent="0.25">
      <c r="A1320" t="s">
        <v>1609</v>
      </c>
      <c r="B1320" t="s">
        <v>19</v>
      </c>
      <c r="C1320">
        <v>3</v>
      </c>
      <c r="D1320">
        <v>90</v>
      </c>
      <c r="E1320" t="s">
        <v>2109</v>
      </c>
      <c r="F1320" t="s">
        <v>123</v>
      </c>
      <c r="G1320" t="s">
        <v>124</v>
      </c>
      <c r="H1320" t="s">
        <v>125</v>
      </c>
      <c r="I1320" t="s">
        <v>183</v>
      </c>
      <c r="J1320" t="s">
        <v>140</v>
      </c>
      <c r="K1320" t="s">
        <v>127</v>
      </c>
      <c r="L1320">
        <v>0</v>
      </c>
      <c r="M1320">
        <v>3325254</v>
      </c>
      <c r="N1320">
        <v>20</v>
      </c>
      <c r="O1320">
        <v>5</v>
      </c>
      <c r="P1320" t="s">
        <v>1515</v>
      </c>
      <c r="Q1320" t="s">
        <v>129</v>
      </c>
      <c r="R1320">
        <v>9</v>
      </c>
      <c r="S1320" t="s">
        <v>1602</v>
      </c>
      <c r="T1320">
        <v>22</v>
      </c>
      <c r="U1320">
        <v>25</v>
      </c>
      <c r="V1320">
        <v>0</v>
      </c>
      <c r="W1320">
        <v>0</v>
      </c>
      <c r="X1320">
        <v>0</v>
      </c>
      <c r="Y1320">
        <v>0</v>
      </c>
      <c r="Z1320">
        <v>22</v>
      </c>
      <c r="AA1320">
        <v>25</v>
      </c>
      <c r="AB1320">
        <v>50</v>
      </c>
      <c r="AC1320">
        <v>49</v>
      </c>
      <c r="AD1320">
        <v>0</v>
      </c>
      <c r="AE1320">
        <v>0</v>
      </c>
      <c r="AF1320">
        <v>49</v>
      </c>
      <c r="AG1320">
        <v>0</v>
      </c>
      <c r="AH1320">
        <v>1</v>
      </c>
      <c r="AI1320">
        <v>1</v>
      </c>
      <c r="AJ1320">
        <v>1</v>
      </c>
      <c r="AK1320">
        <v>1</v>
      </c>
      <c r="AL1320">
        <v>0</v>
      </c>
      <c r="AM1320">
        <v>0.4</v>
      </c>
      <c r="AN1320">
        <v>9.0909090909090912E-2</v>
      </c>
      <c r="AO1320">
        <v>0</v>
      </c>
      <c r="AP1320" t="s">
        <v>188</v>
      </c>
      <c r="AQ1320" t="s">
        <v>131</v>
      </c>
      <c r="AR1320" t="s">
        <v>229</v>
      </c>
      <c r="AS1320">
        <v>0</v>
      </c>
      <c r="AT1320">
        <v>0</v>
      </c>
      <c r="AU1320">
        <v>0</v>
      </c>
      <c r="AV1320">
        <v>0</v>
      </c>
      <c r="AW1320">
        <v>0</v>
      </c>
      <c r="AX1320">
        <v>0</v>
      </c>
      <c r="AY1320">
        <v>0</v>
      </c>
      <c r="AZ1320" t="s">
        <v>147</v>
      </c>
      <c r="BA1320">
        <v>20</v>
      </c>
      <c r="BB1320">
        <v>0</v>
      </c>
      <c r="BC1320" t="s">
        <v>133</v>
      </c>
      <c r="BD1320">
        <v>0</v>
      </c>
      <c r="BE1320" t="s">
        <v>133</v>
      </c>
      <c r="BF132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21" spans="1:58" x14ac:dyDescent="0.25">
      <c r="A1321" t="s">
        <v>1610</v>
      </c>
      <c r="B1321" t="s">
        <v>19</v>
      </c>
      <c r="C1321">
        <v>3</v>
      </c>
      <c r="D1321">
        <v>91</v>
      </c>
      <c r="E1321" t="s">
        <v>2109</v>
      </c>
      <c r="F1321" t="s">
        <v>123</v>
      </c>
      <c r="G1321" t="s">
        <v>124</v>
      </c>
      <c r="H1321" t="s">
        <v>125</v>
      </c>
      <c r="I1321" t="s">
        <v>183</v>
      </c>
      <c r="J1321" t="s">
        <v>140</v>
      </c>
      <c r="K1321" t="s">
        <v>127</v>
      </c>
      <c r="L1321">
        <v>0</v>
      </c>
      <c r="M1321">
        <v>3325256</v>
      </c>
      <c r="N1321">
        <v>20</v>
      </c>
      <c r="O1321">
        <v>5</v>
      </c>
      <c r="P1321" t="s">
        <v>1515</v>
      </c>
      <c r="Q1321" t="s">
        <v>129</v>
      </c>
      <c r="R1321">
        <v>9</v>
      </c>
      <c r="S1321" t="s">
        <v>1602</v>
      </c>
      <c r="T1321">
        <v>22</v>
      </c>
      <c r="U1321">
        <v>25</v>
      </c>
      <c r="V1321">
        <v>0</v>
      </c>
      <c r="W1321">
        <v>0</v>
      </c>
      <c r="X1321">
        <v>0</v>
      </c>
      <c r="Y1321">
        <v>0</v>
      </c>
      <c r="Z1321">
        <v>22</v>
      </c>
      <c r="AA1321">
        <v>25</v>
      </c>
      <c r="AB1321">
        <v>50</v>
      </c>
      <c r="AC1321">
        <v>49</v>
      </c>
      <c r="AD1321">
        <v>0</v>
      </c>
      <c r="AE1321">
        <v>0</v>
      </c>
      <c r="AF1321">
        <v>49</v>
      </c>
      <c r="AG1321">
        <v>0</v>
      </c>
      <c r="AH1321">
        <v>1</v>
      </c>
      <c r="AI1321">
        <v>1</v>
      </c>
      <c r="AJ1321">
        <v>1</v>
      </c>
      <c r="AK1321">
        <v>1</v>
      </c>
      <c r="AL1321">
        <v>0</v>
      </c>
      <c r="AM1321">
        <v>0.4</v>
      </c>
      <c r="AN1321">
        <v>9.0909090909090912E-2</v>
      </c>
      <c r="AO1321">
        <v>0</v>
      </c>
      <c r="AP1321" t="s">
        <v>188</v>
      </c>
      <c r="AQ1321" t="s">
        <v>131</v>
      </c>
      <c r="AR1321" t="s">
        <v>229</v>
      </c>
      <c r="AS1321">
        <v>0</v>
      </c>
      <c r="AT1321">
        <v>0</v>
      </c>
      <c r="AU1321">
        <v>0</v>
      </c>
      <c r="AV1321">
        <v>0</v>
      </c>
      <c r="AW1321">
        <v>0</v>
      </c>
      <c r="AX1321">
        <v>0</v>
      </c>
      <c r="AY1321">
        <v>0</v>
      </c>
      <c r="AZ1321" t="s">
        <v>147</v>
      </c>
      <c r="BA1321">
        <v>20</v>
      </c>
      <c r="BB1321">
        <v>0</v>
      </c>
      <c r="BC1321" t="s">
        <v>133</v>
      </c>
      <c r="BD1321">
        <v>0</v>
      </c>
      <c r="BE1321" t="s">
        <v>133</v>
      </c>
      <c r="BF132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22" spans="1:58" x14ac:dyDescent="0.25">
      <c r="A1322" t="s">
        <v>1611</v>
      </c>
      <c r="B1322" t="s">
        <v>19</v>
      </c>
      <c r="C1322">
        <v>3</v>
      </c>
      <c r="D1322">
        <v>92</v>
      </c>
      <c r="E1322" t="s">
        <v>2109</v>
      </c>
      <c r="F1322" t="s">
        <v>123</v>
      </c>
      <c r="G1322" t="s">
        <v>124</v>
      </c>
      <c r="H1322" t="s">
        <v>125</v>
      </c>
      <c r="I1322" t="s">
        <v>183</v>
      </c>
      <c r="J1322" t="s">
        <v>140</v>
      </c>
      <c r="K1322" t="s">
        <v>127</v>
      </c>
      <c r="L1322">
        <v>0</v>
      </c>
      <c r="M1322">
        <v>3325258</v>
      </c>
      <c r="N1322">
        <v>20</v>
      </c>
      <c r="O1322">
        <v>5</v>
      </c>
      <c r="P1322" t="s">
        <v>1515</v>
      </c>
      <c r="Q1322" t="s">
        <v>129</v>
      </c>
      <c r="R1322">
        <v>9</v>
      </c>
      <c r="S1322" t="s">
        <v>1602</v>
      </c>
      <c r="T1322">
        <v>22</v>
      </c>
      <c r="U1322">
        <v>25</v>
      </c>
      <c r="V1322">
        <v>0</v>
      </c>
      <c r="W1322">
        <v>0</v>
      </c>
      <c r="X1322">
        <v>0</v>
      </c>
      <c r="Y1322">
        <v>0</v>
      </c>
      <c r="Z1322">
        <v>22</v>
      </c>
      <c r="AA1322">
        <v>25</v>
      </c>
      <c r="AB1322">
        <v>50</v>
      </c>
      <c r="AC1322">
        <v>49</v>
      </c>
      <c r="AD1322">
        <v>0</v>
      </c>
      <c r="AE1322">
        <v>0</v>
      </c>
      <c r="AF1322">
        <v>49</v>
      </c>
      <c r="AG1322">
        <v>0</v>
      </c>
      <c r="AH1322">
        <v>1</v>
      </c>
      <c r="AI1322">
        <v>1</v>
      </c>
      <c r="AJ1322">
        <v>1</v>
      </c>
      <c r="AK1322">
        <v>1</v>
      </c>
      <c r="AL1322">
        <v>0</v>
      </c>
      <c r="AM1322">
        <v>0.4</v>
      </c>
      <c r="AN1322">
        <v>9.0909090909090912E-2</v>
      </c>
      <c r="AO1322">
        <v>0</v>
      </c>
      <c r="AP1322" t="s">
        <v>188</v>
      </c>
      <c r="AQ1322" t="s">
        <v>131</v>
      </c>
      <c r="AR1322" t="s">
        <v>229</v>
      </c>
      <c r="AS1322">
        <v>0</v>
      </c>
      <c r="AT1322">
        <v>0</v>
      </c>
      <c r="AU1322">
        <v>0</v>
      </c>
      <c r="AV1322">
        <v>0</v>
      </c>
      <c r="AW1322">
        <v>0</v>
      </c>
      <c r="AX1322">
        <v>0</v>
      </c>
      <c r="AY1322">
        <v>0</v>
      </c>
      <c r="AZ1322" t="s">
        <v>147</v>
      </c>
      <c r="BA1322">
        <v>20</v>
      </c>
      <c r="BB1322">
        <v>0</v>
      </c>
      <c r="BC1322" t="s">
        <v>133</v>
      </c>
      <c r="BD1322">
        <v>0</v>
      </c>
      <c r="BE1322" t="s">
        <v>133</v>
      </c>
      <c r="BF132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23" spans="1:58" x14ac:dyDescent="0.25">
      <c r="A1323" t="s">
        <v>1612</v>
      </c>
      <c r="B1323" t="s">
        <v>19</v>
      </c>
      <c r="C1323">
        <v>3</v>
      </c>
      <c r="D1323">
        <v>93</v>
      </c>
      <c r="E1323" t="s">
        <v>2109</v>
      </c>
      <c r="F1323" t="s">
        <v>123</v>
      </c>
      <c r="G1323" t="s">
        <v>124</v>
      </c>
      <c r="H1323" t="s">
        <v>136</v>
      </c>
      <c r="I1323" t="s">
        <v>183</v>
      </c>
      <c r="J1323" t="s">
        <v>187</v>
      </c>
      <c r="K1323" t="s">
        <v>127</v>
      </c>
      <c r="L1323">
        <v>50</v>
      </c>
      <c r="M1323">
        <v>1382101</v>
      </c>
      <c r="N1323">
        <v>15</v>
      </c>
      <c r="O1323">
        <v>5</v>
      </c>
      <c r="P1323" t="s">
        <v>1515</v>
      </c>
      <c r="Q1323" t="s">
        <v>129</v>
      </c>
      <c r="R1323">
        <v>9</v>
      </c>
      <c r="S1323" t="s">
        <v>1613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50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50</v>
      </c>
      <c r="AI1323">
        <v>50</v>
      </c>
      <c r="AJ1323">
        <v>50</v>
      </c>
      <c r="AK1323">
        <v>50</v>
      </c>
      <c r="AL1323">
        <v>0</v>
      </c>
      <c r="AM1323">
        <v>0.3</v>
      </c>
      <c r="AN1323">
        <v>4.5454545454545459</v>
      </c>
      <c r="AO1323">
        <v>0</v>
      </c>
      <c r="AP1323" t="s">
        <v>188</v>
      </c>
      <c r="AQ1323" t="s">
        <v>155</v>
      </c>
      <c r="AR1323" t="s">
        <v>229</v>
      </c>
      <c r="AS1323">
        <v>0</v>
      </c>
      <c r="AT1323">
        <v>0</v>
      </c>
      <c r="AU1323">
        <v>0</v>
      </c>
      <c r="AV1323">
        <v>0</v>
      </c>
      <c r="AW1323">
        <v>0</v>
      </c>
      <c r="AX1323">
        <v>0</v>
      </c>
      <c r="AY1323">
        <v>0</v>
      </c>
      <c r="AZ1323" t="s">
        <v>147</v>
      </c>
      <c r="BA1323">
        <v>15</v>
      </c>
      <c r="BB1323">
        <v>0</v>
      </c>
      <c r="BC1323" t="s">
        <v>133</v>
      </c>
      <c r="BD1323">
        <v>0</v>
      </c>
      <c r="BE1323" t="s">
        <v>133</v>
      </c>
      <c r="BF132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24" spans="1:58" x14ac:dyDescent="0.25">
      <c r="A1324" t="s">
        <v>1614</v>
      </c>
      <c r="B1324" t="s">
        <v>19</v>
      </c>
      <c r="C1324">
        <v>3</v>
      </c>
      <c r="D1324">
        <v>94</v>
      </c>
      <c r="E1324" t="s">
        <v>2109</v>
      </c>
      <c r="F1324" t="s">
        <v>123</v>
      </c>
      <c r="G1324" t="s">
        <v>124</v>
      </c>
      <c r="H1324" t="s">
        <v>136</v>
      </c>
      <c r="I1324" t="s">
        <v>183</v>
      </c>
      <c r="J1324" t="s">
        <v>137</v>
      </c>
      <c r="K1324" t="s">
        <v>127</v>
      </c>
      <c r="L1324">
        <v>50</v>
      </c>
      <c r="M1324">
        <v>1382103</v>
      </c>
      <c r="N1324">
        <v>10</v>
      </c>
      <c r="O1324">
        <v>5</v>
      </c>
      <c r="P1324" t="s">
        <v>1515</v>
      </c>
      <c r="Q1324" t="s">
        <v>129</v>
      </c>
      <c r="R1324">
        <v>9</v>
      </c>
      <c r="S1324" t="s">
        <v>1615</v>
      </c>
      <c r="T1324">
        <v>0</v>
      </c>
      <c r="U1324">
        <v>6</v>
      </c>
      <c r="V1324">
        <v>2</v>
      </c>
      <c r="W1324">
        <v>0</v>
      </c>
      <c r="X1324">
        <v>2</v>
      </c>
      <c r="Y1324">
        <v>0</v>
      </c>
      <c r="Z1324">
        <v>0</v>
      </c>
      <c r="AA1324">
        <v>8</v>
      </c>
      <c r="AB1324">
        <v>50</v>
      </c>
      <c r="AC1324">
        <v>8</v>
      </c>
      <c r="AD1324">
        <v>2</v>
      </c>
      <c r="AE1324">
        <v>0</v>
      </c>
      <c r="AF1324">
        <v>10</v>
      </c>
      <c r="AG1324">
        <v>0</v>
      </c>
      <c r="AH1324">
        <v>42</v>
      </c>
      <c r="AI1324">
        <v>40</v>
      </c>
      <c r="AJ1324">
        <v>42</v>
      </c>
      <c r="AK1324">
        <v>42</v>
      </c>
      <c r="AL1324">
        <v>0</v>
      </c>
      <c r="AM1324">
        <v>0.2</v>
      </c>
      <c r="AN1324">
        <v>3.8181818181818183</v>
      </c>
      <c r="AO1324">
        <v>0</v>
      </c>
      <c r="AP1324" t="s">
        <v>188</v>
      </c>
      <c r="AQ1324" t="s">
        <v>131</v>
      </c>
      <c r="AR1324" t="s">
        <v>229</v>
      </c>
      <c r="AS1324">
        <v>0</v>
      </c>
      <c r="AT1324">
        <v>0</v>
      </c>
      <c r="AU1324">
        <v>0</v>
      </c>
      <c r="AV1324">
        <v>0</v>
      </c>
      <c r="AW1324">
        <v>0</v>
      </c>
      <c r="AX1324">
        <v>0</v>
      </c>
      <c r="AY1324">
        <v>0</v>
      </c>
      <c r="AZ1324" t="s">
        <v>147</v>
      </c>
      <c r="BA1324">
        <v>10</v>
      </c>
      <c r="BB1324">
        <v>0</v>
      </c>
      <c r="BC1324" t="s">
        <v>133</v>
      </c>
      <c r="BD1324">
        <v>0</v>
      </c>
      <c r="BE1324" t="s">
        <v>133</v>
      </c>
      <c r="BF132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25" spans="1:58" x14ac:dyDescent="0.25">
      <c r="A1325" t="s">
        <v>1616</v>
      </c>
      <c r="B1325" t="s">
        <v>19</v>
      </c>
      <c r="C1325">
        <v>3</v>
      </c>
      <c r="D1325">
        <v>95</v>
      </c>
      <c r="E1325" t="s">
        <v>2109</v>
      </c>
      <c r="F1325" t="s">
        <v>123</v>
      </c>
      <c r="G1325" t="s">
        <v>124</v>
      </c>
      <c r="H1325" t="s">
        <v>136</v>
      </c>
      <c r="I1325" t="s">
        <v>183</v>
      </c>
      <c r="J1325" t="s">
        <v>187</v>
      </c>
      <c r="K1325" t="s">
        <v>127</v>
      </c>
      <c r="L1325">
        <v>50</v>
      </c>
      <c r="M1325">
        <v>1382105</v>
      </c>
      <c r="N1325">
        <v>15</v>
      </c>
      <c r="O1325">
        <v>5</v>
      </c>
      <c r="P1325" t="s">
        <v>1515</v>
      </c>
      <c r="Q1325" t="s">
        <v>129</v>
      </c>
      <c r="R1325">
        <v>9</v>
      </c>
      <c r="S1325" t="s">
        <v>1617</v>
      </c>
      <c r="T1325">
        <v>33</v>
      </c>
      <c r="U1325">
        <v>45</v>
      </c>
      <c r="V1325">
        <v>0</v>
      </c>
      <c r="W1325">
        <v>0</v>
      </c>
      <c r="X1325">
        <v>0</v>
      </c>
      <c r="Y1325">
        <v>2</v>
      </c>
      <c r="Z1325">
        <v>35</v>
      </c>
      <c r="AA1325">
        <v>47</v>
      </c>
      <c r="AB1325">
        <v>50</v>
      </c>
      <c r="AC1325">
        <v>45</v>
      </c>
      <c r="AD1325">
        <v>0</v>
      </c>
      <c r="AE1325">
        <v>2</v>
      </c>
      <c r="AF1325">
        <v>47</v>
      </c>
      <c r="AG1325">
        <v>0</v>
      </c>
      <c r="AH1325">
        <v>5</v>
      </c>
      <c r="AI1325">
        <v>3</v>
      </c>
      <c r="AJ1325">
        <v>3</v>
      </c>
      <c r="AK1325">
        <v>5</v>
      </c>
      <c r="AL1325">
        <v>0</v>
      </c>
      <c r="AM1325">
        <v>0.3</v>
      </c>
      <c r="AN1325">
        <v>0.27272727272727271</v>
      </c>
      <c r="AO1325">
        <v>0</v>
      </c>
      <c r="AP1325" t="s">
        <v>188</v>
      </c>
      <c r="AQ1325" t="s">
        <v>131</v>
      </c>
      <c r="AR1325" t="s">
        <v>229</v>
      </c>
      <c r="AS1325">
        <v>0</v>
      </c>
      <c r="AT1325">
        <v>0</v>
      </c>
      <c r="AU1325">
        <v>0</v>
      </c>
      <c r="AV1325">
        <v>0</v>
      </c>
      <c r="AW1325">
        <v>0</v>
      </c>
      <c r="AX1325">
        <v>0</v>
      </c>
      <c r="AY1325">
        <v>0</v>
      </c>
      <c r="AZ1325" t="s">
        <v>147</v>
      </c>
      <c r="BA1325">
        <v>15</v>
      </c>
      <c r="BB1325">
        <v>0</v>
      </c>
      <c r="BC1325" t="s">
        <v>133</v>
      </c>
      <c r="BD1325">
        <v>0</v>
      </c>
      <c r="BE1325" t="s">
        <v>133</v>
      </c>
      <c r="BF132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26" spans="1:58" x14ac:dyDescent="0.25">
      <c r="A1326" t="s">
        <v>1618</v>
      </c>
      <c r="B1326" t="s">
        <v>19</v>
      </c>
      <c r="C1326">
        <v>3</v>
      </c>
      <c r="D1326">
        <v>96</v>
      </c>
      <c r="E1326" t="s">
        <v>2109</v>
      </c>
      <c r="F1326" t="s">
        <v>123</v>
      </c>
      <c r="G1326" t="s">
        <v>124</v>
      </c>
      <c r="H1326" t="s">
        <v>125</v>
      </c>
      <c r="I1326" t="s">
        <v>154</v>
      </c>
      <c r="J1326" t="s">
        <v>154</v>
      </c>
      <c r="K1326" t="s">
        <v>151</v>
      </c>
      <c r="L1326">
        <v>50</v>
      </c>
      <c r="M1326">
        <v>1382107</v>
      </c>
      <c r="N1326">
        <v>20</v>
      </c>
      <c r="O1326">
        <v>5</v>
      </c>
      <c r="P1326" t="s">
        <v>1515</v>
      </c>
      <c r="Q1326" t="s">
        <v>129</v>
      </c>
      <c r="R1326">
        <v>9</v>
      </c>
      <c r="S1326" t="s">
        <v>189</v>
      </c>
      <c r="T1326">
        <v>0</v>
      </c>
      <c r="U1326">
        <v>3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3</v>
      </c>
      <c r="AB1326">
        <v>50</v>
      </c>
      <c r="AC1326">
        <v>3</v>
      </c>
      <c r="AD1326">
        <v>0</v>
      </c>
      <c r="AE1326">
        <v>0</v>
      </c>
      <c r="AF1326">
        <v>3</v>
      </c>
      <c r="AG1326">
        <v>0</v>
      </c>
      <c r="AH1326">
        <v>0</v>
      </c>
      <c r="AI1326">
        <v>47</v>
      </c>
      <c r="AJ1326">
        <v>47</v>
      </c>
      <c r="AK1326">
        <v>47</v>
      </c>
      <c r="AL1326">
        <v>47</v>
      </c>
      <c r="AM1326">
        <v>0.4</v>
      </c>
      <c r="AN1326">
        <v>4.2727272727272725</v>
      </c>
      <c r="AO1326">
        <v>0</v>
      </c>
      <c r="AP1326" t="s">
        <v>172</v>
      </c>
      <c r="AQ1326" t="s">
        <v>131</v>
      </c>
      <c r="AR1326" t="s">
        <v>229</v>
      </c>
      <c r="AS1326">
        <v>0</v>
      </c>
      <c r="AT1326">
        <v>0</v>
      </c>
      <c r="AU1326">
        <v>0</v>
      </c>
      <c r="AV1326">
        <v>0</v>
      </c>
      <c r="AW1326">
        <v>0</v>
      </c>
      <c r="AX1326">
        <v>0</v>
      </c>
      <c r="AY1326">
        <v>0</v>
      </c>
      <c r="AZ1326" t="s">
        <v>147</v>
      </c>
      <c r="BA1326">
        <v>20</v>
      </c>
      <c r="BB1326">
        <v>0</v>
      </c>
      <c r="BC1326" t="s">
        <v>133</v>
      </c>
      <c r="BD1326">
        <v>1</v>
      </c>
      <c r="BE1326" t="s">
        <v>133</v>
      </c>
      <c r="BF132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27" spans="1:58" x14ac:dyDescent="0.25">
      <c r="A1327" t="s">
        <v>1619</v>
      </c>
      <c r="B1327" t="s">
        <v>19</v>
      </c>
      <c r="C1327">
        <v>3</v>
      </c>
      <c r="D1327">
        <v>97</v>
      </c>
      <c r="E1327" t="s">
        <v>2109</v>
      </c>
      <c r="F1327" t="s">
        <v>123</v>
      </c>
      <c r="G1327" t="s">
        <v>124</v>
      </c>
      <c r="H1327" t="s">
        <v>125</v>
      </c>
      <c r="I1327" t="s">
        <v>154</v>
      </c>
      <c r="J1327" t="s">
        <v>154</v>
      </c>
      <c r="K1327" t="s">
        <v>151</v>
      </c>
      <c r="L1327">
        <v>50</v>
      </c>
      <c r="M1327">
        <v>1382109</v>
      </c>
      <c r="N1327">
        <v>20</v>
      </c>
      <c r="O1327">
        <v>5</v>
      </c>
      <c r="P1327" t="s">
        <v>1515</v>
      </c>
      <c r="Q1327" t="s">
        <v>129</v>
      </c>
      <c r="R1327">
        <v>9</v>
      </c>
      <c r="S1327" t="s">
        <v>189</v>
      </c>
      <c r="T1327">
        <v>0</v>
      </c>
      <c r="U1327">
        <v>2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2</v>
      </c>
      <c r="AB1327">
        <v>50</v>
      </c>
      <c r="AC1327">
        <v>2</v>
      </c>
      <c r="AD1327">
        <v>0</v>
      </c>
      <c r="AE1327">
        <v>0</v>
      </c>
      <c r="AF1327">
        <v>2</v>
      </c>
      <c r="AG1327">
        <v>0</v>
      </c>
      <c r="AH1327">
        <v>0</v>
      </c>
      <c r="AI1327">
        <v>48</v>
      </c>
      <c r="AJ1327">
        <v>48</v>
      </c>
      <c r="AK1327">
        <v>48</v>
      </c>
      <c r="AL1327">
        <v>48</v>
      </c>
      <c r="AM1327">
        <v>0.4</v>
      </c>
      <c r="AN1327">
        <v>4.3636363636363633</v>
      </c>
      <c r="AO1327">
        <v>0</v>
      </c>
      <c r="AP1327" t="s">
        <v>172</v>
      </c>
      <c r="AQ1327" t="s">
        <v>131</v>
      </c>
      <c r="AR1327" t="s">
        <v>229</v>
      </c>
      <c r="AS1327">
        <v>0</v>
      </c>
      <c r="AT1327">
        <v>0</v>
      </c>
      <c r="AU1327">
        <v>0</v>
      </c>
      <c r="AV1327">
        <v>0</v>
      </c>
      <c r="AW1327">
        <v>0</v>
      </c>
      <c r="AX1327">
        <v>0</v>
      </c>
      <c r="AY1327">
        <v>0</v>
      </c>
      <c r="AZ1327" t="s">
        <v>147</v>
      </c>
      <c r="BA1327">
        <v>20</v>
      </c>
      <c r="BB1327">
        <v>0</v>
      </c>
      <c r="BC1327" t="s">
        <v>133</v>
      </c>
      <c r="BD1327">
        <v>2</v>
      </c>
      <c r="BE1327" t="s">
        <v>133</v>
      </c>
      <c r="BF132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28" spans="1:58" x14ac:dyDescent="0.25">
      <c r="A1328" t="s">
        <v>1620</v>
      </c>
      <c r="B1328" t="s">
        <v>19</v>
      </c>
      <c r="C1328">
        <v>3</v>
      </c>
      <c r="D1328">
        <v>98</v>
      </c>
      <c r="E1328" t="s">
        <v>2109</v>
      </c>
      <c r="F1328" t="s">
        <v>123</v>
      </c>
      <c r="G1328" t="s">
        <v>124</v>
      </c>
      <c r="H1328" t="s">
        <v>125</v>
      </c>
      <c r="I1328" t="s">
        <v>154</v>
      </c>
      <c r="J1328" t="s">
        <v>154</v>
      </c>
      <c r="K1328" t="s">
        <v>151</v>
      </c>
      <c r="L1328">
        <v>50</v>
      </c>
      <c r="M1328">
        <v>1382111</v>
      </c>
      <c r="N1328">
        <v>20</v>
      </c>
      <c r="O1328">
        <v>5</v>
      </c>
      <c r="P1328" t="s">
        <v>1515</v>
      </c>
      <c r="Q1328" t="s">
        <v>129</v>
      </c>
      <c r="R1328">
        <v>9</v>
      </c>
      <c r="S1328" t="s">
        <v>189</v>
      </c>
      <c r="T1328">
        <v>0</v>
      </c>
      <c r="U1328">
        <v>2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2</v>
      </c>
      <c r="AB1328">
        <v>50</v>
      </c>
      <c r="AC1328">
        <v>2</v>
      </c>
      <c r="AD1328">
        <v>0</v>
      </c>
      <c r="AE1328">
        <v>0</v>
      </c>
      <c r="AF1328">
        <v>2</v>
      </c>
      <c r="AG1328">
        <v>0</v>
      </c>
      <c r="AH1328">
        <v>0</v>
      </c>
      <c r="AI1328">
        <v>48</v>
      </c>
      <c r="AJ1328">
        <v>48</v>
      </c>
      <c r="AK1328">
        <v>48</v>
      </c>
      <c r="AL1328">
        <v>48</v>
      </c>
      <c r="AM1328">
        <v>0.4</v>
      </c>
      <c r="AN1328">
        <v>4.3636363636363633</v>
      </c>
      <c r="AO1328">
        <v>0</v>
      </c>
      <c r="AP1328" t="s">
        <v>172</v>
      </c>
      <c r="AQ1328" t="s">
        <v>131</v>
      </c>
      <c r="AR1328" t="s">
        <v>229</v>
      </c>
      <c r="AS1328">
        <v>0</v>
      </c>
      <c r="AT1328">
        <v>0</v>
      </c>
      <c r="AU1328">
        <v>0</v>
      </c>
      <c r="AV1328">
        <v>0</v>
      </c>
      <c r="AW1328">
        <v>0</v>
      </c>
      <c r="AX1328">
        <v>0</v>
      </c>
      <c r="AY1328">
        <v>0</v>
      </c>
      <c r="AZ1328" t="s">
        <v>147</v>
      </c>
      <c r="BA1328">
        <v>20</v>
      </c>
      <c r="BB1328">
        <v>0</v>
      </c>
      <c r="BC1328" t="s">
        <v>133</v>
      </c>
      <c r="BD1328">
        <v>3</v>
      </c>
      <c r="BE1328" t="s">
        <v>133</v>
      </c>
      <c r="BF132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29" spans="1:58" x14ac:dyDescent="0.25">
      <c r="A1329" t="s">
        <v>1621</v>
      </c>
      <c r="B1329" t="s">
        <v>19</v>
      </c>
      <c r="C1329">
        <v>3</v>
      </c>
      <c r="D1329">
        <v>99</v>
      </c>
      <c r="E1329" t="s">
        <v>2109</v>
      </c>
      <c r="F1329" t="s">
        <v>123</v>
      </c>
      <c r="G1329" t="s">
        <v>124</v>
      </c>
      <c r="H1329" t="s">
        <v>125</v>
      </c>
      <c r="I1329" t="s">
        <v>183</v>
      </c>
      <c r="J1329" t="s">
        <v>190</v>
      </c>
      <c r="K1329" t="s">
        <v>127</v>
      </c>
      <c r="L1329">
        <v>50</v>
      </c>
      <c r="M1329">
        <v>1382113</v>
      </c>
      <c r="N1329">
        <v>20</v>
      </c>
      <c r="O1329">
        <v>5</v>
      </c>
      <c r="P1329" t="s">
        <v>1515</v>
      </c>
      <c r="Q1329" t="s">
        <v>129</v>
      </c>
      <c r="R1329">
        <v>9</v>
      </c>
      <c r="S1329" t="s">
        <v>1617</v>
      </c>
      <c r="T1329">
        <v>3</v>
      </c>
      <c r="U1329">
        <v>6</v>
      </c>
      <c r="V1329">
        <v>0</v>
      </c>
      <c r="W1329">
        <v>0</v>
      </c>
      <c r="X1329">
        <v>0</v>
      </c>
      <c r="Y1329">
        <v>0</v>
      </c>
      <c r="Z1329">
        <v>3</v>
      </c>
      <c r="AA1329">
        <v>6</v>
      </c>
      <c r="AB1329">
        <v>50</v>
      </c>
      <c r="AC1329">
        <v>15</v>
      </c>
      <c r="AD1329">
        <v>0</v>
      </c>
      <c r="AE1329">
        <v>0</v>
      </c>
      <c r="AF1329">
        <v>15</v>
      </c>
      <c r="AG1329">
        <v>0</v>
      </c>
      <c r="AH1329">
        <v>35</v>
      </c>
      <c r="AI1329">
        <v>35</v>
      </c>
      <c r="AJ1329">
        <v>35</v>
      </c>
      <c r="AK1329">
        <v>35</v>
      </c>
      <c r="AL1329">
        <v>0</v>
      </c>
      <c r="AM1329">
        <v>0.4</v>
      </c>
      <c r="AN1329">
        <v>3.1818181818181821</v>
      </c>
      <c r="AO1329">
        <v>0</v>
      </c>
      <c r="AP1329" t="s">
        <v>188</v>
      </c>
      <c r="AQ1329" t="s">
        <v>131</v>
      </c>
      <c r="AR1329" t="s">
        <v>229</v>
      </c>
      <c r="AS1329">
        <v>0</v>
      </c>
      <c r="AT1329">
        <v>0</v>
      </c>
      <c r="AU1329">
        <v>0</v>
      </c>
      <c r="AV1329">
        <v>0</v>
      </c>
      <c r="AW1329">
        <v>0</v>
      </c>
      <c r="AX1329">
        <v>0</v>
      </c>
      <c r="AY1329">
        <v>0</v>
      </c>
      <c r="AZ1329" t="s">
        <v>147</v>
      </c>
      <c r="BA1329">
        <v>20</v>
      </c>
      <c r="BB1329">
        <v>0</v>
      </c>
      <c r="BC1329" t="s">
        <v>144</v>
      </c>
      <c r="BD1329">
        <v>0</v>
      </c>
      <c r="BE1329" t="s">
        <v>133</v>
      </c>
      <c r="BF132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30" spans="1:58" x14ac:dyDescent="0.25">
      <c r="A1330" t="s">
        <v>1622</v>
      </c>
      <c r="B1330" t="s">
        <v>19</v>
      </c>
      <c r="C1330">
        <v>3</v>
      </c>
      <c r="D1330">
        <v>100</v>
      </c>
      <c r="E1330" t="s">
        <v>2109</v>
      </c>
      <c r="F1330" t="s">
        <v>123</v>
      </c>
      <c r="G1330" t="s">
        <v>124</v>
      </c>
      <c r="H1330" t="s">
        <v>125</v>
      </c>
      <c r="I1330" t="s">
        <v>183</v>
      </c>
      <c r="J1330" t="s">
        <v>140</v>
      </c>
      <c r="K1330" t="s">
        <v>127</v>
      </c>
      <c r="L1330">
        <v>50</v>
      </c>
      <c r="M1330">
        <v>3384052</v>
      </c>
      <c r="N1330">
        <v>20</v>
      </c>
      <c r="O1330">
        <v>5</v>
      </c>
      <c r="P1330" t="s">
        <v>1515</v>
      </c>
      <c r="Q1330" t="s">
        <v>129</v>
      </c>
      <c r="R1330">
        <v>10</v>
      </c>
      <c r="S1330" t="s">
        <v>1538</v>
      </c>
      <c r="T1330">
        <v>22</v>
      </c>
      <c r="U1330">
        <v>25</v>
      </c>
      <c r="V1330">
        <v>0</v>
      </c>
      <c r="W1330">
        <v>0</v>
      </c>
      <c r="X1330">
        <v>0</v>
      </c>
      <c r="Y1330">
        <v>0</v>
      </c>
      <c r="Z1330">
        <v>22</v>
      </c>
      <c r="AA1330">
        <v>25</v>
      </c>
      <c r="AB1330">
        <v>50</v>
      </c>
      <c r="AC1330">
        <v>49</v>
      </c>
      <c r="AD1330">
        <v>0</v>
      </c>
      <c r="AE1330">
        <v>0</v>
      </c>
      <c r="AF1330">
        <v>49</v>
      </c>
      <c r="AG1330">
        <v>0</v>
      </c>
      <c r="AH1330">
        <v>1</v>
      </c>
      <c r="AI1330">
        <v>1</v>
      </c>
      <c r="AJ1330">
        <v>1</v>
      </c>
      <c r="AK1330">
        <v>1</v>
      </c>
      <c r="AL1330">
        <v>0</v>
      </c>
      <c r="AM1330">
        <v>0.4</v>
      </c>
      <c r="AN1330">
        <v>9.0909090909090912E-2</v>
      </c>
      <c r="AO1330">
        <v>0</v>
      </c>
      <c r="AP1330" t="s">
        <v>188</v>
      </c>
      <c r="AQ1330" t="s">
        <v>131</v>
      </c>
      <c r="AR1330" t="s">
        <v>229</v>
      </c>
      <c r="AS1330">
        <v>0</v>
      </c>
      <c r="AT1330">
        <v>0</v>
      </c>
      <c r="AU1330">
        <v>0</v>
      </c>
      <c r="AV1330">
        <v>0</v>
      </c>
      <c r="AW1330">
        <v>0</v>
      </c>
      <c r="AX1330">
        <v>0</v>
      </c>
      <c r="AY1330">
        <v>0</v>
      </c>
      <c r="AZ1330" t="s">
        <v>147</v>
      </c>
      <c r="BA1330">
        <v>20</v>
      </c>
      <c r="BB1330">
        <v>0</v>
      </c>
      <c r="BC1330" t="s">
        <v>132</v>
      </c>
      <c r="BD1330">
        <v>0</v>
      </c>
      <c r="BE1330" t="s">
        <v>133</v>
      </c>
      <c r="BF133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31" spans="1:58" x14ac:dyDescent="0.25">
      <c r="A1331" t="s">
        <v>1623</v>
      </c>
      <c r="B1331" t="s">
        <v>19</v>
      </c>
      <c r="C1331">
        <v>3</v>
      </c>
      <c r="D1331">
        <v>101</v>
      </c>
      <c r="E1331" t="s">
        <v>2109</v>
      </c>
      <c r="F1331" t="s">
        <v>123</v>
      </c>
      <c r="G1331" t="s">
        <v>124</v>
      </c>
      <c r="H1331" t="s">
        <v>125</v>
      </c>
      <c r="I1331" t="s">
        <v>183</v>
      </c>
      <c r="J1331" t="s">
        <v>140</v>
      </c>
      <c r="K1331" t="s">
        <v>127</v>
      </c>
      <c r="L1331">
        <v>50</v>
      </c>
      <c r="M1331">
        <v>3384054</v>
      </c>
      <c r="N1331">
        <v>20</v>
      </c>
      <c r="O1331">
        <v>5</v>
      </c>
      <c r="P1331" t="s">
        <v>1515</v>
      </c>
      <c r="Q1331" t="s">
        <v>129</v>
      </c>
      <c r="R1331">
        <v>10</v>
      </c>
      <c r="S1331" t="s">
        <v>1538</v>
      </c>
      <c r="T1331">
        <v>22</v>
      </c>
      <c r="U1331">
        <v>25</v>
      </c>
      <c r="V1331">
        <v>0</v>
      </c>
      <c r="W1331">
        <v>0</v>
      </c>
      <c r="X1331">
        <v>0</v>
      </c>
      <c r="Y1331">
        <v>0</v>
      </c>
      <c r="Z1331">
        <v>22</v>
      </c>
      <c r="AA1331">
        <v>25</v>
      </c>
      <c r="AB1331">
        <v>50</v>
      </c>
      <c r="AC1331">
        <v>49</v>
      </c>
      <c r="AD1331">
        <v>0</v>
      </c>
      <c r="AE1331">
        <v>0</v>
      </c>
      <c r="AF1331">
        <v>49</v>
      </c>
      <c r="AG1331">
        <v>0</v>
      </c>
      <c r="AH1331">
        <v>1</v>
      </c>
      <c r="AI1331">
        <v>1</v>
      </c>
      <c r="AJ1331">
        <v>1</v>
      </c>
      <c r="AK1331">
        <v>1</v>
      </c>
      <c r="AL1331">
        <v>0</v>
      </c>
      <c r="AM1331">
        <v>0.4</v>
      </c>
      <c r="AN1331">
        <v>9.0909090909090912E-2</v>
      </c>
      <c r="AO1331">
        <v>0</v>
      </c>
      <c r="AP1331" t="s">
        <v>188</v>
      </c>
      <c r="AQ1331" t="s">
        <v>131</v>
      </c>
      <c r="AR1331" t="s">
        <v>229</v>
      </c>
      <c r="AS1331">
        <v>0</v>
      </c>
      <c r="AT1331">
        <v>0</v>
      </c>
      <c r="AU1331">
        <v>0</v>
      </c>
      <c r="AV1331">
        <v>0</v>
      </c>
      <c r="AW1331">
        <v>0</v>
      </c>
      <c r="AX1331">
        <v>0</v>
      </c>
      <c r="AY1331">
        <v>0</v>
      </c>
      <c r="AZ1331" t="s">
        <v>147</v>
      </c>
      <c r="BA1331">
        <v>20</v>
      </c>
      <c r="BB1331">
        <v>0</v>
      </c>
      <c r="BC1331" t="s">
        <v>133</v>
      </c>
      <c r="BD1331">
        <v>0</v>
      </c>
      <c r="BE1331" t="s">
        <v>133</v>
      </c>
      <c r="BF133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32" spans="1:58" x14ac:dyDescent="0.25">
      <c r="A1332" t="s">
        <v>1624</v>
      </c>
      <c r="B1332" t="s">
        <v>19</v>
      </c>
      <c r="C1332">
        <v>3</v>
      </c>
      <c r="D1332">
        <v>102</v>
      </c>
      <c r="E1332" t="s">
        <v>2109</v>
      </c>
      <c r="F1332" t="s">
        <v>123</v>
      </c>
      <c r="G1332" t="s">
        <v>124</v>
      </c>
      <c r="H1332" t="s">
        <v>125</v>
      </c>
      <c r="I1332" t="s">
        <v>183</v>
      </c>
      <c r="J1332" t="s">
        <v>140</v>
      </c>
      <c r="K1332" t="s">
        <v>166</v>
      </c>
      <c r="L1332">
        <v>50</v>
      </c>
      <c r="M1332">
        <v>3505107</v>
      </c>
      <c r="N1332">
        <v>20</v>
      </c>
      <c r="O1332">
        <v>5</v>
      </c>
      <c r="P1332" t="s">
        <v>1515</v>
      </c>
      <c r="Q1332" t="s">
        <v>129</v>
      </c>
      <c r="R1332">
        <v>10</v>
      </c>
      <c r="S1332" t="s">
        <v>1625</v>
      </c>
      <c r="T1332">
        <v>0</v>
      </c>
      <c r="U1332">
        <v>0</v>
      </c>
      <c r="V1332">
        <v>25</v>
      </c>
      <c r="W1332">
        <v>0</v>
      </c>
      <c r="X1332">
        <v>25</v>
      </c>
      <c r="Y1332">
        <v>0</v>
      </c>
      <c r="Z1332">
        <v>22</v>
      </c>
      <c r="AA1332">
        <v>25</v>
      </c>
      <c r="AB1332">
        <v>50</v>
      </c>
      <c r="AC1332">
        <v>0</v>
      </c>
      <c r="AD1332">
        <v>49</v>
      </c>
      <c r="AE1332">
        <v>0</v>
      </c>
      <c r="AF1332">
        <v>49</v>
      </c>
      <c r="AG1332">
        <v>0</v>
      </c>
      <c r="AH1332">
        <v>50</v>
      </c>
      <c r="AI1332">
        <v>1</v>
      </c>
      <c r="AJ1332">
        <v>50</v>
      </c>
      <c r="AK1332">
        <v>50</v>
      </c>
      <c r="AL1332">
        <v>0</v>
      </c>
      <c r="AM1332">
        <v>0.4</v>
      </c>
      <c r="AN1332">
        <v>4.5454545454545459</v>
      </c>
      <c r="AO1332">
        <v>0</v>
      </c>
      <c r="AP1332" t="s">
        <v>184</v>
      </c>
      <c r="AQ1332" t="s">
        <v>131</v>
      </c>
      <c r="AR1332" t="s">
        <v>229</v>
      </c>
      <c r="AS1332">
        <v>0</v>
      </c>
      <c r="AT1332">
        <v>0</v>
      </c>
      <c r="AU1332">
        <v>0</v>
      </c>
      <c r="AV1332">
        <v>0</v>
      </c>
      <c r="AW1332">
        <v>0</v>
      </c>
      <c r="AX1332">
        <v>0</v>
      </c>
      <c r="AY1332">
        <v>0</v>
      </c>
      <c r="AZ1332" t="s">
        <v>135</v>
      </c>
      <c r="BA1332">
        <v>20</v>
      </c>
      <c r="BB1332">
        <v>0</v>
      </c>
      <c r="BC1332" t="s">
        <v>133</v>
      </c>
      <c r="BD1332">
        <v>0</v>
      </c>
      <c r="BE1332" t="s">
        <v>133</v>
      </c>
      <c r="BF133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33" spans="1:58" x14ac:dyDescent="0.25">
      <c r="A1333" t="s">
        <v>1626</v>
      </c>
      <c r="B1333" t="s">
        <v>19</v>
      </c>
      <c r="C1333">
        <v>3</v>
      </c>
      <c r="D1333">
        <v>103</v>
      </c>
      <c r="E1333" t="s">
        <v>2109</v>
      </c>
      <c r="F1333" t="s">
        <v>123</v>
      </c>
      <c r="G1333" t="s">
        <v>124</v>
      </c>
      <c r="H1333" t="s">
        <v>125</v>
      </c>
      <c r="I1333" t="s">
        <v>183</v>
      </c>
      <c r="J1333" t="s">
        <v>140</v>
      </c>
      <c r="K1333" t="s">
        <v>166</v>
      </c>
      <c r="L1333">
        <v>50</v>
      </c>
      <c r="M1333">
        <v>3505109</v>
      </c>
      <c r="N1333">
        <v>20</v>
      </c>
      <c r="O1333">
        <v>5</v>
      </c>
      <c r="P1333" t="s">
        <v>1515</v>
      </c>
      <c r="Q1333" t="s">
        <v>129</v>
      </c>
      <c r="R1333">
        <v>10</v>
      </c>
      <c r="S1333" t="s">
        <v>1625</v>
      </c>
      <c r="T1333">
        <v>0</v>
      </c>
      <c r="U1333">
        <v>0</v>
      </c>
      <c r="V1333">
        <v>25</v>
      </c>
      <c r="W1333">
        <v>0</v>
      </c>
      <c r="X1333">
        <v>25</v>
      </c>
      <c r="Y1333">
        <v>0</v>
      </c>
      <c r="Z1333">
        <v>22</v>
      </c>
      <c r="AA1333">
        <v>25</v>
      </c>
      <c r="AB1333">
        <v>50</v>
      </c>
      <c r="AC1333">
        <v>0</v>
      </c>
      <c r="AD1333">
        <v>49</v>
      </c>
      <c r="AE1333">
        <v>0</v>
      </c>
      <c r="AF1333">
        <v>49</v>
      </c>
      <c r="AG1333">
        <v>0</v>
      </c>
      <c r="AH1333">
        <v>50</v>
      </c>
      <c r="AI1333">
        <v>1</v>
      </c>
      <c r="AJ1333">
        <v>50</v>
      </c>
      <c r="AK1333">
        <v>50</v>
      </c>
      <c r="AL1333">
        <v>0</v>
      </c>
      <c r="AM1333">
        <v>0.4</v>
      </c>
      <c r="AN1333">
        <v>4.5454545454545459</v>
      </c>
      <c r="AO1333">
        <v>0</v>
      </c>
      <c r="AP1333" t="s">
        <v>184</v>
      </c>
      <c r="AQ1333" t="s">
        <v>131</v>
      </c>
      <c r="AR1333" t="s">
        <v>229</v>
      </c>
      <c r="AS1333">
        <v>0</v>
      </c>
      <c r="AT1333">
        <v>0</v>
      </c>
      <c r="AU1333">
        <v>0</v>
      </c>
      <c r="AV1333">
        <v>0</v>
      </c>
      <c r="AW1333">
        <v>0</v>
      </c>
      <c r="AX1333">
        <v>0</v>
      </c>
      <c r="AY1333">
        <v>0</v>
      </c>
      <c r="AZ1333" t="s">
        <v>135</v>
      </c>
      <c r="BA1333">
        <v>20</v>
      </c>
      <c r="BB1333">
        <v>0</v>
      </c>
      <c r="BC1333" t="s">
        <v>133</v>
      </c>
      <c r="BD1333">
        <v>0</v>
      </c>
      <c r="BE1333" t="s">
        <v>133</v>
      </c>
      <c r="BF133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34" spans="1:58" x14ac:dyDescent="0.25">
      <c r="A1334" t="s">
        <v>1627</v>
      </c>
      <c r="B1334" t="s">
        <v>19</v>
      </c>
      <c r="C1334">
        <v>3</v>
      </c>
      <c r="D1334">
        <v>104</v>
      </c>
      <c r="E1334" t="s">
        <v>2109</v>
      </c>
      <c r="F1334" t="s">
        <v>123</v>
      </c>
      <c r="G1334" t="s">
        <v>124</v>
      </c>
      <c r="H1334" t="s">
        <v>125</v>
      </c>
      <c r="I1334" t="s">
        <v>183</v>
      </c>
      <c r="J1334" t="s">
        <v>140</v>
      </c>
      <c r="K1334" t="s">
        <v>166</v>
      </c>
      <c r="L1334">
        <v>50</v>
      </c>
      <c r="M1334">
        <v>1382123</v>
      </c>
      <c r="N1334">
        <v>20</v>
      </c>
      <c r="O1334">
        <v>5</v>
      </c>
      <c r="P1334" t="s">
        <v>1515</v>
      </c>
      <c r="Q1334" t="s">
        <v>129</v>
      </c>
      <c r="R1334">
        <v>10</v>
      </c>
      <c r="S1334" t="s">
        <v>1628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50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50</v>
      </c>
      <c r="AI1334">
        <v>50</v>
      </c>
      <c r="AJ1334">
        <v>50</v>
      </c>
      <c r="AK1334">
        <v>50</v>
      </c>
      <c r="AL1334">
        <v>0</v>
      </c>
      <c r="AM1334">
        <v>0.4</v>
      </c>
      <c r="AN1334">
        <v>4.5454545454545459</v>
      </c>
      <c r="AO1334">
        <v>0</v>
      </c>
      <c r="AP1334" t="s">
        <v>184</v>
      </c>
      <c r="AQ1334" t="s">
        <v>155</v>
      </c>
      <c r="AR1334" t="s">
        <v>229</v>
      </c>
      <c r="AS1334">
        <v>0</v>
      </c>
      <c r="AT1334">
        <v>0</v>
      </c>
      <c r="AU1334">
        <v>0</v>
      </c>
      <c r="AV1334">
        <v>0</v>
      </c>
      <c r="AW1334">
        <v>0</v>
      </c>
      <c r="AX1334">
        <v>0</v>
      </c>
      <c r="AY1334">
        <v>0</v>
      </c>
      <c r="AZ1334" t="s">
        <v>135</v>
      </c>
      <c r="BA1334">
        <v>20</v>
      </c>
      <c r="BB1334">
        <v>0</v>
      </c>
      <c r="BC1334" t="s">
        <v>133</v>
      </c>
      <c r="BD1334">
        <v>0</v>
      </c>
      <c r="BE1334" t="s">
        <v>133</v>
      </c>
      <c r="BF133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35" spans="1:58" x14ac:dyDescent="0.25">
      <c r="A1335" t="s">
        <v>1629</v>
      </c>
      <c r="B1335" t="s">
        <v>19</v>
      </c>
      <c r="C1335">
        <v>3</v>
      </c>
      <c r="D1335">
        <v>105</v>
      </c>
      <c r="E1335" t="s">
        <v>2109</v>
      </c>
      <c r="F1335" t="s">
        <v>123</v>
      </c>
      <c r="G1335" t="s">
        <v>124</v>
      </c>
      <c r="H1335" t="s">
        <v>125</v>
      </c>
      <c r="I1335" t="s">
        <v>154</v>
      </c>
      <c r="J1335" t="s">
        <v>154</v>
      </c>
      <c r="K1335" t="s">
        <v>151</v>
      </c>
      <c r="L1335">
        <v>50</v>
      </c>
      <c r="M1335">
        <v>1382125</v>
      </c>
      <c r="N1335">
        <v>0</v>
      </c>
      <c r="O1335">
        <v>5</v>
      </c>
      <c r="P1335" t="s">
        <v>1515</v>
      </c>
      <c r="Q1335" t="s">
        <v>129</v>
      </c>
      <c r="R1335">
        <v>10</v>
      </c>
      <c r="S1335" t="s">
        <v>189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50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>
        <v>50</v>
      </c>
      <c r="AJ1335">
        <v>50</v>
      </c>
      <c r="AK1335">
        <v>50</v>
      </c>
      <c r="AL1335">
        <v>50</v>
      </c>
      <c r="AM1335">
        <v>0</v>
      </c>
      <c r="AN1335">
        <v>4.5454545454545459</v>
      </c>
      <c r="AO1335">
        <v>0</v>
      </c>
      <c r="AP1335" t="s">
        <v>172</v>
      </c>
      <c r="AQ1335" t="s">
        <v>155</v>
      </c>
      <c r="AR1335" t="s">
        <v>229</v>
      </c>
      <c r="AS1335">
        <v>0</v>
      </c>
      <c r="AT1335">
        <v>0</v>
      </c>
      <c r="AU1335">
        <v>0</v>
      </c>
      <c r="AV1335">
        <v>0</v>
      </c>
      <c r="AW1335">
        <v>0</v>
      </c>
      <c r="AX1335">
        <v>0</v>
      </c>
      <c r="AY1335">
        <v>0</v>
      </c>
      <c r="AZ1335" t="s">
        <v>147</v>
      </c>
      <c r="BA1335">
        <v>0</v>
      </c>
      <c r="BB1335">
        <v>0</v>
      </c>
      <c r="BC1335" t="s">
        <v>133</v>
      </c>
      <c r="BD1335">
        <v>1</v>
      </c>
      <c r="BE1335" t="s">
        <v>133</v>
      </c>
      <c r="BF133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36" spans="1:58" x14ac:dyDescent="0.25">
      <c r="A1336" t="s">
        <v>1630</v>
      </c>
      <c r="B1336" t="s">
        <v>19</v>
      </c>
      <c r="C1336">
        <v>3</v>
      </c>
      <c r="D1336">
        <v>106</v>
      </c>
      <c r="E1336" t="s">
        <v>2109</v>
      </c>
      <c r="F1336" t="s">
        <v>123</v>
      </c>
      <c r="G1336" t="s">
        <v>124</v>
      </c>
      <c r="H1336" t="s">
        <v>125</v>
      </c>
      <c r="I1336" t="s">
        <v>154</v>
      </c>
      <c r="J1336" t="s">
        <v>154</v>
      </c>
      <c r="K1336" t="s">
        <v>151</v>
      </c>
      <c r="L1336">
        <v>50</v>
      </c>
      <c r="M1336">
        <v>1382127</v>
      </c>
      <c r="N1336">
        <v>0</v>
      </c>
      <c r="O1336">
        <v>5</v>
      </c>
      <c r="P1336" t="s">
        <v>1515</v>
      </c>
      <c r="Q1336" t="s">
        <v>129</v>
      </c>
      <c r="R1336">
        <v>10</v>
      </c>
      <c r="S1336" t="s">
        <v>189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50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50</v>
      </c>
      <c r="AJ1336">
        <v>50</v>
      </c>
      <c r="AK1336">
        <v>50</v>
      </c>
      <c r="AL1336">
        <v>50</v>
      </c>
      <c r="AM1336">
        <v>0</v>
      </c>
      <c r="AN1336">
        <v>4.5454545454545459</v>
      </c>
      <c r="AO1336">
        <v>0</v>
      </c>
      <c r="AP1336" t="s">
        <v>172</v>
      </c>
      <c r="AQ1336" t="s">
        <v>155</v>
      </c>
      <c r="AR1336" t="s">
        <v>229</v>
      </c>
      <c r="AS1336">
        <v>0</v>
      </c>
      <c r="AT1336">
        <v>0</v>
      </c>
      <c r="AU1336">
        <v>0</v>
      </c>
      <c r="AV1336">
        <v>0</v>
      </c>
      <c r="AW1336">
        <v>0</v>
      </c>
      <c r="AX1336">
        <v>0</v>
      </c>
      <c r="AY1336">
        <v>0</v>
      </c>
      <c r="AZ1336" t="s">
        <v>147</v>
      </c>
      <c r="BA1336">
        <v>0</v>
      </c>
      <c r="BB1336">
        <v>0</v>
      </c>
      <c r="BC1336" t="s">
        <v>133</v>
      </c>
      <c r="BD1336">
        <v>2</v>
      </c>
      <c r="BE1336" t="s">
        <v>133</v>
      </c>
      <c r="BF133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37" spans="1:58" x14ac:dyDescent="0.25">
      <c r="A1337" t="s">
        <v>1631</v>
      </c>
      <c r="B1337" t="s">
        <v>19</v>
      </c>
      <c r="C1337">
        <v>3</v>
      </c>
      <c r="D1337">
        <v>107</v>
      </c>
      <c r="E1337" t="s">
        <v>2109</v>
      </c>
      <c r="F1337" t="s">
        <v>123</v>
      </c>
      <c r="G1337" t="s">
        <v>124</v>
      </c>
      <c r="H1337" t="s">
        <v>125</v>
      </c>
      <c r="I1337" t="s">
        <v>154</v>
      </c>
      <c r="J1337" t="s">
        <v>154</v>
      </c>
      <c r="K1337" t="s">
        <v>151</v>
      </c>
      <c r="L1337">
        <v>50</v>
      </c>
      <c r="M1337">
        <v>1382129</v>
      </c>
      <c r="N1337">
        <v>0</v>
      </c>
      <c r="O1337">
        <v>5</v>
      </c>
      <c r="P1337" t="s">
        <v>1515</v>
      </c>
      <c r="Q1337" t="s">
        <v>129</v>
      </c>
      <c r="R1337">
        <v>10</v>
      </c>
      <c r="S1337" t="s">
        <v>189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0</v>
      </c>
      <c r="AB1337">
        <v>50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50</v>
      </c>
      <c r="AJ1337">
        <v>50</v>
      </c>
      <c r="AK1337">
        <v>50</v>
      </c>
      <c r="AL1337">
        <v>50</v>
      </c>
      <c r="AM1337">
        <v>0</v>
      </c>
      <c r="AN1337">
        <v>4.5454545454545459</v>
      </c>
      <c r="AO1337">
        <v>0</v>
      </c>
      <c r="AP1337" t="s">
        <v>172</v>
      </c>
      <c r="AQ1337" t="s">
        <v>155</v>
      </c>
      <c r="AR1337" t="s">
        <v>229</v>
      </c>
      <c r="AS1337">
        <v>0</v>
      </c>
      <c r="AT1337">
        <v>0</v>
      </c>
      <c r="AU1337">
        <v>0</v>
      </c>
      <c r="AV1337">
        <v>0</v>
      </c>
      <c r="AW1337">
        <v>0</v>
      </c>
      <c r="AX1337">
        <v>0</v>
      </c>
      <c r="AY1337">
        <v>0</v>
      </c>
      <c r="AZ1337" t="s">
        <v>147</v>
      </c>
      <c r="BA1337">
        <v>0</v>
      </c>
      <c r="BB1337">
        <v>0</v>
      </c>
      <c r="BC1337" t="s">
        <v>133</v>
      </c>
      <c r="BD1337">
        <v>3</v>
      </c>
      <c r="BE1337" t="s">
        <v>133</v>
      </c>
      <c r="BF133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38" spans="1:58" x14ac:dyDescent="0.25">
      <c r="A1338" t="s">
        <v>1632</v>
      </c>
      <c r="B1338" t="s">
        <v>19</v>
      </c>
      <c r="C1338">
        <v>3</v>
      </c>
      <c r="D1338">
        <v>108</v>
      </c>
      <c r="E1338" t="s">
        <v>2109</v>
      </c>
      <c r="F1338" t="s">
        <v>123</v>
      </c>
      <c r="G1338" t="s">
        <v>124</v>
      </c>
      <c r="H1338" t="s">
        <v>125</v>
      </c>
      <c r="I1338" t="s">
        <v>154</v>
      </c>
      <c r="J1338" t="s">
        <v>154</v>
      </c>
      <c r="K1338" t="s">
        <v>151</v>
      </c>
      <c r="L1338">
        <v>50</v>
      </c>
      <c r="M1338">
        <v>1382131</v>
      </c>
      <c r="N1338">
        <v>0</v>
      </c>
      <c r="O1338">
        <v>5</v>
      </c>
      <c r="P1338" t="s">
        <v>1515</v>
      </c>
      <c r="Q1338" t="s">
        <v>129</v>
      </c>
      <c r="R1338">
        <v>10</v>
      </c>
      <c r="S1338" t="s">
        <v>189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50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>
        <v>50</v>
      </c>
      <c r="AJ1338">
        <v>50</v>
      </c>
      <c r="AK1338">
        <v>50</v>
      </c>
      <c r="AL1338">
        <v>50</v>
      </c>
      <c r="AM1338">
        <v>0</v>
      </c>
      <c r="AN1338">
        <v>4.5454545454545459</v>
      </c>
      <c r="AO1338">
        <v>0</v>
      </c>
      <c r="AP1338" t="s">
        <v>172</v>
      </c>
      <c r="AQ1338" t="s">
        <v>155</v>
      </c>
      <c r="AR1338" t="s">
        <v>229</v>
      </c>
      <c r="AS1338">
        <v>0</v>
      </c>
      <c r="AT1338">
        <v>0</v>
      </c>
      <c r="AU1338">
        <v>0</v>
      </c>
      <c r="AV1338">
        <v>0</v>
      </c>
      <c r="AW1338">
        <v>0</v>
      </c>
      <c r="AX1338">
        <v>0</v>
      </c>
      <c r="AY1338">
        <v>0</v>
      </c>
      <c r="AZ1338" t="s">
        <v>147</v>
      </c>
      <c r="BA1338">
        <v>0</v>
      </c>
      <c r="BB1338">
        <v>0</v>
      </c>
      <c r="BC1338" t="s">
        <v>133</v>
      </c>
      <c r="BD1338">
        <v>4</v>
      </c>
      <c r="BE1338" t="s">
        <v>133</v>
      </c>
      <c r="BF133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39" spans="1:58" x14ac:dyDescent="0.25">
      <c r="A1339" t="s">
        <v>1633</v>
      </c>
      <c r="B1339" t="s">
        <v>19</v>
      </c>
      <c r="C1339">
        <v>3</v>
      </c>
      <c r="D1339">
        <v>109</v>
      </c>
      <c r="E1339" t="s">
        <v>2109</v>
      </c>
      <c r="F1339" t="s">
        <v>123</v>
      </c>
      <c r="G1339" t="s">
        <v>124</v>
      </c>
      <c r="H1339" t="s">
        <v>125</v>
      </c>
      <c r="I1339" t="s">
        <v>154</v>
      </c>
      <c r="J1339" t="s">
        <v>154</v>
      </c>
      <c r="K1339" t="s">
        <v>151</v>
      </c>
      <c r="L1339">
        <v>50</v>
      </c>
      <c r="M1339">
        <v>1382133</v>
      </c>
      <c r="N1339">
        <v>0</v>
      </c>
      <c r="O1339">
        <v>5</v>
      </c>
      <c r="P1339" t="s">
        <v>1515</v>
      </c>
      <c r="Q1339" t="s">
        <v>129</v>
      </c>
      <c r="R1339">
        <v>10</v>
      </c>
      <c r="S1339" t="s">
        <v>189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50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I1339">
        <v>50</v>
      </c>
      <c r="AJ1339">
        <v>50</v>
      </c>
      <c r="AK1339">
        <v>50</v>
      </c>
      <c r="AL1339">
        <v>50</v>
      </c>
      <c r="AM1339">
        <v>0</v>
      </c>
      <c r="AN1339">
        <v>4.5454545454545459</v>
      </c>
      <c r="AO1339">
        <v>0</v>
      </c>
      <c r="AP1339" t="s">
        <v>172</v>
      </c>
      <c r="AQ1339" t="s">
        <v>155</v>
      </c>
      <c r="AR1339" t="s">
        <v>229</v>
      </c>
      <c r="AS1339">
        <v>0</v>
      </c>
      <c r="AT1339">
        <v>0</v>
      </c>
      <c r="AU1339">
        <v>0</v>
      </c>
      <c r="AV1339">
        <v>0</v>
      </c>
      <c r="AW1339">
        <v>0</v>
      </c>
      <c r="AX1339">
        <v>0</v>
      </c>
      <c r="AY1339">
        <v>0</v>
      </c>
      <c r="AZ1339" t="s">
        <v>147</v>
      </c>
      <c r="BA1339">
        <v>0</v>
      </c>
      <c r="BB1339">
        <v>0</v>
      </c>
      <c r="BC1339" t="s">
        <v>133</v>
      </c>
      <c r="BD1339">
        <v>5</v>
      </c>
      <c r="BE1339" t="s">
        <v>133</v>
      </c>
      <c r="BF133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40" spans="1:58" x14ac:dyDescent="0.25">
      <c r="A1340" t="s">
        <v>1634</v>
      </c>
      <c r="B1340" t="s">
        <v>19</v>
      </c>
      <c r="C1340">
        <v>3</v>
      </c>
      <c r="D1340">
        <v>110</v>
      </c>
      <c r="E1340" t="s">
        <v>2109</v>
      </c>
      <c r="F1340" t="s">
        <v>123</v>
      </c>
      <c r="G1340" t="s">
        <v>124</v>
      </c>
      <c r="H1340" t="s">
        <v>125</v>
      </c>
      <c r="I1340" t="s">
        <v>154</v>
      </c>
      <c r="J1340" t="s">
        <v>154</v>
      </c>
      <c r="K1340" t="s">
        <v>151</v>
      </c>
      <c r="L1340">
        <v>50</v>
      </c>
      <c r="M1340">
        <v>1382135</v>
      </c>
      <c r="N1340">
        <v>0</v>
      </c>
      <c r="O1340">
        <v>5</v>
      </c>
      <c r="P1340" t="s">
        <v>1515</v>
      </c>
      <c r="Q1340" t="s">
        <v>129</v>
      </c>
      <c r="R1340">
        <v>10</v>
      </c>
      <c r="S1340" t="s">
        <v>189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0</v>
      </c>
      <c r="AB1340">
        <v>50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I1340">
        <v>50</v>
      </c>
      <c r="AJ1340">
        <v>50</v>
      </c>
      <c r="AK1340">
        <v>50</v>
      </c>
      <c r="AL1340">
        <v>50</v>
      </c>
      <c r="AM1340">
        <v>0</v>
      </c>
      <c r="AN1340">
        <v>4.5454545454545459</v>
      </c>
      <c r="AO1340">
        <v>0</v>
      </c>
      <c r="AP1340" t="s">
        <v>172</v>
      </c>
      <c r="AQ1340" t="s">
        <v>155</v>
      </c>
      <c r="AR1340" t="s">
        <v>229</v>
      </c>
      <c r="AS1340">
        <v>0</v>
      </c>
      <c r="AT1340">
        <v>0</v>
      </c>
      <c r="AU1340">
        <v>0</v>
      </c>
      <c r="AV1340">
        <v>0</v>
      </c>
      <c r="AW1340">
        <v>0</v>
      </c>
      <c r="AX1340">
        <v>0</v>
      </c>
      <c r="AY1340">
        <v>0</v>
      </c>
      <c r="AZ1340" t="s">
        <v>147</v>
      </c>
      <c r="BA1340">
        <v>0</v>
      </c>
      <c r="BB1340">
        <v>0</v>
      </c>
      <c r="BC1340" t="s">
        <v>144</v>
      </c>
      <c r="BD1340">
        <v>6</v>
      </c>
      <c r="BE1340" t="s">
        <v>133</v>
      </c>
      <c r="BF134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41" spans="1:58" x14ac:dyDescent="0.25">
      <c r="A1341" t="s">
        <v>1635</v>
      </c>
      <c r="B1341" t="s">
        <v>19</v>
      </c>
      <c r="C1341">
        <v>3</v>
      </c>
      <c r="D1341">
        <v>111</v>
      </c>
      <c r="E1341" t="s">
        <v>2109</v>
      </c>
      <c r="F1341" t="s">
        <v>123</v>
      </c>
      <c r="G1341" t="s">
        <v>124</v>
      </c>
      <c r="H1341" t="s">
        <v>136</v>
      </c>
      <c r="I1341" t="s">
        <v>183</v>
      </c>
      <c r="J1341" t="s">
        <v>137</v>
      </c>
      <c r="K1341" t="s">
        <v>127</v>
      </c>
      <c r="L1341">
        <v>50</v>
      </c>
      <c r="M1341">
        <v>1382137</v>
      </c>
      <c r="N1341">
        <v>10</v>
      </c>
      <c r="O1341">
        <v>5</v>
      </c>
      <c r="P1341" t="s">
        <v>1515</v>
      </c>
      <c r="Q1341" t="s">
        <v>129</v>
      </c>
      <c r="R1341">
        <v>11</v>
      </c>
      <c r="S1341" t="s">
        <v>1617</v>
      </c>
      <c r="T1341">
        <v>8</v>
      </c>
      <c r="U1341">
        <v>12</v>
      </c>
      <c r="V1341">
        <v>0</v>
      </c>
      <c r="W1341">
        <v>0</v>
      </c>
      <c r="X1341">
        <v>0</v>
      </c>
      <c r="Y1341">
        <v>0</v>
      </c>
      <c r="Z1341">
        <v>8</v>
      </c>
      <c r="AA1341">
        <v>12</v>
      </c>
      <c r="AB1341">
        <v>50</v>
      </c>
      <c r="AC1341">
        <v>20</v>
      </c>
      <c r="AD1341">
        <v>0</v>
      </c>
      <c r="AE1341">
        <v>0</v>
      </c>
      <c r="AF1341">
        <v>20</v>
      </c>
      <c r="AG1341">
        <v>0</v>
      </c>
      <c r="AH1341">
        <v>30</v>
      </c>
      <c r="AI1341">
        <v>30</v>
      </c>
      <c r="AJ1341">
        <v>30</v>
      </c>
      <c r="AK1341">
        <v>30</v>
      </c>
      <c r="AL1341">
        <v>0</v>
      </c>
      <c r="AM1341">
        <v>0.2</v>
      </c>
      <c r="AN1341">
        <v>2.7272727272727275</v>
      </c>
      <c r="AO1341">
        <v>0</v>
      </c>
      <c r="AP1341" t="s">
        <v>188</v>
      </c>
      <c r="AQ1341" t="s">
        <v>131</v>
      </c>
      <c r="AR1341" t="s">
        <v>229</v>
      </c>
      <c r="AS1341">
        <v>0</v>
      </c>
      <c r="AT1341">
        <v>0</v>
      </c>
      <c r="AU1341">
        <v>0</v>
      </c>
      <c r="AV1341">
        <v>0</v>
      </c>
      <c r="AW1341">
        <v>0</v>
      </c>
      <c r="AX1341">
        <v>0</v>
      </c>
      <c r="AY1341">
        <v>0</v>
      </c>
      <c r="AZ1341" t="s">
        <v>147</v>
      </c>
      <c r="BA1341">
        <v>10</v>
      </c>
      <c r="BB1341">
        <v>0</v>
      </c>
      <c r="BC1341" t="s">
        <v>132</v>
      </c>
      <c r="BD1341">
        <v>0</v>
      </c>
      <c r="BE1341" t="s">
        <v>133</v>
      </c>
      <c r="BF134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42" spans="1:58" x14ac:dyDescent="0.25">
      <c r="A1342" t="s">
        <v>1636</v>
      </c>
      <c r="B1342" t="s">
        <v>19</v>
      </c>
      <c r="C1342">
        <v>3</v>
      </c>
      <c r="D1342">
        <v>112</v>
      </c>
      <c r="E1342" t="s">
        <v>2109</v>
      </c>
      <c r="F1342" t="s">
        <v>123</v>
      </c>
      <c r="G1342" t="s">
        <v>124</v>
      </c>
      <c r="H1342" t="s">
        <v>125</v>
      </c>
      <c r="I1342" t="s">
        <v>154</v>
      </c>
      <c r="J1342" t="s">
        <v>154</v>
      </c>
      <c r="K1342" t="s">
        <v>151</v>
      </c>
      <c r="L1342">
        <v>50</v>
      </c>
      <c r="M1342">
        <v>1382139</v>
      </c>
      <c r="N1342">
        <v>0</v>
      </c>
      <c r="O1342">
        <v>5</v>
      </c>
      <c r="P1342" t="s">
        <v>1515</v>
      </c>
      <c r="Q1342" t="s">
        <v>129</v>
      </c>
      <c r="R1342">
        <v>11</v>
      </c>
      <c r="S1342" t="s">
        <v>189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50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50</v>
      </c>
      <c r="AJ1342">
        <v>50</v>
      </c>
      <c r="AK1342">
        <v>50</v>
      </c>
      <c r="AL1342">
        <v>50</v>
      </c>
      <c r="AM1342">
        <v>0</v>
      </c>
      <c r="AN1342">
        <v>4.5454545454545459</v>
      </c>
      <c r="AO1342">
        <v>0</v>
      </c>
      <c r="AP1342" t="s">
        <v>172</v>
      </c>
      <c r="AQ1342" t="s">
        <v>155</v>
      </c>
      <c r="AR1342" t="s">
        <v>229</v>
      </c>
      <c r="AS1342">
        <v>0</v>
      </c>
      <c r="AT1342">
        <v>0</v>
      </c>
      <c r="AU1342">
        <v>0</v>
      </c>
      <c r="AV1342">
        <v>0</v>
      </c>
      <c r="AW1342">
        <v>0</v>
      </c>
      <c r="AX1342">
        <v>0</v>
      </c>
      <c r="AY1342">
        <v>0</v>
      </c>
      <c r="AZ1342" t="s">
        <v>147</v>
      </c>
      <c r="BA1342">
        <v>0</v>
      </c>
      <c r="BB1342">
        <v>0</v>
      </c>
      <c r="BC1342" t="s">
        <v>133</v>
      </c>
      <c r="BD1342">
        <v>1</v>
      </c>
      <c r="BE1342" t="s">
        <v>133</v>
      </c>
      <c r="BF134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43" spans="1:58" x14ac:dyDescent="0.25">
      <c r="A1343" t="s">
        <v>1637</v>
      </c>
      <c r="B1343" t="s">
        <v>19</v>
      </c>
      <c r="C1343">
        <v>3</v>
      </c>
      <c r="D1343">
        <v>113</v>
      </c>
      <c r="E1343" t="s">
        <v>2109</v>
      </c>
      <c r="F1343" t="s">
        <v>123</v>
      </c>
      <c r="G1343" t="s">
        <v>124</v>
      </c>
      <c r="H1343" t="s">
        <v>136</v>
      </c>
      <c r="I1343" t="s">
        <v>183</v>
      </c>
      <c r="J1343" t="s">
        <v>137</v>
      </c>
      <c r="K1343" t="s">
        <v>127</v>
      </c>
      <c r="L1343">
        <v>50</v>
      </c>
      <c r="M1343">
        <v>1382141</v>
      </c>
      <c r="N1343">
        <v>10</v>
      </c>
      <c r="O1343">
        <v>5</v>
      </c>
      <c r="P1343" t="s">
        <v>1515</v>
      </c>
      <c r="Q1343" t="s">
        <v>129</v>
      </c>
      <c r="R1343">
        <v>11</v>
      </c>
      <c r="S1343" t="s">
        <v>1638</v>
      </c>
      <c r="T1343">
        <v>0</v>
      </c>
      <c r="U1343">
        <v>5</v>
      </c>
      <c r="V1343">
        <v>0</v>
      </c>
      <c r="W1343">
        <v>0</v>
      </c>
      <c r="X1343">
        <v>0</v>
      </c>
      <c r="Y1343">
        <v>1</v>
      </c>
      <c r="Z1343">
        <v>0</v>
      </c>
      <c r="AA1343">
        <v>6</v>
      </c>
      <c r="AB1343">
        <v>50</v>
      </c>
      <c r="AC1343">
        <v>6</v>
      </c>
      <c r="AD1343">
        <v>0</v>
      </c>
      <c r="AE1343">
        <v>2</v>
      </c>
      <c r="AF1343">
        <v>8</v>
      </c>
      <c r="AG1343">
        <v>0</v>
      </c>
      <c r="AH1343">
        <v>44</v>
      </c>
      <c r="AI1343">
        <v>42</v>
      </c>
      <c r="AJ1343">
        <v>42</v>
      </c>
      <c r="AK1343">
        <v>44</v>
      </c>
      <c r="AL1343">
        <v>0</v>
      </c>
      <c r="AM1343">
        <v>0.2</v>
      </c>
      <c r="AN1343">
        <v>3.8181818181818183</v>
      </c>
      <c r="AO1343">
        <v>0</v>
      </c>
      <c r="AP1343" t="s">
        <v>188</v>
      </c>
      <c r="AQ1343" t="s">
        <v>131</v>
      </c>
      <c r="AR1343" t="s">
        <v>229</v>
      </c>
      <c r="AS1343">
        <v>0</v>
      </c>
      <c r="AT1343">
        <v>0</v>
      </c>
      <c r="AU1343">
        <v>0</v>
      </c>
      <c r="AV1343">
        <v>0</v>
      </c>
      <c r="AW1343">
        <v>0</v>
      </c>
      <c r="AX1343">
        <v>0</v>
      </c>
      <c r="AY1343">
        <v>0</v>
      </c>
      <c r="AZ1343" t="s">
        <v>147</v>
      </c>
      <c r="BA1343">
        <v>10</v>
      </c>
      <c r="BB1343">
        <v>0</v>
      </c>
      <c r="BC1343" t="s">
        <v>133</v>
      </c>
      <c r="BD1343">
        <v>0</v>
      </c>
      <c r="BE1343" t="s">
        <v>133</v>
      </c>
      <c r="BF134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44" spans="1:58" x14ac:dyDescent="0.25">
      <c r="A1344" t="s">
        <v>1639</v>
      </c>
      <c r="B1344" t="s">
        <v>19</v>
      </c>
      <c r="C1344">
        <v>3</v>
      </c>
      <c r="D1344">
        <v>114</v>
      </c>
      <c r="E1344" t="s">
        <v>2109</v>
      </c>
      <c r="F1344" t="s">
        <v>123</v>
      </c>
      <c r="G1344" t="s">
        <v>124</v>
      </c>
      <c r="H1344" t="s">
        <v>125</v>
      </c>
      <c r="I1344" t="s">
        <v>183</v>
      </c>
      <c r="J1344" t="s">
        <v>190</v>
      </c>
      <c r="K1344" t="s">
        <v>127</v>
      </c>
      <c r="L1344">
        <v>50</v>
      </c>
      <c r="M1344">
        <v>1382143</v>
      </c>
      <c r="N1344">
        <v>20</v>
      </c>
      <c r="O1344">
        <v>5</v>
      </c>
      <c r="P1344" t="s">
        <v>1515</v>
      </c>
      <c r="Q1344" t="s">
        <v>129</v>
      </c>
      <c r="R1344">
        <v>11</v>
      </c>
      <c r="S1344" t="s">
        <v>1617</v>
      </c>
      <c r="T1344">
        <v>3</v>
      </c>
      <c r="U1344">
        <v>6</v>
      </c>
      <c r="V1344">
        <v>0</v>
      </c>
      <c r="W1344">
        <v>0</v>
      </c>
      <c r="X1344">
        <v>0</v>
      </c>
      <c r="Y1344">
        <v>0</v>
      </c>
      <c r="Z1344">
        <v>3</v>
      </c>
      <c r="AA1344">
        <v>6</v>
      </c>
      <c r="AB1344">
        <v>50</v>
      </c>
      <c r="AC1344">
        <v>15</v>
      </c>
      <c r="AD1344">
        <v>0</v>
      </c>
      <c r="AE1344">
        <v>0</v>
      </c>
      <c r="AF1344">
        <v>15</v>
      </c>
      <c r="AG1344">
        <v>0</v>
      </c>
      <c r="AH1344">
        <v>35</v>
      </c>
      <c r="AI1344">
        <v>35</v>
      </c>
      <c r="AJ1344">
        <v>35</v>
      </c>
      <c r="AK1344">
        <v>35</v>
      </c>
      <c r="AL1344">
        <v>0</v>
      </c>
      <c r="AM1344">
        <v>0.4</v>
      </c>
      <c r="AN1344">
        <v>3.1818181818181821</v>
      </c>
      <c r="AO1344">
        <v>0</v>
      </c>
      <c r="AP1344" t="s">
        <v>188</v>
      </c>
      <c r="AQ1344" t="s">
        <v>131</v>
      </c>
      <c r="AR1344" t="s">
        <v>229</v>
      </c>
      <c r="AS1344">
        <v>0</v>
      </c>
      <c r="AT1344">
        <v>0</v>
      </c>
      <c r="AU1344">
        <v>0</v>
      </c>
      <c r="AV1344">
        <v>0</v>
      </c>
      <c r="AW1344">
        <v>0</v>
      </c>
      <c r="AX1344">
        <v>0</v>
      </c>
      <c r="AY1344">
        <v>0</v>
      </c>
      <c r="AZ1344" t="s">
        <v>147</v>
      </c>
      <c r="BA1344">
        <v>20</v>
      </c>
      <c r="BB1344">
        <v>0</v>
      </c>
      <c r="BC1344" t="s">
        <v>133</v>
      </c>
      <c r="BD1344">
        <v>0</v>
      </c>
      <c r="BE1344" t="s">
        <v>133</v>
      </c>
      <c r="BF134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45" spans="1:58" x14ac:dyDescent="0.25">
      <c r="A1345" t="s">
        <v>1640</v>
      </c>
      <c r="B1345" t="s">
        <v>19</v>
      </c>
      <c r="C1345">
        <v>3</v>
      </c>
      <c r="D1345">
        <v>115</v>
      </c>
      <c r="E1345" t="s">
        <v>2109</v>
      </c>
      <c r="F1345" t="s">
        <v>123</v>
      </c>
      <c r="G1345" t="s">
        <v>124</v>
      </c>
      <c r="H1345" t="s">
        <v>136</v>
      </c>
      <c r="I1345" t="s">
        <v>183</v>
      </c>
      <c r="J1345" t="s">
        <v>137</v>
      </c>
      <c r="K1345" t="s">
        <v>127</v>
      </c>
      <c r="L1345">
        <v>50</v>
      </c>
      <c r="M1345">
        <v>1382145</v>
      </c>
      <c r="N1345">
        <v>10</v>
      </c>
      <c r="O1345">
        <v>5</v>
      </c>
      <c r="P1345" t="s">
        <v>1515</v>
      </c>
      <c r="Q1345" t="s">
        <v>129</v>
      </c>
      <c r="R1345">
        <v>11</v>
      </c>
      <c r="S1345" t="s">
        <v>1638</v>
      </c>
      <c r="T1345">
        <v>0</v>
      </c>
      <c r="U1345">
        <v>4</v>
      </c>
      <c r="V1345">
        <v>1</v>
      </c>
      <c r="W1345">
        <v>0</v>
      </c>
      <c r="X1345">
        <v>1</v>
      </c>
      <c r="Y1345">
        <v>1</v>
      </c>
      <c r="Z1345">
        <v>0</v>
      </c>
      <c r="AA1345">
        <v>6</v>
      </c>
      <c r="AB1345">
        <v>50</v>
      </c>
      <c r="AC1345">
        <v>4</v>
      </c>
      <c r="AD1345">
        <v>2</v>
      </c>
      <c r="AE1345">
        <v>2</v>
      </c>
      <c r="AF1345">
        <v>8</v>
      </c>
      <c r="AG1345">
        <v>0</v>
      </c>
      <c r="AH1345">
        <v>46</v>
      </c>
      <c r="AI1345">
        <v>42</v>
      </c>
      <c r="AJ1345">
        <v>44</v>
      </c>
      <c r="AK1345">
        <v>46</v>
      </c>
      <c r="AL1345">
        <v>0</v>
      </c>
      <c r="AM1345">
        <v>0.2</v>
      </c>
      <c r="AN1345">
        <v>4</v>
      </c>
      <c r="AO1345">
        <v>0</v>
      </c>
      <c r="AP1345" t="s">
        <v>188</v>
      </c>
      <c r="AQ1345" t="s">
        <v>131</v>
      </c>
      <c r="AR1345" t="s">
        <v>229</v>
      </c>
      <c r="AS1345">
        <v>0</v>
      </c>
      <c r="AT1345">
        <v>0</v>
      </c>
      <c r="AU1345">
        <v>0</v>
      </c>
      <c r="AV1345">
        <v>0</v>
      </c>
      <c r="AW1345">
        <v>0</v>
      </c>
      <c r="AX1345">
        <v>0</v>
      </c>
      <c r="AY1345">
        <v>0</v>
      </c>
      <c r="AZ1345" t="s">
        <v>147</v>
      </c>
      <c r="BA1345">
        <v>10</v>
      </c>
      <c r="BB1345">
        <v>0</v>
      </c>
      <c r="BC1345" t="s">
        <v>133</v>
      </c>
      <c r="BD1345">
        <v>0</v>
      </c>
      <c r="BE1345" t="s">
        <v>133</v>
      </c>
      <c r="BF134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46" spans="1:58" x14ac:dyDescent="0.25">
      <c r="A1346" t="s">
        <v>1641</v>
      </c>
      <c r="B1346" t="s">
        <v>19</v>
      </c>
      <c r="C1346">
        <v>3</v>
      </c>
      <c r="D1346">
        <v>116</v>
      </c>
      <c r="E1346" t="s">
        <v>2109</v>
      </c>
      <c r="F1346" t="s">
        <v>123</v>
      </c>
      <c r="G1346" t="s">
        <v>124</v>
      </c>
      <c r="H1346" t="s">
        <v>136</v>
      </c>
      <c r="I1346" t="s">
        <v>183</v>
      </c>
      <c r="J1346" t="s">
        <v>137</v>
      </c>
      <c r="K1346" t="s">
        <v>127</v>
      </c>
      <c r="L1346">
        <v>50</v>
      </c>
      <c r="M1346">
        <v>1382147</v>
      </c>
      <c r="N1346">
        <v>10</v>
      </c>
      <c r="O1346">
        <v>5</v>
      </c>
      <c r="P1346" t="s">
        <v>1515</v>
      </c>
      <c r="Q1346" t="s">
        <v>129</v>
      </c>
      <c r="R1346">
        <v>11</v>
      </c>
      <c r="S1346" t="s">
        <v>1617</v>
      </c>
      <c r="T1346">
        <v>4</v>
      </c>
      <c r="U1346">
        <v>8</v>
      </c>
      <c r="V1346">
        <v>0</v>
      </c>
      <c r="W1346">
        <v>0</v>
      </c>
      <c r="X1346">
        <v>0</v>
      </c>
      <c r="Y1346">
        <v>0</v>
      </c>
      <c r="Z1346">
        <v>4</v>
      </c>
      <c r="AA1346">
        <v>8</v>
      </c>
      <c r="AB1346">
        <v>50</v>
      </c>
      <c r="AC1346">
        <v>8</v>
      </c>
      <c r="AD1346">
        <v>0</v>
      </c>
      <c r="AE1346">
        <v>0</v>
      </c>
      <c r="AF1346">
        <v>8</v>
      </c>
      <c r="AG1346">
        <v>0</v>
      </c>
      <c r="AH1346">
        <v>42</v>
      </c>
      <c r="AI1346">
        <v>42</v>
      </c>
      <c r="AJ1346">
        <v>42</v>
      </c>
      <c r="AK1346">
        <v>42</v>
      </c>
      <c r="AL1346">
        <v>0</v>
      </c>
      <c r="AM1346">
        <v>0.2</v>
      </c>
      <c r="AN1346">
        <v>3.8181818181818183</v>
      </c>
      <c r="AO1346">
        <v>0</v>
      </c>
      <c r="AP1346" t="s">
        <v>188</v>
      </c>
      <c r="AQ1346" t="s">
        <v>131</v>
      </c>
      <c r="AR1346" t="s">
        <v>229</v>
      </c>
      <c r="AS1346">
        <v>0</v>
      </c>
      <c r="AT1346">
        <v>0</v>
      </c>
      <c r="AU1346">
        <v>0</v>
      </c>
      <c r="AV1346">
        <v>0</v>
      </c>
      <c r="AW1346">
        <v>0</v>
      </c>
      <c r="AX1346">
        <v>0</v>
      </c>
      <c r="AY1346">
        <v>0</v>
      </c>
      <c r="AZ1346" t="s">
        <v>147</v>
      </c>
      <c r="BA1346">
        <v>10</v>
      </c>
      <c r="BB1346">
        <v>0</v>
      </c>
      <c r="BC1346" t="s">
        <v>133</v>
      </c>
      <c r="BD1346">
        <v>0</v>
      </c>
      <c r="BE1346" t="s">
        <v>133</v>
      </c>
      <c r="BF134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47" spans="1:58" x14ac:dyDescent="0.25">
      <c r="A1347" t="s">
        <v>1642</v>
      </c>
      <c r="B1347" t="s">
        <v>19</v>
      </c>
      <c r="C1347">
        <v>3</v>
      </c>
      <c r="D1347">
        <v>117</v>
      </c>
      <c r="E1347" t="s">
        <v>2109</v>
      </c>
      <c r="F1347" t="s">
        <v>123</v>
      </c>
      <c r="G1347" t="s">
        <v>124</v>
      </c>
      <c r="H1347" t="s">
        <v>136</v>
      </c>
      <c r="I1347" t="s">
        <v>183</v>
      </c>
      <c r="J1347" t="s">
        <v>137</v>
      </c>
      <c r="K1347" t="s">
        <v>127</v>
      </c>
      <c r="L1347">
        <v>50</v>
      </c>
      <c r="M1347">
        <v>1382149</v>
      </c>
      <c r="N1347">
        <v>10</v>
      </c>
      <c r="O1347">
        <v>5</v>
      </c>
      <c r="P1347" t="s">
        <v>1515</v>
      </c>
      <c r="Q1347" t="s">
        <v>129</v>
      </c>
      <c r="R1347">
        <v>11</v>
      </c>
      <c r="S1347" t="s">
        <v>1617</v>
      </c>
      <c r="T1347">
        <v>0</v>
      </c>
      <c r="U1347">
        <v>2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2</v>
      </c>
      <c r="AB1347">
        <v>50</v>
      </c>
      <c r="AC1347">
        <v>16</v>
      </c>
      <c r="AD1347">
        <v>0</v>
      </c>
      <c r="AE1347">
        <v>0</v>
      </c>
      <c r="AF1347">
        <v>16</v>
      </c>
      <c r="AG1347">
        <v>0</v>
      </c>
      <c r="AH1347">
        <v>34</v>
      </c>
      <c r="AI1347">
        <v>34</v>
      </c>
      <c r="AJ1347">
        <v>34</v>
      </c>
      <c r="AK1347">
        <v>34</v>
      </c>
      <c r="AL1347">
        <v>0</v>
      </c>
      <c r="AM1347">
        <v>0.2</v>
      </c>
      <c r="AN1347">
        <v>3.0909090909090908</v>
      </c>
      <c r="AO1347">
        <v>0</v>
      </c>
      <c r="AP1347" t="s">
        <v>188</v>
      </c>
      <c r="AQ1347" t="s">
        <v>131</v>
      </c>
      <c r="AR1347" t="s">
        <v>229</v>
      </c>
      <c r="AS1347">
        <v>0</v>
      </c>
      <c r="AT1347">
        <v>0</v>
      </c>
      <c r="AU1347">
        <v>0</v>
      </c>
      <c r="AV1347">
        <v>0</v>
      </c>
      <c r="AW1347">
        <v>0</v>
      </c>
      <c r="AX1347">
        <v>0</v>
      </c>
      <c r="AY1347">
        <v>0</v>
      </c>
      <c r="AZ1347" t="s">
        <v>147</v>
      </c>
      <c r="BA1347">
        <v>10</v>
      </c>
      <c r="BB1347">
        <v>0</v>
      </c>
      <c r="BC1347" t="s">
        <v>133</v>
      </c>
      <c r="BD1347">
        <v>0</v>
      </c>
      <c r="BE1347" t="s">
        <v>133</v>
      </c>
      <c r="BF134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48" spans="1:58" x14ac:dyDescent="0.25">
      <c r="A1348" t="s">
        <v>1643</v>
      </c>
      <c r="B1348" t="s">
        <v>19</v>
      </c>
      <c r="C1348">
        <v>3</v>
      </c>
      <c r="D1348">
        <v>118</v>
      </c>
      <c r="E1348" t="s">
        <v>2109</v>
      </c>
      <c r="F1348" t="s">
        <v>123</v>
      </c>
      <c r="G1348" t="s">
        <v>124</v>
      </c>
      <c r="H1348" t="s">
        <v>136</v>
      </c>
      <c r="I1348" t="s">
        <v>183</v>
      </c>
      <c r="J1348" t="s">
        <v>137</v>
      </c>
      <c r="K1348" t="s">
        <v>127</v>
      </c>
      <c r="L1348">
        <v>50</v>
      </c>
      <c r="M1348">
        <v>1382151</v>
      </c>
      <c r="N1348">
        <v>10</v>
      </c>
      <c r="O1348">
        <v>5</v>
      </c>
      <c r="P1348" t="s">
        <v>1515</v>
      </c>
      <c r="Q1348" t="s">
        <v>129</v>
      </c>
      <c r="R1348">
        <v>11</v>
      </c>
      <c r="S1348" t="s">
        <v>1617</v>
      </c>
      <c r="T1348">
        <v>0</v>
      </c>
      <c r="U1348">
        <v>2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2</v>
      </c>
      <c r="AB1348">
        <v>50</v>
      </c>
      <c r="AC1348">
        <v>16</v>
      </c>
      <c r="AD1348">
        <v>0</v>
      </c>
      <c r="AE1348">
        <v>0</v>
      </c>
      <c r="AF1348">
        <v>16</v>
      </c>
      <c r="AG1348">
        <v>0</v>
      </c>
      <c r="AH1348">
        <v>34</v>
      </c>
      <c r="AI1348">
        <v>34</v>
      </c>
      <c r="AJ1348">
        <v>34</v>
      </c>
      <c r="AK1348">
        <v>34</v>
      </c>
      <c r="AL1348">
        <v>0</v>
      </c>
      <c r="AM1348">
        <v>0.2</v>
      </c>
      <c r="AN1348">
        <v>3.0909090909090908</v>
      </c>
      <c r="AO1348">
        <v>0</v>
      </c>
      <c r="AP1348" t="s">
        <v>188</v>
      </c>
      <c r="AQ1348" t="s">
        <v>131</v>
      </c>
      <c r="AR1348" t="s">
        <v>229</v>
      </c>
      <c r="AS1348">
        <v>0</v>
      </c>
      <c r="AT1348">
        <v>0</v>
      </c>
      <c r="AU1348">
        <v>0</v>
      </c>
      <c r="AV1348">
        <v>0</v>
      </c>
      <c r="AW1348">
        <v>0</v>
      </c>
      <c r="AX1348">
        <v>0</v>
      </c>
      <c r="AY1348">
        <v>0</v>
      </c>
      <c r="AZ1348" t="s">
        <v>147</v>
      </c>
      <c r="BA1348">
        <v>10</v>
      </c>
      <c r="BB1348">
        <v>0</v>
      </c>
      <c r="BC1348" t="s">
        <v>133</v>
      </c>
      <c r="BD1348">
        <v>0</v>
      </c>
      <c r="BE1348" t="s">
        <v>133</v>
      </c>
      <c r="BF134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49" spans="1:58" x14ac:dyDescent="0.25">
      <c r="A1349" t="s">
        <v>1644</v>
      </c>
      <c r="B1349" t="s">
        <v>19</v>
      </c>
      <c r="C1349">
        <v>3</v>
      </c>
      <c r="D1349">
        <v>119</v>
      </c>
      <c r="E1349" t="s">
        <v>2109</v>
      </c>
      <c r="F1349" t="s">
        <v>123</v>
      </c>
      <c r="G1349" t="s">
        <v>124</v>
      </c>
      <c r="H1349" t="s">
        <v>125</v>
      </c>
      <c r="I1349" t="s">
        <v>183</v>
      </c>
      <c r="J1349" t="s">
        <v>190</v>
      </c>
      <c r="K1349" t="s">
        <v>127</v>
      </c>
      <c r="L1349">
        <v>50</v>
      </c>
      <c r="M1349">
        <v>1382153</v>
      </c>
      <c r="N1349">
        <v>20</v>
      </c>
      <c r="O1349">
        <v>5</v>
      </c>
      <c r="P1349" t="s">
        <v>1515</v>
      </c>
      <c r="Q1349" t="s">
        <v>129</v>
      </c>
      <c r="R1349">
        <v>11</v>
      </c>
      <c r="S1349" t="s">
        <v>1617</v>
      </c>
      <c r="T1349">
        <v>3</v>
      </c>
      <c r="U1349">
        <v>8</v>
      </c>
      <c r="V1349">
        <v>0</v>
      </c>
      <c r="W1349">
        <v>0</v>
      </c>
      <c r="X1349">
        <v>0</v>
      </c>
      <c r="Y1349">
        <v>0</v>
      </c>
      <c r="Z1349">
        <v>3</v>
      </c>
      <c r="AA1349">
        <v>8</v>
      </c>
      <c r="AB1349">
        <v>50</v>
      </c>
      <c r="AC1349">
        <v>17</v>
      </c>
      <c r="AD1349">
        <v>0</v>
      </c>
      <c r="AE1349">
        <v>0</v>
      </c>
      <c r="AF1349">
        <v>17</v>
      </c>
      <c r="AG1349">
        <v>0</v>
      </c>
      <c r="AH1349">
        <v>33</v>
      </c>
      <c r="AI1349">
        <v>33</v>
      </c>
      <c r="AJ1349">
        <v>33</v>
      </c>
      <c r="AK1349">
        <v>33</v>
      </c>
      <c r="AL1349">
        <v>0</v>
      </c>
      <c r="AM1349">
        <v>0.4</v>
      </c>
      <c r="AN1349">
        <v>3</v>
      </c>
      <c r="AO1349">
        <v>0</v>
      </c>
      <c r="AP1349" t="s">
        <v>188</v>
      </c>
      <c r="AQ1349" t="s">
        <v>131</v>
      </c>
      <c r="AR1349" t="s">
        <v>229</v>
      </c>
      <c r="AS1349">
        <v>0</v>
      </c>
      <c r="AT1349">
        <v>0</v>
      </c>
      <c r="AU1349">
        <v>0</v>
      </c>
      <c r="AV1349">
        <v>0</v>
      </c>
      <c r="AW1349">
        <v>0</v>
      </c>
      <c r="AX1349">
        <v>0</v>
      </c>
      <c r="AY1349">
        <v>0</v>
      </c>
      <c r="AZ1349" t="s">
        <v>134</v>
      </c>
      <c r="BA1349">
        <v>20</v>
      </c>
      <c r="BB1349">
        <v>0</v>
      </c>
      <c r="BC1349" t="s">
        <v>133</v>
      </c>
      <c r="BD1349">
        <v>0</v>
      </c>
      <c r="BE1349" t="s">
        <v>133</v>
      </c>
      <c r="BF134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50" spans="1:58" x14ac:dyDescent="0.25">
      <c r="A1350" t="s">
        <v>1645</v>
      </c>
      <c r="B1350" t="s">
        <v>19</v>
      </c>
      <c r="C1350">
        <v>3</v>
      </c>
      <c r="D1350">
        <v>120</v>
      </c>
      <c r="E1350" t="s">
        <v>2109</v>
      </c>
      <c r="F1350" t="s">
        <v>123</v>
      </c>
      <c r="G1350" t="s">
        <v>124</v>
      </c>
      <c r="H1350" t="s">
        <v>136</v>
      </c>
      <c r="I1350" t="s">
        <v>183</v>
      </c>
      <c r="J1350" t="s">
        <v>137</v>
      </c>
      <c r="K1350" t="s">
        <v>127</v>
      </c>
      <c r="L1350">
        <v>50</v>
      </c>
      <c r="M1350">
        <v>1382155</v>
      </c>
      <c r="N1350">
        <v>10</v>
      </c>
      <c r="O1350">
        <v>5</v>
      </c>
      <c r="P1350" t="s">
        <v>1515</v>
      </c>
      <c r="Q1350" t="s">
        <v>129</v>
      </c>
      <c r="R1350">
        <v>11</v>
      </c>
      <c r="S1350" t="s">
        <v>1617</v>
      </c>
      <c r="T1350">
        <v>0</v>
      </c>
      <c r="U1350">
        <v>2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2</v>
      </c>
      <c r="AB1350">
        <v>50</v>
      </c>
      <c r="AC1350">
        <v>2</v>
      </c>
      <c r="AD1350">
        <v>0</v>
      </c>
      <c r="AE1350">
        <v>0</v>
      </c>
      <c r="AF1350">
        <v>2</v>
      </c>
      <c r="AG1350">
        <v>0</v>
      </c>
      <c r="AH1350">
        <v>48</v>
      </c>
      <c r="AI1350">
        <v>48</v>
      </c>
      <c r="AJ1350">
        <v>48</v>
      </c>
      <c r="AK1350">
        <v>48</v>
      </c>
      <c r="AL1350">
        <v>0</v>
      </c>
      <c r="AM1350">
        <v>0.2</v>
      </c>
      <c r="AN1350">
        <v>4.3636363636363633</v>
      </c>
      <c r="AO1350">
        <v>0</v>
      </c>
      <c r="AP1350" t="s">
        <v>188</v>
      </c>
      <c r="AQ1350" t="s">
        <v>131</v>
      </c>
      <c r="AR1350" t="s">
        <v>229</v>
      </c>
      <c r="AS1350">
        <v>0</v>
      </c>
      <c r="AT1350">
        <v>0</v>
      </c>
      <c r="AU1350">
        <v>0</v>
      </c>
      <c r="AV1350">
        <v>0</v>
      </c>
      <c r="AW1350">
        <v>0</v>
      </c>
      <c r="AX1350">
        <v>0</v>
      </c>
      <c r="AY1350">
        <v>0</v>
      </c>
      <c r="AZ1350" t="s">
        <v>147</v>
      </c>
      <c r="BA1350">
        <v>10</v>
      </c>
      <c r="BB1350">
        <v>0</v>
      </c>
      <c r="BC1350" t="s">
        <v>133</v>
      </c>
      <c r="BD1350">
        <v>0</v>
      </c>
      <c r="BE1350" t="s">
        <v>133</v>
      </c>
      <c r="BF135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51" spans="1:58" x14ac:dyDescent="0.25">
      <c r="A1351" t="s">
        <v>1646</v>
      </c>
      <c r="B1351" t="s">
        <v>19</v>
      </c>
      <c r="C1351">
        <v>3</v>
      </c>
      <c r="D1351">
        <v>121</v>
      </c>
      <c r="E1351" t="s">
        <v>2109</v>
      </c>
      <c r="F1351" t="s">
        <v>123</v>
      </c>
      <c r="G1351" t="s">
        <v>124</v>
      </c>
      <c r="H1351" t="s">
        <v>125</v>
      </c>
      <c r="I1351" t="s">
        <v>154</v>
      </c>
      <c r="J1351" t="s">
        <v>154</v>
      </c>
      <c r="K1351" t="s">
        <v>151</v>
      </c>
      <c r="L1351">
        <v>50</v>
      </c>
      <c r="M1351">
        <v>1382157</v>
      </c>
      <c r="N1351">
        <v>0</v>
      </c>
      <c r="O1351">
        <v>5</v>
      </c>
      <c r="P1351" t="s">
        <v>1515</v>
      </c>
      <c r="Q1351" t="s">
        <v>129</v>
      </c>
      <c r="R1351">
        <v>11</v>
      </c>
      <c r="S1351" t="s">
        <v>189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50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>
        <v>50</v>
      </c>
      <c r="AJ1351">
        <v>50</v>
      </c>
      <c r="AK1351">
        <v>50</v>
      </c>
      <c r="AL1351">
        <v>50</v>
      </c>
      <c r="AM1351">
        <v>0</v>
      </c>
      <c r="AN1351">
        <v>4.5454545454545459</v>
      </c>
      <c r="AO1351">
        <v>0</v>
      </c>
      <c r="AP1351" t="s">
        <v>172</v>
      </c>
      <c r="AQ1351" t="s">
        <v>155</v>
      </c>
      <c r="AR1351" t="s">
        <v>229</v>
      </c>
      <c r="AS1351">
        <v>0</v>
      </c>
      <c r="AT1351">
        <v>0</v>
      </c>
      <c r="AU1351">
        <v>0</v>
      </c>
      <c r="AV1351">
        <v>0</v>
      </c>
      <c r="AW1351">
        <v>0</v>
      </c>
      <c r="AX1351">
        <v>0</v>
      </c>
      <c r="AY1351">
        <v>0</v>
      </c>
      <c r="AZ1351" t="s">
        <v>147</v>
      </c>
      <c r="BA1351">
        <v>0</v>
      </c>
      <c r="BB1351">
        <v>0</v>
      </c>
      <c r="BC1351" t="s">
        <v>133</v>
      </c>
      <c r="BD1351">
        <v>1</v>
      </c>
      <c r="BE1351" t="s">
        <v>133</v>
      </c>
      <c r="BF135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52" spans="1:58" x14ac:dyDescent="0.25">
      <c r="A1352" t="s">
        <v>1647</v>
      </c>
      <c r="B1352" t="s">
        <v>19</v>
      </c>
      <c r="C1352">
        <v>3</v>
      </c>
      <c r="D1352">
        <v>122</v>
      </c>
      <c r="E1352" t="s">
        <v>2109</v>
      </c>
      <c r="F1352" t="s">
        <v>123</v>
      </c>
      <c r="G1352" t="s">
        <v>124</v>
      </c>
      <c r="H1352" t="s">
        <v>125</v>
      </c>
      <c r="I1352" t="s">
        <v>154</v>
      </c>
      <c r="J1352" t="s">
        <v>154</v>
      </c>
      <c r="K1352" t="s">
        <v>151</v>
      </c>
      <c r="L1352">
        <v>50</v>
      </c>
      <c r="M1352">
        <v>1382159</v>
      </c>
      <c r="N1352">
        <v>0</v>
      </c>
      <c r="O1352">
        <v>5</v>
      </c>
      <c r="P1352" t="s">
        <v>1515</v>
      </c>
      <c r="Q1352" t="s">
        <v>129</v>
      </c>
      <c r="R1352">
        <v>11</v>
      </c>
      <c r="S1352" t="s">
        <v>189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50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50</v>
      </c>
      <c r="AJ1352">
        <v>50</v>
      </c>
      <c r="AK1352">
        <v>50</v>
      </c>
      <c r="AL1352">
        <v>50</v>
      </c>
      <c r="AM1352">
        <v>0</v>
      </c>
      <c r="AN1352">
        <v>4.5454545454545459</v>
      </c>
      <c r="AO1352">
        <v>0</v>
      </c>
      <c r="AP1352" t="s">
        <v>172</v>
      </c>
      <c r="AQ1352" t="s">
        <v>155</v>
      </c>
      <c r="AR1352" t="s">
        <v>229</v>
      </c>
      <c r="AS1352">
        <v>0</v>
      </c>
      <c r="AT1352">
        <v>0</v>
      </c>
      <c r="AU1352">
        <v>0</v>
      </c>
      <c r="AV1352">
        <v>0</v>
      </c>
      <c r="AW1352">
        <v>0</v>
      </c>
      <c r="AX1352">
        <v>0</v>
      </c>
      <c r="AY1352">
        <v>0</v>
      </c>
      <c r="AZ1352" t="s">
        <v>147</v>
      </c>
      <c r="BA1352">
        <v>0</v>
      </c>
      <c r="BB1352">
        <v>0</v>
      </c>
      <c r="BC1352" t="s">
        <v>144</v>
      </c>
      <c r="BD1352">
        <v>2</v>
      </c>
      <c r="BE1352" t="s">
        <v>133</v>
      </c>
      <c r="BF135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53" spans="1:58" x14ac:dyDescent="0.25">
      <c r="A1353" t="s">
        <v>1648</v>
      </c>
      <c r="B1353" t="s">
        <v>19</v>
      </c>
      <c r="C1353">
        <v>3</v>
      </c>
      <c r="D1353">
        <v>123</v>
      </c>
      <c r="E1353" t="s">
        <v>2109</v>
      </c>
      <c r="F1353" t="s">
        <v>123</v>
      </c>
      <c r="G1353" t="s">
        <v>124</v>
      </c>
      <c r="H1353" t="s">
        <v>125</v>
      </c>
      <c r="I1353" t="s">
        <v>154</v>
      </c>
      <c r="J1353" t="s">
        <v>154</v>
      </c>
      <c r="K1353" t="s">
        <v>151</v>
      </c>
      <c r="L1353">
        <v>50</v>
      </c>
      <c r="M1353">
        <v>1382161</v>
      </c>
      <c r="N1353">
        <v>0</v>
      </c>
      <c r="O1353">
        <v>5</v>
      </c>
      <c r="P1353" t="s">
        <v>1515</v>
      </c>
      <c r="Q1353" t="s">
        <v>129</v>
      </c>
      <c r="R1353">
        <v>12</v>
      </c>
      <c r="S1353" t="s">
        <v>189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0</v>
      </c>
      <c r="AB1353">
        <v>50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50</v>
      </c>
      <c r="AJ1353">
        <v>50</v>
      </c>
      <c r="AK1353">
        <v>50</v>
      </c>
      <c r="AL1353">
        <v>50</v>
      </c>
      <c r="AM1353">
        <v>0</v>
      </c>
      <c r="AN1353">
        <v>4.5454545454545459</v>
      </c>
      <c r="AO1353">
        <v>0</v>
      </c>
      <c r="AP1353" t="s">
        <v>172</v>
      </c>
      <c r="AQ1353" t="s">
        <v>155</v>
      </c>
      <c r="AR1353" t="s">
        <v>229</v>
      </c>
      <c r="AS1353">
        <v>0</v>
      </c>
      <c r="AT1353">
        <v>0</v>
      </c>
      <c r="AU1353">
        <v>0</v>
      </c>
      <c r="AV1353">
        <v>0</v>
      </c>
      <c r="AW1353">
        <v>0</v>
      </c>
      <c r="AX1353">
        <v>0</v>
      </c>
      <c r="AY1353">
        <v>0</v>
      </c>
      <c r="AZ1353" t="s">
        <v>147</v>
      </c>
      <c r="BA1353">
        <v>0</v>
      </c>
      <c r="BB1353">
        <v>0</v>
      </c>
      <c r="BC1353" t="s">
        <v>132</v>
      </c>
      <c r="BD1353">
        <v>1</v>
      </c>
      <c r="BE1353" t="s">
        <v>133</v>
      </c>
      <c r="BF135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54" spans="1:58" x14ac:dyDescent="0.25">
      <c r="A1354" t="s">
        <v>1649</v>
      </c>
      <c r="B1354" t="s">
        <v>19</v>
      </c>
      <c r="C1354">
        <v>3</v>
      </c>
      <c r="D1354">
        <v>124</v>
      </c>
      <c r="E1354" t="s">
        <v>2109</v>
      </c>
      <c r="F1354" t="s">
        <v>123</v>
      </c>
      <c r="G1354" t="s">
        <v>124</v>
      </c>
      <c r="H1354" t="s">
        <v>125</v>
      </c>
      <c r="I1354" t="s">
        <v>154</v>
      </c>
      <c r="J1354" t="s">
        <v>154</v>
      </c>
      <c r="K1354" t="s">
        <v>151</v>
      </c>
      <c r="L1354">
        <v>50</v>
      </c>
      <c r="M1354">
        <v>1382163</v>
      </c>
      <c r="N1354">
        <v>0</v>
      </c>
      <c r="O1354">
        <v>5</v>
      </c>
      <c r="P1354" t="s">
        <v>1515</v>
      </c>
      <c r="Q1354" t="s">
        <v>129</v>
      </c>
      <c r="R1354">
        <v>12</v>
      </c>
      <c r="S1354" t="s">
        <v>189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0</v>
      </c>
      <c r="AB1354">
        <v>50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50</v>
      </c>
      <c r="AJ1354">
        <v>50</v>
      </c>
      <c r="AK1354">
        <v>50</v>
      </c>
      <c r="AL1354">
        <v>50</v>
      </c>
      <c r="AM1354">
        <v>0</v>
      </c>
      <c r="AN1354">
        <v>4.5454545454545459</v>
      </c>
      <c r="AO1354">
        <v>0</v>
      </c>
      <c r="AP1354" t="s">
        <v>172</v>
      </c>
      <c r="AQ1354" t="s">
        <v>155</v>
      </c>
      <c r="AR1354" t="s">
        <v>229</v>
      </c>
      <c r="AS1354">
        <v>0</v>
      </c>
      <c r="AT1354">
        <v>0</v>
      </c>
      <c r="AU1354">
        <v>0</v>
      </c>
      <c r="AV1354">
        <v>0</v>
      </c>
      <c r="AW1354">
        <v>0</v>
      </c>
      <c r="AX1354">
        <v>0</v>
      </c>
      <c r="AY1354">
        <v>0</v>
      </c>
      <c r="AZ1354" t="s">
        <v>147</v>
      </c>
      <c r="BA1354">
        <v>0</v>
      </c>
      <c r="BB1354">
        <v>0</v>
      </c>
      <c r="BC1354" t="s">
        <v>133</v>
      </c>
      <c r="BD1354">
        <v>2</v>
      </c>
      <c r="BE1354" t="s">
        <v>133</v>
      </c>
      <c r="BF135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55" spans="1:58" x14ac:dyDescent="0.25">
      <c r="A1355" t="s">
        <v>1650</v>
      </c>
      <c r="B1355" t="s">
        <v>19</v>
      </c>
      <c r="C1355">
        <v>3</v>
      </c>
      <c r="D1355">
        <v>125</v>
      </c>
      <c r="E1355" t="s">
        <v>2109</v>
      </c>
      <c r="F1355" t="s">
        <v>123</v>
      </c>
      <c r="G1355" t="s">
        <v>124</v>
      </c>
      <c r="H1355" t="s">
        <v>125</v>
      </c>
      <c r="I1355" t="s">
        <v>154</v>
      </c>
      <c r="J1355" t="s">
        <v>154</v>
      </c>
      <c r="K1355" t="s">
        <v>151</v>
      </c>
      <c r="L1355">
        <v>50</v>
      </c>
      <c r="M1355">
        <v>1382165</v>
      </c>
      <c r="N1355">
        <v>0</v>
      </c>
      <c r="O1355">
        <v>5</v>
      </c>
      <c r="P1355" t="s">
        <v>1515</v>
      </c>
      <c r="Q1355" t="s">
        <v>129</v>
      </c>
      <c r="R1355">
        <v>12</v>
      </c>
      <c r="S1355" t="s">
        <v>189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50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50</v>
      </c>
      <c r="AJ1355">
        <v>50</v>
      </c>
      <c r="AK1355">
        <v>50</v>
      </c>
      <c r="AL1355">
        <v>50</v>
      </c>
      <c r="AM1355">
        <v>0</v>
      </c>
      <c r="AN1355">
        <v>4.5454545454545459</v>
      </c>
      <c r="AO1355">
        <v>0</v>
      </c>
      <c r="AP1355" t="s">
        <v>172</v>
      </c>
      <c r="AQ1355" t="s">
        <v>155</v>
      </c>
      <c r="AR1355" t="s">
        <v>229</v>
      </c>
      <c r="AS1355">
        <v>0</v>
      </c>
      <c r="AT1355">
        <v>0</v>
      </c>
      <c r="AU1355">
        <v>0</v>
      </c>
      <c r="AV1355">
        <v>0</v>
      </c>
      <c r="AW1355">
        <v>0</v>
      </c>
      <c r="AX1355">
        <v>0</v>
      </c>
      <c r="AY1355">
        <v>0</v>
      </c>
      <c r="AZ1355" t="s">
        <v>147</v>
      </c>
      <c r="BA1355">
        <v>0</v>
      </c>
      <c r="BB1355">
        <v>0</v>
      </c>
      <c r="BC1355" t="s">
        <v>133</v>
      </c>
      <c r="BD1355">
        <v>3</v>
      </c>
      <c r="BE1355" t="s">
        <v>133</v>
      </c>
      <c r="BF135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56" spans="1:58" x14ac:dyDescent="0.25">
      <c r="A1356" t="s">
        <v>1651</v>
      </c>
      <c r="B1356" t="s">
        <v>19</v>
      </c>
      <c r="C1356">
        <v>3</v>
      </c>
      <c r="D1356">
        <v>126</v>
      </c>
      <c r="E1356" t="s">
        <v>2109</v>
      </c>
      <c r="F1356" t="s">
        <v>123</v>
      </c>
      <c r="G1356" t="s">
        <v>124</v>
      </c>
      <c r="H1356" t="s">
        <v>125</v>
      </c>
      <c r="I1356" t="s">
        <v>154</v>
      </c>
      <c r="J1356" t="s">
        <v>154</v>
      </c>
      <c r="K1356" t="s">
        <v>151</v>
      </c>
      <c r="L1356">
        <v>50</v>
      </c>
      <c r="M1356">
        <v>1382167</v>
      </c>
      <c r="N1356">
        <v>0</v>
      </c>
      <c r="O1356">
        <v>5</v>
      </c>
      <c r="P1356" t="s">
        <v>1515</v>
      </c>
      <c r="Q1356" t="s">
        <v>129</v>
      </c>
      <c r="R1356">
        <v>12</v>
      </c>
      <c r="S1356" t="s">
        <v>189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50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50</v>
      </c>
      <c r="AJ1356">
        <v>50</v>
      </c>
      <c r="AK1356">
        <v>50</v>
      </c>
      <c r="AL1356">
        <v>50</v>
      </c>
      <c r="AM1356">
        <v>0</v>
      </c>
      <c r="AN1356">
        <v>4.5454545454545459</v>
      </c>
      <c r="AO1356">
        <v>0</v>
      </c>
      <c r="AP1356" t="s">
        <v>172</v>
      </c>
      <c r="AQ1356" t="s">
        <v>155</v>
      </c>
      <c r="AR1356" t="s">
        <v>229</v>
      </c>
      <c r="AS1356">
        <v>0</v>
      </c>
      <c r="AT1356">
        <v>0</v>
      </c>
      <c r="AU1356">
        <v>0</v>
      </c>
      <c r="AV1356">
        <v>0</v>
      </c>
      <c r="AW1356">
        <v>0</v>
      </c>
      <c r="AX1356">
        <v>0</v>
      </c>
      <c r="AY1356">
        <v>0</v>
      </c>
      <c r="AZ1356" t="s">
        <v>147</v>
      </c>
      <c r="BA1356">
        <v>0</v>
      </c>
      <c r="BB1356">
        <v>0</v>
      </c>
      <c r="BC1356" t="s">
        <v>133</v>
      </c>
      <c r="BD1356">
        <v>4</v>
      </c>
      <c r="BE1356" t="s">
        <v>133</v>
      </c>
      <c r="BF135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57" spans="1:58" x14ac:dyDescent="0.25">
      <c r="A1357" t="s">
        <v>1652</v>
      </c>
      <c r="B1357" t="s">
        <v>19</v>
      </c>
      <c r="C1357">
        <v>3</v>
      </c>
      <c r="D1357">
        <v>127</v>
      </c>
      <c r="E1357" t="s">
        <v>2109</v>
      </c>
      <c r="F1357" t="s">
        <v>123</v>
      </c>
      <c r="G1357" t="s">
        <v>124</v>
      </c>
      <c r="H1357" t="s">
        <v>125</v>
      </c>
      <c r="I1357" t="s">
        <v>154</v>
      </c>
      <c r="J1357" t="s">
        <v>154</v>
      </c>
      <c r="K1357" t="s">
        <v>151</v>
      </c>
      <c r="L1357">
        <v>50</v>
      </c>
      <c r="M1357">
        <v>1382169</v>
      </c>
      <c r="N1357">
        <v>0</v>
      </c>
      <c r="O1357">
        <v>5</v>
      </c>
      <c r="P1357" t="s">
        <v>1515</v>
      </c>
      <c r="Q1357" t="s">
        <v>129</v>
      </c>
      <c r="R1357">
        <v>12</v>
      </c>
      <c r="S1357" t="s">
        <v>189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50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50</v>
      </c>
      <c r="AJ1357">
        <v>50</v>
      </c>
      <c r="AK1357">
        <v>50</v>
      </c>
      <c r="AL1357">
        <v>50</v>
      </c>
      <c r="AM1357">
        <v>0</v>
      </c>
      <c r="AN1357">
        <v>4.5454545454545459</v>
      </c>
      <c r="AO1357">
        <v>0</v>
      </c>
      <c r="AP1357" t="s">
        <v>172</v>
      </c>
      <c r="AQ1357" t="s">
        <v>155</v>
      </c>
      <c r="AR1357" t="s">
        <v>229</v>
      </c>
      <c r="AS1357">
        <v>0</v>
      </c>
      <c r="AT1357">
        <v>0</v>
      </c>
      <c r="AU1357">
        <v>0</v>
      </c>
      <c r="AV1357">
        <v>0</v>
      </c>
      <c r="AW1357">
        <v>0</v>
      </c>
      <c r="AX1357">
        <v>0</v>
      </c>
      <c r="AY1357">
        <v>0</v>
      </c>
      <c r="AZ1357" t="s">
        <v>147</v>
      </c>
      <c r="BA1357">
        <v>0</v>
      </c>
      <c r="BB1357">
        <v>0</v>
      </c>
      <c r="BC1357" t="s">
        <v>133</v>
      </c>
      <c r="BD1357">
        <v>5</v>
      </c>
      <c r="BE1357" t="s">
        <v>133</v>
      </c>
      <c r="BF135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58" spans="1:58" x14ac:dyDescent="0.25">
      <c r="A1358" t="s">
        <v>1653</v>
      </c>
      <c r="B1358" t="s">
        <v>19</v>
      </c>
      <c r="C1358">
        <v>3</v>
      </c>
      <c r="D1358">
        <v>128</v>
      </c>
      <c r="E1358" t="s">
        <v>2109</v>
      </c>
      <c r="F1358" t="s">
        <v>123</v>
      </c>
      <c r="G1358" t="s">
        <v>124</v>
      </c>
      <c r="H1358" t="s">
        <v>125</v>
      </c>
      <c r="I1358" t="s">
        <v>154</v>
      </c>
      <c r="J1358" t="s">
        <v>154</v>
      </c>
      <c r="K1358" t="s">
        <v>151</v>
      </c>
      <c r="L1358">
        <v>50</v>
      </c>
      <c r="M1358">
        <v>1382171</v>
      </c>
      <c r="N1358">
        <v>0</v>
      </c>
      <c r="O1358">
        <v>5</v>
      </c>
      <c r="P1358" t="s">
        <v>1515</v>
      </c>
      <c r="Q1358" t="s">
        <v>129</v>
      </c>
      <c r="R1358">
        <v>12</v>
      </c>
      <c r="S1358" t="s">
        <v>189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50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50</v>
      </c>
      <c r="AJ1358">
        <v>50</v>
      </c>
      <c r="AK1358">
        <v>50</v>
      </c>
      <c r="AL1358">
        <v>50</v>
      </c>
      <c r="AM1358">
        <v>0</v>
      </c>
      <c r="AN1358">
        <v>4.5454545454545459</v>
      </c>
      <c r="AO1358">
        <v>0</v>
      </c>
      <c r="AP1358" t="s">
        <v>172</v>
      </c>
      <c r="AQ1358" t="s">
        <v>155</v>
      </c>
      <c r="AR1358" t="s">
        <v>229</v>
      </c>
      <c r="AS1358">
        <v>0</v>
      </c>
      <c r="AT1358">
        <v>0</v>
      </c>
      <c r="AU1358">
        <v>0</v>
      </c>
      <c r="AV1358">
        <v>0</v>
      </c>
      <c r="AW1358">
        <v>0</v>
      </c>
      <c r="AX1358">
        <v>0</v>
      </c>
      <c r="AY1358">
        <v>0</v>
      </c>
      <c r="AZ1358" t="s">
        <v>147</v>
      </c>
      <c r="BA1358">
        <v>0</v>
      </c>
      <c r="BB1358">
        <v>0</v>
      </c>
      <c r="BC1358" t="s">
        <v>133</v>
      </c>
      <c r="BD1358">
        <v>6</v>
      </c>
      <c r="BE1358" t="s">
        <v>133</v>
      </c>
      <c r="BF135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59" spans="1:58" x14ac:dyDescent="0.25">
      <c r="A1359" t="s">
        <v>1654</v>
      </c>
      <c r="B1359" t="s">
        <v>19</v>
      </c>
      <c r="C1359">
        <v>3</v>
      </c>
      <c r="D1359">
        <v>129</v>
      </c>
      <c r="E1359" t="s">
        <v>2109</v>
      </c>
      <c r="F1359" t="s">
        <v>123</v>
      </c>
      <c r="G1359" t="s">
        <v>124</v>
      </c>
      <c r="H1359" t="s">
        <v>125</v>
      </c>
      <c r="I1359" t="s">
        <v>154</v>
      </c>
      <c r="J1359" t="s">
        <v>154</v>
      </c>
      <c r="K1359" t="s">
        <v>151</v>
      </c>
      <c r="L1359">
        <v>50</v>
      </c>
      <c r="M1359">
        <v>1382173</v>
      </c>
      <c r="N1359">
        <v>0</v>
      </c>
      <c r="O1359">
        <v>5</v>
      </c>
      <c r="P1359" t="s">
        <v>1515</v>
      </c>
      <c r="Q1359" t="s">
        <v>129</v>
      </c>
      <c r="R1359">
        <v>12</v>
      </c>
      <c r="S1359" t="s">
        <v>189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50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50</v>
      </c>
      <c r="AJ1359">
        <v>50</v>
      </c>
      <c r="AK1359">
        <v>50</v>
      </c>
      <c r="AL1359">
        <v>50</v>
      </c>
      <c r="AM1359">
        <v>0</v>
      </c>
      <c r="AN1359">
        <v>4.5454545454545459</v>
      </c>
      <c r="AO1359">
        <v>0</v>
      </c>
      <c r="AP1359" t="s">
        <v>172</v>
      </c>
      <c r="AQ1359" t="s">
        <v>155</v>
      </c>
      <c r="AR1359" t="s">
        <v>229</v>
      </c>
      <c r="AS1359">
        <v>0</v>
      </c>
      <c r="AT1359">
        <v>0</v>
      </c>
      <c r="AU1359">
        <v>0</v>
      </c>
      <c r="AV1359">
        <v>0</v>
      </c>
      <c r="AW1359">
        <v>0</v>
      </c>
      <c r="AX1359">
        <v>0</v>
      </c>
      <c r="AY1359">
        <v>0</v>
      </c>
      <c r="AZ1359" t="s">
        <v>147</v>
      </c>
      <c r="BA1359">
        <v>0</v>
      </c>
      <c r="BB1359">
        <v>0</v>
      </c>
      <c r="BC1359" t="s">
        <v>133</v>
      </c>
      <c r="BD1359">
        <v>7</v>
      </c>
      <c r="BE1359" t="s">
        <v>133</v>
      </c>
      <c r="BF135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60" spans="1:58" x14ac:dyDescent="0.25">
      <c r="A1360" t="s">
        <v>1655</v>
      </c>
      <c r="B1360" t="s">
        <v>19</v>
      </c>
      <c r="C1360">
        <v>3</v>
      </c>
      <c r="D1360">
        <v>130</v>
      </c>
      <c r="E1360" t="s">
        <v>2109</v>
      </c>
      <c r="F1360" t="s">
        <v>123</v>
      </c>
      <c r="G1360" t="s">
        <v>124</v>
      </c>
      <c r="H1360" t="s">
        <v>125</v>
      </c>
      <c r="I1360" t="s">
        <v>154</v>
      </c>
      <c r="J1360" t="s">
        <v>154</v>
      </c>
      <c r="K1360" t="s">
        <v>151</v>
      </c>
      <c r="L1360">
        <v>50</v>
      </c>
      <c r="M1360">
        <v>1382175</v>
      </c>
      <c r="N1360">
        <v>0</v>
      </c>
      <c r="O1360">
        <v>5</v>
      </c>
      <c r="P1360" t="s">
        <v>1515</v>
      </c>
      <c r="Q1360" t="s">
        <v>129</v>
      </c>
      <c r="R1360">
        <v>12</v>
      </c>
      <c r="S1360" t="s">
        <v>189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50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50</v>
      </c>
      <c r="AJ1360">
        <v>50</v>
      </c>
      <c r="AK1360">
        <v>50</v>
      </c>
      <c r="AL1360">
        <v>50</v>
      </c>
      <c r="AM1360">
        <v>0</v>
      </c>
      <c r="AN1360">
        <v>4.5454545454545459</v>
      </c>
      <c r="AO1360">
        <v>0</v>
      </c>
      <c r="AP1360" t="s">
        <v>172</v>
      </c>
      <c r="AQ1360" t="s">
        <v>155</v>
      </c>
      <c r="AR1360" t="s">
        <v>229</v>
      </c>
      <c r="AS1360">
        <v>0</v>
      </c>
      <c r="AT1360">
        <v>0</v>
      </c>
      <c r="AU1360">
        <v>0</v>
      </c>
      <c r="AV1360">
        <v>0</v>
      </c>
      <c r="AW1360">
        <v>0</v>
      </c>
      <c r="AX1360">
        <v>0</v>
      </c>
      <c r="AY1360">
        <v>0</v>
      </c>
      <c r="AZ1360" t="s">
        <v>147</v>
      </c>
      <c r="BA1360">
        <v>0</v>
      </c>
      <c r="BB1360">
        <v>0</v>
      </c>
      <c r="BC1360" t="s">
        <v>133</v>
      </c>
      <c r="BD1360">
        <v>8</v>
      </c>
      <c r="BE1360" t="s">
        <v>133</v>
      </c>
      <c r="BF136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61" spans="1:58" x14ac:dyDescent="0.25">
      <c r="A1361" t="s">
        <v>1656</v>
      </c>
      <c r="B1361" t="s">
        <v>19</v>
      </c>
      <c r="C1361">
        <v>3</v>
      </c>
      <c r="D1361">
        <v>131</v>
      </c>
      <c r="E1361" t="s">
        <v>2109</v>
      </c>
      <c r="F1361" t="s">
        <v>123</v>
      </c>
      <c r="G1361" t="s">
        <v>124</v>
      </c>
      <c r="H1361" t="s">
        <v>125</v>
      </c>
      <c r="I1361" t="s">
        <v>154</v>
      </c>
      <c r="J1361" t="s">
        <v>154</v>
      </c>
      <c r="K1361" t="s">
        <v>151</v>
      </c>
      <c r="L1361">
        <v>50</v>
      </c>
      <c r="M1361">
        <v>1382177</v>
      </c>
      <c r="N1361">
        <v>0</v>
      </c>
      <c r="O1361">
        <v>5</v>
      </c>
      <c r="P1361" t="s">
        <v>1515</v>
      </c>
      <c r="Q1361" t="s">
        <v>129</v>
      </c>
      <c r="R1361">
        <v>12</v>
      </c>
      <c r="S1361" t="s">
        <v>189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50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50</v>
      </c>
      <c r="AJ1361">
        <v>50</v>
      </c>
      <c r="AK1361">
        <v>50</v>
      </c>
      <c r="AL1361">
        <v>50</v>
      </c>
      <c r="AM1361">
        <v>0</v>
      </c>
      <c r="AN1361">
        <v>4.5454545454545459</v>
      </c>
      <c r="AO1361">
        <v>0</v>
      </c>
      <c r="AP1361" t="s">
        <v>172</v>
      </c>
      <c r="AQ1361" t="s">
        <v>155</v>
      </c>
      <c r="AR1361" t="s">
        <v>229</v>
      </c>
      <c r="AS1361">
        <v>0</v>
      </c>
      <c r="AT1361">
        <v>0</v>
      </c>
      <c r="AU1361">
        <v>0</v>
      </c>
      <c r="AV1361">
        <v>0</v>
      </c>
      <c r="AW1361">
        <v>0</v>
      </c>
      <c r="AX1361">
        <v>0</v>
      </c>
      <c r="AY1361">
        <v>0</v>
      </c>
      <c r="AZ1361" t="s">
        <v>147</v>
      </c>
      <c r="BA1361">
        <v>0</v>
      </c>
      <c r="BB1361">
        <v>0</v>
      </c>
      <c r="BC1361" t="s">
        <v>133</v>
      </c>
      <c r="BD1361">
        <v>9</v>
      </c>
      <c r="BE1361" t="s">
        <v>133</v>
      </c>
      <c r="BF136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62" spans="1:58" x14ac:dyDescent="0.25">
      <c r="A1362" t="s">
        <v>1657</v>
      </c>
      <c r="B1362" t="s">
        <v>19</v>
      </c>
      <c r="C1362">
        <v>3</v>
      </c>
      <c r="D1362">
        <v>132</v>
      </c>
      <c r="E1362" t="s">
        <v>2109</v>
      </c>
      <c r="F1362" t="s">
        <v>123</v>
      </c>
      <c r="G1362" t="s">
        <v>124</v>
      </c>
      <c r="H1362" t="s">
        <v>125</v>
      </c>
      <c r="I1362" t="s">
        <v>154</v>
      </c>
      <c r="J1362" t="s">
        <v>154</v>
      </c>
      <c r="K1362" t="s">
        <v>151</v>
      </c>
      <c r="L1362">
        <v>50</v>
      </c>
      <c r="M1362">
        <v>1382179</v>
      </c>
      <c r="N1362">
        <v>0</v>
      </c>
      <c r="O1362">
        <v>5</v>
      </c>
      <c r="P1362" t="s">
        <v>1515</v>
      </c>
      <c r="Q1362" t="s">
        <v>129</v>
      </c>
      <c r="R1362">
        <v>12</v>
      </c>
      <c r="S1362" t="s">
        <v>189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>
        <v>50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50</v>
      </c>
      <c r="AJ1362">
        <v>50</v>
      </c>
      <c r="AK1362">
        <v>50</v>
      </c>
      <c r="AL1362">
        <v>50</v>
      </c>
      <c r="AM1362">
        <v>0</v>
      </c>
      <c r="AN1362">
        <v>4.5454545454545459</v>
      </c>
      <c r="AO1362">
        <v>0</v>
      </c>
      <c r="AP1362" t="s">
        <v>172</v>
      </c>
      <c r="AQ1362" t="s">
        <v>155</v>
      </c>
      <c r="AR1362" t="s">
        <v>229</v>
      </c>
      <c r="AS1362">
        <v>0</v>
      </c>
      <c r="AT1362">
        <v>0</v>
      </c>
      <c r="AU1362">
        <v>0</v>
      </c>
      <c r="AV1362">
        <v>0</v>
      </c>
      <c r="AW1362">
        <v>0</v>
      </c>
      <c r="AX1362">
        <v>0</v>
      </c>
      <c r="AY1362">
        <v>0</v>
      </c>
      <c r="AZ1362" t="s">
        <v>147</v>
      </c>
      <c r="BA1362">
        <v>0</v>
      </c>
      <c r="BB1362">
        <v>0</v>
      </c>
      <c r="BC1362" t="s">
        <v>133</v>
      </c>
      <c r="BD1362">
        <v>10</v>
      </c>
      <c r="BE1362" t="s">
        <v>133</v>
      </c>
      <c r="BF136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63" spans="1:58" x14ac:dyDescent="0.25">
      <c r="A1363" t="s">
        <v>1658</v>
      </c>
      <c r="B1363" t="s">
        <v>19</v>
      </c>
      <c r="C1363">
        <v>3</v>
      </c>
      <c r="D1363">
        <v>133</v>
      </c>
      <c r="E1363" t="s">
        <v>2109</v>
      </c>
      <c r="F1363" t="s">
        <v>123</v>
      </c>
      <c r="G1363" t="s">
        <v>124</v>
      </c>
      <c r="H1363" t="s">
        <v>125</v>
      </c>
      <c r="I1363" t="s">
        <v>154</v>
      </c>
      <c r="J1363" t="s">
        <v>154</v>
      </c>
      <c r="K1363" t="s">
        <v>151</v>
      </c>
      <c r="L1363">
        <v>50</v>
      </c>
      <c r="M1363">
        <v>1382181</v>
      </c>
      <c r="N1363">
        <v>0</v>
      </c>
      <c r="O1363">
        <v>5</v>
      </c>
      <c r="P1363" t="s">
        <v>1515</v>
      </c>
      <c r="Q1363" t="s">
        <v>129</v>
      </c>
      <c r="R1363">
        <v>12</v>
      </c>
      <c r="S1363" t="s">
        <v>189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50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50</v>
      </c>
      <c r="AJ1363">
        <v>50</v>
      </c>
      <c r="AK1363">
        <v>50</v>
      </c>
      <c r="AL1363">
        <v>50</v>
      </c>
      <c r="AM1363">
        <v>0</v>
      </c>
      <c r="AN1363">
        <v>4.5454545454545459</v>
      </c>
      <c r="AO1363">
        <v>0</v>
      </c>
      <c r="AP1363" t="s">
        <v>172</v>
      </c>
      <c r="AQ1363" t="s">
        <v>155</v>
      </c>
      <c r="AR1363" t="s">
        <v>229</v>
      </c>
      <c r="AS1363">
        <v>0</v>
      </c>
      <c r="AT1363">
        <v>0</v>
      </c>
      <c r="AU1363">
        <v>0</v>
      </c>
      <c r="AV1363">
        <v>0</v>
      </c>
      <c r="AW1363">
        <v>0</v>
      </c>
      <c r="AX1363">
        <v>0</v>
      </c>
      <c r="AY1363">
        <v>0</v>
      </c>
      <c r="AZ1363" t="s">
        <v>147</v>
      </c>
      <c r="BA1363">
        <v>0</v>
      </c>
      <c r="BB1363">
        <v>0</v>
      </c>
      <c r="BC1363" t="s">
        <v>144</v>
      </c>
      <c r="BD1363">
        <v>11</v>
      </c>
      <c r="BE1363" t="s">
        <v>1659</v>
      </c>
      <c r="BF136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64" spans="1:58" x14ac:dyDescent="0.25">
      <c r="A1364" t="s">
        <v>1660</v>
      </c>
      <c r="B1364" t="s">
        <v>19</v>
      </c>
      <c r="C1364">
        <v>3</v>
      </c>
      <c r="D1364">
        <v>134</v>
      </c>
      <c r="E1364" t="s">
        <v>2109</v>
      </c>
      <c r="F1364" t="s">
        <v>123</v>
      </c>
      <c r="G1364" t="s">
        <v>124</v>
      </c>
      <c r="H1364" t="s">
        <v>125</v>
      </c>
      <c r="I1364" t="s">
        <v>1661</v>
      </c>
      <c r="J1364" t="s">
        <v>140</v>
      </c>
      <c r="K1364" t="s">
        <v>127</v>
      </c>
      <c r="L1364">
        <v>50</v>
      </c>
      <c r="M1364">
        <v>1382193</v>
      </c>
      <c r="N1364">
        <v>10</v>
      </c>
      <c r="O1364">
        <v>5</v>
      </c>
      <c r="P1364" t="s">
        <v>1515</v>
      </c>
      <c r="Q1364" t="s">
        <v>129</v>
      </c>
      <c r="R1364">
        <v>13</v>
      </c>
      <c r="S1364" t="s">
        <v>1617</v>
      </c>
      <c r="T1364">
        <v>24</v>
      </c>
      <c r="U1364">
        <v>26</v>
      </c>
      <c r="V1364">
        <v>6</v>
      </c>
      <c r="W1364">
        <v>0</v>
      </c>
      <c r="X1364">
        <v>6</v>
      </c>
      <c r="Y1364">
        <v>5</v>
      </c>
      <c r="Z1364">
        <v>29</v>
      </c>
      <c r="AA1364">
        <v>37</v>
      </c>
      <c r="AB1364">
        <v>50</v>
      </c>
      <c r="AC1364">
        <v>26</v>
      </c>
      <c r="AD1364">
        <v>24</v>
      </c>
      <c r="AE1364">
        <v>11</v>
      </c>
      <c r="AF1364">
        <v>61</v>
      </c>
      <c r="AG1364">
        <v>0</v>
      </c>
      <c r="AH1364">
        <v>24</v>
      </c>
      <c r="AI1364">
        <v>-11</v>
      </c>
      <c r="AJ1364">
        <v>13</v>
      </c>
      <c r="AK1364">
        <v>24</v>
      </c>
      <c r="AL1364">
        <v>0</v>
      </c>
      <c r="AM1364">
        <v>0.2</v>
      </c>
      <c r="AN1364">
        <v>1.1818181818181819</v>
      </c>
      <c r="AO1364">
        <v>0</v>
      </c>
      <c r="AP1364" t="s">
        <v>1662</v>
      </c>
      <c r="AQ1364" t="s">
        <v>131</v>
      </c>
      <c r="AR1364" t="s">
        <v>229</v>
      </c>
      <c r="AS1364">
        <v>0</v>
      </c>
      <c r="AT1364">
        <v>0</v>
      </c>
      <c r="AU1364">
        <v>0</v>
      </c>
      <c r="AV1364">
        <v>0</v>
      </c>
      <c r="AW1364">
        <v>0</v>
      </c>
      <c r="AX1364">
        <v>0</v>
      </c>
      <c r="AY1364">
        <v>0</v>
      </c>
      <c r="AZ1364" t="s">
        <v>147</v>
      </c>
      <c r="BA1364">
        <v>10</v>
      </c>
      <c r="BB1364">
        <v>0</v>
      </c>
      <c r="BC1364" t="s">
        <v>132</v>
      </c>
      <c r="BD1364">
        <v>0</v>
      </c>
      <c r="BE1364" t="s">
        <v>133</v>
      </c>
      <c r="BF136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65" spans="1:58" x14ac:dyDescent="0.25">
      <c r="A1365" t="s">
        <v>1663</v>
      </c>
      <c r="B1365" t="s">
        <v>19</v>
      </c>
      <c r="C1365">
        <v>3</v>
      </c>
      <c r="D1365">
        <v>135</v>
      </c>
      <c r="E1365" t="s">
        <v>2109</v>
      </c>
      <c r="F1365" t="s">
        <v>123</v>
      </c>
      <c r="G1365" t="s">
        <v>124</v>
      </c>
      <c r="H1365" t="s">
        <v>125</v>
      </c>
      <c r="I1365" t="s">
        <v>1661</v>
      </c>
      <c r="J1365" t="s">
        <v>140</v>
      </c>
      <c r="K1365" t="s">
        <v>127</v>
      </c>
      <c r="L1365">
        <v>50</v>
      </c>
      <c r="M1365">
        <v>1382195</v>
      </c>
      <c r="N1365">
        <v>10</v>
      </c>
      <c r="O1365">
        <v>5</v>
      </c>
      <c r="P1365" t="s">
        <v>1515</v>
      </c>
      <c r="Q1365" t="s">
        <v>129</v>
      </c>
      <c r="R1365">
        <v>13</v>
      </c>
      <c r="S1365" t="s">
        <v>1617</v>
      </c>
      <c r="T1365">
        <v>24</v>
      </c>
      <c r="U1365">
        <v>27</v>
      </c>
      <c r="V1365">
        <v>6</v>
      </c>
      <c r="W1365">
        <v>0</v>
      </c>
      <c r="X1365">
        <v>6</v>
      </c>
      <c r="Y1365">
        <v>5</v>
      </c>
      <c r="Z1365">
        <v>29</v>
      </c>
      <c r="AA1365">
        <v>38</v>
      </c>
      <c r="AB1365">
        <v>50</v>
      </c>
      <c r="AC1365">
        <v>27</v>
      </c>
      <c r="AD1365">
        <v>24</v>
      </c>
      <c r="AE1365">
        <v>11</v>
      </c>
      <c r="AF1365">
        <v>62</v>
      </c>
      <c r="AG1365">
        <v>0</v>
      </c>
      <c r="AH1365">
        <v>23</v>
      </c>
      <c r="AI1365">
        <v>-12</v>
      </c>
      <c r="AJ1365">
        <v>12</v>
      </c>
      <c r="AK1365">
        <v>23</v>
      </c>
      <c r="AL1365">
        <v>0</v>
      </c>
      <c r="AM1365">
        <v>0.2</v>
      </c>
      <c r="AN1365">
        <v>1.0909090909090908</v>
      </c>
      <c r="AO1365">
        <v>0</v>
      </c>
      <c r="AP1365" t="s">
        <v>1662</v>
      </c>
      <c r="AQ1365" t="s">
        <v>131</v>
      </c>
      <c r="AR1365" t="s">
        <v>229</v>
      </c>
      <c r="AS1365">
        <v>0</v>
      </c>
      <c r="AT1365">
        <v>0</v>
      </c>
      <c r="AU1365">
        <v>0</v>
      </c>
      <c r="AV1365">
        <v>0</v>
      </c>
      <c r="AW1365">
        <v>0</v>
      </c>
      <c r="AX1365">
        <v>0</v>
      </c>
      <c r="AY1365">
        <v>0</v>
      </c>
      <c r="AZ1365" t="s">
        <v>147</v>
      </c>
      <c r="BA1365">
        <v>10</v>
      </c>
      <c r="BB1365">
        <v>0</v>
      </c>
      <c r="BC1365" t="s">
        <v>133</v>
      </c>
      <c r="BD1365">
        <v>0</v>
      </c>
      <c r="BE1365" t="s">
        <v>133</v>
      </c>
      <c r="BF136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66" spans="1:58" x14ac:dyDescent="0.25">
      <c r="A1366" t="s">
        <v>1664</v>
      </c>
      <c r="B1366" t="s">
        <v>19</v>
      </c>
      <c r="C1366">
        <v>3</v>
      </c>
      <c r="D1366">
        <v>136</v>
      </c>
      <c r="E1366" t="s">
        <v>2109</v>
      </c>
      <c r="F1366" t="s">
        <v>123</v>
      </c>
      <c r="G1366" t="s">
        <v>124</v>
      </c>
      <c r="H1366" t="s">
        <v>125</v>
      </c>
      <c r="I1366" t="s">
        <v>1661</v>
      </c>
      <c r="J1366" t="s">
        <v>140</v>
      </c>
      <c r="K1366" t="s">
        <v>127</v>
      </c>
      <c r="L1366">
        <v>50</v>
      </c>
      <c r="M1366">
        <v>1382197</v>
      </c>
      <c r="N1366">
        <v>10</v>
      </c>
      <c r="O1366">
        <v>5</v>
      </c>
      <c r="P1366" t="s">
        <v>1515</v>
      </c>
      <c r="Q1366" t="s">
        <v>129</v>
      </c>
      <c r="R1366">
        <v>13</v>
      </c>
      <c r="S1366" t="s">
        <v>1617</v>
      </c>
      <c r="T1366">
        <v>23</v>
      </c>
      <c r="U1366">
        <v>26</v>
      </c>
      <c r="V1366">
        <v>6</v>
      </c>
      <c r="W1366">
        <v>0</v>
      </c>
      <c r="X1366">
        <v>6</v>
      </c>
      <c r="Y1366">
        <v>6</v>
      </c>
      <c r="Z1366">
        <v>29</v>
      </c>
      <c r="AA1366">
        <v>38</v>
      </c>
      <c r="AB1366">
        <v>50</v>
      </c>
      <c r="AC1366">
        <v>26</v>
      </c>
      <c r="AD1366">
        <v>24</v>
      </c>
      <c r="AE1366">
        <v>12</v>
      </c>
      <c r="AF1366">
        <v>62</v>
      </c>
      <c r="AG1366">
        <v>0</v>
      </c>
      <c r="AH1366">
        <v>24</v>
      </c>
      <c r="AI1366">
        <v>-12</v>
      </c>
      <c r="AJ1366">
        <v>12</v>
      </c>
      <c r="AK1366">
        <v>24</v>
      </c>
      <c r="AL1366">
        <v>0</v>
      </c>
      <c r="AM1366">
        <v>0.2</v>
      </c>
      <c r="AN1366">
        <v>1.0909090909090908</v>
      </c>
      <c r="AO1366">
        <v>0</v>
      </c>
      <c r="AP1366" t="s">
        <v>1662</v>
      </c>
      <c r="AQ1366" t="s">
        <v>131</v>
      </c>
      <c r="AR1366" t="s">
        <v>229</v>
      </c>
      <c r="AS1366">
        <v>0</v>
      </c>
      <c r="AT1366">
        <v>0</v>
      </c>
      <c r="AU1366">
        <v>0</v>
      </c>
      <c r="AV1366">
        <v>0</v>
      </c>
      <c r="AW1366">
        <v>0</v>
      </c>
      <c r="AX1366">
        <v>0</v>
      </c>
      <c r="AY1366">
        <v>0</v>
      </c>
      <c r="AZ1366" t="s">
        <v>147</v>
      </c>
      <c r="BA1366">
        <v>10</v>
      </c>
      <c r="BB1366">
        <v>0</v>
      </c>
      <c r="BC1366" t="s">
        <v>133</v>
      </c>
      <c r="BD1366">
        <v>0</v>
      </c>
      <c r="BE1366" t="s">
        <v>133</v>
      </c>
      <c r="BF136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67" spans="1:58" x14ac:dyDescent="0.25">
      <c r="A1367" t="s">
        <v>1665</v>
      </c>
      <c r="B1367" t="s">
        <v>19</v>
      </c>
      <c r="C1367">
        <v>3</v>
      </c>
      <c r="D1367">
        <v>137</v>
      </c>
      <c r="E1367" t="s">
        <v>2109</v>
      </c>
      <c r="F1367" t="s">
        <v>123</v>
      </c>
      <c r="G1367" t="s">
        <v>124</v>
      </c>
      <c r="H1367" t="s">
        <v>125</v>
      </c>
      <c r="I1367" t="s">
        <v>1661</v>
      </c>
      <c r="J1367" t="s">
        <v>140</v>
      </c>
      <c r="K1367" t="s">
        <v>127</v>
      </c>
      <c r="L1367">
        <v>50</v>
      </c>
      <c r="M1367">
        <v>1382199</v>
      </c>
      <c r="N1367">
        <v>10</v>
      </c>
      <c r="O1367">
        <v>5</v>
      </c>
      <c r="P1367" t="s">
        <v>1515</v>
      </c>
      <c r="Q1367" t="s">
        <v>129</v>
      </c>
      <c r="R1367">
        <v>13</v>
      </c>
      <c r="S1367" t="s">
        <v>1617</v>
      </c>
      <c r="T1367">
        <v>24</v>
      </c>
      <c r="U1367">
        <v>27</v>
      </c>
      <c r="V1367">
        <v>6</v>
      </c>
      <c r="W1367">
        <v>0</v>
      </c>
      <c r="X1367">
        <v>6</v>
      </c>
      <c r="Y1367">
        <v>5</v>
      </c>
      <c r="Z1367">
        <v>29</v>
      </c>
      <c r="AA1367">
        <v>38</v>
      </c>
      <c r="AB1367">
        <v>50</v>
      </c>
      <c r="AC1367">
        <v>27</v>
      </c>
      <c r="AD1367">
        <v>24</v>
      </c>
      <c r="AE1367">
        <v>11</v>
      </c>
      <c r="AF1367">
        <v>62</v>
      </c>
      <c r="AG1367">
        <v>0</v>
      </c>
      <c r="AH1367">
        <v>23</v>
      </c>
      <c r="AI1367">
        <v>-12</v>
      </c>
      <c r="AJ1367">
        <v>12</v>
      </c>
      <c r="AK1367">
        <v>23</v>
      </c>
      <c r="AL1367">
        <v>0</v>
      </c>
      <c r="AM1367">
        <v>0.2</v>
      </c>
      <c r="AN1367">
        <v>1.0909090909090908</v>
      </c>
      <c r="AO1367">
        <v>0</v>
      </c>
      <c r="AP1367" t="s">
        <v>1662</v>
      </c>
      <c r="AQ1367" t="s">
        <v>131</v>
      </c>
      <c r="AR1367" t="s">
        <v>229</v>
      </c>
      <c r="AS1367">
        <v>0</v>
      </c>
      <c r="AT1367">
        <v>0</v>
      </c>
      <c r="AU1367">
        <v>0</v>
      </c>
      <c r="AV1367">
        <v>0</v>
      </c>
      <c r="AW1367">
        <v>0</v>
      </c>
      <c r="AX1367">
        <v>0</v>
      </c>
      <c r="AY1367">
        <v>0</v>
      </c>
      <c r="AZ1367" t="s">
        <v>147</v>
      </c>
      <c r="BA1367">
        <v>10</v>
      </c>
      <c r="BB1367">
        <v>0</v>
      </c>
      <c r="BC1367" t="s">
        <v>133</v>
      </c>
      <c r="BD1367">
        <v>0</v>
      </c>
      <c r="BE1367" t="s">
        <v>133</v>
      </c>
      <c r="BF136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68" spans="1:58" x14ac:dyDescent="0.25">
      <c r="A1368" t="s">
        <v>1666</v>
      </c>
      <c r="B1368" t="s">
        <v>19</v>
      </c>
      <c r="C1368">
        <v>3</v>
      </c>
      <c r="D1368">
        <v>138</v>
      </c>
      <c r="E1368" t="s">
        <v>2109</v>
      </c>
      <c r="F1368" t="s">
        <v>123</v>
      </c>
      <c r="G1368" t="s">
        <v>124</v>
      </c>
      <c r="H1368" t="s">
        <v>125</v>
      </c>
      <c r="I1368" t="s">
        <v>1661</v>
      </c>
      <c r="J1368" t="s">
        <v>140</v>
      </c>
      <c r="K1368" t="s">
        <v>127</v>
      </c>
      <c r="L1368">
        <v>50</v>
      </c>
      <c r="M1368">
        <v>1382201</v>
      </c>
      <c r="N1368">
        <v>10</v>
      </c>
      <c r="O1368">
        <v>5</v>
      </c>
      <c r="P1368" t="s">
        <v>1515</v>
      </c>
      <c r="Q1368" t="s">
        <v>129</v>
      </c>
      <c r="R1368">
        <v>13</v>
      </c>
      <c r="S1368" t="s">
        <v>1617</v>
      </c>
      <c r="T1368">
        <v>23</v>
      </c>
      <c r="U1368">
        <v>26</v>
      </c>
      <c r="V1368">
        <v>6</v>
      </c>
      <c r="W1368">
        <v>0</v>
      </c>
      <c r="X1368">
        <v>6</v>
      </c>
      <c r="Y1368">
        <v>6</v>
      </c>
      <c r="Z1368">
        <v>29</v>
      </c>
      <c r="AA1368">
        <v>38</v>
      </c>
      <c r="AB1368">
        <v>50</v>
      </c>
      <c r="AC1368">
        <v>26</v>
      </c>
      <c r="AD1368">
        <v>24</v>
      </c>
      <c r="AE1368">
        <v>12</v>
      </c>
      <c r="AF1368">
        <v>62</v>
      </c>
      <c r="AG1368">
        <v>0</v>
      </c>
      <c r="AH1368">
        <v>24</v>
      </c>
      <c r="AI1368">
        <v>-12</v>
      </c>
      <c r="AJ1368">
        <v>12</v>
      </c>
      <c r="AK1368">
        <v>24</v>
      </c>
      <c r="AL1368">
        <v>0</v>
      </c>
      <c r="AM1368">
        <v>0.2</v>
      </c>
      <c r="AN1368">
        <v>1.0909090909090908</v>
      </c>
      <c r="AO1368">
        <v>0</v>
      </c>
      <c r="AP1368" t="s">
        <v>1662</v>
      </c>
      <c r="AQ1368" t="s">
        <v>131</v>
      </c>
      <c r="AR1368" t="s">
        <v>229</v>
      </c>
      <c r="AS1368">
        <v>0</v>
      </c>
      <c r="AT1368">
        <v>0</v>
      </c>
      <c r="AU1368">
        <v>0</v>
      </c>
      <c r="AV1368">
        <v>0</v>
      </c>
      <c r="AW1368">
        <v>0</v>
      </c>
      <c r="AX1368">
        <v>0</v>
      </c>
      <c r="AY1368">
        <v>0</v>
      </c>
      <c r="AZ1368" t="s">
        <v>147</v>
      </c>
      <c r="BA1368">
        <v>10</v>
      </c>
      <c r="BB1368">
        <v>0</v>
      </c>
      <c r="BC1368" t="s">
        <v>133</v>
      </c>
      <c r="BD1368">
        <v>0</v>
      </c>
      <c r="BE1368" t="s">
        <v>133</v>
      </c>
      <c r="BF136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69" spans="1:58" x14ac:dyDescent="0.25">
      <c r="A1369" t="s">
        <v>1667</v>
      </c>
      <c r="B1369" t="s">
        <v>19</v>
      </c>
      <c r="C1369">
        <v>3</v>
      </c>
      <c r="D1369">
        <v>139</v>
      </c>
      <c r="E1369" t="s">
        <v>2109</v>
      </c>
      <c r="F1369" t="s">
        <v>123</v>
      </c>
      <c r="G1369" t="s">
        <v>124</v>
      </c>
      <c r="H1369" t="s">
        <v>125</v>
      </c>
      <c r="I1369" t="s">
        <v>1661</v>
      </c>
      <c r="J1369" t="s">
        <v>140</v>
      </c>
      <c r="K1369" t="s">
        <v>127</v>
      </c>
      <c r="L1369">
        <v>50</v>
      </c>
      <c r="M1369">
        <v>1382203</v>
      </c>
      <c r="N1369">
        <v>10</v>
      </c>
      <c r="O1369">
        <v>5</v>
      </c>
      <c r="P1369" t="s">
        <v>1515</v>
      </c>
      <c r="Q1369" t="s">
        <v>129</v>
      </c>
      <c r="R1369">
        <v>13</v>
      </c>
      <c r="S1369" t="s">
        <v>1617</v>
      </c>
      <c r="T1369">
        <v>24</v>
      </c>
      <c r="U1369">
        <v>27</v>
      </c>
      <c r="V1369">
        <v>6</v>
      </c>
      <c r="W1369">
        <v>0</v>
      </c>
      <c r="X1369">
        <v>6</v>
      </c>
      <c r="Y1369">
        <v>5</v>
      </c>
      <c r="Z1369">
        <v>29</v>
      </c>
      <c r="AA1369">
        <v>38</v>
      </c>
      <c r="AB1369">
        <v>50</v>
      </c>
      <c r="AC1369">
        <v>27</v>
      </c>
      <c r="AD1369">
        <v>24</v>
      </c>
      <c r="AE1369">
        <v>11</v>
      </c>
      <c r="AF1369">
        <v>62</v>
      </c>
      <c r="AG1369">
        <v>0</v>
      </c>
      <c r="AH1369">
        <v>23</v>
      </c>
      <c r="AI1369">
        <v>-12</v>
      </c>
      <c r="AJ1369">
        <v>12</v>
      </c>
      <c r="AK1369">
        <v>23</v>
      </c>
      <c r="AL1369">
        <v>0</v>
      </c>
      <c r="AM1369">
        <v>0.2</v>
      </c>
      <c r="AN1369">
        <v>1.0909090909090908</v>
      </c>
      <c r="AO1369">
        <v>0</v>
      </c>
      <c r="AP1369" t="s">
        <v>1662</v>
      </c>
      <c r="AQ1369" t="s">
        <v>131</v>
      </c>
      <c r="AR1369" t="s">
        <v>229</v>
      </c>
      <c r="AS1369">
        <v>0</v>
      </c>
      <c r="AT1369">
        <v>0</v>
      </c>
      <c r="AU1369">
        <v>0</v>
      </c>
      <c r="AV1369">
        <v>0</v>
      </c>
      <c r="AW1369">
        <v>0</v>
      </c>
      <c r="AX1369">
        <v>0</v>
      </c>
      <c r="AY1369">
        <v>0</v>
      </c>
      <c r="AZ1369" t="s">
        <v>147</v>
      </c>
      <c r="BA1369">
        <v>10</v>
      </c>
      <c r="BB1369">
        <v>0</v>
      </c>
      <c r="BC1369" t="s">
        <v>133</v>
      </c>
      <c r="BD1369">
        <v>0</v>
      </c>
      <c r="BE1369" t="s">
        <v>133</v>
      </c>
      <c r="BF136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70" spans="1:58" x14ac:dyDescent="0.25">
      <c r="A1370" t="s">
        <v>1668</v>
      </c>
      <c r="B1370" t="s">
        <v>19</v>
      </c>
      <c r="C1370">
        <v>3</v>
      </c>
      <c r="D1370">
        <v>140</v>
      </c>
      <c r="E1370" t="s">
        <v>2109</v>
      </c>
      <c r="F1370" t="s">
        <v>123</v>
      </c>
      <c r="G1370" t="s">
        <v>124</v>
      </c>
      <c r="H1370" t="s">
        <v>125</v>
      </c>
      <c r="I1370" t="s">
        <v>1661</v>
      </c>
      <c r="J1370" t="s">
        <v>140</v>
      </c>
      <c r="K1370" t="s">
        <v>127</v>
      </c>
      <c r="L1370">
        <v>50</v>
      </c>
      <c r="M1370">
        <v>1382205</v>
      </c>
      <c r="N1370">
        <v>10</v>
      </c>
      <c r="O1370">
        <v>5</v>
      </c>
      <c r="P1370" t="s">
        <v>1515</v>
      </c>
      <c r="Q1370" t="s">
        <v>129</v>
      </c>
      <c r="R1370">
        <v>13</v>
      </c>
      <c r="S1370" t="s">
        <v>1617</v>
      </c>
      <c r="T1370">
        <v>19</v>
      </c>
      <c r="U1370">
        <v>22</v>
      </c>
      <c r="V1370">
        <v>6</v>
      </c>
      <c r="W1370">
        <v>0</v>
      </c>
      <c r="X1370">
        <v>6</v>
      </c>
      <c r="Y1370">
        <v>10</v>
      </c>
      <c r="Z1370">
        <v>29</v>
      </c>
      <c r="AA1370">
        <v>38</v>
      </c>
      <c r="AB1370">
        <v>50</v>
      </c>
      <c r="AC1370">
        <v>22</v>
      </c>
      <c r="AD1370">
        <v>24</v>
      </c>
      <c r="AE1370">
        <v>16</v>
      </c>
      <c r="AF1370">
        <v>62</v>
      </c>
      <c r="AG1370">
        <v>0</v>
      </c>
      <c r="AH1370">
        <v>28</v>
      </c>
      <c r="AI1370">
        <v>-12</v>
      </c>
      <c r="AJ1370">
        <v>12</v>
      </c>
      <c r="AK1370">
        <v>28</v>
      </c>
      <c r="AL1370">
        <v>0</v>
      </c>
      <c r="AM1370">
        <v>0.2</v>
      </c>
      <c r="AN1370">
        <v>1.0909090909090908</v>
      </c>
      <c r="AO1370">
        <v>0</v>
      </c>
      <c r="AP1370" t="s">
        <v>1662</v>
      </c>
      <c r="AQ1370" t="s">
        <v>131</v>
      </c>
      <c r="AR1370" t="s">
        <v>229</v>
      </c>
      <c r="AS1370">
        <v>0</v>
      </c>
      <c r="AT1370">
        <v>0</v>
      </c>
      <c r="AU1370">
        <v>0</v>
      </c>
      <c r="AV1370">
        <v>0</v>
      </c>
      <c r="AW1370">
        <v>0</v>
      </c>
      <c r="AX1370">
        <v>0</v>
      </c>
      <c r="AY1370">
        <v>0</v>
      </c>
      <c r="AZ1370" t="s">
        <v>147</v>
      </c>
      <c r="BA1370">
        <v>10</v>
      </c>
      <c r="BB1370">
        <v>0</v>
      </c>
      <c r="BC1370" t="s">
        <v>133</v>
      </c>
      <c r="BD1370">
        <v>0</v>
      </c>
      <c r="BE1370" t="s">
        <v>133</v>
      </c>
      <c r="BF137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71" spans="1:58" x14ac:dyDescent="0.25">
      <c r="A1371" t="s">
        <v>1669</v>
      </c>
      <c r="B1371" t="s">
        <v>19</v>
      </c>
      <c r="C1371">
        <v>3</v>
      </c>
      <c r="D1371">
        <v>141</v>
      </c>
      <c r="E1371" t="s">
        <v>2109</v>
      </c>
      <c r="F1371" t="s">
        <v>123</v>
      </c>
      <c r="G1371" t="s">
        <v>124</v>
      </c>
      <c r="H1371" t="s">
        <v>125</v>
      </c>
      <c r="I1371" t="s">
        <v>1661</v>
      </c>
      <c r="J1371" t="s">
        <v>140</v>
      </c>
      <c r="K1371" t="s">
        <v>127</v>
      </c>
      <c r="L1371">
        <v>50</v>
      </c>
      <c r="M1371">
        <v>1382207</v>
      </c>
      <c r="N1371">
        <v>10</v>
      </c>
      <c r="O1371">
        <v>5</v>
      </c>
      <c r="P1371" t="s">
        <v>1515</v>
      </c>
      <c r="Q1371" t="s">
        <v>129</v>
      </c>
      <c r="R1371">
        <v>13</v>
      </c>
      <c r="S1371" t="s">
        <v>1617</v>
      </c>
      <c r="T1371">
        <v>24</v>
      </c>
      <c r="U1371">
        <v>27</v>
      </c>
      <c r="V1371">
        <v>6</v>
      </c>
      <c r="W1371">
        <v>0</v>
      </c>
      <c r="X1371">
        <v>6</v>
      </c>
      <c r="Y1371">
        <v>5</v>
      </c>
      <c r="Z1371">
        <v>29</v>
      </c>
      <c r="AA1371">
        <v>38</v>
      </c>
      <c r="AB1371">
        <v>50</v>
      </c>
      <c r="AC1371">
        <v>27</v>
      </c>
      <c r="AD1371">
        <v>24</v>
      </c>
      <c r="AE1371">
        <v>11</v>
      </c>
      <c r="AF1371">
        <v>62</v>
      </c>
      <c r="AG1371">
        <v>0</v>
      </c>
      <c r="AH1371">
        <v>23</v>
      </c>
      <c r="AI1371">
        <v>-12</v>
      </c>
      <c r="AJ1371">
        <v>12</v>
      </c>
      <c r="AK1371">
        <v>23</v>
      </c>
      <c r="AL1371">
        <v>0</v>
      </c>
      <c r="AM1371">
        <v>0.2</v>
      </c>
      <c r="AN1371">
        <v>1.0909090909090908</v>
      </c>
      <c r="AO1371">
        <v>0</v>
      </c>
      <c r="AP1371" t="s">
        <v>1662</v>
      </c>
      <c r="AQ1371" t="s">
        <v>131</v>
      </c>
      <c r="AR1371" t="s">
        <v>229</v>
      </c>
      <c r="AS1371">
        <v>0</v>
      </c>
      <c r="AT1371">
        <v>0</v>
      </c>
      <c r="AU1371">
        <v>0</v>
      </c>
      <c r="AV1371">
        <v>0</v>
      </c>
      <c r="AW1371">
        <v>0</v>
      </c>
      <c r="AX1371">
        <v>0</v>
      </c>
      <c r="AY1371">
        <v>0</v>
      </c>
      <c r="AZ1371" t="s">
        <v>147</v>
      </c>
      <c r="BA1371">
        <v>10</v>
      </c>
      <c r="BB1371">
        <v>0</v>
      </c>
      <c r="BC1371" t="s">
        <v>133</v>
      </c>
      <c r="BD1371">
        <v>0</v>
      </c>
      <c r="BE1371" t="s">
        <v>133</v>
      </c>
      <c r="BF137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72" spans="1:58" x14ac:dyDescent="0.25">
      <c r="A1372" t="s">
        <v>1670</v>
      </c>
      <c r="B1372" t="s">
        <v>19</v>
      </c>
      <c r="C1372">
        <v>3</v>
      </c>
      <c r="D1372">
        <v>142</v>
      </c>
      <c r="E1372" t="s">
        <v>2109</v>
      </c>
      <c r="F1372" t="s">
        <v>123</v>
      </c>
      <c r="G1372" t="s">
        <v>124</v>
      </c>
      <c r="H1372" t="s">
        <v>125</v>
      </c>
      <c r="I1372" t="s">
        <v>1661</v>
      </c>
      <c r="J1372" t="s">
        <v>140</v>
      </c>
      <c r="K1372" t="s">
        <v>127</v>
      </c>
      <c r="L1372">
        <v>50</v>
      </c>
      <c r="M1372">
        <v>1382209</v>
      </c>
      <c r="N1372">
        <v>10</v>
      </c>
      <c r="O1372">
        <v>5</v>
      </c>
      <c r="P1372" t="s">
        <v>1515</v>
      </c>
      <c r="Q1372" t="s">
        <v>129</v>
      </c>
      <c r="R1372">
        <v>13</v>
      </c>
      <c r="S1372" t="s">
        <v>1617</v>
      </c>
      <c r="T1372">
        <v>22</v>
      </c>
      <c r="U1372">
        <v>25</v>
      </c>
      <c r="V1372">
        <v>6</v>
      </c>
      <c r="W1372">
        <v>0</v>
      </c>
      <c r="X1372">
        <v>6</v>
      </c>
      <c r="Y1372">
        <v>7</v>
      </c>
      <c r="Z1372">
        <v>29</v>
      </c>
      <c r="AA1372">
        <v>38</v>
      </c>
      <c r="AB1372">
        <v>50</v>
      </c>
      <c r="AC1372">
        <v>25</v>
      </c>
      <c r="AD1372">
        <v>24</v>
      </c>
      <c r="AE1372">
        <v>13</v>
      </c>
      <c r="AF1372">
        <v>62</v>
      </c>
      <c r="AG1372">
        <v>0</v>
      </c>
      <c r="AH1372">
        <v>25</v>
      </c>
      <c r="AI1372">
        <v>-12</v>
      </c>
      <c r="AJ1372">
        <v>12</v>
      </c>
      <c r="AK1372">
        <v>25</v>
      </c>
      <c r="AL1372">
        <v>0</v>
      </c>
      <c r="AM1372">
        <v>0.2</v>
      </c>
      <c r="AN1372">
        <v>1.0909090909090908</v>
      </c>
      <c r="AO1372">
        <v>0</v>
      </c>
      <c r="AP1372" t="s">
        <v>1662</v>
      </c>
      <c r="AQ1372" t="s">
        <v>131</v>
      </c>
      <c r="AR1372" t="s">
        <v>229</v>
      </c>
      <c r="AS1372">
        <v>0</v>
      </c>
      <c r="AT1372">
        <v>0</v>
      </c>
      <c r="AU1372">
        <v>0</v>
      </c>
      <c r="AV1372">
        <v>0</v>
      </c>
      <c r="AW1372">
        <v>0</v>
      </c>
      <c r="AX1372">
        <v>0</v>
      </c>
      <c r="AY1372">
        <v>0</v>
      </c>
      <c r="AZ1372" t="s">
        <v>147</v>
      </c>
      <c r="BA1372">
        <v>10</v>
      </c>
      <c r="BB1372">
        <v>0</v>
      </c>
      <c r="BC1372" t="s">
        <v>133</v>
      </c>
      <c r="BD1372">
        <v>0</v>
      </c>
      <c r="BE1372" t="s">
        <v>133</v>
      </c>
      <c r="BF137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73" spans="1:58" x14ac:dyDescent="0.25">
      <c r="A1373" t="s">
        <v>1671</v>
      </c>
      <c r="B1373" t="s">
        <v>19</v>
      </c>
      <c r="C1373">
        <v>3</v>
      </c>
      <c r="D1373">
        <v>143</v>
      </c>
      <c r="E1373" t="s">
        <v>2109</v>
      </c>
      <c r="F1373" t="s">
        <v>123</v>
      </c>
      <c r="G1373" t="s">
        <v>124</v>
      </c>
      <c r="H1373" t="s">
        <v>125</v>
      </c>
      <c r="I1373" t="s">
        <v>1661</v>
      </c>
      <c r="J1373" t="s">
        <v>140</v>
      </c>
      <c r="K1373" t="s">
        <v>127</v>
      </c>
      <c r="L1373">
        <v>50</v>
      </c>
      <c r="M1373">
        <v>1382211</v>
      </c>
      <c r="N1373">
        <v>10</v>
      </c>
      <c r="O1373">
        <v>5</v>
      </c>
      <c r="P1373" t="s">
        <v>1515</v>
      </c>
      <c r="Q1373" t="s">
        <v>129</v>
      </c>
      <c r="R1373">
        <v>13</v>
      </c>
      <c r="S1373" t="s">
        <v>1617</v>
      </c>
      <c r="T1373">
        <v>24</v>
      </c>
      <c r="U1373">
        <v>31</v>
      </c>
      <c r="V1373">
        <v>2</v>
      </c>
      <c r="W1373">
        <v>0</v>
      </c>
      <c r="X1373">
        <v>2</v>
      </c>
      <c r="Y1373">
        <v>5</v>
      </c>
      <c r="Z1373">
        <v>29</v>
      </c>
      <c r="AA1373">
        <v>38</v>
      </c>
      <c r="AB1373">
        <v>50</v>
      </c>
      <c r="AC1373">
        <v>43</v>
      </c>
      <c r="AD1373">
        <v>8</v>
      </c>
      <c r="AE1373">
        <v>11</v>
      </c>
      <c r="AF1373">
        <v>62</v>
      </c>
      <c r="AG1373">
        <v>0</v>
      </c>
      <c r="AH1373">
        <v>7</v>
      </c>
      <c r="AI1373">
        <v>-12</v>
      </c>
      <c r="AJ1373">
        <v>-4</v>
      </c>
      <c r="AK1373">
        <v>7</v>
      </c>
      <c r="AL1373">
        <v>0</v>
      </c>
      <c r="AM1373">
        <v>0.2</v>
      </c>
      <c r="AN1373">
        <v>-0.36363636363636365</v>
      </c>
      <c r="AO1373">
        <v>0</v>
      </c>
      <c r="AP1373" t="s">
        <v>1662</v>
      </c>
      <c r="AQ1373" t="s">
        <v>131</v>
      </c>
      <c r="AR1373" t="s">
        <v>229</v>
      </c>
      <c r="AS1373">
        <v>0</v>
      </c>
      <c r="AT1373">
        <v>0</v>
      </c>
      <c r="AU1373">
        <v>0</v>
      </c>
      <c r="AV1373">
        <v>0</v>
      </c>
      <c r="AW1373">
        <v>0</v>
      </c>
      <c r="AX1373">
        <v>0</v>
      </c>
      <c r="AY1373">
        <v>0</v>
      </c>
      <c r="AZ1373" t="s">
        <v>147</v>
      </c>
      <c r="BA1373">
        <v>10</v>
      </c>
      <c r="BB1373">
        <v>0</v>
      </c>
      <c r="BC1373" t="s">
        <v>133</v>
      </c>
      <c r="BD1373">
        <v>0</v>
      </c>
      <c r="BE1373" t="s">
        <v>133</v>
      </c>
      <c r="BF137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74" spans="1:58" x14ac:dyDescent="0.25">
      <c r="A1374" t="s">
        <v>1672</v>
      </c>
      <c r="B1374" t="s">
        <v>19</v>
      </c>
      <c r="C1374">
        <v>3</v>
      </c>
      <c r="D1374">
        <v>144</v>
      </c>
      <c r="E1374" t="s">
        <v>2109</v>
      </c>
      <c r="F1374" t="s">
        <v>123</v>
      </c>
      <c r="G1374" t="s">
        <v>124</v>
      </c>
      <c r="H1374" t="s">
        <v>125</v>
      </c>
      <c r="I1374" t="s">
        <v>1661</v>
      </c>
      <c r="J1374" t="s">
        <v>140</v>
      </c>
      <c r="K1374" t="s">
        <v>127</v>
      </c>
      <c r="L1374">
        <v>50</v>
      </c>
      <c r="M1374">
        <v>1382213</v>
      </c>
      <c r="N1374">
        <v>10</v>
      </c>
      <c r="O1374">
        <v>5</v>
      </c>
      <c r="P1374" t="s">
        <v>1515</v>
      </c>
      <c r="Q1374" t="s">
        <v>129</v>
      </c>
      <c r="R1374">
        <v>13</v>
      </c>
      <c r="S1374" t="s">
        <v>1617</v>
      </c>
      <c r="T1374">
        <v>22</v>
      </c>
      <c r="U1374">
        <v>25</v>
      </c>
      <c r="V1374">
        <v>6</v>
      </c>
      <c r="W1374">
        <v>0</v>
      </c>
      <c r="X1374">
        <v>6</v>
      </c>
      <c r="Y1374">
        <v>7</v>
      </c>
      <c r="Z1374">
        <v>29</v>
      </c>
      <c r="AA1374">
        <v>38</v>
      </c>
      <c r="AB1374">
        <v>50</v>
      </c>
      <c r="AC1374">
        <v>25</v>
      </c>
      <c r="AD1374">
        <v>24</v>
      </c>
      <c r="AE1374">
        <v>13</v>
      </c>
      <c r="AF1374">
        <v>62</v>
      </c>
      <c r="AG1374">
        <v>0</v>
      </c>
      <c r="AH1374">
        <v>25</v>
      </c>
      <c r="AI1374">
        <v>-12</v>
      </c>
      <c r="AJ1374">
        <v>12</v>
      </c>
      <c r="AK1374">
        <v>25</v>
      </c>
      <c r="AL1374">
        <v>0</v>
      </c>
      <c r="AM1374">
        <v>0.2</v>
      </c>
      <c r="AN1374">
        <v>1.0909090909090908</v>
      </c>
      <c r="AO1374">
        <v>0</v>
      </c>
      <c r="AP1374" t="s">
        <v>1662</v>
      </c>
      <c r="AQ1374" t="s">
        <v>131</v>
      </c>
      <c r="AR1374" t="s">
        <v>229</v>
      </c>
      <c r="AS1374">
        <v>0</v>
      </c>
      <c r="AT1374">
        <v>0</v>
      </c>
      <c r="AU1374">
        <v>0</v>
      </c>
      <c r="AV1374">
        <v>0</v>
      </c>
      <c r="AW1374">
        <v>0</v>
      </c>
      <c r="AX1374">
        <v>0</v>
      </c>
      <c r="AY1374">
        <v>0</v>
      </c>
      <c r="AZ1374" t="s">
        <v>147</v>
      </c>
      <c r="BA1374">
        <v>10</v>
      </c>
      <c r="BB1374">
        <v>0</v>
      </c>
      <c r="BC1374" t="s">
        <v>144</v>
      </c>
      <c r="BD1374">
        <v>0</v>
      </c>
      <c r="BE1374" t="s">
        <v>133</v>
      </c>
      <c r="BF137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75" spans="1:58" x14ac:dyDescent="0.25">
      <c r="A1375" t="s">
        <v>1673</v>
      </c>
      <c r="B1375" t="s">
        <v>19</v>
      </c>
      <c r="C1375">
        <v>3</v>
      </c>
      <c r="D1375">
        <v>145</v>
      </c>
      <c r="E1375" t="s">
        <v>2109</v>
      </c>
      <c r="F1375" t="s">
        <v>123</v>
      </c>
      <c r="G1375" t="s">
        <v>124</v>
      </c>
      <c r="H1375" t="s">
        <v>125</v>
      </c>
      <c r="I1375" t="s">
        <v>154</v>
      </c>
      <c r="J1375" t="s">
        <v>154</v>
      </c>
      <c r="K1375" t="s">
        <v>151</v>
      </c>
      <c r="L1375">
        <v>50</v>
      </c>
      <c r="M1375">
        <v>1382215</v>
      </c>
      <c r="N1375">
        <v>0</v>
      </c>
      <c r="O1375">
        <v>5</v>
      </c>
      <c r="P1375" t="s">
        <v>1515</v>
      </c>
      <c r="Q1375" t="s">
        <v>129</v>
      </c>
      <c r="R1375">
        <v>14</v>
      </c>
      <c r="S1375" t="s">
        <v>189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50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I1375">
        <v>50</v>
      </c>
      <c r="AJ1375">
        <v>50</v>
      </c>
      <c r="AK1375">
        <v>50</v>
      </c>
      <c r="AL1375">
        <v>50</v>
      </c>
      <c r="AM1375">
        <v>0</v>
      </c>
      <c r="AN1375">
        <v>4.5454545454545459</v>
      </c>
      <c r="AO1375">
        <v>0</v>
      </c>
      <c r="AP1375" t="s">
        <v>172</v>
      </c>
      <c r="AQ1375" t="s">
        <v>155</v>
      </c>
      <c r="AR1375" t="s">
        <v>229</v>
      </c>
      <c r="AS1375">
        <v>0</v>
      </c>
      <c r="AT1375">
        <v>0</v>
      </c>
      <c r="AU1375">
        <v>0</v>
      </c>
      <c r="AV1375">
        <v>0</v>
      </c>
      <c r="AW1375">
        <v>0</v>
      </c>
      <c r="AX1375">
        <v>0</v>
      </c>
      <c r="AY1375">
        <v>0</v>
      </c>
      <c r="AZ1375" t="s">
        <v>147</v>
      </c>
      <c r="BA1375">
        <v>0</v>
      </c>
      <c r="BB1375">
        <v>0</v>
      </c>
      <c r="BC1375" t="s">
        <v>132</v>
      </c>
      <c r="BD1375">
        <v>1</v>
      </c>
      <c r="BE1375" t="s">
        <v>133</v>
      </c>
      <c r="BF137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76" spans="1:58" x14ac:dyDescent="0.25">
      <c r="A1376" t="s">
        <v>1674</v>
      </c>
      <c r="B1376" t="s">
        <v>19</v>
      </c>
      <c r="C1376">
        <v>3</v>
      </c>
      <c r="D1376">
        <v>146</v>
      </c>
      <c r="E1376" t="s">
        <v>2109</v>
      </c>
      <c r="F1376" t="s">
        <v>123</v>
      </c>
      <c r="G1376" t="s">
        <v>124</v>
      </c>
      <c r="H1376" t="s">
        <v>125</v>
      </c>
      <c r="I1376" t="s">
        <v>154</v>
      </c>
      <c r="J1376" t="s">
        <v>154</v>
      </c>
      <c r="K1376" t="s">
        <v>151</v>
      </c>
      <c r="L1376">
        <v>50</v>
      </c>
      <c r="M1376">
        <v>1382217</v>
      </c>
      <c r="N1376">
        <v>0</v>
      </c>
      <c r="O1376">
        <v>5</v>
      </c>
      <c r="P1376" t="s">
        <v>1515</v>
      </c>
      <c r="Q1376" t="s">
        <v>129</v>
      </c>
      <c r="R1376">
        <v>14</v>
      </c>
      <c r="S1376" t="s">
        <v>189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50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50</v>
      </c>
      <c r="AJ1376">
        <v>50</v>
      </c>
      <c r="AK1376">
        <v>50</v>
      </c>
      <c r="AL1376">
        <v>50</v>
      </c>
      <c r="AM1376">
        <v>0</v>
      </c>
      <c r="AN1376">
        <v>4.5454545454545459</v>
      </c>
      <c r="AO1376">
        <v>0</v>
      </c>
      <c r="AP1376" t="s">
        <v>172</v>
      </c>
      <c r="AQ1376" t="s">
        <v>155</v>
      </c>
      <c r="AR1376" t="s">
        <v>229</v>
      </c>
      <c r="AS1376">
        <v>0</v>
      </c>
      <c r="AT1376">
        <v>0</v>
      </c>
      <c r="AU1376">
        <v>0</v>
      </c>
      <c r="AV1376">
        <v>0</v>
      </c>
      <c r="AW1376">
        <v>0</v>
      </c>
      <c r="AX1376">
        <v>0</v>
      </c>
      <c r="AY1376">
        <v>0</v>
      </c>
      <c r="AZ1376" t="s">
        <v>147</v>
      </c>
      <c r="BA1376">
        <v>0</v>
      </c>
      <c r="BB1376">
        <v>0</v>
      </c>
      <c r="BC1376" t="s">
        <v>133</v>
      </c>
      <c r="BD1376">
        <v>2</v>
      </c>
      <c r="BE1376" t="s">
        <v>133</v>
      </c>
      <c r="BF137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77" spans="1:58" x14ac:dyDescent="0.25">
      <c r="A1377" t="s">
        <v>1675</v>
      </c>
      <c r="B1377" t="s">
        <v>19</v>
      </c>
      <c r="C1377">
        <v>3</v>
      </c>
      <c r="D1377">
        <v>147</v>
      </c>
      <c r="E1377" t="s">
        <v>2109</v>
      </c>
      <c r="F1377" t="s">
        <v>123</v>
      </c>
      <c r="G1377" t="s">
        <v>124</v>
      </c>
      <c r="H1377" t="s">
        <v>125</v>
      </c>
      <c r="I1377" t="s">
        <v>154</v>
      </c>
      <c r="J1377" t="s">
        <v>154</v>
      </c>
      <c r="K1377" t="s">
        <v>151</v>
      </c>
      <c r="L1377">
        <v>50</v>
      </c>
      <c r="M1377">
        <v>1382219</v>
      </c>
      <c r="N1377">
        <v>0</v>
      </c>
      <c r="O1377">
        <v>5</v>
      </c>
      <c r="P1377" t="s">
        <v>1515</v>
      </c>
      <c r="Q1377" t="s">
        <v>129</v>
      </c>
      <c r="R1377">
        <v>14</v>
      </c>
      <c r="S1377" t="s">
        <v>189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50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50</v>
      </c>
      <c r="AJ1377">
        <v>50</v>
      </c>
      <c r="AK1377">
        <v>50</v>
      </c>
      <c r="AL1377">
        <v>50</v>
      </c>
      <c r="AM1377">
        <v>0</v>
      </c>
      <c r="AN1377">
        <v>4.5454545454545459</v>
      </c>
      <c r="AO1377">
        <v>0</v>
      </c>
      <c r="AP1377" t="s">
        <v>172</v>
      </c>
      <c r="AQ1377" t="s">
        <v>155</v>
      </c>
      <c r="AR1377" t="s">
        <v>229</v>
      </c>
      <c r="AS1377">
        <v>0</v>
      </c>
      <c r="AT1377">
        <v>0</v>
      </c>
      <c r="AU1377">
        <v>0</v>
      </c>
      <c r="AV1377">
        <v>0</v>
      </c>
      <c r="AW1377">
        <v>0</v>
      </c>
      <c r="AX1377">
        <v>0</v>
      </c>
      <c r="AY1377">
        <v>0</v>
      </c>
      <c r="AZ1377" t="s">
        <v>147</v>
      </c>
      <c r="BA1377">
        <v>0</v>
      </c>
      <c r="BB1377">
        <v>0</v>
      </c>
      <c r="BC1377" t="s">
        <v>133</v>
      </c>
      <c r="BD1377">
        <v>3</v>
      </c>
      <c r="BE1377" t="s">
        <v>133</v>
      </c>
      <c r="BF137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78" spans="1:58" x14ac:dyDescent="0.25">
      <c r="A1378" t="s">
        <v>1676</v>
      </c>
      <c r="B1378" t="s">
        <v>19</v>
      </c>
      <c r="C1378">
        <v>3</v>
      </c>
      <c r="D1378">
        <v>148</v>
      </c>
      <c r="E1378" t="s">
        <v>2109</v>
      </c>
      <c r="F1378" t="s">
        <v>123</v>
      </c>
      <c r="G1378" t="s">
        <v>124</v>
      </c>
      <c r="H1378" t="s">
        <v>125</v>
      </c>
      <c r="I1378" t="s">
        <v>154</v>
      </c>
      <c r="J1378" t="s">
        <v>154</v>
      </c>
      <c r="K1378" t="s">
        <v>151</v>
      </c>
      <c r="L1378">
        <v>50</v>
      </c>
      <c r="M1378">
        <v>1382221</v>
      </c>
      <c r="N1378">
        <v>0</v>
      </c>
      <c r="O1378">
        <v>5</v>
      </c>
      <c r="P1378" t="s">
        <v>1515</v>
      </c>
      <c r="Q1378" t="s">
        <v>129</v>
      </c>
      <c r="R1378">
        <v>14</v>
      </c>
      <c r="S1378" t="s">
        <v>189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50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>
        <v>50</v>
      </c>
      <c r="AJ1378">
        <v>50</v>
      </c>
      <c r="AK1378">
        <v>50</v>
      </c>
      <c r="AL1378">
        <v>50</v>
      </c>
      <c r="AM1378">
        <v>0</v>
      </c>
      <c r="AN1378">
        <v>4.5454545454545459</v>
      </c>
      <c r="AO1378">
        <v>0</v>
      </c>
      <c r="AP1378" t="s">
        <v>172</v>
      </c>
      <c r="AQ1378" t="s">
        <v>155</v>
      </c>
      <c r="AR1378" t="s">
        <v>229</v>
      </c>
      <c r="AS1378">
        <v>0</v>
      </c>
      <c r="AT1378">
        <v>0</v>
      </c>
      <c r="AU1378">
        <v>0</v>
      </c>
      <c r="AV1378">
        <v>0</v>
      </c>
      <c r="AW1378">
        <v>0</v>
      </c>
      <c r="AX1378">
        <v>0</v>
      </c>
      <c r="AY1378">
        <v>0</v>
      </c>
      <c r="AZ1378" t="s">
        <v>147</v>
      </c>
      <c r="BA1378">
        <v>0</v>
      </c>
      <c r="BB1378">
        <v>0</v>
      </c>
      <c r="BC1378" t="s">
        <v>133</v>
      </c>
      <c r="BD1378">
        <v>4</v>
      </c>
      <c r="BE1378" t="s">
        <v>133</v>
      </c>
      <c r="BF137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79" spans="1:58" x14ac:dyDescent="0.25">
      <c r="A1379" t="s">
        <v>1677</v>
      </c>
      <c r="B1379" t="s">
        <v>19</v>
      </c>
      <c r="C1379">
        <v>3</v>
      </c>
      <c r="D1379">
        <v>149</v>
      </c>
      <c r="E1379" t="s">
        <v>2109</v>
      </c>
      <c r="F1379" t="s">
        <v>123</v>
      </c>
      <c r="G1379" t="s">
        <v>124</v>
      </c>
      <c r="H1379" t="s">
        <v>125</v>
      </c>
      <c r="I1379" t="s">
        <v>154</v>
      </c>
      <c r="J1379" t="s">
        <v>154</v>
      </c>
      <c r="K1379" t="s">
        <v>151</v>
      </c>
      <c r="L1379">
        <v>50</v>
      </c>
      <c r="M1379">
        <v>1382223</v>
      </c>
      <c r="N1379">
        <v>0</v>
      </c>
      <c r="O1379">
        <v>5</v>
      </c>
      <c r="P1379" t="s">
        <v>1515</v>
      </c>
      <c r="Q1379" t="s">
        <v>129</v>
      </c>
      <c r="R1379">
        <v>14</v>
      </c>
      <c r="S1379" t="s">
        <v>189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50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>
        <v>50</v>
      </c>
      <c r="AJ1379">
        <v>50</v>
      </c>
      <c r="AK1379">
        <v>50</v>
      </c>
      <c r="AL1379">
        <v>50</v>
      </c>
      <c r="AM1379">
        <v>0</v>
      </c>
      <c r="AN1379">
        <v>4.5454545454545459</v>
      </c>
      <c r="AO1379">
        <v>0</v>
      </c>
      <c r="AP1379" t="s">
        <v>172</v>
      </c>
      <c r="AQ1379" t="s">
        <v>155</v>
      </c>
      <c r="AR1379" t="s">
        <v>229</v>
      </c>
      <c r="AS1379">
        <v>0</v>
      </c>
      <c r="AT1379">
        <v>0</v>
      </c>
      <c r="AU1379">
        <v>0</v>
      </c>
      <c r="AV1379">
        <v>0</v>
      </c>
      <c r="AW1379">
        <v>0</v>
      </c>
      <c r="AX1379">
        <v>0</v>
      </c>
      <c r="AY1379">
        <v>0</v>
      </c>
      <c r="AZ1379" t="s">
        <v>147</v>
      </c>
      <c r="BA1379">
        <v>0</v>
      </c>
      <c r="BB1379">
        <v>0</v>
      </c>
      <c r="BC1379" t="s">
        <v>133</v>
      </c>
      <c r="BD1379">
        <v>5</v>
      </c>
      <c r="BE1379" t="s">
        <v>133</v>
      </c>
      <c r="BF137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80" spans="1:58" x14ac:dyDescent="0.25">
      <c r="A1380" t="s">
        <v>1678</v>
      </c>
      <c r="B1380" t="s">
        <v>19</v>
      </c>
      <c r="C1380">
        <v>3</v>
      </c>
      <c r="D1380">
        <v>150</v>
      </c>
      <c r="E1380" t="s">
        <v>2109</v>
      </c>
      <c r="F1380" t="s">
        <v>123</v>
      </c>
      <c r="G1380" t="s">
        <v>124</v>
      </c>
      <c r="H1380" t="s">
        <v>125</v>
      </c>
      <c r="I1380" t="s">
        <v>154</v>
      </c>
      <c r="J1380" t="s">
        <v>154</v>
      </c>
      <c r="K1380" t="s">
        <v>151</v>
      </c>
      <c r="L1380">
        <v>50</v>
      </c>
      <c r="M1380">
        <v>1382225</v>
      </c>
      <c r="N1380">
        <v>0</v>
      </c>
      <c r="O1380">
        <v>5</v>
      </c>
      <c r="P1380" t="s">
        <v>1515</v>
      </c>
      <c r="Q1380" t="s">
        <v>129</v>
      </c>
      <c r="R1380">
        <v>14</v>
      </c>
      <c r="S1380" t="s">
        <v>189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50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50</v>
      </c>
      <c r="AJ1380">
        <v>50</v>
      </c>
      <c r="AK1380">
        <v>50</v>
      </c>
      <c r="AL1380">
        <v>50</v>
      </c>
      <c r="AM1380">
        <v>0</v>
      </c>
      <c r="AN1380">
        <v>4.5454545454545459</v>
      </c>
      <c r="AO1380">
        <v>0</v>
      </c>
      <c r="AP1380" t="s">
        <v>172</v>
      </c>
      <c r="AQ1380" t="s">
        <v>155</v>
      </c>
      <c r="AR1380" t="s">
        <v>229</v>
      </c>
      <c r="AS1380">
        <v>0</v>
      </c>
      <c r="AT1380">
        <v>0</v>
      </c>
      <c r="AU1380">
        <v>0</v>
      </c>
      <c r="AV1380">
        <v>0</v>
      </c>
      <c r="AW1380">
        <v>0</v>
      </c>
      <c r="AX1380">
        <v>0</v>
      </c>
      <c r="AY1380">
        <v>0</v>
      </c>
      <c r="AZ1380" t="s">
        <v>147</v>
      </c>
      <c r="BA1380">
        <v>0</v>
      </c>
      <c r="BB1380">
        <v>0</v>
      </c>
      <c r="BC1380" t="s">
        <v>133</v>
      </c>
      <c r="BD1380">
        <v>6</v>
      </c>
      <c r="BE1380" t="s">
        <v>133</v>
      </c>
      <c r="BF138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81" spans="1:58" x14ac:dyDescent="0.25">
      <c r="A1381" t="s">
        <v>1679</v>
      </c>
      <c r="B1381" t="s">
        <v>19</v>
      </c>
      <c r="C1381">
        <v>3</v>
      </c>
      <c r="D1381">
        <v>151</v>
      </c>
      <c r="E1381" t="s">
        <v>2109</v>
      </c>
      <c r="F1381" t="s">
        <v>123</v>
      </c>
      <c r="G1381" t="s">
        <v>124</v>
      </c>
      <c r="H1381" t="s">
        <v>125</v>
      </c>
      <c r="I1381" t="s">
        <v>154</v>
      </c>
      <c r="J1381" t="s">
        <v>154</v>
      </c>
      <c r="K1381" t="s">
        <v>151</v>
      </c>
      <c r="L1381">
        <v>50</v>
      </c>
      <c r="M1381">
        <v>1382227</v>
      </c>
      <c r="N1381">
        <v>0</v>
      </c>
      <c r="O1381">
        <v>5</v>
      </c>
      <c r="P1381" t="s">
        <v>1515</v>
      </c>
      <c r="Q1381" t="s">
        <v>129</v>
      </c>
      <c r="R1381">
        <v>14</v>
      </c>
      <c r="S1381" t="s">
        <v>189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50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50</v>
      </c>
      <c r="AJ1381">
        <v>50</v>
      </c>
      <c r="AK1381">
        <v>50</v>
      </c>
      <c r="AL1381">
        <v>50</v>
      </c>
      <c r="AM1381">
        <v>0</v>
      </c>
      <c r="AN1381">
        <v>4.5454545454545459</v>
      </c>
      <c r="AO1381">
        <v>0</v>
      </c>
      <c r="AP1381" t="s">
        <v>172</v>
      </c>
      <c r="AQ1381" t="s">
        <v>155</v>
      </c>
      <c r="AR1381" t="s">
        <v>229</v>
      </c>
      <c r="AS1381">
        <v>0</v>
      </c>
      <c r="AT1381">
        <v>0</v>
      </c>
      <c r="AU1381">
        <v>0</v>
      </c>
      <c r="AV1381">
        <v>0</v>
      </c>
      <c r="AW1381">
        <v>0</v>
      </c>
      <c r="AX1381">
        <v>0</v>
      </c>
      <c r="AY1381">
        <v>0</v>
      </c>
      <c r="AZ1381" t="s">
        <v>147</v>
      </c>
      <c r="BA1381">
        <v>0</v>
      </c>
      <c r="BB1381">
        <v>0</v>
      </c>
      <c r="BC1381" t="s">
        <v>133</v>
      </c>
      <c r="BD1381">
        <v>7</v>
      </c>
      <c r="BE1381" t="s">
        <v>133</v>
      </c>
      <c r="BF138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82" spans="1:58" x14ac:dyDescent="0.25">
      <c r="A1382" t="s">
        <v>1680</v>
      </c>
      <c r="B1382" t="s">
        <v>19</v>
      </c>
      <c r="C1382">
        <v>3</v>
      </c>
      <c r="D1382">
        <v>152</v>
      </c>
      <c r="E1382" t="s">
        <v>2109</v>
      </c>
      <c r="F1382" t="s">
        <v>123</v>
      </c>
      <c r="G1382" t="s">
        <v>124</v>
      </c>
      <c r="H1382" t="s">
        <v>125</v>
      </c>
      <c r="I1382" t="s">
        <v>154</v>
      </c>
      <c r="J1382" t="s">
        <v>154</v>
      </c>
      <c r="K1382" t="s">
        <v>151</v>
      </c>
      <c r="L1382">
        <v>50</v>
      </c>
      <c r="M1382">
        <v>1382229</v>
      </c>
      <c r="N1382">
        <v>0</v>
      </c>
      <c r="O1382">
        <v>5</v>
      </c>
      <c r="P1382" t="s">
        <v>1515</v>
      </c>
      <c r="Q1382" t="s">
        <v>129</v>
      </c>
      <c r="R1382">
        <v>14</v>
      </c>
      <c r="S1382" t="s">
        <v>189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50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50</v>
      </c>
      <c r="AJ1382">
        <v>50</v>
      </c>
      <c r="AK1382">
        <v>50</v>
      </c>
      <c r="AL1382">
        <v>50</v>
      </c>
      <c r="AM1382">
        <v>0</v>
      </c>
      <c r="AN1382">
        <v>4.5454545454545459</v>
      </c>
      <c r="AO1382">
        <v>0</v>
      </c>
      <c r="AP1382" t="s">
        <v>172</v>
      </c>
      <c r="AQ1382" t="s">
        <v>155</v>
      </c>
      <c r="AR1382" t="s">
        <v>229</v>
      </c>
      <c r="AS1382">
        <v>0</v>
      </c>
      <c r="AT1382">
        <v>0</v>
      </c>
      <c r="AU1382">
        <v>0</v>
      </c>
      <c r="AV1382">
        <v>0</v>
      </c>
      <c r="AW1382">
        <v>0</v>
      </c>
      <c r="AX1382">
        <v>0</v>
      </c>
      <c r="AY1382">
        <v>0</v>
      </c>
      <c r="AZ1382" t="s">
        <v>147</v>
      </c>
      <c r="BA1382">
        <v>0</v>
      </c>
      <c r="BB1382">
        <v>0</v>
      </c>
      <c r="BC1382" t="s">
        <v>133</v>
      </c>
      <c r="BD1382">
        <v>8</v>
      </c>
      <c r="BE1382" t="s">
        <v>133</v>
      </c>
      <c r="BF138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83" spans="1:58" x14ac:dyDescent="0.25">
      <c r="A1383" t="s">
        <v>1681</v>
      </c>
      <c r="B1383" t="s">
        <v>19</v>
      </c>
      <c r="C1383">
        <v>3</v>
      </c>
      <c r="D1383">
        <v>153</v>
      </c>
      <c r="E1383" t="s">
        <v>2109</v>
      </c>
      <c r="F1383" t="s">
        <v>123</v>
      </c>
      <c r="G1383" t="s">
        <v>124</v>
      </c>
      <c r="H1383" t="s">
        <v>125</v>
      </c>
      <c r="I1383" t="s">
        <v>154</v>
      </c>
      <c r="J1383" t="s">
        <v>154</v>
      </c>
      <c r="K1383" t="s">
        <v>151</v>
      </c>
      <c r="L1383">
        <v>50</v>
      </c>
      <c r="M1383">
        <v>1382231</v>
      </c>
      <c r="N1383">
        <v>0</v>
      </c>
      <c r="O1383">
        <v>5</v>
      </c>
      <c r="P1383" t="s">
        <v>1515</v>
      </c>
      <c r="Q1383" t="s">
        <v>129</v>
      </c>
      <c r="R1383">
        <v>14</v>
      </c>
      <c r="S1383" t="s">
        <v>189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50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50</v>
      </c>
      <c r="AJ1383">
        <v>50</v>
      </c>
      <c r="AK1383">
        <v>50</v>
      </c>
      <c r="AL1383">
        <v>50</v>
      </c>
      <c r="AM1383">
        <v>0</v>
      </c>
      <c r="AN1383">
        <v>4.5454545454545459</v>
      </c>
      <c r="AO1383">
        <v>0</v>
      </c>
      <c r="AP1383" t="s">
        <v>172</v>
      </c>
      <c r="AQ1383" t="s">
        <v>155</v>
      </c>
      <c r="AR1383" t="s">
        <v>229</v>
      </c>
      <c r="AS1383">
        <v>0</v>
      </c>
      <c r="AT1383">
        <v>0</v>
      </c>
      <c r="AU1383">
        <v>0</v>
      </c>
      <c r="AV1383">
        <v>0</v>
      </c>
      <c r="AW1383">
        <v>0</v>
      </c>
      <c r="AX1383">
        <v>0</v>
      </c>
      <c r="AY1383">
        <v>0</v>
      </c>
      <c r="AZ1383" t="s">
        <v>147</v>
      </c>
      <c r="BA1383">
        <v>0</v>
      </c>
      <c r="BB1383">
        <v>0</v>
      </c>
      <c r="BC1383" t="s">
        <v>133</v>
      </c>
      <c r="BD1383">
        <v>9</v>
      </c>
      <c r="BE1383" t="s">
        <v>133</v>
      </c>
      <c r="BF138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84" spans="1:58" x14ac:dyDescent="0.25">
      <c r="A1384" t="s">
        <v>1682</v>
      </c>
      <c r="B1384" t="s">
        <v>19</v>
      </c>
      <c r="C1384">
        <v>3</v>
      </c>
      <c r="D1384">
        <v>154</v>
      </c>
      <c r="E1384" t="s">
        <v>2109</v>
      </c>
      <c r="F1384" t="s">
        <v>123</v>
      </c>
      <c r="G1384" t="s">
        <v>124</v>
      </c>
      <c r="H1384" t="s">
        <v>125</v>
      </c>
      <c r="I1384" t="s">
        <v>154</v>
      </c>
      <c r="J1384" t="s">
        <v>154</v>
      </c>
      <c r="K1384" t="s">
        <v>151</v>
      </c>
      <c r="L1384">
        <v>50</v>
      </c>
      <c r="M1384">
        <v>1382233</v>
      </c>
      <c r="N1384">
        <v>0</v>
      </c>
      <c r="O1384">
        <v>5</v>
      </c>
      <c r="P1384" t="s">
        <v>1515</v>
      </c>
      <c r="Q1384" t="s">
        <v>129</v>
      </c>
      <c r="R1384">
        <v>14</v>
      </c>
      <c r="S1384" t="s">
        <v>189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50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50</v>
      </c>
      <c r="AJ1384">
        <v>50</v>
      </c>
      <c r="AK1384">
        <v>50</v>
      </c>
      <c r="AL1384">
        <v>50</v>
      </c>
      <c r="AM1384">
        <v>0</v>
      </c>
      <c r="AN1384">
        <v>4.5454545454545459</v>
      </c>
      <c r="AO1384">
        <v>0</v>
      </c>
      <c r="AP1384" t="s">
        <v>172</v>
      </c>
      <c r="AQ1384" t="s">
        <v>155</v>
      </c>
      <c r="AR1384" t="s">
        <v>229</v>
      </c>
      <c r="AS1384">
        <v>0</v>
      </c>
      <c r="AT1384">
        <v>0</v>
      </c>
      <c r="AU1384">
        <v>0</v>
      </c>
      <c r="AV1384">
        <v>0</v>
      </c>
      <c r="AW1384">
        <v>0</v>
      </c>
      <c r="AX1384">
        <v>0</v>
      </c>
      <c r="AY1384">
        <v>0</v>
      </c>
      <c r="AZ1384" t="s">
        <v>147</v>
      </c>
      <c r="BA1384">
        <v>0</v>
      </c>
      <c r="BB1384">
        <v>0</v>
      </c>
      <c r="BC1384" t="s">
        <v>133</v>
      </c>
      <c r="BD1384">
        <v>10</v>
      </c>
      <c r="BE1384" t="s">
        <v>133</v>
      </c>
      <c r="BF138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85" spans="1:58" x14ac:dyDescent="0.25">
      <c r="A1385" t="s">
        <v>1683</v>
      </c>
      <c r="B1385" t="s">
        <v>19</v>
      </c>
      <c r="C1385">
        <v>3</v>
      </c>
      <c r="D1385">
        <v>155</v>
      </c>
      <c r="E1385" t="s">
        <v>2109</v>
      </c>
      <c r="F1385" t="s">
        <v>123</v>
      </c>
      <c r="G1385" t="s">
        <v>124</v>
      </c>
      <c r="H1385" t="s">
        <v>125</v>
      </c>
      <c r="I1385" t="s">
        <v>154</v>
      </c>
      <c r="J1385" t="s">
        <v>154</v>
      </c>
      <c r="K1385" t="s">
        <v>151</v>
      </c>
      <c r="L1385">
        <v>50</v>
      </c>
      <c r="M1385">
        <v>1382235</v>
      </c>
      <c r="N1385">
        <v>0</v>
      </c>
      <c r="O1385">
        <v>5</v>
      </c>
      <c r="P1385" t="s">
        <v>1515</v>
      </c>
      <c r="Q1385" t="s">
        <v>129</v>
      </c>
      <c r="R1385">
        <v>14</v>
      </c>
      <c r="S1385" t="s">
        <v>189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50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>
        <v>50</v>
      </c>
      <c r="AJ1385">
        <v>50</v>
      </c>
      <c r="AK1385">
        <v>50</v>
      </c>
      <c r="AL1385">
        <v>50</v>
      </c>
      <c r="AM1385">
        <v>0</v>
      </c>
      <c r="AN1385">
        <v>4.5454545454545459</v>
      </c>
      <c r="AO1385">
        <v>0</v>
      </c>
      <c r="AP1385" t="s">
        <v>172</v>
      </c>
      <c r="AQ1385" t="s">
        <v>155</v>
      </c>
      <c r="AR1385" t="s">
        <v>229</v>
      </c>
      <c r="AS1385">
        <v>0</v>
      </c>
      <c r="AT1385">
        <v>0</v>
      </c>
      <c r="AU1385">
        <v>0</v>
      </c>
      <c r="AV1385">
        <v>0</v>
      </c>
      <c r="AW1385">
        <v>0</v>
      </c>
      <c r="AX1385">
        <v>0</v>
      </c>
      <c r="AY1385">
        <v>0</v>
      </c>
      <c r="AZ1385" t="s">
        <v>147</v>
      </c>
      <c r="BA1385">
        <v>0</v>
      </c>
      <c r="BB1385">
        <v>0</v>
      </c>
      <c r="BC1385" t="s">
        <v>144</v>
      </c>
      <c r="BD1385">
        <v>11</v>
      </c>
      <c r="BE1385" t="s">
        <v>1684</v>
      </c>
      <c r="BF138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86" spans="1:58" x14ac:dyDescent="0.25">
      <c r="A1386" t="s">
        <v>1685</v>
      </c>
      <c r="B1386" t="s">
        <v>19</v>
      </c>
      <c r="C1386">
        <v>3</v>
      </c>
      <c r="D1386">
        <v>156</v>
      </c>
      <c r="E1386" t="s">
        <v>2109</v>
      </c>
      <c r="F1386" t="s">
        <v>123</v>
      </c>
      <c r="G1386" t="s">
        <v>124</v>
      </c>
      <c r="H1386" t="s">
        <v>125</v>
      </c>
      <c r="I1386" t="s">
        <v>1661</v>
      </c>
      <c r="J1386" t="s">
        <v>140</v>
      </c>
      <c r="K1386" t="s">
        <v>127</v>
      </c>
      <c r="L1386">
        <v>50</v>
      </c>
      <c r="M1386">
        <v>1382237</v>
      </c>
      <c r="N1386">
        <v>10</v>
      </c>
      <c r="O1386">
        <v>5</v>
      </c>
      <c r="P1386" t="s">
        <v>1515</v>
      </c>
      <c r="Q1386" t="s">
        <v>129</v>
      </c>
      <c r="R1386">
        <v>15</v>
      </c>
      <c r="S1386" t="s">
        <v>1617</v>
      </c>
      <c r="T1386">
        <v>24</v>
      </c>
      <c r="U1386">
        <v>33</v>
      </c>
      <c r="V1386">
        <v>0</v>
      </c>
      <c r="W1386">
        <v>0</v>
      </c>
      <c r="X1386">
        <v>0</v>
      </c>
      <c r="Y1386">
        <v>5</v>
      </c>
      <c r="Z1386">
        <v>29</v>
      </c>
      <c r="AA1386">
        <v>38</v>
      </c>
      <c r="AB1386">
        <v>50</v>
      </c>
      <c r="AC1386">
        <v>51</v>
      </c>
      <c r="AD1386">
        <v>0</v>
      </c>
      <c r="AE1386">
        <v>11</v>
      </c>
      <c r="AF1386">
        <v>62</v>
      </c>
      <c r="AG1386">
        <v>0</v>
      </c>
      <c r="AH1386">
        <v>-1</v>
      </c>
      <c r="AI1386">
        <v>-12</v>
      </c>
      <c r="AJ1386">
        <v>-12</v>
      </c>
      <c r="AK1386">
        <v>-1</v>
      </c>
      <c r="AL1386">
        <v>0</v>
      </c>
      <c r="AM1386">
        <v>0.2</v>
      </c>
      <c r="AN1386">
        <v>-1.0909090909090908</v>
      </c>
      <c r="AO1386">
        <v>0</v>
      </c>
      <c r="AP1386" t="s">
        <v>1662</v>
      </c>
      <c r="AQ1386" t="s">
        <v>131</v>
      </c>
      <c r="AR1386" t="s">
        <v>229</v>
      </c>
      <c r="AS1386">
        <v>0</v>
      </c>
      <c r="AT1386">
        <v>0</v>
      </c>
      <c r="AU1386">
        <v>0</v>
      </c>
      <c r="AV1386">
        <v>0</v>
      </c>
      <c r="AW1386">
        <v>0</v>
      </c>
      <c r="AX1386">
        <v>0</v>
      </c>
      <c r="AY1386">
        <v>0</v>
      </c>
      <c r="AZ1386" t="s">
        <v>147</v>
      </c>
      <c r="BA1386">
        <v>10</v>
      </c>
      <c r="BB1386">
        <v>0</v>
      </c>
      <c r="BC1386" t="s">
        <v>132</v>
      </c>
      <c r="BD1386">
        <v>0</v>
      </c>
      <c r="BE1386" t="s">
        <v>133</v>
      </c>
      <c r="BF138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87" spans="1:58" x14ac:dyDescent="0.25">
      <c r="A1387" t="s">
        <v>1686</v>
      </c>
      <c r="B1387" t="s">
        <v>19</v>
      </c>
      <c r="C1387">
        <v>3</v>
      </c>
      <c r="D1387">
        <v>157</v>
      </c>
      <c r="E1387" t="s">
        <v>2109</v>
      </c>
      <c r="F1387" t="s">
        <v>123</v>
      </c>
      <c r="G1387" t="s">
        <v>124</v>
      </c>
      <c r="H1387" t="s">
        <v>125</v>
      </c>
      <c r="I1387" t="s">
        <v>1661</v>
      </c>
      <c r="J1387" t="s">
        <v>140</v>
      </c>
      <c r="K1387" t="s">
        <v>127</v>
      </c>
      <c r="L1387">
        <v>50</v>
      </c>
      <c r="M1387">
        <v>1382239</v>
      </c>
      <c r="N1387">
        <v>10</v>
      </c>
      <c r="O1387">
        <v>5</v>
      </c>
      <c r="P1387" t="s">
        <v>1515</v>
      </c>
      <c r="Q1387" t="s">
        <v>129</v>
      </c>
      <c r="R1387">
        <v>15</v>
      </c>
      <c r="S1387" t="s">
        <v>1617</v>
      </c>
      <c r="T1387">
        <v>24</v>
      </c>
      <c r="U1387">
        <v>33</v>
      </c>
      <c r="V1387">
        <v>0</v>
      </c>
      <c r="W1387">
        <v>0</v>
      </c>
      <c r="X1387">
        <v>0</v>
      </c>
      <c r="Y1387">
        <v>5</v>
      </c>
      <c r="Z1387">
        <v>29</v>
      </c>
      <c r="AA1387">
        <v>38</v>
      </c>
      <c r="AB1387">
        <v>50</v>
      </c>
      <c r="AC1387">
        <v>51</v>
      </c>
      <c r="AD1387">
        <v>0</v>
      </c>
      <c r="AE1387">
        <v>11</v>
      </c>
      <c r="AF1387">
        <v>62</v>
      </c>
      <c r="AG1387">
        <v>0</v>
      </c>
      <c r="AH1387">
        <v>-1</v>
      </c>
      <c r="AI1387">
        <v>-12</v>
      </c>
      <c r="AJ1387">
        <v>-12</v>
      </c>
      <c r="AK1387">
        <v>-1</v>
      </c>
      <c r="AL1387">
        <v>0</v>
      </c>
      <c r="AM1387">
        <v>0.2</v>
      </c>
      <c r="AN1387">
        <v>-1.0909090909090908</v>
      </c>
      <c r="AO1387">
        <v>0</v>
      </c>
      <c r="AP1387" t="s">
        <v>1662</v>
      </c>
      <c r="AQ1387" t="s">
        <v>131</v>
      </c>
      <c r="AR1387" t="s">
        <v>229</v>
      </c>
      <c r="AS1387">
        <v>0</v>
      </c>
      <c r="AT1387">
        <v>0</v>
      </c>
      <c r="AU1387">
        <v>0</v>
      </c>
      <c r="AV1387">
        <v>0</v>
      </c>
      <c r="AW1387">
        <v>0</v>
      </c>
      <c r="AX1387">
        <v>0</v>
      </c>
      <c r="AY1387">
        <v>0</v>
      </c>
      <c r="AZ1387" t="s">
        <v>147</v>
      </c>
      <c r="BA1387">
        <v>10</v>
      </c>
      <c r="BB1387">
        <v>0</v>
      </c>
      <c r="BC1387" t="s">
        <v>133</v>
      </c>
      <c r="BD1387">
        <v>0</v>
      </c>
      <c r="BE1387" t="s">
        <v>133</v>
      </c>
      <c r="BF138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88" spans="1:58" x14ac:dyDescent="0.25">
      <c r="A1388" t="s">
        <v>1687</v>
      </c>
      <c r="B1388" t="s">
        <v>19</v>
      </c>
      <c r="C1388">
        <v>3</v>
      </c>
      <c r="D1388">
        <v>158</v>
      </c>
      <c r="E1388" t="s">
        <v>2109</v>
      </c>
      <c r="F1388" t="s">
        <v>123</v>
      </c>
      <c r="G1388" t="s">
        <v>124</v>
      </c>
      <c r="H1388" t="s">
        <v>125</v>
      </c>
      <c r="I1388" t="s">
        <v>1661</v>
      </c>
      <c r="J1388" t="s">
        <v>140</v>
      </c>
      <c r="K1388" t="s">
        <v>127</v>
      </c>
      <c r="L1388">
        <v>50</v>
      </c>
      <c r="M1388">
        <v>1382241</v>
      </c>
      <c r="N1388">
        <v>10</v>
      </c>
      <c r="O1388">
        <v>5</v>
      </c>
      <c r="P1388" t="s">
        <v>1515</v>
      </c>
      <c r="Q1388" t="s">
        <v>129</v>
      </c>
      <c r="R1388">
        <v>15</v>
      </c>
      <c r="S1388" t="s">
        <v>1617</v>
      </c>
      <c r="T1388">
        <v>23</v>
      </c>
      <c r="U1388">
        <v>32</v>
      </c>
      <c r="V1388">
        <v>0</v>
      </c>
      <c r="W1388">
        <v>0</v>
      </c>
      <c r="X1388">
        <v>0</v>
      </c>
      <c r="Y1388">
        <v>6</v>
      </c>
      <c r="Z1388">
        <v>29</v>
      </c>
      <c r="AA1388">
        <v>38</v>
      </c>
      <c r="AB1388">
        <v>50</v>
      </c>
      <c r="AC1388">
        <v>50</v>
      </c>
      <c r="AD1388">
        <v>0</v>
      </c>
      <c r="AE1388">
        <v>12</v>
      </c>
      <c r="AF1388">
        <v>62</v>
      </c>
      <c r="AG1388">
        <v>0</v>
      </c>
      <c r="AH1388">
        <v>0</v>
      </c>
      <c r="AI1388">
        <v>-12</v>
      </c>
      <c r="AJ1388">
        <v>-12</v>
      </c>
      <c r="AK1388">
        <v>0</v>
      </c>
      <c r="AL1388">
        <v>0</v>
      </c>
      <c r="AM1388">
        <v>0.2</v>
      </c>
      <c r="AN1388">
        <v>-1.0909090909090908</v>
      </c>
      <c r="AO1388">
        <v>0</v>
      </c>
      <c r="AP1388" t="s">
        <v>1662</v>
      </c>
      <c r="AQ1388" t="s">
        <v>131</v>
      </c>
      <c r="AR1388" t="s">
        <v>229</v>
      </c>
      <c r="AS1388">
        <v>0</v>
      </c>
      <c r="AT1388">
        <v>0</v>
      </c>
      <c r="AU1388">
        <v>0</v>
      </c>
      <c r="AV1388">
        <v>0</v>
      </c>
      <c r="AW1388">
        <v>0</v>
      </c>
      <c r="AX1388">
        <v>0</v>
      </c>
      <c r="AY1388">
        <v>0</v>
      </c>
      <c r="AZ1388" t="s">
        <v>147</v>
      </c>
      <c r="BA1388">
        <v>10</v>
      </c>
      <c r="BB1388">
        <v>0</v>
      </c>
      <c r="BC1388" t="s">
        <v>133</v>
      </c>
      <c r="BD1388">
        <v>0</v>
      </c>
      <c r="BE1388" t="s">
        <v>133</v>
      </c>
      <c r="BF138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89" spans="1:58" x14ac:dyDescent="0.25">
      <c r="A1389" t="s">
        <v>1688</v>
      </c>
      <c r="B1389" t="s">
        <v>19</v>
      </c>
      <c r="C1389">
        <v>3</v>
      </c>
      <c r="D1389">
        <v>159</v>
      </c>
      <c r="E1389" t="s">
        <v>2109</v>
      </c>
      <c r="F1389" t="s">
        <v>123</v>
      </c>
      <c r="G1389" t="s">
        <v>124</v>
      </c>
      <c r="H1389" t="s">
        <v>125</v>
      </c>
      <c r="I1389" t="s">
        <v>1661</v>
      </c>
      <c r="J1389" t="s">
        <v>140</v>
      </c>
      <c r="K1389" t="s">
        <v>127</v>
      </c>
      <c r="L1389">
        <v>50</v>
      </c>
      <c r="M1389">
        <v>1382243</v>
      </c>
      <c r="N1389">
        <v>10</v>
      </c>
      <c r="O1389">
        <v>5</v>
      </c>
      <c r="P1389" t="s">
        <v>1515</v>
      </c>
      <c r="Q1389" t="s">
        <v>129</v>
      </c>
      <c r="R1389">
        <v>15</v>
      </c>
      <c r="S1389" t="s">
        <v>1617</v>
      </c>
      <c r="T1389">
        <v>23</v>
      </c>
      <c r="U1389">
        <v>32</v>
      </c>
      <c r="V1389">
        <v>0</v>
      </c>
      <c r="W1389">
        <v>0</v>
      </c>
      <c r="X1389">
        <v>0</v>
      </c>
      <c r="Y1389">
        <v>6</v>
      </c>
      <c r="Z1389">
        <v>29</v>
      </c>
      <c r="AA1389">
        <v>38</v>
      </c>
      <c r="AB1389">
        <v>50</v>
      </c>
      <c r="AC1389">
        <v>50</v>
      </c>
      <c r="AD1389">
        <v>0</v>
      </c>
      <c r="AE1389">
        <v>12</v>
      </c>
      <c r="AF1389">
        <v>62</v>
      </c>
      <c r="AG1389">
        <v>0</v>
      </c>
      <c r="AH1389">
        <v>0</v>
      </c>
      <c r="AI1389">
        <v>-12</v>
      </c>
      <c r="AJ1389">
        <v>-12</v>
      </c>
      <c r="AK1389">
        <v>0</v>
      </c>
      <c r="AL1389">
        <v>0</v>
      </c>
      <c r="AM1389">
        <v>0.2</v>
      </c>
      <c r="AN1389">
        <v>-1.0909090909090908</v>
      </c>
      <c r="AO1389">
        <v>0</v>
      </c>
      <c r="AP1389" t="s">
        <v>1662</v>
      </c>
      <c r="AQ1389" t="s">
        <v>131</v>
      </c>
      <c r="AR1389" t="s">
        <v>229</v>
      </c>
      <c r="AS1389">
        <v>0</v>
      </c>
      <c r="AT1389">
        <v>0</v>
      </c>
      <c r="AU1389">
        <v>0</v>
      </c>
      <c r="AV1389">
        <v>0</v>
      </c>
      <c r="AW1389">
        <v>0</v>
      </c>
      <c r="AX1389">
        <v>0</v>
      </c>
      <c r="AY1389">
        <v>0</v>
      </c>
      <c r="AZ1389" t="s">
        <v>147</v>
      </c>
      <c r="BA1389">
        <v>10</v>
      </c>
      <c r="BB1389">
        <v>0</v>
      </c>
      <c r="BC1389" t="s">
        <v>133</v>
      </c>
      <c r="BD1389">
        <v>0</v>
      </c>
      <c r="BE1389" t="s">
        <v>133</v>
      </c>
      <c r="BF138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90" spans="1:58" x14ac:dyDescent="0.25">
      <c r="A1390" t="s">
        <v>1689</v>
      </c>
      <c r="B1390" t="s">
        <v>19</v>
      </c>
      <c r="C1390">
        <v>3</v>
      </c>
      <c r="D1390">
        <v>160</v>
      </c>
      <c r="E1390" t="s">
        <v>2109</v>
      </c>
      <c r="F1390" t="s">
        <v>123</v>
      </c>
      <c r="G1390" t="s">
        <v>124</v>
      </c>
      <c r="H1390" t="s">
        <v>125</v>
      </c>
      <c r="I1390" t="s">
        <v>1661</v>
      </c>
      <c r="J1390" t="s">
        <v>140</v>
      </c>
      <c r="K1390" t="s">
        <v>127</v>
      </c>
      <c r="L1390">
        <v>50</v>
      </c>
      <c r="M1390">
        <v>1382245</v>
      </c>
      <c r="N1390">
        <v>10</v>
      </c>
      <c r="O1390">
        <v>5</v>
      </c>
      <c r="P1390" t="s">
        <v>1515</v>
      </c>
      <c r="Q1390" t="s">
        <v>129</v>
      </c>
      <c r="R1390">
        <v>15</v>
      </c>
      <c r="S1390" t="s">
        <v>1617</v>
      </c>
      <c r="T1390">
        <v>23</v>
      </c>
      <c r="U1390">
        <v>32</v>
      </c>
      <c r="V1390">
        <v>0</v>
      </c>
      <c r="W1390">
        <v>0</v>
      </c>
      <c r="X1390">
        <v>0</v>
      </c>
      <c r="Y1390">
        <v>6</v>
      </c>
      <c r="Z1390">
        <v>29</v>
      </c>
      <c r="AA1390">
        <v>38</v>
      </c>
      <c r="AB1390">
        <v>50</v>
      </c>
      <c r="AC1390">
        <v>50</v>
      </c>
      <c r="AD1390">
        <v>0</v>
      </c>
      <c r="AE1390">
        <v>12</v>
      </c>
      <c r="AF1390">
        <v>62</v>
      </c>
      <c r="AG1390">
        <v>0</v>
      </c>
      <c r="AH1390">
        <v>0</v>
      </c>
      <c r="AI1390">
        <v>-12</v>
      </c>
      <c r="AJ1390">
        <v>-12</v>
      </c>
      <c r="AK1390">
        <v>0</v>
      </c>
      <c r="AL1390">
        <v>0</v>
      </c>
      <c r="AM1390">
        <v>0.2</v>
      </c>
      <c r="AN1390">
        <v>-1.0909090909090908</v>
      </c>
      <c r="AO1390">
        <v>0</v>
      </c>
      <c r="AP1390" t="s">
        <v>1662</v>
      </c>
      <c r="AQ1390" t="s">
        <v>131</v>
      </c>
      <c r="AR1390" t="s">
        <v>229</v>
      </c>
      <c r="AS1390">
        <v>0</v>
      </c>
      <c r="AT1390">
        <v>0</v>
      </c>
      <c r="AU1390">
        <v>0</v>
      </c>
      <c r="AV1390">
        <v>0</v>
      </c>
      <c r="AW1390">
        <v>0</v>
      </c>
      <c r="AX1390">
        <v>0</v>
      </c>
      <c r="AY1390">
        <v>0</v>
      </c>
      <c r="AZ1390" t="s">
        <v>147</v>
      </c>
      <c r="BA1390">
        <v>10</v>
      </c>
      <c r="BB1390">
        <v>0</v>
      </c>
      <c r="BC1390" t="s">
        <v>133</v>
      </c>
      <c r="BD1390">
        <v>0</v>
      </c>
      <c r="BE1390" t="s">
        <v>133</v>
      </c>
      <c r="BF139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91" spans="1:58" x14ac:dyDescent="0.25">
      <c r="A1391" t="s">
        <v>1690</v>
      </c>
      <c r="B1391" t="s">
        <v>19</v>
      </c>
      <c r="C1391">
        <v>3</v>
      </c>
      <c r="D1391">
        <v>161</v>
      </c>
      <c r="E1391" t="s">
        <v>2109</v>
      </c>
      <c r="F1391" t="s">
        <v>123</v>
      </c>
      <c r="G1391" t="s">
        <v>124</v>
      </c>
      <c r="H1391" t="s">
        <v>125</v>
      </c>
      <c r="I1391" t="s">
        <v>1661</v>
      </c>
      <c r="J1391" t="s">
        <v>140</v>
      </c>
      <c r="K1391" t="s">
        <v>127</v>
      </c>
      <c r="L1391">
        <v>50</v>
      </c>
      <c r="M1391">
        <v>1382247</v>
      </c>
      <c r="N1391">
        <v>10</v>
      </c>
      <c r="O1391">
        <v>5</v>
      </c>
      <c r="P1391" t="s">
        <v>1515</v>
      </c>
      <c r="Q1391" t="s">
        <v>129</v>
      </c>
      <c r="R1391">
        <v>15</v>
      </c>
      <c r="S1391" t="s">
        <v>1617</v>
      </c>
      <c r="T1391">
        <v>18</v>
      </c>
      <c r="U1391">
        <v>27</v>
      </c>
      <c r="V1391">
        <v>0</v>
      </c>
      <c r="W1391">
        <v>0</v>
      </c>
      <c r="X1391">
        <v>0</v>
      </c>
      <c r="Y1391">
        <v>11</v>
      </c>
      <c r="Z1391">
        <v>29</v>
      </c>
      <c r="AA1391">
        <v>38</v>
      </c>
      <c r="AB1391">
        <v>50</v>
      </c>
      <c r="AC1391">
        <v>45</v>
      </c>
      <c r="AD1391">
        <v>0</v>
      </c>
      <c r="AE1391">
        <v>17</v>
      </c>
      <c r="AF1391">
        <v>62</v>
      </c>
      <c r="AG1391">
        <v>0</v>
      </c>
      <c r="AH1391">
        <v>5</v>
      </c>
      <c r="AI1391">
        <v>-12</v>
      </c>
      <c r="AJ1391">
        <v>-12</v>
      </c>
      <c r="AK1391">
        <v>5</v>
      </c>
      <c r="AL1391">
        <v>0</v>
      </c>
      <c r="AM1391">
        <v>0.2</v>
      </c>
      <c r="AN1391">
        <v>-1.0909090909090908</v>
      </c>
      <c r="AO1391">
        <v>0</v>
      </c>
      <c r="AP1391" t="s">
        <v>1662</v>
      </c>
      <c r="AQ1391" t="s">
        <v>131</v>
      </c>
      <c r="AR1391" t="s">
        <v>229</v>
      </c>
      <c r="AS1391">
        <v>0</v>
      </c>
      <c r="AT1391">
        <v>0</v>
      </c>
      <c r="AU1391">
        <v>0</v>
      </c>
      <c r="AV1391">
        <v>0</v>
      </c>
      <c r="AW1391">
        <v>0</v>
      </c>
      <c r="AX1391">
        <v>0</v>
      </c>
      <c r="AY1391">
        <v>0</v>
      </c>
      <c r="AZ1391" t="s">
        <v>147</v>
      </c>
      <c r="BA1391">
        <v>10</v>
      </c>
      <c r="BB1391">
        <v>0</v>
      </c>
      <c r="BC1391" t="s">
        <v>133</v>
      </c>
      <c r="BD1391">
        <v>0</v>
      </c>
      <c r="BE1391" t="s">
        <v>133</v>
      </c>
      <c r="BF139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92" spans="1:58" x14ac:dyDescent="0.25">
      <c r="A1392" t="s">
        <v>1691</v>
      </c>
      <c r="B1392" t="s">
        <v>19</v>
      </c>
      <c r="C1392">
        <v>3</v>
      </c>
      <c r="D1392">
        <v>162</v>
      </c>
      <c r="E1392" t="s">
        <v>2109</v>
      </c>
      <c r="F1392" t="s">
        <v>123</v>
      </c>
      <c r="G1392" t="s">
        <v>124</v>
      </c>
      <c r="H1392" t="s">
        <v>125</v>
      </c>
      <c r="I1392" t="s">
        <v>1661</v>
      </c>
      <c r="J1392" t="s">
        <v>140</v>
      </c>
      <c r="K1392" t="s">
        <v>127</v>
      </c>
      <c r="L1392">
        <v>50</v>
      </c>
      <c r="M1392">
        <v>1382249</v>
      </c>
      <c r="N1392">
        <v>10</v>
      </c>
      <c r="O1392">
        <v>5</v>
      </c>
      <c r="P1392" t="s">
        <v>1515</v>
      </c>
      <c r="Q1392" t="s">
        <v>129</v>
      </c>
      <c r="R1392">
        <v>15</v>
      </c>
      <c r="S1392" t="s">
        <v>1617</v>
      </c>
      <c r="T1392">
        <v>24</v>
      </c>
      <c r="U1392">
        <v>33</v>
      </c>
      <c r="V1392">
        <v>0</v>
      </c>
      <c r="W1392">
        <v>0</v>
      </c>
      <c r="X1392">
        <v>0</v>
      </c>
      <c r="Y1392">
        <v>5</v>
      </c>
      <c r="Z1392">
        <v>29</v>
      </c>
      <c r="AA1392">
        <v>38</v>
      </c>
      <c r="AB1392">
        <v>50</v>
      </c>
      <c r="AC1392">
        <v>51</v>
      </c>
      <c r="AD1392">
        <v>0</v>
      </c>
      <c r="AE1392">
        <v>11</v>
      </c>
      <c r="AF1392">
        <v>62</v>
      </c>
      <c r="AG1392">
        <v>0</v>
      </c>
      <c r="AH1392">
        <v>-1</v>
      </c>
      <c r="AI1392">
        <v>-12</v>
      </c>
      <c r="AJ1392">
        <v>-12</v>
      </c>
      <c r="AK1392">
        <v>-1</v>
      </c>
      <c r="AL1392">
        <v>0</v>
      </c>
      <c r="AM1392">
        <v>0.2</v>
      </c>
      <c r="AN1392">
        <v>-1.0909090909090908</v>
      </c>
      <c r="AO1392">
        <v>0</v>
      </c>
      <c r="AP1392" t="s">
        <v>1662</v>
      </c>
      <c r="AQ1392" t="s">
        <v>131</v>
      </c>
      <c r="AR1392" t="s">
        <v>229</v>
      </c>
      <c r="AS1392">
        <v>0</v>
      </c>
      <c r="AT1392">
        <v>0</v>
      </c>
      <c r="AU1392">
        <v>0</v>
      </c>
      <c r="AV1392">
        <v>0</v>
      </c>
      <c r="AW1392">
        <v>0</v>
      </c>
      <c r="AX1392">
        <v>0</v>
      </c>
      <c r="AY1392">
        <v>0</v>
      </c>
      <c r="AZ1392" t="s">
        <v>147</v>
      </c>
      <c r="BA1392">
        <v>10</v>
      </c>
      <c r="BB1392">
        <v>0</v>
      </c>
      <c r="BC1392" t="s">
        <v>133</v>
      </c>
      <c r="BD1392">
        <v>0</v>
      </c>
      <c r="BE1392" t="s">
        <v>133</v>
      </c>
      <c r="BF139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93" spans="1:58" x14ac:dyDescent="0.25">
      <c r="A1393" t="s">
        <v>1692</v>
      </c>
      <c r="B1393" t="s">
        <v>19</v>
      </c>
      <c r="C1393">
        <v>3</v>
      </c>
      <c r="D1393">
        <v>163</v>
      </c>
      <c r="E1393" t="s">
        <v>2109</v>
      </c>
      <c r="F1393" t="s">
        <v>123</v>
      </c>
      <c r="G1393" t="s">
        <v>124</v>
      </c>
      <c r="H1393" t="s">
        <v>125</v>
      </c>
      <c r="I1393" t="s">
        <v>1661</v>
      </c>
      <c r="J1393" t="s">
        <v>140</v>
      </c>
      <c r="K1393" t="s">
        <v>127</v>
      </c>
      <c r="L1393">
        <v>50</v>
      </c>
      <c r="M1393">
        <v>1382251</v>
      </c>
      <c r="N1393">
        <v>10</v>
      </c>
      <c r="O1393">
        <v>5</v>
      </c>
      <c r="P1393" t="s">
        <v>1515</v>
      </c>
      <c r="Q1393" t="s">
        <v>129</v>
      </c>
      <c r="R1393">
        <v>15</v>
      </c>
      <c r="S1393" t="s">
        <v>1617</v>
      </c>
      <c r="T1393">
        <v>22</v>
      </c>
      <c r="U1393">
        <v>31</v>
      </c>
      <c r="V1393">
        <v>0</v>
      </c>
      <c r="W1393">
        <v>0</v>
      </c>
      <c r="X1393">
        <v>0</v>
      </c>
      <c r="Y1393">
        <v>7</v>
      </c>
      <c r="Z1393">
        <v>29</v>
      </c>
      <c r="AA1393">
        <v>38</v>
      </c>
      <c r="AB1393">
        <v>50</v>
      </c>
      <c r="AC1393">
        <v>49</v>
      </c>
      <c r="AD1393">
        <v>0</v>
      </c>
      <c r="AE1393">
        <v>13</v>
      </c>
      <c r="AF1393">
        <v>62</v>
      </c>
      <c r="AG1393">
        <v>0</v>
      </c>
      <c r="AH1393">
        <v>1</v>
      </c>
      <c r="AI1393">
        <v>-12</v>
      </c>
      <c r="AJ1393">
        <v>-12</v>
      </c>
      <c r="AK1393">
        <v>1</v>
      </c>
      <c r="AL1393">
        <v>0</v>
      </c>
      <c r="AM1393">
        <v>0.2</v>
      </c>
      <c r="AN1393">
        <v>-1.0909090909090908</v>
      </c>
      <c r="AO1393">
        <v>0</v>
      </c>
      <c r="AP1393" t="s">
        <v>1662</v>
      </c>
      <c r="AQ1393" t="s">
        <v>131</v>
      </c>
      <c r="AR1393" t="s">
        <v>229</v>
      </c>
      <c r="AS1393">
        <v>0</v>
      </c>
      <c r="AT1393">
        <v>0</v>
      </c>
      <c r="AU1393">
        <v>0</v>
      </c>
      <c r="AV1393">
        <v>0</v>
      </c>
      <c r="AW1393">
        <v>0</v>
      </c>
      <c r="AX1393">
        <v>0</v>
      </c>
      <c r="AY1393">
        <v>0</v>
      </c>
      <c r="AZ1393" t="s">
        <v>147</v>
      </c>
      <c r="BA1393">
        <v>10</v>
      </c>
      <c r="BB1393">
        <v>0</v>
      </c>
      <c r="BC1393" t="s">
        <v>133</v>
      </c>
      <c r="BD1393">
        <v>0</v>
      </c>
      <c r="BE1393" t="s">
        <v>133</v>
      </c>
      <c r="BF139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94" spans="1:58" x14ac:dyDescent="0.25">
      <c r="A1394" t="s">
        <v>1693</v>
      </c>
      <c r="B1394" t="s">
        <v>19</v>
      </c>
      <c r="C1394">
        <v>3</v>
      </c>
      <c r="D1394">
        <v>164</v>
      </c>
      <c r="E1394" t="s">
        <v>2109</v>
      </c>
      <c r="F1394" t="s">
        <v>123</v>
      </c>
      <c r="G1394" t="s">
        <v>124</v>
      </c>
      <c r="H1394" t="s">
        <v>125</v>
      </c>
      <c r="I1394" t="s">
        <v>1661</v>
      </c>
      <c r="J1394" t="s">
        <v>140</v>
      </c>
      <c r="K1394" t="s">
        <v>127</v>
      </c>
      <c r="L1394">
        <v>50</v>
      </c>
      <c r="M1394">
        <v>1382253</v>
      </c>
      <c r="N1394">
        <v>10</v>
      </c>
      <c r="O1394">
        <v>5</v>
      </c>
      <c r="P1394" t="s">
        <v>1515</v>
      </c>
      <c r="Q1394" t="s">
        <v>129</v>
      </c>
      <c r="R1394">
        <v>15</v>
      </c>
      <c r="S1394" t="s">
        <v>1617</v>
      </c>
      <c r="T1394">
        <v>23</v>
      </c>
      <c r="U1394">
        <v>31</v>
      </c>
      <c r="V1394">
        <v>1</v>
      </c>
      <c r="W1394">
        <v>0</v>
      </c>
      <c r="X1394">
        <v>1</v>
      </c>
      <c r="Y1394">
        <v>6</v>
      </c>
      <c r="Z1394">
        <v>29</v>
      </c>
      <c r="AA1394">
        <v>38</v>
      </c>
      <c r="AB1394">
        <v>50</v>
      </c>
      <c r="AC1394">
        <v>46</v>
      </c>
      <c r="AD1394">
        <v>4</v>
      </c>
      <c r="AE1394">
        <v>12</v>
      </c>
      <c r="AF1394">
        <v>62</v>
      </c>
      <c r="AG1394">
        <v>0</v>
      </c>
      <c r="AH1394">
        <v>4</v>
      </c>
      <c r="AI1394">
        <v>-12</v>
      </c>
      <c r="AJ1394">
        <v>-8</v>
      </c>
      <c r="AK1394">
        <v>4</v>
      </c>
      <c r="AL1394">
        <v>0</v>
      </c>
      <c r="AM1394">
        <v>0.2</v>
      </c>
      <c r="AN1394">
        <v>-0.72727272727272729</v>
      </c>
      <c r="AO1394">
        <v>0</v>
      </c>
      <c r="AP1394" t="s">
        <v>1662</v>
      </c>
      <c r="AQ1394" t="s">
        <v>131</v>
      </c>
      <c r="AR1394" t="s">
        <v>229</v>
      </c>
      <c r="AS1394">
        <v>0</v>
      </c>
      <c r="AT1394">
        <v>0</v>
      </c>
      <c r="AU1394">
        <v>0</v>
      </c>
      <c r="AV1394">
        <v>0</v>
      </c>
      <c r="AW1394">
        <v>0</v>
      </c>
      <c r="AX1394">
        <v>0</v>
      </c>
      <c r="AY1394">
        <v>0</v>
      </c>
      <c r="AZ1394" t="s">
        <v>147</v>
      </c>
      <c r="BA1394">
        <v>10</v>
      </c>
      <c r="BB1394">
        <v>0</v>
      </c>
      <c r="BC1394" t="s">
        <v>133</v>
      </c>
      <c r="BD1394">
        <v>0</v>
      </c>
      <c r="BE1394" t="s">
        <v>133</v>
      </c>
      <c r="BF139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95" spans="1:58" x14ac:dyDescent="0.25">
      <c r="A1395" t="s">
        <v>1694</v>
      </c>
      <c r="B1395" t="s">
        <v>19</v>
      </c>
      <c r="C1395">
        <v>3</v>
      </c>
      <c r="D1395">
        <v>165</v>
      </c>
      <c r="E1395" t="s">
        <v>2109</v>
      </c>
      <c r="F1395" t="s">
        <v>123</v>
      </c>
      <c r="G1395" t="s">
        <v>124</v>
      </c>
      <c r="H1395" t="s">
        <v>125</v>
      </c>
      <c r="I1395" t="s">
        <v>1661</v>
      </c>
      <c r="J1395" t="s">
        <v>140</v>
      </c>
      <c r="K1395" t="s">
        <v>127</v>
      </c>
      <c r="L1395">
        <v>50</v>
      </c>
      <c r="M1395">
        <v>1382255</v>
      </c>
      <c r="N1395">
        <v>10</v>
      </c>
      <c r="O1395">
        <v>5</v>
      </c>
      <c r="P1395" t="s">
        <v>1515</v>
      </c>
      <c r="Q1395" t="s">
        <v>129</v>
      </c>
      <c r="R1395">
        <v>15</v>
      </c>
      <c r="S1395" t="s">
        <v>1617</v>
      </c>
      <c r="T1395">
        <v>23</v>
      </c>
      <c r="U1395">
        <v>32</v>
      </c>
      <c r="V1395">
        <v>0</v>
      </c>
      <c r="W1395">
        <v>0</v>
      </c>
      <c r="X1395">
        <v>0</v>
      </c>
      <c r="Y1395">
        <v>6</v>
      </c>
      <c r="Z1395">
        <v>29</v>
      </c>
      <c r="AA1395">
        <v>38</v>
      </c>
      <c r="AB1395">
        <v>50</v>
      </c>
      <c r="AC1395">
        <v>50</v>
      </c>
      <c r="AD1395">
        <v>0</v>
      </c>
      <c r="AE1395">
        <v>12</v>
      </c>
      <c r="AF1395">
        <v>62</v>
      </c>
      <c r="AG1395">
        <v>0</v>
      </c>
      <c r="AH1395">
        <v>0</v>
      </c>
      <c r="AI1395">
        <v>-12</v>
      </c>
      <c r="AJ1395">
        <v>-12</v>
      </c>
      <c r="AK1395">
        <v>0</v>
      </c>
      <c r="AL1395">
        <v>0</v>
      </c>
      <c r="AM1395">
        <v>0.2</v>
      </c>
      <c r="AN1395">
        <v>-1.0909090909090908</v>
      </c>
      <c r="AO1395">
        <v>0</v>
      </c>
      <c r="AP1395" t="s">
        <v>1662</v>
      </c>
      <c r="AQ1395" t="s">
        <v>131</v>
      </c>
      <c r="AR1395" t="s">
        <v>229</v>
      </c>
      <c r="AS1395">
        <v>0</v>
      </c>
      <c r="AT1395">
        <v>0</v>
      </c>
      <c r="AU1395">
        <v>0</v>
      </c>
      <c r="AV1395">
        <v>0</v>
      </c>
      <c r="AW1395">
        <v>0</v>
      </c>
      <c r="AX1395">
        <v>0</v>
      </c>
      <c r="AY1395">
        <v>0</v>
      </c>
      <c r="AZ1395" t="s">
        <v>147</v>
      </c>
      <c r="BA1395">
        <v>10</v>
      </c>
      <c r="BB1395">
        <v>0</v>
      </c>
      <c r="BC1395" t="s">
        <v>133</v>
      </c>
      <c r="BD1395">
        <v>0</v>
      </c>
      <c r="BE1395" t="s">
        <v>133</v>
      </c>
      <c r="BF139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96" spans="1:58" x14ac:dyDescent="0.25">
      <c r="A1396" t="s">
        <v>1695</v>
      </c>
      <c r="B1396" t="s">
        <v>19</v>
      </c>
      <c r="C1396">
        <v>3</v>
      </c>
      <c r="D1396">
        <v>166</v>
      </c>
      <c r="E1396" t="s">
        <v>2109</v>
      </c>
      <c r="F1396" t="s">
        <v>123</v>
      </c>
      <c r="G1396" t="s">
        <v>124</v>
      </c>
      <c r="H1396" t="s">
        <v>125</v>
      </c>
      <c r="I1396" t="s">
        <v>1661</v>
      </c>
      <c r="J1396" t="s">
        <v>140</v>
      </c>
      <c r="K1396" t="s">
        <v>127</v>
      </c>
      <c r="L1396">
        <v>50</v>
      </c>
      <c r="M1396">
        <v>1382257</v>
      </c>
      <c r="N1396">
        <v>10</v>
      </c>
      <c r="O1396">
        <v>5</v>
      </c>
      <c r="P1396" t="s">
        <v>1515</v>
      </c>
      <c r="Q1396" t="s">
        <v>129</v>
      </c>
      <c r="R1396">
        <v>15</v>
      </c>
      <c r="S1396" t="s">
        <v>1617</v>
      </c>
      <c r="T1396">
        <v>24</v>
      </c>
      <c r="U1396">
        <v>33</v>
      </c>
      <c r="V1396">
        <v>0</v>
      </c>
      <c r="W1396">
        <v>0</v>
      </c>
      <c r="X1396">
        <v>0</v>
      </c>
      <c r="Y1396">
        <v>5</v>
      </c>
      <c r="Z1396">
        <v>29</v>
      </c>
      <c r="AA1396">
        <v>38</v>
      </c>
      <c r="AB1396">
        <v>50</v>
      </c>
      <c r="AC1396">
        <v>51</v>
      </c>
      <c r="AD1396">
        <v>0</v>
      </c>
      <c r="AE1396">
        <v>11</v>
      </c>
      <c r="AF1396">
        <v>62</v>
      </c>
      <c r="AG1396">
        <v>0</v>
      </c>
      <c r="AH1396">
        <v>-1</v>
      </c>
      <c r="AI1396">
        <v>-12</v>
      </c>
      <c r="AJ1396">
        <v>-12</v>
      </c>
      <c r="AK1396">
        <v>-1</v>
      </c>
      <c r="AL1396">
        <v>0</v>
      </c>
      <c r="AM1396">
        <v>0.2</v>
      </c>
      <c r="AN1396">
        <v>-1.0909090909090908</v>
      </c>
      <c r="AO1396">
        <v>0</v>
      </c>
      <c r="AP1396" t="s">
        <v>1662</v>
      </c>
      <c r="AQ1396" t="s">
        <v>131</v>
      </c>
      <c r="AR1396" t="s">
        <v>229</v>
      </c>
      <c r="AS1396">
        <v>0</v>
      </c>
      <c r="AT1396">
        <v>0</v>
      </c>
      <c r="AU1396">
        <v>0</v>
      </c>
      <c r="AV1396">
        <v>0</v>
      </c>
      <c r="AW1396">
        <v>0</v>
      </c>
      <c r="AX1396">
        <v>0</v>
      </c>
      <c r="AY1396">
        <v>0</v>
      </c>
      <c r="AZ1396" t="s">
        <v>147</v>
      </c>
      <c r="BA1396">
        <v>10</v>
      </c>
      <c r="BB1396">
        <v>0</v>
      </c>
      <c r="BC1396" t="s">
        <v>144</v>
      </c>
      <c r="BD1396">
        <v>0</v>
      </c>
      <c r="BE1396" t="s">
        <v>133</v>
      </c>
      <c r="BF139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97" spans="1:58" x14ac:dyDescent="0.25">
      <c r="A1397" t="s">
        <v>1696</v>
      </c>
      <c r="B1397" t="s">
        <v>19</v>
      </c>
      <c r="C1397">
        <v>3</v>
      </c>
      <c r="D1397">
        <v>167</v>
      </c>
      <c r="E1397" t="s">
        <v>2109</v>
      </c>
      <c r="F1397" t="s">
        <v>123</v>
      </c>
      <c r="G1397" t="s">
        <v>124</v>
      </c>
      <c r="H1397" t="s">
        <v>125</v>
      </c>
      <c r="I1397" t="s">
        <v>154</v>
      </c>
      <c r="J1397" t="s">
        <v>154</v>
      </c>
      <c r="K1397" t="s">
        <v>151</v>
      </c>
      <c r="L1397">
        <v>50</v>
      </c>
      <c r="M1397">
        <v>1382259</v>
      </c>
      <c r="N1397">
        <v>0</v>
      </c>
      <c r="O1397">
        <v>5</v>
      </c>
      <c r="P1397" t="s">
        <v>1515</v>
      </c>
      <c r="Q1397" t="s">
        <v>129</v>
      </c>
      <c r="R1397">
        <v>16</v>
      </c>
      <c r="S1397" t="s">
        <v>189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50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50</v>
      </c>
      <c r="AJ1397">
        <v>50</v>
      </c>
      <c r="AK1397">
        <v>50</v>
      </c>
      <c r="AL1397">
        <v>50</v>
      </c>
      <c r="AM1397">
        <v>0</v>
      </c>
      <c r="AN1397">
        <v>4.5454545454545459</v>
      </c>
      <c r="AO1397">
        <v>0</v>
      </c>
      <c r="AP1397" t="s">
        <v>172</v>
      </c>
      <c r="AQ1397" t="s">
        <v>155</v>
      </c>
      <c r="AR1397" t="s">
        <v>229</v>
      </c>
      <c r="AS1397">
        <v>0</v>
      </c>
      <c r="AT1397">
        <v>0</v>
      </c>
      <c r="AU1397">
        <v>0</v>
      </c>
      <c r="AV1397">
        <v>0</v>
      </c>
      <c r="AW1397">
        <v>0</v>
      </c>
      <c r="AX1397">
        <v>0</v>
      </c>
      <c r="AY1397">
        <v>0</v>
      </c>
      <c r="AZ1397" t="s">
        <v>147</v>
      </c>
      <c r="BA1397">
        <v>0</v>
      </c>
      <c r="BB1397">
        <v>0</v>
      </c>
      <c r="BC1397" t="s">
        <v>132</v>
      </c>
      <c r="BD1397">
        <v>1</v>
      </c>
      <c r="BE1397" t="s">
        <v>133</v>
      </c>
      <c r="BF139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98" spans="1:58" x14ac:dyDescent="0.25">
      <c r="A1398" t="s">
        <v>1697</v>
      </c>
      <c r="B1398" t="s">
        <v>19</v>
      </c>
      <c r="C1398">
        <v>3</v>
      </c>
      <c r="D1398">
        <v>168</v>
      </c>
      <c r="E1398" t="s">
        <v>2109</v>
      </c>
      <c r="F1398" t="s">
        <v>123</v>
      </c>
      <c r="G1398" t="s">
        <v>124</v>
      </c>
      <c r="H1398" t="s">
        <v>125</v>
      </c>
      <c r="I1398" t="s">
        <v>154</v>
      </c>
      <c r="J1398" t="s">
        <v>154</v>
      </c>
      <c r="K1398" t="s">
        <v>151</v>
      </c>
      <c r="L1398">
        <v>50</v>
      </c>
      <c r="M1398">
        <v>1382261</v>
      </c>
      <c r="N1398">
        <v>0</v>
      </c>
      <c r="O1398">
        <v>5</v>
      </c>
      <c r="P1398" t="s">
        <v>1515</v>
      </c>
      <c r="Q1398" t="s">
        <v>129</v>
      </c>
      <c r="R1398">
        <v>16</v>
      </c>
      <c r="S1398" t="s">
        <v>189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50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50</v>
      </c>
      <c r="AJ1398">
        <v>50</v>
      </c>
      <c r="AK1398">
        <v>50</v>
      </c>
      <c r="AL1398">
        <v>50</v>
      </c>
      <c r="AM1398">
        <v>0</v>
      </c>
      <c r="AN1398">
        <v>4.5454545454545459</v>
      </c>
      <c r="AO1398">
        <v>0</v>
      </c>
      <c r="AP1398" t="s">
        <v>172</v>
      </c>
      <c r="AQ1398" t="s">
        <v>155</v>
      </c>
      <c r="AR1398" t="s">
        <v>229</v>
      </c>
      <c r="AS1398">
        <v>0</v>
      </c>
      <c r="AT1398">
        <v>0</v>
      </c>
      <c r="AU1398">
        <v>0</v>
      </c>
      <c r="AV1398">
        <v>0</v>
      </c>
      <c r="AW1398">
        <v>0</v>
      </c>
      <c r="AX1398">
        <v>0</v>
      </c>
      <c r="AY1398">
        <v>0</v>
      </c>
      <c r="AZ1398" t="s">
        <v>147</v>
      </c>
      <c r="BA1398">
        <v>0</v>
      </c>
      <c r="BB1398">
        <v>0</v>
      </c>
      <c r="BC1398" t="s">
        <v>133</v>
      </c>
      <c r="BD1398">
        <v>2</v>
      </c>
      <c r="BE1398" t="s">
        <v>133</v>
      </c>
      <c r="BF139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399" spans="1:58" x14ac:dyDescent="0.25">
      <c r="A1399" t="s">
        <v>1698</v>
      </c>
      <c r="B1399" t="s">
        <v>19</v>
      </c>
      <c r="C1399">
        <v>3</v>
      </c>
      <c r="D1399">
        <v>169</v>
      </c>
      <c r="E1399" t="s">
        <v>2109</v>
      </c>
      <c r="F1399" t="s">
        <v>123</v>
      </c>
      <c r="G1399" t="s">
        <v>124</v>
      </c>
      <c r="H1399" t="s">
        <v>125</v>
      </c>
      <c r="I1399" t="s">
        <v>154</v>
      </c>
      <c r="J1399" t="s">
        <v>154</v>
      </c>
      <c r="K1399" t="s">
        <v>151</v>
      </c>
      <c r="L1399">
        <v>50</v>
      </c>
      <c r="M1399">
        <v>1382263</v>
      </c>
      <c r="N1399">
        <v>0</v>
      </c>
      <c r="O1399">
        <v>5</v>
      </c>
      <c r="P1399" t="s">
        <v>1515</v>
      </c>
      <c r="Q1399" t="s">
        <v>129</v>
      </c>
      <c r="R1399">
        <v>16</v>
      </c>
      <c r="S1399" t="s">
        <v>189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50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>
        <v>50</v>
      </c>
      <c r="AJ1399">
        <v>50</v>
      </c>
      <c r="AK1399">
        <v>50</v>
      </c>
      <c r="AL1399">
        <v>50</v>
      </c>
      <c r="AM1399">
        <v>0</v>
      </c>
      <c r="AN1399">
        <v>4.5454545454545459</v>
      </c>
      <c r="AO1399">
        <v>0</v>
      </c>
      <c r="AP1399" t="s">
        <v>172</v>
      </c>
      <c r="AQ1399" t="s">
        <v>155</v>
      </c>
      <c r="AR1399" t="s">
        <v>229</v>
      </c>
      <c r="AS1399">
        <v>0</v>
      </c>
      <c r="AT1399">
        <v>0</v>
      </c>
      <c r="AU1399">
        <v>0</v>
      </c>
      <c r="AV1399">
        <v>0</v>
      </c>
      <c r="AW1399">
        <v>0</v>
      </c>
      <c r="AX1399">
        <v>0</v>
      </c>
      <c r="AY1399">
        <v>0</v>
      </c>
      <c r="AZ1399" t="s">
        <v>147</v>
      </c>
      <c r="BA1399">
        <v>0</v>
      </c>
      <c r="BB1399">
        <v>0</v>
      </c>
      <c r="BC1399" t="s">
        <v>133</v>
      </c>
      <c r="BD1399">
        <v>3</v>
      </c>
      <c r="BE1399" t="s">
        <v>133</v>
      </c>
      <c r="BF139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00" spans="1:58" x14ac:dyDescent="0.25">
      <c r="A1400" t="s">
        <v>1699</v>
      </c>
      <c r="B1400" t="s">
        <v>19</v>
      </c>
      <c r="C1400">
        <v>3</v>
      </c>
      <c r="D1400">
        <v>170</v>
      </c>
      <c r="E1400" t="s">
        <v>2109</v>
      </c>
      <c r="F1400" t="s">
        <v>123</v>
      </c>
      <c r="G1400" t="s">
        <v>124</v>
      </c>
      <c r="H1400" t="s">
        <v>125</v>
      </c>
      <c r="I1400" t="s">
        <v>154</v>
      </c>
      <c r="J1400" t="s">
        <v>154</v>
      </c>
      <c r="K1400" t="s">
        <v>151</v>
      </c>
      <c r="L1400">
        <v>50</v>
      </c>
      <c r="M1400">
        <v>1382265</v>
      </c>
      <c r="N1400">
        <v>0</v>
      </c>
      <c r="O1400">
        <v>5</v>
      </c>
      <c r="P1400" t="s">
        <v>1515</v>
      </c>
      <c r="Q1400" t="s">
        <v>129</v>
      </c>
      <c r="R1400">
        <v>16</v>
      </c>
      <c r="S1400" t="s">
        <v>189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50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>
        <v>50</v>
      </c>
      <c r="AJ1400">
        <v>50</v>
      </c>
      <c r="AK1400">
        <v>50</v>
      </c>
      <c r="AL1400">
        <v>50</v>
      </c>
      <c r="AM1400">
        <v>0</v>
      </c>
      <c r="AN1400">
        <v>4.5454545454545459</v>
      </c>
      <c r="AO1400">
        <v>0</v>
      </c>
      <c r="AP1400" t="s">
        <v>172</v>
      </c>
      <c r="AQ1400" t="s">
        <v>155</v>
      </c>
      <c r="AR1400" t="s">
        <v>229</v>
      </c>
      <c r="AS1400">
        <v>0</v>
      </c>
      <c r="AT1400">
        <v>0</v>
      </c>
      <c r="AU1400">
        <v>0</v>
      </c>
      <c r="AV1400">
        <v>0</v>
      </c>
      <c r="AW1400">
        <v>0</v>
      </c>
      <c r="AX1400">
        <v>0</v>
      </c>
      <c r="AY1400">
        <v>0</v>
      </c>
      <c r="AZ1400" t="s">
        <v>147</v>
      </c>
      <c r="BA1400">
        <v>0</v>
      </c>
      <c r="BB1400">
        <v>0</v>
      </c>
      <c r="BC1400" t="s">
        <v>133</v>
      </c>
      <c r="BD1400">
        <v>4</v>
      </c>
      <c r="BE1400" t="s">
        <v>133</v>
      </c>
      <c r="BF140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01" spans="1:58" x14ac:dyDescent="0.25">
      <c r="A1401" t="s">
        <v>1700</v>
      </c>
      <c r="B1401" t="s">
        <v>19</v>
      </c>
      <c r="C1401">
        <v>3</v>
      </c>
      <c r="D1401">
        <v>171</v>
      </c>
      <c r="E1401" t="s">
        <v>2109</v>
      </c>
      <c r="F1401" t="s">
        <v>123</v>
      </c>
      <c r="G1401" t="s">
        <v>124</v>
      </c>
      <c r="H1401" t="s">
        <v>125</v>
      </c>
      <c r="I1401" t="s">
        <v>154</v>
      </c>
      <c r="J1401" t="s">
        <v>154</v>
      </c>
      <c r="K1401" t="s">
        <v>151</v>
      </c>
      <c r="L1401">
        <v>50</v>
      </c>
      <c r="M1401">
        <v>1382267</v>
      </c>
      <c r="N1401">
        <v>0</v>
      </c>
      <c r="O1401">
        <v>5</v>
      </c>
      <c r="P1401" t="s">
        <v>1515</v>
      </c>
      <c r="Q1401" t="s">
        <v>129</v>
      </c>
      <c r="R1401">
        <v>16</v>
      </c>
      <c r="S1401" t="s">
        <v>189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0</v>
      </c>
      <c r="AB1401">
        <v>50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50</v>
      </c>
      <c r="AJ1401">
        <v>50</v>
      </c>
      <c r="AK1401">
        <v>50</v>
      </c>
      <c r="AL1401">
        <v>50</v>
      </c>
      <c r="AM1401">
        <v>0</v>
      </c>
      <c r="AN1401">
        <v>4.5454545454545459</v>
      </c>
      <c r="AO1401">
        <v>0</v>
      </c>
      <c r="AP1401" t="s">
        <v>172</v>
      </c>
      <c r="AQ1401" t="s">
        <v>155</v>
      </c>
      <c r="AR1401" t="s">
        <v>229</v>
      </c>
      <c r="AS1401">
        <v>0</v>
      </c>
      <c r="AT1401">
        <v>0</v>
      </c>
      <c r="AU1401">
        <v>0</v>
      </c>
      <c r="AV1401">
        <v>0</v>
      </c>
      <c r="AW1401">
        <v>0</v>
      </c>
      <c r="AX1401">
        <v>0</v>
      </c>
      <c r="AY1401">
        <v>0</v>
      </c>
      <c r="AZ1401" t="s">
        <v>147</v>
      </c>
      <c r="BA1401">
        <v>0</v>
      </c>
      <c r="BB1401">
        <v>0</v>
      </c>
      <c r="BC1401" t="s">
        <v>133</v>
      </c>
      <c r="BD1401">
        <v>5</v>
      </c>
      <c r="BE1401" t="s">
        <v>133</v>
      </c>
      <c r="BF140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02" spans="1:58" x14ac:dyDescent="0.25">
      <c r="A1402" t="s">
        <v>1701</v>
      </c>
      <c r="B1402" t="s">
        <v>19</v>
      </c>
      <c r="C1402">
        <v>3</v>
      </c>
      <c r="D1402">
        <v>172</v>
      </c>
      <c r="E1402" t="s">
        <v>2109</v>
      </c>
      <c r="F1402" t="s">
        <v>123</v>
      </c>
      <c r="G1402" t="s">
        <v>124</v>
      </c>
      <c r="H1402" t="s">
        <v>125</v>
      </c>
      <c r="I1402" t="s">
        <v>154</v>
      </c>
      <c r="J1402" t="s">
        <v>154</v>
      </c>
      <c r="K1402" t="s">
        <v>151</v>
      </c>
      <c r="L1402">
        <v>50</v>
      </c>
      <c r="M1402">
        <v>1382269</v>
      </c>
      <c r="N1402">
        <v>0</v>
      </c>
      <c r="O1402">
        <v>5</v>
      </c>
      <c r="P1402" t="s">
        <v>1515</v>
      </c>
      <c r="Q1402" t="s">
        <v>129</v>
      </c>
      <c r="R1402">
        <v>16</v>
      </c>
      <c r="S1402" t="s">
        <v>189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50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50</v>
      </c>
      <c r="AJ1402">
        <v>50</v>
      </c>
      <c r="AK1402">
        <v>50</v>
      </c>
      <c r="AL1402">
        <v>50</v>
      </c>
      <c r="AM1402">
        <v>0</v>
      </c>
      <c r="AN1402">
        <v>4.5454545454545459</v>
      </c>
      <c r="AO1402">
        <v>0</v>
      </c>
      <c r="AP1402" t="s">
        <v>172</v>
      </c>
      <c r="AQ1402" t="s">
        <v>155</v>
      </c>
      <c r="AR1402" t="s">
        <v>229</v>
      </c>
      <c r="AS1402">
        <v>0</v>
      </c>
      <c r="AT1402">
        <v>0</v>
      </c>
      <c r="AU1402">
        <v>0</v>
      </c>
      <c r="AV1402">
        <v>0</v>
      </c>
      <c r="AW1402">
        <v>0</v>
      </c>
      <c r="AX1402">
        <v>0</v>
      </c>
      <c r="AY1402">
        <v>0</v>
      </c>
      <c r="AZ1402" t="s">
        <v>147</v>
      </c>
      <c r="BA1402">
        <v>0</v>
      </c>
      <c r="BB1402">
        <v>0</v>
      </c>
      <c r="BC1402" t="s">
        <v>133</v>
      </c>
      <c r="BD1402">
        <v>6</v>
      </c>
      <c r="BE1402" t="s">
        <v>133</v>
      </c>
      <c r="BF140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03" spans="1:58" x14ac:dyDescent="0.25">
      <c r="A1403" t="s">
        <v>1702</v>
      </c>
      <c r="B1403" t="s">
        <v>19</v>
      </c>
      <c r="C1403">
        <v>3</v>
      </c>
      <c r="D1403">
        <v>173</v>
      </c>
      <c r="E1403" t="s">
        <v>2109</v>
      </c>
      <c r="F1403" t="s">
        <v>123</v>
      </c>
      <c r="G1403" t="s">
        <v>124</v>
      </c>
      <c r="H1403" t="s">
        <v>125</v>
      </c>
      <c r="I1403" t="s">
        <v>154</v>
      </c>
      <c r="J1403" t="s">
        <v>154</v>
      </c>
      <c r="K1403" t="s">
        <v>151</v>
      </c>
      <c r="L1403">
        <v>50</v>
      </c>
      <c r="M1403">
        <v>1382271</v>
      </c>
      <c r="N1403">
        <v>0</v>
      </c>
      <c r="O1403">
        <v>5</v>
      </c>
      <c r="P1403" t="s">
        <v>1515</v>
      </c>
      <c r="Q1403" t="s">
        <v>129</v>
      </c>
      <c r="R1403">
        <v>16</v>
      </c>
      <c r="S1403" t="s">
        <v>189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50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50</v>
      </c>
      <c r="AJ1403">
        <v>50</v>
      </c>
      <c r="AK1403">
        <v>50</v>
      </c>
      <c r="AL1403">
        <v>50</v>
      </c>
      <c r="AM1403">
        <v>0</v>
      </c>
      <c r="AN1403">
        <v>4.5454545454545459</v>
      </c>
      <c r="AO1403">
        <v>0</v>
      </c>
      <c r="AP1403" t="s">
        <v>172</v>
      </c>
      <c r="AQ1403" t="s">
        <v>155</v>
      </c>
      <c r="AR1403" t="s">
        <v>229</v>
      </c>
      <c r="AS1403">
        <v>0</v>
      </c>
      <c r="AT1403">
        <v>0</v>
      </c>
      <c r="AU1403">
        <v>0</v>
      </c>
      <c r="AV1403">
        <v>0</v>
      </c>
      <c r="AW1403">
        <v>0</v>
      </c>
      <c r="AX1403">
        <v>0</v>
      </c>
      <c r="AY1403">
        <v>0</v>
      </c>
      <c r="AZ1403" t="s">
        <v>147</v>
      </c>
      <c r="BA1403">
        <v>0</v>
      </c>
      <c r="BB1403">
        <v>0</v>
      </c>
      <c r="BC1403" t="s">
        <v>133</v>
      </c>
      <c r="BD1403">
        <v>7</v>
      </c>
      <c r="BE1403" t="s">
        <v>133</v>
      </c>
      <c r="BF140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04" spans="1:58" x14ac:dyDescent="0.25">
      <c r="A1404" t="s">
        <v>1703</v>
      </c>
      <c r="B1404" t="s">
        <v>19</v>
      </c>
      <c r="C1404">
        <v>3</v>
      </c>
      <c r="D1404">
        <v>174</v>
      </c>
      <c r="E1404" t="s">
        <v>2109</v>
      </c>
      <c r="F1404" t="s">
        <v>123</v>
      </c>
      <c r="G1404" t="s">
        <v>124</v>
      </c>
      <c r="H1404" t="s">
        <v>125</v>
      </c>
      <c r="I1404" t="s">
        <v>154</v>
      </c>
      <c r="J1404" t="s">
        <v>154</v>
      </c>
      <c r="K1404" t="s">
        <v>151</v>
      </c>
      <c r="L1404">
        <v>50</v>
      </c>
      <c r="M1404">
        <v>1382273</v>
      </c>
      <c r="N1404">
        <v>0</v>
      </c>
      <c r="O1404">
        <v>5</v>
      </c>
      <c r="P1404" t="s">
        <v>1515</v>
      </c>
      <c r="Q1404" t="s">
        <v>129</v>
      </c>
      <c r="R1404">
        <v>16</v>
      </c>
      <c r="S1404" t="s">
        <v>189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50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50</v>
      </c>
      <c r="AJ1404">
        <v>50</v>
      </c>
      <c r="AK1404">
        <v>50</v>
      </c>
      <c r="AL1404">
        <v>50</v>
      </c>
      <c r="AM1404">
        <v>0</v>
      </c>
      <c r="AN1404">
        <v>4.5454545454545459</v>
      </c>
      <c r="AO1404">
        <v>0</v>
      </c>
      <c r="AP1404" t="s">
        <v>172</v>
      </c>
      <c r="AQ1404" t="s">
        <v>155</v>
      </c>
      <c r="AR1404" t="s">
        <v>229</v>
      </c>
      <c r="AS1404">
        <v>0</v>
      </c>
      <c r="AT1404">
        <v>0</v>
      </c>
      <c r="AU1404">
        <v>0</v>
      </c>
      <c r="AV1404">
        <v>0</v>
      </c>
      <c r="AW1404">
        <v>0</v>
      </c>
      <c r="AX1404">
        <v>0</v>
      </c>
      <c r="AY1404">
        <v>0</v>
      </c>
      <c r="AZ1404" t="s">
        <v>147</v>
      </c>
      <c r="BA1404">
        <v>0</v>
      </c>
      <c r="BB1404">
        <v>0</v>
      </c>
      <c r="BC1404" t="s">
        <v>133</v>
      </c>
      <c r="BD1404">
        <v>8</v>
      </c>
      <c r="BE1404" t="s">
        <v>133</v>
      </c>
      <c r="BF140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05" spans="1:58" x14ac:dyDescent="0.25">
      <c r="A1405" t="s">
        <v>1704</v>
      </c>
      <c r="B1405" t="s">
        <v>19</v>
      </c>
      <c r="C1405">
        <v>3</v>
      </c>
      <c r="D1405">
        <v>175</v>
      </c>
      <c r="E1405" t="s">
        <v>2109</v>
      </c>
      <c r="F1405" t="s">
        <v>123</v>
      </c>
      <c r="G1405" t="s">
        <v>124</v>
      </c>
      <c r="H1405" t="s">
        <v>125</v>
      </c>
      <c r="I1405" t="s">
        <v>154</v>
      </c>
      <c r="J1405" t="s">
        <v>154</v>
      </c>
      <c r="K1405" t="s">
        <v>151</v>
      </c>
      <c r="L1405">
        <v>50</v>
      </c>
      <c r="M1405">
        <v>1382275</v>
      </c>
      <c r="N1405">
        <v>0</v>
      </c>
      <c r="O1405">
        <v>5</v>
      </c>
      <c r="P1405" t="s">
        <v>1515</v>
      </c>
      <c r="Q1405" t="s">
        <v>129</v>
      </c>
      <c r="R1405">
        <v>16</v>
      </c>
      <c r="S1405" t="s">
        <v>189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50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50</v>
      </c>
      <c r="AJ1405">
        <v>50</v>
      </c>
      <c r="AK1405">
        <v>50</v>
      </c>
      <c r="AL1405">
        <v>50</v>
      </c>
      <c r="AM1405">
        <v>0</v>
      </c>
      <c r="AN1405">
        <v>4.5454545454545459</v>
      </c>
      <c r="AO1405">
        <v>0</v>
      </c>
      <c r="AP1405" t="s">
        <v>172</v>
      </c>
      <c r="AQ1405" t="s">
        <v>155</v>
      </c>
      <c r="AR1405" t="s">
        <v>229</v>
      </c>
      <c r="AS1405">
        <v>0</v>
      </c>
      <c r="AT1405">
        <v>0</v>
      </c>
      <c r="AU1405">
        <v>0</v>
      </c>
      <c r="AV1405">
        <v>0</v>
      </c>
      <c r="AW1405">
        <v>0</v>
      </c>
      <c r="AX1405">
        <v>0</v>
      </c>
      <c r="AY1405">
        <v>0</v>
      </c>
      <c r="AZ1405" t="s">
        <v>147</v>
      </c>
      <c r="BA1405">
        <v>0</v>
      </c>
      <c r="BB1405">
        <v>0</v>
      </c>
      <c r="BC1405" t="s">
        <v>133</v>
      </c>
      <c r="BD1405">
        <v>9</v>
      </c>
      <c r="BE1405" t="s">
        <v>133</v>
      </c>
      <c r="BF140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06" spans="1:58" x14ac:dyDescent="0.25">
      <c r="A1406" t="s">
        <v>1705</v>
      </c>
      <c r="B1406" t="s">
        <v>19</v>
      </c>
      <c r="C1406">
        <v>3</v>
      </c>
      <c r="D1406">
        <v>176</v>
      </c>
      <c r="E1406" t="s">
        <v>2109</v>
      </c>
      <c r="F1406" t="s">
        <v>123</v>
      </c>
      <c r="G1406" t="s">
        <v>124</v>
      </c>
      <c r="H1406" t="s">
        <v>125</v>
      </c>
      <c r="I1406" t="s">
        <v>154</v>
      </c>
      <c r="J1406" t="s">
        <v>154</v>
      </c>
      <c r="K1406" t="s">
        <v>151</v>
      </c>
      <c r="L1406">
        <v>50</v>
      </c>
      <c r="M1406">
        <v>1382277</v>
      </c>
      <c r="N1406">
        <v>0</v>
      </c>
      <c r="O1406">
        <v>5</v>
      </c>
      <c r="P1406" t="s">
        <v>1515</v>
      </c>
      <c r="Q1406" t="s">
        <v>129</v>
      </c>
      <c r="R1406">
        <v>16</v>
      </c>
      <c r="S1406" t="s">
        <v>189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50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50</v>
      </c>
      <c r="AJ1406">
        <v>50</v>
      </c>
      <c r="AK1406">
        <v>50</v>
      </c>
      <c r="AL1406">
        <v>50</v>
      </c>
      <c r="AM1406">
        <v>0</v>
      </c>
      <c r="AN1406">
        <v>4.5454545454545459</v>
      </c>
      <c r="AO1406">
        <v>0</v>
      </c>
      <c r="AP1406" t="s">
        <v>172</v>
      </c>
      <c r="AQ1406" t="s">
        <v>155</v>
      </c>
      <c r="AR1406" t="s">
        <v>229</v>
      </c>
      <c r="AS1406">
        <v>0</v>
      </c>
      <c r="AT1406">
        <v>0</v>
      </c>
      <c r="AU1406">
        <v>0</v>
      </c>
      <c r="AV1406">
        <v>0</v>
      </c>
      <c r="AW1406">
        <v>0</v>
      </c>
      <c r="AX1406">
        <v>0</v>
      </c>
      <c r="AY1406">
        <v>0</v>
      </c>
      <c r="AZ1406" t="s">
        <v>147</v>
      </c>
      <c r="BA1406">
        <v>0</v>
      </c>
      <c r="BB1406">
        <v>0</v>
      </c>
      <c r="BC1406" t="s">
        <v>133</v>
      </c>
      <c r="BD1406">
        <v>10</v>
      </c>
      <c r="BE1406" t="s">
        <v>133</v>
      </c>
      <c r="BF140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07" spans="1:58" x14ac:dyDescent="0.25">
      <c r="A1407" t="s">
        <v>1706</v>
      </c>
      <c r="B1407" t="s">
        <v>19</v>
      </c>
      <c r="C1407">
        <v>3</v>
      </c>
      <c r="D1407">
        <v>177</v>
      </c>
      <c r="E1407" t="s">
        <v>2109</v>
      </c>
      <c r="F1407" t="s">
        <v>123</v>
      </c>
      <c r="G1407" t="s">
        <v>124</v>
      </c>
      <c r="H1407" t="s">
        <v>125</v>
      </c>
      <c r="I1407" t="s">
        <v>154</v>
      </c>
      <c r="J1407" t="s">
        <v>154</v>
      </c>
      <c r="K1407" t="s">
        <v>151</v>
      </c>
      <c r="L1407">
        <v>50</v>
      </c>
      <c r="M1407">
        <v>1382279</v>
      </c>
      <c r="N1407">
        <v>0</v>
      </c>
      <c r="O1407">
        <v>5</v>
      </c>
      <c r="P1407" t="s">
        <v>1515</v>
      </c>
      <c r="Q1407" t="s">
        <v>129</v>
      </c>
      <c r="R1407">
        <v>16</v>
      </c>
      <c r="S1407" t="s">
        <v>189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50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50</v>
      </c>
      <c r="AJ1407">
        <v>50</v>
      </c>
      <c r="AK1407">
        <v>50</v>
      </c>
      <c r="AL1407">
        <v>50</v>
      </c>
      <c r="AM1407">
        <v>0</v>
      </c>
      <c r="AN1407">
        <v>4.5454545454545459</v>
      </c>
      <c r="AO1407">
        <v>0</v>
      </c>
      <c r="AP1407" t="s">
        <v>172</v>
      </c>
      <c r="AQ1407" t="s">
        <v>155</v>
      </c>
      <c r="AR1407" t="s">
        <v>229</v>
      </c>
      <c r="AS1407">
        <v>0</v>
      </c>
      <c r="AT1407">
        <v>0</v>
      </c>
      <c r="AU1407">
        <v>0</v>
      </c>
      <c r="AV1407">
        <v>0</v>
      </c>
      <c r="AW1407">
        <v>0</v>
      </c>
      <c r="AX1407">
        <v>0</v>
      </c>
      <c r="AY1407">
        <v>0</v>
      </c>
      <c r="AZ1407" t="s">
        <v>147</v>
      </c>
      <c r="BA1407">
        <v>0</v>
      </c>
      <c r="BB1407">
        <v>0</v>
      </c>
      <c r="BC1407" t="s">
        <v>144</v>
      </c>
      <c r="BD1407">
        <v>11</v>
      </c>
      <c r="BE1407" t="s">
        <v>1707</v>
      </c>
      <c r="BF140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08" spans="1:58" x14ac:dyDescent="0.25">
      <c r="A1408" t="s">
        <v>1708</v>
      </c>
      <c r="B1408" t="s">
        <v>19</v>
      </c>
      <c r="C1408">
        <v>3</v>
      </c>
      <c r="D1408">
        <v>178</v>
      </c>
      <c r="E1408" t="s">
        <v>2109</v>
      </c>
      <c r="F1408" t="s">
        <v>123</v>
      </c>
      <c r="G1408" t="s">
        <v>124</v>
      </c>
      <c r="H1408" t="s">
        <v>125</v>
      </c>
      <c r="I1408" t="s">
        <v>1661</v>
      </c>
      <c r="J1408" t="s">
        <v>140</v>
      </c>
      <c r="K1408" t="s">
        <v>127</v>
      </c>
      <c r="L1408">
        <v>50</v>
      </c>
      <c r="M1408">
        <v>1382293</v>
      </c>
      <c r="N1408">
        <v>10</v>
      </c>
      <c r="O1408">
        <v>5</v>
      </c>
      <c r="P1408" t="s">
        <v>1515</v>
      </c>
      <c r="Q1408" t="s">
        <v>129</v>
      </c>
      <c r="R1408">
        <v>17</v>
      </c>
      <c r="S1408" t="s">
        <v>1617</v>
      </c>
      <c r="T1408">
        <v>24</v>
      </c>
      <c r="U1408">
        <v>29</v>
      </c>
      <c r="V1408">
        <v>4</v>
      </c>
      <c r="W1408">
        <v>0</v>
      </c>
      <c r="X1408">
        <v>4</v>
      </c>
      <c r="Y1408">
        <v>5</v>
      </c>
      <c r="Z1408">
        <v>29</v>
      </c>
      <c r="AA1408">
        <v>38</v>
      </c>
      <c r="AB1408">
        <v>50</v>
      </c>
      <c r="AC1408">
        <v>35</v>
      </c>
      <c r="AD1408">
        <v>16</v>
      </c>
      <c r="AE1408">
        <v>11</v>
      </c>
      <c r="AF1408">
        <v>62</v>
      </c>
      <c r="AG1408">
        <v>0</v>
      </c>
      <c r="AH1408">
        <v>15</v>
      </c>
      <c r="AI1408">
        <v>-12</v>
      </c>
      <c r="AJ1408">
        <v>4</v>
      </c>
      <c r="AK1408">
        <v>15</v>
      </c>
      <c r="AL1408">
        <v>0</v>
      </c>
      <c r="AM1408">
        <v>0.2</v>
      </c>
      <c r="AN1408">
        <v>0.36363636363636365</v>
      </c>
      <c r="AO1408">
        <v>0</v>
      </c>
      <c r="AP1408" t="s">
        <v>1662</v>
      </c>
      <c r="AQ1408" t="s">
        <v>131</v>
      </c>
      <c r="AR1408" t="s">
        <v>229</v>
      </c>
      <c r="AS1408">
        <v>0</v>
      </c>
      <c r="AT1408">
        <v>0</v>
      </c>
      <c r="AU1408">
        <v>0</v>
      </c>
      <c r="AV1408">
        <v>0</v>
      </c>
      <c r="AW1408">
        <v>0</v>
      </c>
      <c r="AX1408">
        <v>0</v>
      </c>
      <c r="AY1408">
        <v>0</v>
      </c>
      <c r="AZ1408" t="s">
        <v>147</v>
      </c>
      <c r="BA1408">
        <v>10</v>
      </c>
      <c r="BB1408">
        <v>0</v>
      </c>
      <c r="BC1408" t="s">
        <v>132</v>
      </c>
      <c r="BD1408">
        <v>0</v>
      </c>
      <c r="BE1408" t="s">
        <v>133</v>
      </c>
      <c r="BF140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09" spans="1:58" x14ac:dyDescent="0.25">
      <c r="A1409" t="s">
        <v>1709</v>
      </c>
      <c r="B1409" t="s">
        <v>19</v>
      </c>
      <c r="C1409">
        <v>3</v>
      </c>
      <c r="D1409">
        <v>179</v>
      </c>
      <c r="E1409" t="s">
        <v>2109</v>
      </c>
      <c r="F1409" t="s">
        <v>123</v>
      </c>
      <c r="G1409" t="s">
        <v>124</v>
      </c>
      <c r="H1409" t="s">
        <v>125</v>
      </c>
      <c r="I1409" t="s">
        <v>1661</v>
      </c>
      <c r="J1409" t="s">
        <v>140</v>
      </c>
      <c r="K1409" t="s">
        <v>127</v>
      </c>
      <c r="L1409">
        <v>50</v>
      </c>
      <c r="M1409">
        <v>1382393</v>
      </c>
      <c r="N1409">
        <v>10</v>
      </c>
      <c r="O1409">
        <v>5</v>
      </c>
      <c r="P1409" t="s">
        <v>1515</v>
      </c>
      <c r="Q1409" t="s">
        <v>129</v>
      </c>
      <c r="R1409">
        <v>17</v>
      </c>
      <c r="S1409" t="s">
        <v>1617</v>
      </c>
      <c r="T1409">
        <v>24</v>
      </c>
      <c r="U1409">
        <v>30</v>
      </c>
      <c r="V1409">
        <v>3</v>
      </c>
      <c r="W1409">
        <v>0</v>
      </c>
      <c r="X1409">
        <v>3</v>
      </c>
      <c r="Y1409">
        <v>5</v>
      </c>
      <c r="Z1409">
        <v>29</v>
      </c>
      <c r="AA1409">
        <v>38</v>
      </c>
      <c r="AB1409">
        <v>50</v>
      </c>
      <c r="AC1409">
        <v>39</v>
      </c>
      <c r="AD1409">
        <v>12</v>
      </c>
      <c r="AE1409">
        <v>11</v>
      </c>
      <c r="AF1409">
        <v>62</v>
      </c>
      <c r="AG1409">
        <v>0</v>
      </c>
      <c r="AH1409">
        <v>11</v>
      </c>
      <c r="AI1409">
        <v>-12</v>
      </c>
      <c r="AJ1409">
        <v>0</v>
      </c>
      <c r="AK1409">
        <v>11</v>
      </c>
      <c r="AL1409">
        <v>0</v>
      </c>
      <c r="AM1409">
        <v>0.2</v>
      </c>
      <c r="AN1409">
        <v>0</v>
      </c>
      <c r="AO1409">
        <v>0</v>
      </c>
      <c r="AP1409" t="s">
        <v>1662</v>
      </c>
      <c r="AQ1409" t="s">
        <v>131</v>
      </c>
      <c r="AR1409" t="s">
        <v>229</v>
      </c>
      <c r="AS1409">
        <v>0</v>
      </c>
      <c r="AT1409">
        <v>0</v>
      </c>
      <c r="AU1409">
        <v>0</v>
      </c>
      <c r="AV1409">
        <v>0</v>
      </c>
      <c r="AW1409">
        <v>0</v>
      </c>
      <c r="AX1409">
        <v>0</v>
      </c>
      <c r="AY1409">
        <v>0</v>
      </c>
      <c r="AZ1409" t="s">
        <v>147</v>
      </c>
      <c r="BA1409">
        <v>10</v>
      </c>
      <c r="BB1409">
        <v>0</v>
      </c>
      <c r="BC1409" t="s">
        <v>133</v>
      </c>
      <c r="BD1409">
        <v>0</v>
      </c>
      <c r="BE1409" t="s">
        <v>133</v>
      </c>
      <c r="BF140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10" spans="1:58" x14ac:dyDescent="0.25">
      <c r="A1410" t="s">
        <v>1710</v>
      </c>
      <c r="B1410" t="s">
        <v>19</v>
      </c>
      <c r="C1410">
        <v>3</v>
      </c>
      <c r="D1410">
        <v>180</v>
      </c>
      <c r="E1410" t="s">
        <v>2109</v>
      </c>
      <c r="F1410" t="s">
        <v>123</v>
      </c>
      <c r="G1410" t="s">
        <v>124</v>
      </c>
      <c r="H1410" t="s">
        <v>125</v>
      </c>
      <c r="I1410" t="s">
        <v>1661</v>
      </c>
      <c r="J1410" t="s">
        <v>140</v>
      </c>
      <c r="K1410" t="s">
        <v>127</v>
      </c>
      <c r="L1410">
        <v>50</v>
      </c>
      <c r="M1410">
        <v>1382395</v>
      </c>
      <c r="N1410">
        <v>10</v>
      </c>
      <c r="O1410">
        <v>5</v>
      </c>
      <c r="P1410" t="s">
        <v>1515</v>
      </c>
      <c r="Q1410" t="s">
        <v>129</v>
      </c>
      <c r="R1410">
        <v>17</v>
      </c>
      <c r="S1410" t="s">
        <v>1617</v>
      </c>
      <c r="T1410">
        <v>24</v>
      </c>
      <c r="U1410">
        <v>33</v>
      </c>
      <c r="V1410">
        <v>0</v>
      </c>
      <c r="W1410">
        <v>0</v>
      </c>
      <c r="X1410">
        <v>0</v>
      </c>
      <c r="Y1410">
        <v>5</v>
      </c>
      <c r="Z1410">
        <v>29</v>
      </c>
      <c r="AA1410">
        <v>38</v>
      </c>
      <c r="AB1410">
        <v>50</v>
      </c>
      <c r="AC1410">
        <v>51</v>
      </c>
      <c r="AD1410">
        <v>0</v>
      </c>
      <c r="AE1410">
        <v>11</v>
      </c>
      <c r="AF1410">
        <v>62</v>
      </c>
      <c r="AG1410">
        <v>0</v>
      </c>
      <c r="AH1410">
        <v>-1</v>
      </c>
      <c r="AI1410">
        <v>-12</v>
      </c>
      <c r="AJ1410">
        <v>-12</v>
      </c>
      <c r="AK1410">
        <v>-1</v>
      </c>
      <c r="AL1410">
        <v>0</v>
      </c>
      <c r="AM1410">
        <v>0.2</v>
      </c>
      <c r="AN1410">
        <v>-1.0909090909090908</v>
      </c>
      <c r="AO1410">
        <v>0</v>
      </c>
      <c r="AP1410" t="s">
        <v>1662</v>
      </c>
      <c r="AQ1410" t="s">
        <v>131</v>
      </c>
      <c r="AR1410" t="s">
        <v>229</v>
      </c>
      <c r="AS1410">
        <v>0</v>
      </c>
      <c r="AT1410">
        <v>0</v>
      </c>
      <c r="AU1410">
        <v>0</v>
      </c>
      <c r="AV1410">
        <v>0</v>
      </c>
      <c r="AW1410">
        <v>0</v>
      </c>
      <c r="AX1410">
        <v>0</v>
      </c>
      <c r="AY1410">
        <v>0</v>
      </c>
      <c r="AZ1410" t="s">
        <v>147</v>
      </c>
      <c r="BA1410">
        <v>10</v>
      </c>
      <c r="BB1410">
        <v>0</v>
      </c>
      <c r="BC1410" t="s">
        <v>133</v>
      </c>
      <c r="BD1410">
        <v>0</v>
      </c>
      <c r="BE1410" t="s">
        <v>133</v>
      </c>
      <c r="BF141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11" spans="1:58" x14ac:dyDescent="0.25">
      <c r="A1411" t="s">
        <v>1711</v>
      </c>
      <c r="B1411" t="s">
        <v>19</v>
      </c>
      <c r="C1411">
        <v>3</v>
      </c>
      <c r="D1411">
        <v>181</v>
      </c>
      <c r="E1411" t="s">
        <v>2109</v>
      </c>
      <c r="F1411" t="s">
        <v>123</v>
      </c>
      <c r="G1411" t="s">
        <v>124</v>
      </c>
      <c r="H1411" t="s">
        <v>125</v>
      </c>
      <c r="I1411" t="s">
        <v>1661</v>
      </c>
      <c r="J1411" t="s">
        <v>140</v>
      </c>
      <c r="K1411" t="s">
        <v>127</v>
      </c>
      <c r="L1411">
        <v>50</v>
      </c>
      <c r="M1411">
        <v>1382397</v>
      </c>
      <c r="N1411">
        <v>10</v>
      </c>
      <c r="O1411">
        <v>5</v>
      </c>
      <c r="P1411" t="s">
        <v>1515</v>
      </c>
      <c r="Q1411" t="s">
        <v>129</v>
      </c>
      <c r="R1411">
        <v>17</v>
      </c>
      <c r="S1411" t="s">
        <v>1617</v>
      </c>
      <c r="T1411">
        <v>24</v>
      </c>
      <c r="U1411">
        <v>33</v>
      </c>
      <c r="V1411">
        <v>0</v>
      </c>
      <c r="W1411">
        <v>0</v>
      </c>
      <c r="X1411">
        <v>0</v>
      </c>
      <c r="Y1411">
        <v>5</v>
      </c>
      <c r="Z1411">
        <v>29</v>
      </c>
      <c r="AA1411">
        <v>38</v>
      </c>
      <c r="AB1411">
        <v>50</v>
      </c>
      <c r="AC1411">
        <v>51</v>
      </c>
      <c r="AD1411">
        <v>0</v>
      </c>
      <c r="AE1411">
        <v>11</v>
      </c>
      <c r="AF1411">
        <v>62</v>
      </c>
      <c r="AG1411">
        <v>0</v>
      </c>
      <c r="AH1411">
        <v>-1</v>
      </c>
      <c r="AI1411">
        <v>-12</v>
      </c>
      <c r="AJ1411">
        <v>-12</v>
      </c>
      <c r="AK1411">
        <v>-1</v>
      </c>
      <c r="AL1411">
        <v>0</v>
      </c>
      <c r="AM1411">
        <v>0.2</v>
      </c>
      <c r="AN1411">
        <v>-1.0909090909090908</v>
      </c>
      <c r="AO1411">
        <v>0</v>
      </c>
      <c r="AP1411" t="s">
        <v>1662</v>
      </c>
      <c r="AQ1411" t="s">
        <v>131</v>
      </c>
      <c r="AR1411" t="s">
        <v>229</v>
      </c>
      <c r="AS1411">
        <v>0</v>
      </c>
      <c r="AT1411">
        <v>0</v>
      </c>
      <c r="AU1411">
        <v>0</v>
      </c>
      <c r="AV1411">
        <v>0</v>
      </c>
      <c r="AW1411">
        <v>0</v>
      </c>
      <c r="AX1411">
        <v>0</v>
      </c>
      <c r="AY1411">
        <v>0</v>
      </c>
      <c r="AZ1411" t="s">
        <v>147</v>
      </c>
      <c r="BA1411">
        <v>10</v>
      </c>
      <c r="BB1411">
        <v>0</v>
      </c>
      <c r="BC1411" t="s">
        <v>133</v>
      </c>
      <c r="BD1411">
        <v>0</v>
      </c>
      <c r="BE1411" t="s">
        <v>133</v>
      </c>
      <c r="BF141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12" spans="1:58" x14ac:dyDescent="0.25">
      <c r="A1412" t="s">
        <v>1712</v>
      </c>
      <c r="B1412" t="s">
        <v>19</v>
      </c>
      <c r="C1412">
        <v>3</v>
      </c>
      <c r="D1412">
        <v>186</v>
      </c>
      <c r="E1412" t="s">
        <v>2109</v>
      </c>
      <c r="F1412" t="s">
        <v>123</v>
      </c>
      <c r="G1412" t="s">
        <v>124</v>
      </c>
      <c r="H1412" t="s">
        <v>125</v>
      </c>
      <c r="I1412" t="s">
        <v>1661</v>
      </c>
      <c r="J1412" t="s">
        <v>140</v>
      </c>
      <c r="K1412" t="s">
        <v>170</v>
      </c>
      <c r="L1412">
        <v>0</v>
      </c>
      <c r="M1412">
        <v>3514709</v>
      </c>
      <c r="N1412">
        <v>0</v>
      </c>
      <c r="O1412">
        <v>5</v>
      </c>
      <c r="P1412" t="s">
        <v>1515</v>
      </c>
      <c r="Q1412" t="s">
        <v>129</v>
      </c>
      <c r="R1412">
        <v>17</v>
      </c>
      <c r="T1412">
        <v>0</v>
      </c>
      <c r="U1412">
        <v>0</v>
      </c>
      <c r="V1412">
        <v>19</v>
      </c>
      <c r="W1412">
        <v>0</v>
      </c>
      <c r="X1412">
        <v>19</v>
      </c>
      <c r="Y1412">
        <v>2</v>
      </c>
      <c r="Z1412">
        <v>18</v>
      </c>
      <c r="AA1412">
        <v>21</v>
      </c>
      <c r="AB1412">
        <v>50</v>
      </c>
      <c r="AC1412">
        <v>0</v>
      </c>
      <c r="AD1412">
        <v>37</v>
      </c>
      <c r="AE1412">
        <v>4</v>
      </c>
      <c r="AF1412">
        <v>41</v>
      </c>
      <c r="AG1412">
        <v>0</v>
      </c>
      <c r="AH1412">
        <v>0</v>
      </c>
      <c r="AI1412">
        <v>9</v>
      </c>
      <c r="AJ1412">
        <v>46</v>
      </c>
      <c r="AK1412">
        <v>50</v>
      </c>
      <c r="AL1412">
        <v>50</v>
      </c>
      <c r="AM1412">
        <v>0</v>
      </c>
      <c r="AN1412">
        <v>4.1818181818181817</v>
      </c>
      <c r="AO1412">
        <v>0</v>
      </c>
      <c r="AP1412" t="s">
        <v>1713</v>
      </c>
      <c r="AQ1412" t="s">
        <v>131</v>
      </c>
      <c r="AR1412" t="s">
        <v>229</v>
      </c>
      <c r="AS1412">
        <v>0</v>
      </c>
      <c r="AT1412">
        <v>0</v>
      </c>
      <c r="AU1412">
        <v>0</v>
      </c>
      <c r="AV1412">
        <v>0</v>
      </c>
      <c r="AW1412">
        <v>0</v>
      </c>
      <c r="AX1412">
        <v>0</v>
      </c>
      <c r="AY1412">
        <v>0</v>
      </c>
      <c r="AZ1412" t="s">
        <v>147</v>
      </c>
      <c r="BA1412">
        <v>0</v>
      </c>
      <c r="BB1412">
        <v>0</v>
      </c>
      <c r="BC1412" t="s">
        <v>133</v>
      </c>
      <c r="BD1412">
        <v>0</v>
      </c>
      <c r="BE1412" t="s">
        <v>133</v>
      </c>
      <c r="BF141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13" spans="1:58" x14ac:dyDescent="0.25">
      <c r="A1413" t="s">
        <v>1714</v>
      </c>
      <c r="B1413" t="s">
        <v>19</v>
      </c>
      <c r="C1413">
        <v>3</v>
      </c>
      <c r="D1413">
        <v>187</v>
      </c>
      <c r="E1413" t="s">
        <v>2109</v>
      </c>
      <c r="F1413" t="s">
        <v>123</v>
      </c>
      <c r="G1413" t="s">
        <v>124</v>
      </c>
      <c r="H1413" t="s">
        <v>125</v>
      </c>
      <c r="I1413" t="s">
        <v>1661</v>
      </c>
      <c r="J1413" t="s">
        <v>140</v>
      </c>
      <c r="K1413" t="s">
        <v>170</v>
      </c>
      <c r="L1413">
        <v>0</v>
      </c>
      <c r="M1413">
        <v>3514711</v>
      </c>
      <c r="N1413">
        <v>0</v>
      </c>
      <c r="O1413">
        <v>5</v>
      </c>
      <c r="P1413" t="s">
        <v>1515</v>
      </c>
      <c r="Q1413" t="s">
        <v>129</v>
      </c>
      <c r="R1413">
        <v>17</v>
      </c>
      <c r="T1413">
        <v>0</v>
      </c>
      <c r="U1413">
        <v>0</v>
      </c>
      <c r="V1413">
        <v>21</v>
      </c>
      <c r="W1413">
        <v>0</v>
      </c>
      <c r="X1413">
        <v>21</v>
      </c>
      <c r="Y1413">
        <v>2</v>
      </c>
      <c r="Z1413">
        <v>20</v>
      </c>
      <c r="AA1413">
        <v>23</v>
      </c>
      <c r="AB1413">
        <v>50</v>
      </c>
      <c r="AC1413">
        <v>0</v>
      </c>
      <c r="AD1413">
        <v>41</v>
      </c>
      <c r="AE1413">
        <v>4</v>
      </c>
      <c r="AF1413">
        <v>45</v>
      </c>
      <c r="AG1413">
        <v>0</v>
      </c>
      <c r="AH1413">
        <v>0</v>
      </c>
      <c r="AI1413">
        <v>5</v>
      </c>
      <c r="AJ1413">
        <v>46</v>
      </c>
      <c r="AK1413">
        <v>50</v>
      </c>
      <c r="AL1413">
        <v>50</v>
      </c>
      <c r="AM1413">
        <v>0</v>
      </c>
      <c r="AN1413">
        <v>4.1818181818181817</v>
      </c>
      <c r="AO1413">
        <v>0</v>
      </c>
      <c r="AP1413" t="s">
        <v>1713</v>
      </c>
      <c r="AQ1413" t="s">
        <v>131</v>
      </c>
      <c r="AR1413" t="s">
        <v>229</v>
      </c>
      <c r="AS1413">
        <v>0</v>
      </c>
      <c r="AT1413">
        <v>0</v>
      </c>
      <c r="AU1413">
        <v>0</v>
      </c>
      <c r="AV1413">
        <v>0</v>
      </c>
      <c r="AW1413">
        <v>0</v>
      </c>
      <c r="AX1413">
        <v>0</v>
      </c>
      <c r="AY1413">
        <v>0</v>
      </c>
      <c r="AZ1413" t="s">
        <v>147</v>
      </c>
      <c r="BA1413">
        <v>0</v>
      </c>
      <c r="BB1413">
        <v>0</v>
      </c>
      <c r="BC1413" t="s">
        <v>133</v>
      </c>
      <c r="BD1413">
        <v>0</v>
      </c>
      <c r="BE1413" t="s">
        <v>133</v>
      </c>
      <c r="BF141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14" spans="1:58" x14ac:dyDescent="0.25">
      <c r="A1414" t="s">
        <v>1715</v>
      </c>
      <c r="B1414" t="s">
        <v>19</v>
      </c>
      <c r="C1414">
        <v>3</v>
      </c>
      <c r="D1414">
        <v>188</v>
      </c>
      <c r="E1414" t="s">
        <v>2109</v>
      </c>
      <c r="F1414" t="s">
        <v>123</v>
      </c>
      <c r="G1414" t="s">
        <v>124</v>
      </c>
      <c r="H1414" t="s">
        <v>125</v>
      </c>
      <c r="I1414" t="s">
        <v>1661</v>
      </c>
      <c r="J1414" t="s">
        <v>140</v>
      </c>
      <c r="K1414" t="s">
        <v>170</v>
      </c>
      <c r="L1414">
        <v>0</v>
      </c>
      <c r="M1414">
        <v>3514713</v>
      </c>
      <c r="N1414">
        <v>0</v>
      </c>
      <c r="O1414">
        <v>5</v>
      </c>
      <c r="P1414" t="s">
        <v>1515</v>
      </c>
      <c r="Q1414" t="s">
        <v>129</v>
      </c>
      <c r="R1414">
        <v>17</v>
      </c>
      <c r="T1414">
        <v>0</v>
      </c>
      <c r="U1414">
        <v>0</v>
      </c>
      <c r="V1414">
        <v>22</v>
      </c>
      <c r="W1414">
        <v>0</v>
      </c>
      <c r="X1414">
        <v>22</v>
      </c>
      <c r="Y1414">
        <v>2</v>
      </c>
      <c r="Z1414">
        <v>21</v>
      </c>
      <c r="AA1414">
        <v>24</v>
      </c>
      <c r="AB1414">
        <v>50</v>
      </c>
      <c r="AC1414">
        <v>0</v>
      </c>
      <c r="AD1414">
        <v>43</v>
      </c>
      <c r="AE1414">
        <v>4</v>
      </c>
      <c r="AF1414">
        <v>47</v>
      </c>
      <c r="AG1414">
        <v>0</v>
      </c>
      <c r="AH1414">
        <v>0</v>
      </c>
      <c r="AI1414">
        <v>3</v>
      </c>
      <c r="AJ1414">
        <v>46</v>
      </c>
      <c r="AK1414">
        <v>50</v>
      </c>
      <c r="AL1414">
        <v>50</v>
      </c>
      <c r="AM1414">
        <v>0</v>
      </c>
      <c r="AN1414">
        <v>4.1818181818181817</v>
      </c>
      <c r="AO1414">
        <v>0</v>
      </c>
      <c r="AP1414" t="s">
        <v>1713</v>
      </c>
      <c r="AQ1414" t="s">
        <v>131</v>
      </c>
      <c r="AR1414" t="s">
        <v>229</v>
      </c>
      <c r="AS1414">
        <v>0</v>
      </c>
      <c r="AT1414">
        <v>0</v>
      </c>
      <c r="AU1414">
        <v>0</v>
      </c>
      <c r="AV1414">
        <v>0</v>
      </c>
      <c r="AW1414">
        <v>0</v>
      </c>
      <c r="AX1414">
        <v>0</v>
      </c>
      <c r="AY1414">
        <v>0</v>
      </c>
      <c r="AZ1414" t="s">
        <v>147</v>
      </c>
      <c r="BA1414">
        <v>0</v>
      </c>
      <c r="BB1414">
        <v>0</v>
      </c>
      <c r="BC1414" t="s">
        <v>144</v>
      </c>
      <c r="BD1414">
        <v>0</v>
      </c>
      <c r="BE1414" t="s">
        <v>133</v>
      </c>
      <c r="BF141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15" spans="1:58" x14ac:dyDescent="0.25">
      <c r="A1415" t="s">
        <v>1716</v>
      </c>
      <c r="B1415" t="s">
        <v>19</v>
      </c>
      <c r="C1415">
        <v>3</v>
      </c>
      <c r="D1415">
        <v>189</v>
      </c>
      <c r="E1415" t="s">
        <v>2109</v>
      </c>
      <c r="F1415" t="s">
        <v>123</v>
      </c>
      <c r="G1415" t="s">
        <v>124</v>
      </c>
      <c r="H1415" t="s">
        <v>125</v>
      </c>
      <c r="I1415" t="s">
        <v>183</v>
      </c>
      <c r="J1415" t="s">
        <v>140</v>
      </c>
      <c r="K1415" t="s">
        <v>127</v>
      </c>
      <c r="L1415">
        <v>50</v>
      </c>
      <c r="M1415">
        <v>3104968</v>
      </c>
      <c r="N1415">
        <v>20</v>
      </c>
      <c r="O1415">
        <v>5</v>
      </c>
      <c r="P1415" t="s">
        <v>1515</v>
      </c>
      <c r="Q1415" t="s">
        <v>129</v>
      </c>
      <c r="R1415">
        <v>18</v>
      </c>
      <c r="T1415">
        <v>22</v>
      </c>
      <c r="U1415">
        <v>25</v>
      </c>
      <c r="V1415">
        <v>0</v>
      </c>
      <c r="W1415">
        <v>0</v>
      </c>
      <c r="X1415">
        <v>0</v>
      </c>
      <c r="Y1415">
        <v>0</v>
      </c>
      <c r="Z1415">
        <v>22</v>
      </c>
      <c r="AA1415">
        <v>25</v>
      </c>
      <c r="AB1415">
        <v>50</v>
      </c>
      <c r="AC1415">
        <v>49</v>
      </c>
      <c r="AD1415">
        <v>0</v>
      </c>
      <c r="AE1415">
        <v>0</v>
      </c>
      <c r="AF1415">
        <v>49</v>
      </c>
      <c r="AG1415">
        <v>0</v>
      </c>
      <c r="AH1415">
        <v>1</v>
      </c>
      <c r="AI1415">
        <v>1</v>
      </c>
      <c r="AJ1415">
        <v>1</v>
      </c>
      <c r="AK1415">
        <v>1</v>
      </c>
      <c r="AL1415">
        <v>0</v>
      </c>
      <c r="AM1415">
        <v>0.4</v>
      </c>
      <c r="AN1415">
        <v>9.0909090909090912E-2</v>
      </c>
      <c r="AO1415">
        <v>0</v>
      </c>
      <c r="AP1415" t="s">
        <v>188</v>
      </c>
      <c r="AQ1415" t="s">
        <v>131</v>
      </c>
      <c r="AR1415" t="s">
        <v>229</v>
      </c>
      <c r="AS1415">
        <v>0</v>
      </c>
      <c r="AT1415">
        <v>0</v>
      </c>
      <c r="AU1415">
        <v>0</v>
      </c>
      <c r="AV1415">
        <v>0</v>
      </c>
      <c r="AW1415">
        <v>0</v>
      </c>
      <c r="AX1415">
        <v>0</v>
      </c>
      <c r="AY1415">
        <v>0</v>
      </c>
      <c r="AZ1415" t="s">
        <v>147</v>
      </c>
      <c r="BA1415">
        <v>20</v>
      </c>
      <c r="BB1415">
        <v>0</v>
      </c>
      <c r="BC1415" t="s">
        <v>132</v>
      </c>
      <c r="BD1415">
        <v>0</v>
      </c>
      <c r="BE1415" t="s">
        <v>133</v>
      </c>
      <c r="BF141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16" spans="1:58" x14ac:dyDescent="0.25">
      <c r="A1416" t="s">
        <v>1717</v>
      </c>
      <c r="B1416" t="s">
        <v>19</v>
      </c>
      <c r="C1416">
        <v>3</v>
      </c>
      <c r="D1416">
        <v>190</v>
      </c>
      <c r="E1416" t="s">
        <v>2109</v>
      </c>
      <c r="F1416" t="s">
        <v>123</v>
      </c>
      <c r="G1416" t="s">
        <v>124</v>
      </c>
      <c r="H1416" t="s">
        <v>125</v>
      </c>
      <c r="I1416" t="s">
        <v>183</v>
      </c>
      <c r="J1416" t="s">
        <v>140</v>
      </c>
      <c r="K1416" t="s">
        <v>127</v>
      </c>
      <c r="L1416">
        <v>50</v>
      </c>
      <c r="M1416">
        <v>3104970</v>
      </c>
      <c r="N1416">
        <v>20</v>
      </c>
      <c r="O1416">
        <v>5</v>
      </c>
      <c r="P1416" t="s">
        <v>1515</v>
      </c>
      <c r="Q1416" t="s">
        <v>129</v>
      </c>
      <c r="R1416">
        <v>18</v>
      </c>
      <c r="T1416">
        <v>22</v>
      </c>
      <c r="U1416">
        <v>25</v>
      </c>
      <c r="V1416">
        <v>0</v>
      </c>
      <c r="W1416">
        <v>0</v>
      </c>
      <c r="X1416">
        <v>0</v>
      </c>
      <c r="Y1416">
        <v>0</v>
      </c>
      <c r="Z1416">
        <v>22</v>
      </c>
      <c r="AA1416">
        <v>25</v>
      </c>
      <c r="AB1416">
        <v>50</v>
      </c>
      <c r="AC1416">
        <v>49</v>
      </c>
      <c r="AD1416">
        <v>0</v>
      </c>
      <c r="AE1416">
        <v>0</v>
      </c>
      <c r="AF1416">
        <v>49</v>
      </c>
      <c r="AG1416">
        <v>0</v>
      </c>
      <c r="AH1416">
        <v>1</v>
      </c>
      <c r="AI1416">
        <v>1</v>
      </c>
      <c r="AJ1416">
        <v>1</v>
      </c>
      <c r="AK1416">
        <v>1</v>
      </c>
      <c r="AL1416">
        <v>0</v>
      </c>
      <c r="AM1416">
        <v>0.4</v>
      </c>
      <c r="AN1416">
        <v>9.0909090909090912E-2</v>
      </c>
      <c r="AO1416">
        <v>0</v>
      </c>
      <c r="AP1416" t="s">
        <v>188</v>
      </c>
      <c r="AQ1416" t="s">
        <v>131</v>
      </c>
      <c r="AR1416" t="s">
        <v>229</v>
      </c>
      <c r="AS1416">
        <v>0</v>
      </c>
      <c r="AT1416">
        <v>0</v>
      </c>
      <c r="AU1416">
        <v>0</v>
      </c>
      <c r="AV1416">
        <v>0</v>
      </c>
      <c r="AW1416">
        <v>0</v>
      </c>
      <c r="AX1416">
        <v>0</v>
      </c>
      <c r="AY1416">
        <v>0</v>
      </c>
      <c r="AZ1416" t="s">
        <v>147</v>
      </c>
      <c r="BA1416">
        <v>20</v>
      </c>
      <c r="BB1416">
        <v>0</v>
      </c>
      <c r="BC1416" t="s">
        <v>133</v>
      </c>
      <c r="BD1416">
        <v>0</v>
      </c>
      <c r="BE1416" t="s">
        <v>133</v>
      </c>
      <c r="BF141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17" spans="1:58" x14ac:dyDescent="0.25">
      <c r="A1417" t="s">
        <v>1718</v>
      </c>
      <c r="B1417" t="s">
        <v>19</v>
      </c>
      <c r="C1417">
        <v>3</v>
      </c>
      <c r="D1417">
        <v>191</v>
      </c>
      <c r="E1417" t="s">
        <v>2109</v>
      </c>
      <c r="F1417" t="s">
        <v>123</v>
      </c>
      <c r="G1417" t="s">
        <v>124</v>
      </c>
      <c r="H1417" t="s">
        <v>125</v>
      </c>
      <c r="I1417" t="s">
        <v>183</v>
      </c>
      <c r="J1417" t="s">
        <v>140</v>
      </c>
      <c r="K1417" t="s">
        <v>127</v>
      </c>
      <c r="L1417">
        <v>50</v>
      </c>
      <c r="M1417">
        <v>3104972</v>
      </c>
      <c r="N1417">
        <v>20</v>
      </c>
      <c r="O1417">
        <v>5</v>
      </c>
      <c r="P1417" t="s">
        <v>1515</v>
      </c>
      <c r="Q1417" t="s">
        <v>129</v>
      </c>
      <c r="R1417">
        <v>18</v>
      </c>
      <c r="T1417">
        <v>22</v>
      </c>
      <c r="U1417">
        <v>25</v>
      </c>
      <c r="V1417">
        <v>0</v>
      </c>
      <c r="W1417">
        <v>0</v>
      </c>
      <c r="X1417">
        <v>0</v>
      </c>
      <c r="Y1417">
        <v>0</v>
      </c>
      <c r="Z1417">
        <v>22</v>
      </c>
      <c r="AA1417">
        <v>25</v>
      </c>
      <c r="AB1417">
        <v>50</v>
      </c>
      <c r="AC1417">
        <v>49</v>
      </c>
      <c r="AD1417">
        <v>0</v>
      </c>
      <c r="AE1417">
        <v>0</v>
      </c>
      <c r="AF1417">
        <v>49</v>
      </c>
      <c r="AG1417">
        <v>0</v>
      </c>
      <c r="AH1417">
        <v>1</v>
      </c>
      <c r="AI1417">
        <v>1</v>
      </c>
      <c r="AJ1417">
        <v>1</v>
      </c>
      <c r="AK1417">
        <v>1</v>
      </c>
      <c r="AL1417">
        <v>0</v>
      </c>
      <c r="AM1417">
        <v>0.4</v>
      </c>
      <c r="AN1417">
        <v>9.0909090909090912E-2</v>
      </c>
      <c r="AO1417">
        <v>0</v>
      </c>
      <c r="AP1417" t="s">
        <v>188</v>
      </c>
      <c r="AQ1417" t="s">
        <v>131</v>
      </c>
      <c r="AR1417" t="s">
        <v>229</v>
      </c>
      <c r="AS1417">
        <v>0</v>
      </c>
      <c r="AT1417">
        <v>0</v>
      </c>
      <c r="AU1417">
        <v>0</v>
      </c>
      <c r="AV1417">
        <v>0</v>
      </c>
      <c r="AW1417">
        <v>0</v>
      </c>
      <c r="AX1417">
        <v>0</v>
      </c>
      <c r="AY1417">
        <v>0</v>
      </c>
      <c r="AZ1417" t="s">
        <v>147</v>
      </c>
      <c r="BA1417">
        <v>20</v>
      </c>
      <c r="BB1417">
        <v>0</v>
      </c>
      <c r="BC1417" t="s">
        <v>133</v>
      </c>
      <c r="BD1417">
        <v>0</v>
      </c>
      <c r="BE1417" t="s">
        <v>133</v>
      </c>
      <c r="BF141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18" spans="1:58" x14ac:dyDescent="0.25">
      <c r="A1418" t="s">
        <v>1719</v>
      </c>
      <c r="B1418" t="s">
        <v>19</v>
      </c>
      <c r="C1418">
        <v>3</v>
      </c>
      <c r="D1418">
        <v>192</v>
      </c>
      <c r="E1418" t="s">
        <v>2109</v>
      </c>
      <c r="F1418" t="s">
        <v>123</v>
      </c>
      <c r="G1418" t="s">
        <v>124</v>
      </c>
      <c r="H1418" t="s">
        <v>125</v>
      </c>
      <c r="I1418" t="s">
        <v>183</v>
      </c>
      <c r="J1418" t="s">
        <v>140</v>
      </c>
      <c r="K1418" t="s">
        <v>127</v>
      </c>
      <c r="L1418">
        <v>50</v>
      </c>
      <c r="M1418">
        <v>3104974</v>
      </c>
      <c r="N1418">
        <v>20</v>
      </c>
      <c r="O1418">
        <v>5</v>
      </c>
      <c r="P1418" t="s">
        <v>1515</v>
      </c>
      <c r="Q1418" t="s">
        <v>129</v>
      </c>
      <c r="R1418">
        <v>18</v>
      </c>
      <c r="T1418">
        <v>22</v>
      </c>
      <c r="U1418">
        <v>25</v>
      </c>
      <c r="V1418">
        <v>0</v>
      </c>
      <c r="W1418">
        <v>0</v>
      </c>
      <c r="X1418">
        <v>0</v>
      </c>
      <c r="Y1418">
        <v>0</v>
      </c>
      <c r="Z1418">
        <v>22</v>
      </c>
      <c r="AA1418">
        <v>25</v>
      </c>
      <c r="AB1418">
        <v>50</v>
      </c>
      <c r="AC1418">
        <v>49</v>
      </c>
      <c r="AD1418">
        <v>0</v>
      </c>
      <c r="AE1418">
        <v>0</v>
      </c>
      <c r="AF1418">
        <v>49</v>
      </c>
      <c r="AG1418">
        <v>0</v>
      </c>
      <c r="AH1418">
        <v>1</v>
      </c>
      <c r="AI1418">
        <v>1</v>
      </c>
      <c r="AJ1418">
        <v>1</v>
      </c>
      <c r="AK1418">
        <v>1</v>
      </c>
      <c r="AL1418">
        <v>0</v>
      </c>
      <c r="AM1418">
        <v>0.4</v>
      </c>
      <c r="AN1418">
        <v>9.0909090909090912E-2</v>
      </c>
      <c r="AO1418">
        <v>0</v>
      </c>
      <c r="AP1418" t="s">
        <v>188</v>
      </c>
      <c r="AQ1418" t="s">
        <v>131</v>
      </c>
      <c r="AR1418" t="s">
        <v>229</v>
      </c>
      <c r="AS1418">
        <v>0</v>
      </c>
      <c r="AT1418">
        <v>0</v>
      </c>
      <c r="AU1418">
        <v>0</v>
      </c>
      <c r="AV1418">
        <v>0</v>
      </c>
      <c r="AW1418">
        <v>0</v>
      </c>
      <c r="AX1418">
        <v>0</v>
      </c>
      <c r="AY1418">
        <v>0</v>
      </c>
      <c r="AZ1418" t="s">
        <v>147</v>
      </c>
      <c r="BA1418">
        <v>20</v>
      </c>
      <c r="BB1418">
        <v>0</v>
      </c>
      <c r="BC1418" t="s">
        <v>133</v>
      </c>
      <c r="BD1418">
        <v>0</v>
      </c>
      <c r="BE1418" t="s">
        <v>133</v>
      </c>
      <c r="BF141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19" spans="1:58" x14ac:dyDescent="0.25">
      <c r="A1419" t="s">
        <v>1720</v>
      </c>
      <c r="B1419" t="s">
        <v>19</v>
      </c>
      <c r="C1419">
        <v>3</v>
      </c>
      <c r="D1419">
        <v>193</v>
      </c>
      <c r="E1419" t="s">
        <v>2109</v>
      </c>
      <c r="F1419" t="s">
        <v>123</v>
      </c>
      <c r="G1419" t="s">
        <v>124</v>
      </c>
      <c r="H1419" t="s">
        <v>125</v>
      </c>
      <c r="I1419" t="s">
        <v>183</v>
      </c>
      <c r="J1419" t="s">
        <v>140</v>
      </c>
      <c r="K1419" t="s">
        <v>127</v>
      </c>
      <c r="L1419">
        <v>50</v>
      </c>
      <c r="M1419">
        <v>3104976</v>
      </c>
      <c r="N1419">
        <v>20</v>
      </c>
      <c r="O1419">
        <v>5</v>
      </c>
      <c r="P1419" t="s">
        <v>1515</v>
      </c>
      <c r="Q1419" t="s">
        <v>129</v>
      </c>
      <c r="R1419">
        <v>18</v>
      </c>
      <c r="T1419">
        <v>22</v>
      </c>
      <c r="U1419">
        <v>25</v>
      </c>
      <c r="V1419">
        <v>0</v>
      </c>
      <c r="W1419">
        <v>0</v>
      </c>
      <c r="X1419">
        <v>0</v>
      </c>
      <c r="Y1419">
        <v>0</v>
      </c>
      <c r="Z1419">
        <v>22</v>
      </c>
      <c r="AA1419">
        <v>25</v>
      </c>
      <c r="AB1419">
        <v>50</v>
      </c>
      <c r="AC1419">
        <v>39</v>
      </c>
      <c r="AD1419">
        <v>0</v>
      </c>
      <c r="AE1419">
        <v>0</v>
      </c>
      <c r="AF1419">
        <v>39</v>
      </c>
      <c r="AG1419">
        <v>0</v>
      </c>
      <c r="AH1419">
        <v>11</v>
      </c>
      <c r="AI1419">
        <v>11</v>
      </c>
      <c r="AJ1419">
        <v>11</v>
      </c>
      <c r="AK1419">
        <v>11</v>
      </c>
      <c r="AL1419">
        <v>0</v>
      </c>
      <c r="AM1419">
        <v>0.4</v>
      </c>
      <c r="AN1419">
        <v>1</v>
      </c>
      <c r="AO1419">
        <v>0</v>
      </c>
      <c r="AP1419" t="s">
        <v>188</v>
      </c>
      <c r="AQ1419" t="s">
        <v>131</v>
      </c>
      <c r="AR1419" t="s">
        <v>229</v>
      </c>
      <c r="AS1419">
        <v>0</v>
      </c>
      <c r="AT1419">
        <v>0</v>
      </c>
      <c r="AU1419">
        <v>0</v>
      </c>
      <c r="AV1419">
        <v>0</v>
      </c>
      <c r="AW1419">
        <v>0</v>
      </c>
      <c r="AX1419">
        <v>0</v>
      </c>
      <c r="AY1419">
        <v>0</v>
      </c>
      <c r="AZ1419" t="s">
        <v>147</v>
      </c>
      <c r="BA1419">
        <v>20</v>
      </c>
      <c r="BB1419">
        <v>0</v>
      </c>
      <c r="BC1419" t="s">
        <v>133</v>
      </c>
      <c r="BD1419">
        <v>0</v>
      </c>
      <c r="BE1419" t="s">
        <v>133</v>
      </c>
      <c r="BF141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20" spans="1:58" x14ac:dyDescent="0.25">
      <c r="A1420" t="s">
        <v>1721</v>
      </c>
      <c r="B1420" t="s">
        <v>19</v>
      </c>
      <c r="C1420">
        <v>3</v>
      </c>
      <c r="D1420">
        <v>194</v>
      </c>
      <c r="E1420" t="s">
        <v>2109</v>
      </c>
      <c r="F1420" t="s">
        <v>123</v>
      </c>
      <c r="G1420" t="s">
        <v>124</v>
      </c>
      <c r="H1420" t="s">
        <v>125</v>
      </c>
      <c r="I1420" t="s">
        <v>183</v>
      </c>
      <c r="J1420" t="s">
        <v>1722</v>
      </c>
      <c r="K1420" t="s">
        <v>127</v>
      </c>
      <c r="L1420">
        <v>50</v>
      </c>
      <c r="M1420">
        <v>1382423</v>
      </c>
      <c r="N1420">
        <v>10</v>
      </c>
      <c r="O1420">
        <v>5</v>
      </c>
      <c r="P1420" t="s">
        <v>1515</v>
      </c>
      <c r="Q1420" t="s">
        <v>129</v>
      </c>
      <c r="R1420">
        <v>18</v>
      </c>
      <c r="S1420" t="s">
        <v>1617</v>
      </c>
      <c r="T1420">
        <v>0</v>
      </c>
      <c r="U1420">
        <v>4</v>
      </c>
      <c r="V1420">
        <v>0</v>
      </c>
      <c r="W1420">
        <v>0</v>
      </c>
      <c r="X1420">
        <v>0</v>
      </c>
      <c r="Y1420">
        <v>4</v>
      </c>
      <c r="Z1420">
        <v>0</v>
      </c>
      <c r="AA1420">
        <v>8</v>
      </c>
      <c r="AB1420">
        <v>50</v>
      </c>
      <c r="AC1420">
        <v>4</v>
      </c>
      <c r="AD1420">
        <v>0</v>
      </c>
      <c r="AE1420">
        <v>5</v>
      </c>
      <c r="AF1420">
        <v>9</v>
      </c>
      <c r="AG1420">
        <v>0</v>
      </c>
      <c r="AH1420">
        <v>46</v>
      </c>
      <c r="AI1420">
        <v>41</v>
      </c>
      <c r="AJ1420">
        <v>41</v>
      </c>
      <c r="AK1420">
        <v>46</v>
      </c>
      <c r="AL1420">
        <v>0</v>
      </c>
      <c r="AM1420">
        <v>0.2</v>
      </c>
      <c r="AN1420">
        <v>3.7272727272727275</v>
      </c>
      <c r="AO1420">
        <v>0</v>
      </c>
      <c r="AP1420" t="s">
        <v>188</v>
      </c>
      <c r="AQ1420" t="s">
        <v>131</v>
      </c>
      <c r="AR1420" t="s">
        <v>229</v>
      </c>
      <c r="AS1420">
        <v>0</v>
      </c>
      <c r="AT1420">
        <v>0</v>
      </c>
      <c r="AU1420">
        <v>0</v>
      </c>
      <c r="AV1420">
        <v>0</v>
      </c>
      <c r="AW1420">
        <v>0</v>
      </c>
      <c r="AX1420">
        <v>0</v>
      </c>
      <c r="AY1420">
        <v>0</v>
      </c>
      <c r="AZ1420" t="s">
        <v>147</v>
      </c>
      <c r="BA1420">
        <v>10</v>
      </c>
      <c r="BB1420">
        <v>0</v>
      </c>
      <c r="BC1420" t="s">
        <v>133</v>
      </c>
      <c r="BD1420">
        <v>0</v>
      </c>
      <c r="BE1420" t="s">
        <v>133</v>
      </c>
      <c r="BF142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21" spans="1:58" x14ac:dyDescent="0.25">
      <c r="A1421" t="s">
        <v>1723</v>
      </c>
      <c r="B1421" t="s">
        <v>19</v>
      </c>
      <c r="C1421">
        <v>3</v>
      </c>
      <c r="D1421">
        <v>195</v>
      </c>
      <c r="E1421" t="s">
        <v>2109</v>
      </c>
      <c r="F1421" t="s">
        <v>123</v>
      </c>
      <c r="G1421" t="s">
        <v>124</v>
      </c>
      <c r="H1421" t="s">
        <v>125</v>
      </c>
      <c r="I1421" t="s">
        <v>183</v>
      </c>
      <c r="J1421" t="s">
        <v>1722</v>
      </c>
      <c r="K1421" t="s">
        <v>127</v>
      </c>
      <c r="L1421">
        <v>50</v>
      </c>
      <c r="M1421">
        <v>1382425</v>
      </c>
      <c r="N1421">
        <v>10</v>
      </c>
      <c r="O1421">
        <v>5</v>
      </c>
      <c r="P1421" t="s">
        <v>1515</v>
      </c>
      <c r="Q1421" t="s">
        <v>129</v>
      </c>
      <c r="R1421">
        <v>18</v>
      </c>
      <c r="S1421" t="s">
        <v>1617</v>
      </c>
      <c r="T1421">
        <v>0</v>
      </c>
      <c r="U1421">
        <v>4</v>
      </c>
      <c r="V1421">
        <v>3</v>
      </c>
      <c r="W1421">
        <v>0</v>
      </c>
      <c r="X1421">
        <v>3</v>
      </c>
      <c r="Y1421">
        <v>0</v>
      </c>
      <c r="Z1421">
        <v>0</v>
      </c>
      <c r="AA1421">
        <v>7</v>
      </c>
      <c r="AB1421">
        <v>50</v>
      </c>
      <c r="AC1421">
        <v>4</v>
      </c>
      <c r="AD1421">
        <v>4</v>
      </c>
      <c r="AE1421">
        <v>0</v>
      </c>
      <c r="AF1421">
        <v>8</v>
      </c>
      <c r="AG1421">
        <v>0</v>
      </c>
      <c r="AH1421">
        <v>46</v>
      </c>
      <c r="AI1421">
        <v>42</v>
      </c>
      <c r="AJ1421">
        <v>46</v>
      </c>
      <c r="AK1421">
        <v>46</v>
      </c>
      <c r="AL1421">
        <v>0</v>
      </c>
      <c r="AM1421">
        <v>0.2</v>
      </c>
      <c r="AN1421">
        <v>4.1818181818181817</v>
      </c>
      <c r="AO1421">
        <v>0</v>
      </c>
      <c r="AP1421" t="s">
        <v>188</v>
      </c>
      <c r="AQ1421" t="s">
        <v>131</v>
      </c>
      <c r="AR1421" t="s">
        <v>229</v>
      </c>
      <c r="AS1421">
        <v>0</v>
      </c>
      <c r="AT1421">
        <v>0</v>
      </c>
      <c r="AU1421">
        <v>0</v>
      </c>
      <c r="AV1421">
        <v>0</v>
      </c>
      <c r="AW1421">
        <v>0</v>
      </c>
      <c r="AX1421">
        <v>0</v>
      </c>
      <c r="AY1421">
        <v>0</v>
      </c>
      <c r="AZ1421" t="s">
        <v>147</v>
      </c>
      <c r="BA1421">
        <v>10</v>
      </c>
      <c r="BB1421">
        <v>0</v>
      </c>
      <c r="BC1421" t="s">
        <v>133</v>
      </c>
      <c r="BD1421">
        <v>0</v>
      </c>
      <c r="BE1421" t="s">
        <v>133</v>
      </c>
      <c r="BF142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22" spans="1:58" x14ac:dyDescent="0.25">
      <c r="A1422" t="s">
        <v>1724</v>
      </c>
      <c r="B1422" t="s">
        <v>19</v>
      </c>
      <c r="C1422">
        <v>3</v>
      </c>
      <c r="D1422">
        <v>196</v>
      </c>
      <c r="E1422" t="s">
        <v>2109</v>
      </c>
      <c r="F1422" t="s">
        <v>123</v>
      </c>
      <c r="G1422" t="s">
        <v>124</v>
      </c>
      <c r="H1422" t="s">
        <v>125</v>
      </c>
      <c r="I1422" t="s">
        <v>183</v>
      </c>
      <c r="J1422" t="s">
        <v>1722</v>
      </c>
      <c r="K1422" t="s">
        <v>127</v>
      </c>
      <c r="L1422">
        <v>50</v>
      </c>
      <c r="M1422">
        <v>3120262</v>
      </c>
      <c r="N1422">
        <v>10</v>
      </c>
      <c r="O1422">
        <v>5</v>
      </c>
      <c r="P1422" t="s">
        <v>1515</v>
      </c>
      <c r="Q1422" t="s">
        <v>129</v>
      </c>
      <c r="R1422">
        <v>18</v>
      </c>
      <c r="T1422">
        <v>26</v>
      </c>
      <c r="U1422">
        <v>32</v>
      </c>
      <c r="V1422">
        <v>1</v>
      </c>
      <c r="W1422">
        <v>0</v>
      </c>
      <c r="X1422">
        <v>1</v>
      </c>
      <c r="Y1422">
        <v>0</v>
      </c>
      <c r="Z1422">
        <v>26</v>
      </c>
      <c r="AA1422">
        <v>33</v>
      </c>
      <c r="AB1422">
        <v>50</v>
      </c>
      <c r="AC1422">
        <v>50</v>
      </c>
      <c r="AD1422">
        <v>4</v>
      </c>
      <c r="AE1422">
        <v>0</v>
      </c>
      <c r="AF1422">
        <v>54</v>
      </c>
      <c r="AG1422">
        <v>0</v>
      </c>
      <c r="AH1422">
        <v>0</v>
      </c>
      <c r="AI1422">
        <v>-4</v>
      </c>
      <c r="AJ1422">
        <v>0</v>
      </c>
      <c r="AK1422">
        <v>0</v>
      </c>
      <c r="AL1422">
        <v>0</v>
      </c>
      <c r="AM1422">
        <v>0.2</v>
      </c>
      <c r="AN1422">
        <v>0</v>
      </c>
      <c r="AO1422">
        <v>0</v>
      </c>
      <c r="AP1422" t="s">
        <v>188</v>
      </c>
      <c r="AQ1422" t="s">
        <v>131</v>
      </c>
      <c r="AR1422" t="s">
        <v>229</v>
      </c>
      <c r="AS1422">
        <v>0</v>
      </c>
      <c r="AT1422">
        <v>0</v>
      </c>
      <c r="AU1422">
        <v>0</v>
      </c>
      <c r="AV1422">
        <v>0</v>
      </c>
      <c r="AW1422">
        <v>0</v>
      </c>
      <c r="AX1422">
        <v>0</v>
      </c>
      <c r="AY1422">
        <v>0</v>
      </c>
      <c r="AZ1422" t="s">
        <v>147</v>
      </c>
      <c r="BA1422">
        <v>10</v>
      </c>
      <c r="BB1422">
        <v>0</v>
      </c>
      <c r="BC1422" t="s">
        <v>133</v>
      </c>
      <c r="BD1422">
        <v>0</v>
      </c>
      <c r="BE1422" t="s">
        <v>133</v>
      </c>
      <c r="BF142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23" spans="1:58" x14ac:dyDescent="0.25">
      <c r="A1423" t="s">
        <v>1725</v>
      </c>
      <c r="B1423" t="s">
        <v>19</v>
      </c>
      <c r="C1423">
        <v>3</v>
      </c>
      <c r="D1423">
        <v>197</v>
      </c>
      <c r="E1423" t="s">
        <v>2109</v>
      </c>
      <c r="F1423" t="s">
        <v>123</v>
      </c>
      <c r="G1423" t="s">
        <v>124</v>
      </c>
      <c r="H1423" t="s">
        <v>125</v>
      </c>
      <c r="I1423" t="s">
        <v>183</v>
      </c>
      <c r="J1423" t="s">
        <v>1722</v>
      </c>
      <c r="K1423" t="s">
        <v>127</v>
      </c>
      <c r="L1423">
        <v>50</v>
      </c>
      <c r="M1423">
        <v>1382429</v>
      </c>
      <c r="N1423">
        <v>10</v>
      </c>
      <c r="O1423">
        <v>5</v>
      </c>
      <c r="P1423" t="s">
        <v>1515</v>
      </c>
      <c r="Q1423" t="s">
        <v>129</v>
      </c>
      <c r="R1423">
        <v>18</v>
      </c>
      <c r="S1423" t="s">
        <v>1617</v>
      </c>
      <c r="T1423">
        <v>13</v>
      </c>
      <c r="U1423">
        <v>18</v>
      </c>
      <c r="V1423">
        <v>0</v>
      </c>
      <c r="W1423">
        <v>0</v>
      </c>
      <c r="X1423">
        <v>0</v>
      </c>
      <c r="Y1423">
        <v>0</v>
      </c>
      <c r="Z1423">
        <v>13</v>
      </c>
      <c r="AA1423">
        <v>18</v>
      </c>
      <c r="AB1423">
        <v>50</v>
      </c>
      <c r="AC1423">
        <v>33</v>
      </c>
      <c r="AD1423">
        <v>0</v>
      </c>
      <c r="AE1423">
        <v>0</v>
      </c>
      <c r="AF1423">
        <v>33</v>
      </c>
      <c r="AG1423">
        <v>0</v>
      </c>
      <c r="AH1423">
        <v>17</v>
      </c>
      <c r="AI1423">
        <v>17</v>
      </c>
      <c r="AJ1423">
        <v>17</v>
      </c>
      <c r="AK1423">
        <v>17</v>
      </c>
      <c r="AL1423">
        <v>0</v>
      </c>
      <c r="AM1423">
        <v>0.2</v>
      </c>
      <c r="AN1423">
        <v>1.5454545454545454</v>
      </c>
      <c r="AO1423">
        <v>0</v>
      </c>
      <c r="AP1423" t="s">
        <v>188</v>
      </c>
      <c r="AQ1423" t="s">
        <v>131</v>
      </c>
      <c r="AR1423" t="s">
        <v>229</v>
      </c>
      <c r="AS1423">
        <v>0</v>
      </c>
      <c r="AT1423">
        <v>0</v>
      </c>
      <c r="AU1423">
        <v>0</v>
      </c>
      <c r="AV1423">
        <v>0</v>
      </c>
      <c r="AW1423">
        <v>0</v>
      </c>
      <c r="AX1423">
        <v>0</v>
      </c>
      <c r="AY1423">
        <v>0</v>
      </c>
      <c r="AZ1423" t="s">
        <v>147</v>
      </c>
      <c r="BA1423">
        <v>10</v>
      </c>
      <c r="BB1423">
        <v>0</v>
      </c>
      <c r="BC1423" t="s">
        <v>133</v>
      </c>
      <c r="BD1423">
        <v>0</v>
      </c>
      <c r="BE1423" t="s">
        <v>133</v>
      </c>
      <c r="BF142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24" spans="1:58" x14ac:dyDescent="0.25">
      <c r="A1424" t="s">
        <v>1726</v>
      </c>
      <c r="B1424" t="s">
        <v>19</v>
      </c>
      <c r="C1424">
        <v>3</v>
      </c>
      <c r="D1424">
        <v>198</v>
      </c>
      <c r="E1424" t="s">
        <v>2109</v>
      </c>
      <c r="F1424" t="s">
        <v>123</v>
      </c>
      <c r="G1424" t="s">
        <v>124</v>
      </c>
      <c r="H1424" t="s">
        <v>125</v>
      </c>
      <c r="I1424" t="s">
        <v>183</v>
      </c>
      <c r="J1424" t="s">
        <v>1722</v>
      </c>
      <c r="K1424" t="s">
        <v>127</v>
      </c>
      <c r="L1424">
        <v>57</v>
      </c>
      <c r="M1424">
        <v>3138774</v>
      </c>
      <c r="N1424">
        <v>10</v>
      </c>
      <c r="O1424">
        <v>5</v>
      </c>
      <c r="P1424" t="s">
        <v>1515</v>
      </c>
      <c r="Q1424" t="s">
        <v>129</v>
      </c>
      <c r="R1424">
        <v>18</v>
      </c>
      <c r="T1424">
        <v>14</v>
      </c>
      <c r="U1424">
        <v>17</v>
      </c>
      <c r="V1424">
        <v>3</v>
      </c>
      <c r="W1424">
        <v>0</v>
      </c>
      <c r="X1424">
        <v>3</v>
      </c>
      <c r="Y1424">
        <v>0</v>
      </c>
      <c r="Z1424">
        <v>14</v>
      </c>
      <c r="AA1424">
        <v>20</v>
      </c>
      <c r="AB1424">
        <v>57</v>
      </c>
      <c r="AC1424">
        <v>26</v>
      </c>
      <c r="AD1424">
        <v>12</v>
      </c>
      <c r="AE1424">
        <v>0</v>
      </c>
      <c r="AF1424">
        <v>38</v>
      </c>
      <c r="AG1424">
        <v>0</v>
      </c>
      <c r="AH1424">
        <v>31</v>
      </c>
      <c r="AI1424">
        <v>19</v>
      </c>
      <c r="AJ1424">
        <v>31</v>
      </c>
      <c r="AK1424">
        <v>31</v>
      </c>
      <c r="AL1424">
        <v>0</v>
      </c>
      <c r="AM1424">
        <v>0.17543859649122806</v>
      </c>
      <c r="AN1424">
        <v>2.8181818181818183</v>
      </c>
      <c r="AO1424">
        <v>0</v>
      </c>
      <c r="AP1424" t="s">
        <v>188</v>
      </c>
      <c r="AQ1424" t="s">
        <v>131</v>
      </c>
      <c r="AR1424" t="s">
        <v>229</v>
      </c>
      <c r="AS1424">
        <v>0</v>
      </c>
      <c r="AT1424">
        <v>0</v>
      </c>
      <c r="AU1424">
        <v>0</v>
      </c>
      <c r="AV1424">
        <v>0</v>
      </c>
      <c r="AW1424">
        <v>0</v>
      </c>
      <c r="AX1424">
        <v>0</v>
      </c>
      <c r="AY1424">
        <v>0</v>
      </c>
      <c r="AZ1424" t="s">
        <v>147</v>
      </c>
      <c r="BA1424">
        <v>10</v>
      </c>
      <c r="BB1424">
        <v>0</v>
      </c>
      <c r="BC1424" t="s">
        <v>133</v>
      </c>
      <c r="BD1424">
        <v>0</v>
      </c>
      <c r="BE1424" t="s">
        <v>133</v>
      </c>
      <c r="BF142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25" spans="1:58" x14ac:dyDescent="0.25">
      <c r="A1425" t="s">
        <v>1727</v>
      </c>
      <c r="B1425" t="s">
        <v>19</v>
      </c>
      <c r="C1425">
        <v>3</v>
      </c>
      <c r="D1425">
        <v>199</v>
      </c>
      <c r="E1425" t="s">
        <v>2109</v>
      </c>
      <c r="F1425" t="s">
        <v>123</v>
      </c>
      <c r="G1425" t="s">
        <v>124</v>
      </c>
      <c r="H1425" t="s">
        <v>125</v>
      </c>
      <c r="I1425" t="s">
        <v>183</v>
      </c>
      <c r="J1425" t="s">
        <v>1722</v>
      </c>
      <c r="K1425" t="s">
        <v>127</v>
      </c>
      <c r="L1425">
        <v>50</v>
      </c>
      <c r="M1425">
        <v>1382433</v>
      </c>
      <c r="N1425">
        <v>10</v>
      </c>
      <c r="O1425">
        <v>5</v>
      </c>
      <c r="P1425" t="s">
        <v>1515</v>
      </c>
      <c r="Q1425" t="s">
        <v>129</v>
      </c>
      <c r="R1425">
        <v>18</v>
      </c>
      <c r="S1425" t="s">
        <v>1617</v>
      </c>
      <c r="T1425">
        <v>0</v>
      </c>
      <c r="U1425">
        <v>4</v>
      </c>
      <c r="V1425">
        <v>3</v>
      </c>
      <c r="W1425">
        <v>0</v>
      </c>
      <c r="X1425">
        <v>3</v>
      </c>
      <c r="Y1425">
        <v>1</v>
      </c>
      <c r="Z1425">
        <v>0</v>
      </c>
      <c r="AA1425">
        <v>8</v>
      </c>
      <c r="AB1425">
        <v>50</v>
      </c>
      <c r="AC1425">
        <v>4</v>
      </c>
      <c r="AD1425">
        <v>4</v>
      </c>
      <c r="AE1425">
        <v>1</v>
      </c>
      <c r="AF1425">
        <v>9</v>
      </c>
      <c r="AG1425">
        <v>0</v>
      </c>
      <c r="AH1425">
        <v>46</v>
      </c>
      <c r="AI1425">
        <v>41</v>
      </c>
      <c r="AJ1425">
        <v>45</v>
      </c>
      <c r="AK1425">
        <v>46</v>
      </c>
      <c r="AL1425">
        <v>0</v>
      </c>
      <c r="AM1425">
        <v>0.2</v>
      </c>
      <c r="AN1425">
        <v>4.0909090909090908</v>
      </c>
      <c r="AO1425">
        <v>0</v>
      </c>
      <c r="AP1425" t="s">
        <v>188</v>
      </c>
      <c r="AQ1425" t="s">
        <v>131</v>
      </c>
      <c r="AR1425" t="s">
        <v>229</v>
      </c>
      <c r="AS1425">
        <v>0</v>
      </c>
      <c r="AT1425">
        <v>0</v>
      </c>
      <c r="AU1425">
        <v>0</v>
      </c>
      <c r="AV1425">
        <v>0</v>
      </c>
      <c r="AW1425">
        <v>0</v>
      </c>
      <c r="AX1425">
        <v>0</v>
      </c>
      <c r="AY1425">
        <v>0</v>
      </c>
      <c r="AZ1425" t="s">
        <v>147</v>
      </c>
      <c r="BA1425">
        <v>10</v>
      </c>
      <c r="BB1425">
        <v>0</v>
      </c>
      <c r="BC1425" t="s">
        <v>144</v>
      </c>
      <c r="BD1425">
        <v>0</v>
      </c>
      <c r="BE1425" t="s">
        <v>133</v>
      </c>
      <c r="BF142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26" spans="1:58" x14ac:dyDescent="0.25">
      <c r="A1426" t="s">
        <v>1728</v>
      </c>
      <c r="B1426" t="s">
        <v>19</v>
      </c>
      <c r="C1426">
        <v>3</v>
      </c>
      <c r="D1426">
        <v>201</v>
      </c>
      <c r="E1426" t="s">
        <v>2109</v>
      </c>
      <c r="F1426" t="s">
        <v>123</v>
      </c>
      <c r="G1426" t="s">
        <v>124</v>
      </c>
      <c r="H1426" t="s">
        <v>125</v>
      </c>
      <c r="I1426" t="s">
        <v>1661</v>
      </c>
      <c r="J1426" t="s">
        <v>140</v>
      </c>
      <c r="K1426" t="s">
        <v>170</v>
      </c>
      <c r="L1426">
        <v>0</v>
      </c>
      <c r="M1426">
        <v>3512641</v>
      </c>
      <c r="N1426">
        <v>0</v>
      </c>
      <c r="O1426">
        <v>5</v>
      </c>
      <c r="P1426" t="s">
        <v>1515</v>
      </c>
      <c r="Q1426" t="s">
        <v>129</v>
      </c>
      <c r="R1426">
        <v>19</v>
      </c>
      <c r="S1426" t="s">
        <v>1729</v>
      </c>
      <c r="T1426">
        <v>0</v>
      </c>
      <c r="U1426">
        <v>0</v>
      </c>
      <c r="V1426">
        <v>27</v>
      </c>
      <c r="W1426">
        <v>0</v>
      </c>
      <c r="X1426">
        <v>27</v>
      </c>
      <c r="Y1426">
        <v>0</v>
      </c>
      <c r="Z1426">
        <v>20</v>
      </c>
      <c r="AA1426">
        <v>27</v>
      </c>
      <c r="AB1426">
        <v>50</v>
      </c>
      <c r="AC1426">
        <v>0</v>
      </c>
      <c r="AD1426">
        <v>47</v>
      </c>
      <c r="AE1426">
        <v>0</v>
      </c>
      <c r="AF1426">
        <v>47</v>
      </c>
      <c r="AG1426">
        <v>0</v>
      </c>
      <c r="AH1426">
        <v>0</v>
      </c>
      <c r="AI1426">
        <v>3</v>
      </c>
      <c r="AJ1426">
        <v>50</v>
      </c>
      <c r="AK1426">
        <v>50</v>
      </c>
      <c r="AL1426">
        <v>50</v>
      </c>
      <c r="AM1426">
        <v>0</v>
      </c>
      <c r="AN1426">
        <v>4.5454545454545459</v>
      </c>
      <c r="AO1426">
        <v>0</v>
      </c>
      <c r="AP1426" t="s">
        <v>1713</v>
      </c>
      <c r="AQ1426" t="s">
        <v>131</v>
      </c>
      <c r="AR1426" t="s">
        <v>229</v>
      </c>
      <c r="AS1426">
        <v>0</v>
      </c>
      <c r="AT1426">
        <v>0</v>
      </c>
      <c r="AU1426">
        <v>0</v>
      </c>
      <c r="AV1426">
        <v>0</v>
      </c>
      <c r="AW1426">
        <v>0</v>
      </c>
      <c r="AX1426">
        <v>0</v>
      </c>
      <c r="AY1426">
        <v>0</v>
      </c>
      <c r="AZ1426" t="s">
        <v>147</v>
      </c>
      <c r="BA1426">
        <v>0</v>
      </c>
      <c r="BB1426">
        <v>0</v>
      </c>
      <c r="BC1426" t="s">
        <v>133</v>
      </c>
      <c r="BD1426">
        <v>0</v>
      </c>
      <c r="BE1426" t="s">
        <v>133</v>
      </c>
      <c r="BF142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27" spans="1:58" x14ac:dyDescent="0.25">
      <c r="A1427" t="s">
        <v>1730</v>
      </c>
      <c r="B1427" t="s">
        <v>19</v>
      </c>
      <c r="C1427">
        <v>3</v>
      </c>
      <c r="D1427">
        <v>202</v>
      </c>
      <c r="E1427" t="s">
        <v>2109</v>
      </c>
      <c r="F1427" t="s">
        <v>123</v>
      </c>
      <c r="G1427" t="s">
        <v>124</v>
      </c>
      <c r="H1427" t="s">
        <v>125</v>
      </c>
      <c r="I1427" t="s">
        <v>1661</v>
      </c>
      <c r="J1427" t="s">
        <v>140</v>
      </c>
      <c r="K1427" t="s">
        <v>170</v>
      </c>
      <c r="L1427">
        <v>0</v>
      </c>
      <c r="M1427">
        <v>3512643</v>
      </c>
      <c r="N1427">
        <v>0</v>
      </c>
      <c r="O1427">
        <v>5</v>
      </c>
      <c r="P1427" t="s">
        <v>1515</v>
      </c>
      <c r="Q1427" t="s">
        <v>129</v>
      </c>
      <c r="R1427">
        <v>19</v>
      </c>
      <c r="S1427" t="s">
        <v>1729</v>
      </c>
      <c r="T1427">
        <v>0</v>
      </c>
      <c r="U1427">
        <v>0</v>
      </c>
      <c r="V1427">
        <v>27</v>
      </c>
      <c r="W1427">
        <v>0</v>
      </c>
      <c r="X1427">
        <v>27</v>
      </c>
      <c r="Y1427">
        <v>0</v>
      </c>
      <c r="Z1427">
        <v>20</v>
      </c>
      <c r="AA1427">
        <v>27</v>
      </c>
      <c r="AB1427">
        <v>50</v>
      </c>
      <c r="AC1427">
        <v>0</v>
      </c>
      <c r="AD1427">
        <v>47</v>
      </c>
      <c r="AE1427">
        <v>0</v>
      </c>
      <c r="AF1427">
        <v>47</v>
      </c>
      <c r="AG1427">
        <v>0</v>
      </c>
      <c r="AH1427">
        <v>0</v>
      </c>
      <c r="AI1427">
        <v>3</v>
      </c>
      <c r="AJ1427">
        <v>50</v>
      </c>
      <c r="AK1427">
        <v>50</v>
      </c>
      <c r="AL1427">
        <v>50</v>
      </c>
      <c r="AM1427">
        <v>0</v>
      </c>
      <c r="AN1427">
        <v>4.5454545454545459</v>
      </c>
      <c r="AO1427">
        <v>0</v>
      </c>
      <c r="AP1427" t="s">
        <v>1713</v>
      </c>
      <c r="AQ1427" t="s">
        <v>131</v>
      </c>
      <c r="AR1427" t="s">
        <v>229</v>
      </c>
      <c r="AS1427">
        <v>0</v>
      </c>
      <c r="AT1427">
        <v>0</v>
      </c>
      <c r="AU1427">
        <v>0</v>
      </c>
      <c r="AV1427">
        <v>0</v>
      </c>
      <c r="AW1427">
        <v>0</v>
      </c>
      <c r="AX1427">
        <v>0</v>
      </c>
      <c r="AY1427">
        <v>0</v>
      </c>
      <c r="AZ1427" t="s">
        <v>147</v>
      </c>
      <c r="BA1427">
        <v>0</v>
      </c>
      <c r="BB1427">
        <v>0</v>
      </c>
      <c r="BC1427" t="s">
        <v>133</v>
      </c>
      <c r="BD1427">
        <v>0</v>
      </c>
      <c r="BE1427" t="s">
        <v>133</v>
      </c>
      <c r="BF142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28" spans="1:58" x14ac:dyDescent="0.25">
      <c r="A1428" t="s">
        <v>1731</v>
      </c>
      <c r="B1428" t="s">
        <v>19</v>
      </c>
      <c r="C1428">
        <v>3</v>
      </c>
      <c r="D1428">
        <v>206</v>
      </c>
      <c r="E1428" t="s">
        <v>2109</v>
      </c>
      <c r="F1428" t="s">
        <v>123</v>
      </c>
      <c r="G1428" t="s">
        <v>124</v>
      </c>
      <c r="H1428" t="s">
        <v>125</v>
      </c>
      <c r="I1428" t="s">
        <v>1661</v>
      </c>
      <c r="J1428" t="s">
        <v>140</v>
      </c>
      <c r="K1428" t="s">
        <v>127</v>
      </c>
      <c r="L1428">
        <v>50</v>
      </c>
      <c r="M1428">
        <v>1382447</v>
      </c>
      <c r="N1428">
        <v>10</v>
      </c>
      <c r="O1428">
        <v>5</v>
      </c>
      <c r="P1428" t="s">
        <v>1515</v>
      </c>
      <c r="Q1428" t="s">
        <v>129</v>
      </c>
      <c r="R1428">
        <v>19</v>
      </c>
      <c r="S1428" t="s">
        <v>1617</v>
      </c>
      <c r="T1428">
        <v>25</v>
      </c>
      <c r="U1428">
        <v>34</v>
      </c>
      <c r="V1428">
        <v>0</v>
      </c>
      <c r="W1428">
        <v>0</v>
      </c>
      <c r="X1428">
        <v>0</v>
      </c>
      <c r="Y1428">
        <v>2</v>
      </c>
      <c r="Z1428">
        <v>27</v>
      </c>
      <c r="AA1428">
        <v>36</v>
      </c>
      <c r="AB1428">
        <v>50</v>
      </c>
      <c r="AC1428">
        <v>58</v>
      </c>
      <c r="AD1428">
        <v>0</v>
      </c>
      <c r="AE1428">
        <v>2</v>
      </c>
      <c r="AF1428">
        <v>60</v>
      </c>
      <c r="AG1428">
        <v>0</v>
      </c>
      <c r="AH1428">
        <v>-8</v>
      </c>
      <c r="AI1428">
        <v>-10</v>
      </c>
      <c r="AJ1428">
        <v>-10</v>
      </c>
      <c r="AK1428">
        <v>-8</v>
      </c>
      <c r="AL1428">
        <v>0</v>
      </c>
      <c r="AM1428">
        <v>0.2</v>
      </c>
      <c r="AN1428">
        <v>-0.90909090909090917</v>
      </c>
      <c r="AO1428">
        <v>0</v>
      </c>
      <c r="AP1428" t="s">
        <v>1662</v>
      </c>
      <c r="AQ1428" t="s">
        <v>131</v>
      </c>
      <c r="AR1428" t="s">
        <v>229</v>
      </c>
      <c r="AS1428">
        <v>0</v>
      </c>
      <c r="AT1428">
        <v>0</v>
      </c>
      <c r="AU1428">
        <v>0</v>
      </c>
      <c r="AV1428">
        <v>0</v>
      </c>
      <c r="AW1428">
        <v>0</v>
      </c>
      <c r="AX1428">
        <v>0</v>
      </c>
      <c r="AY1428">
        <v>0</v>
      </c>
      <c r="AZ1428" t="s">
        <v>147</v>
      </c>
      <c r="BA1428">
        <v>10</v>
      </c>
      <c r="BB1428">
        <v>0</v>
      </c>
      <c r="BC1428" t="s">
        <v>133</v>
      </c>
      <c r="BD1428">
        <v>0</v>
      </c>
      <c r="BE1428" t="s">
        <v>133</v>
      </c>
      <c r="BF142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29" spans="1:58" x14ac:dyDescent="0.25">
      <c r="A1429" t="s">
        <v>1732</v>
      </c>
      <c r="B1429" t="s">
        <v>19</v>
      </c>
      <c r="C1429">
        <v>3</v>
      </c>
      <c r="D1429">
        <v>207</v>
      </c>
      <c r="E1429" t="s">
        <v>2109</v>
      </c>
      <c r="F1429" t="s">
        <v>123</v>
      </c>
      <c r="G1429" t="s">
        <v>124</v>
      </c>
      <c r="H1429" t="s">
        <v>125</v>
      </c>
      <c r="I1429" t="s">
        <v>1661</v>
      </c>
      <c r="J1429" t="s">
        <v>140</v>
      </c>
      <c r="K1429" t="s">
        <v>127</v>
      </c>
      <c r="L1429">
        <v>50</v>
      </c>
      <c r="M1429">
        <v>1382449</v>
      </c>
      <c r="N1429">
        <v>10</v>
      </c>
      <c r="O1429">
        <v>5</v>
      </c>
      <c r="P1429" t="s">
        <v>1515</v>
      </c>
      <c r="Q1429" t="s">
        <v>129</v>
      </c>
      <c r="R1429">
        <v>19</v>
      </c>
      <c r="S1429" t="s">
        <v>1617</v>
      </c>
      <c r="T1429">
        <v>25</v>
      </c>
      <c r="U1429">
        <v>34</v>
      </c>
      <c r="V1429">
        <v>0</v>
      </c>
      <c r="W1429">
        <v>0</v>
      </c>
      <c r="X1429">
        <v>0</v>
      </c>
      <c r="Y1429">
        <v>2</v>
      </c>
      <c r="Z1429">
        <v>27</v>
      </c>
      <c r="AA1429">
        <v>36</v>
      </c>
      <c r="AB1429">
        <v>50</v>
      </c>
      <c r="AC1429">
        <v>58</v>
      </c>
      <c r="AD1429">
        <v>0</v>
      </c>
      <c r="AE1429">
        <v>2</v>
      </c>
      <c r="AF1429">
        <v>60</v>
      </c>
      <c r="AG1429">
        <v>0</v>
      </c>
      <c r="AH1429">
        <v>-8</v>
      </c>
      <c r="AI1429">
        <v>-10</v>
      </c>
      <c r="AJ1429">
        <v>-10</v>
      </c>
      <c r="AK1429">
        <v>-8</v>
      </c>
      <c r="AL1429">
        <v>0</v>
      </c>
      <c r="AM1429">
        <v>0.2</v>
      </c>
      <c r="AN1429">
        <v>-0.90909090909090917</v>
      </c>
      <c r="AO1429">
        <v>0</v>
      </c>
      <c r="AP1429" t="s">
        <v>1662</v>
      </c>
      <c r="AQ1429" t="s">
        <v>131</v>
      </c>
      <c r="AR1429" t="s">
        <v>229</v>
      </c>
      <c r="AS1429">
        <v>0</v>
      </c>
      <c r="AT1429">
        <v>0</v>
      </c>
      <c r="AU1429">
        <v>0</v>
      </c>
      <c r="AV1429">
        <v>0</v>
      </c>
      <c r="AW1429">
        <v>0</v>
      </c>
      <c r="AX1429">
        <v>0</v>
      </c>
      <c r="AY1429">
        <v>0</v>
      </c>
      <c r="AZ1429" t="s">
        <v>147</v>
      </c>
      <c r="BA1429">
        <v>10</v>
      </c>
      <c r="BB1429">
        <v>0</v>
      </c>
      <c r="BC1429" t="s">
        <v>133</v>
      </c>
      <c r="BD1429">
        <v>0</v>
      </c>
      <c r="BE1429" t="s">
        <v>133</v>
      </c>
      <c r="BF142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30" spans="1:58" x14ac:dyDescent="0.25">
      <c r="A1430" t="s">
        <v>1733</v>
      </c>
      <c r="B1430" t="s">
        <v>19</v>
      </c>
      <c r="C1430">
        <v>3</v>
      </c>
      <c r="D1430">
        <v>208</v>
      </c>
      <c r="E1430" t="s">
        <v>2109</v>
      </c>
      <c r="F1430" t="s">
        <v>123</v>
      </c>
      <c r="G1430" t="s">
        <v>124</v>
      </c>
      <c r="H1430" t="s">
        <v>125</v>
      </c>
      <c r="I1430" t="s">
        <v>1661</v>
      </c>
      <c r="J1430" t="s">
        <v>140</v>
      </c>
      <c r="K1430" t="s">
        <v>127</v>
      </c>
      <c r="L1430">
        <v>50</v>
      </c>
      <c r="M1430">
        <v>1382451</v>
      </c>
      <c r="N1430">
        <v>10</v>
      </c>
      <c r="O1430">
        <v>5</v>
      </c>
      <c r="P1430" t="s">
        <v>1515</v>
      </c>
      <c r="Q1430" t="s">
        <v>129</v>
      </c>
      <c r="R1430">
        <v>19</v>
      </c>
      <c r="S1430" t="s">
        <v>1617</v>
      </c>
      <c r="T1430">
        <v>24</v>
      </c>
      <c r="U1430">
        <v>27</v>
      </c>
      <c r="V1430">
        <v>6</v>
      </c>
      <c r="W1430">
        <v>0</v>
      </c>
      <c r="X1430">
        <v>6</v>
      </c>
      <c r="Y1430">
        <v>3</v>
      </c>
      <c r="Z1430">
        <v>27</v>
      </c>
      <c r="AA1430">
        <v>36</v>
      </c>
      <c r="AB1430">
        <v>50</v>
      </c>
      <c r="AC1430">
        <v>27</v>
      </c>
      <c r="AD1430">
        <v>24</v>
      </c>
      <c r="AE1430">
        <v>9</v>
      </c>
      <c r="AF1430">
        <v>60</v>
      </c>
      <c r="AG1430">
        <v>0</v>
      </c>
      <c r="AH1430">
        <v>23</v>
      </c>
      <c r="AI1430">
        <v>-10</v>
      </c>
      <c r="AJ1430">
        <v>14</v>
      </c>
      <c r="AK1430">
        <v>23</v>
      </c>
      <c r="AL1430">
        <v>0</v>
      </c>
      <c r="AM1430">
        <v>0.2</v>
      </c>
      <c r="AN1430">
        <v>1.2727272727272727</v>
      </c>
      <c r="AO1430">
        <v>0</v>
      </c>
      <c r="AP1430" t="s">
        <v>1662</v>
      </c>
      <c r="AQ1430" t="s">
        <v>131</v>
      </c>
      <c r="AR1430" t="s">
        <v>229</v>
      </c>
      <c r="AS1430">
        <v>0</v>
      </c>
      <c r="AT1430">
        <v>0</v>
      </c>
      <c r="AU1430">
        <v>0</v>
      </c>
      <c r="AV1430">
        <v>0</v>
      </c>
      <c r="AW1430">
        <v>0</v>
      </c>
      <c r="AX1430">
        <v>0</v>
      </c>
      <c r="AY1430">
        <v>0</v>
      </c>
      <c r="AZ1430" t="s">
        <v>147</v>
      </c>
      <c r="BA1430">
        <v>10</v>
      </c>
      <c r="BB1430">
        <v>0</v>
      </c>
      <c r="BC1430" t="s">
        <v>133</v>
      </c>
      <c r="BD1430">
        <v>0</v>
      </c>
      <c r="BE1430" t="s">
        <v>133</v>
      </c>
      <c r="BF143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31" spans="1:58" x14ac:dyDescent="0.25">
      <c r="A1431" t="s">
        <v>1734</v>
      </c>
      <c r="B1431" t="s">
        <v>19</v>
      </c>
      <c r="C1431">
        <v>3</v>
      </c>
      <c r="D1431">
        <v>209</v>
      </c>
      <c r="E1431" t="s">
        <v>2109</v>
      </c>
      <c r="F1431" t="s">
        <v>123</v>
      </c>
      <c r="G1431" t="s">
        <v>124</v>
      </c>
      <c r="H1431" t="s">
        <v>125</v>
      </c>
      <c r="I1431" t="s">
        <v>1661</v>
      </c>
      <c r="J1431" t="s">
        <v>140</v>
      </c>
      <c r="K1431" t="s">
        <v>127</v>
      </c>
      <c r="L1431">
        <v>50</v>
      </c>
      <c r="M1431">
        <v>1382453</v>
      </c>
      <c r="N1431">
        <v>10</v>
      </c>
      <c r="O1431">
        <v>5</v>
      </c>
      <c r="P1431" t="s">
        <v>1515</v>
      </c>
      <c r="Q1431" t="s">
        <v>129</v>
      </c>
      <c r="R1431">
        <v>19</v>
      </c>
      <c r="S1431" t="s">
        <v>1617</v>
      </c>
      <c r="T1431">
        <v>22</v>
      </c>
      <c r="U1431">
        <v>25</v>
      </c>
      <c r="V1431">
        <v>6</v>
      </c>
      <c r="W1431">
        <v>0</v>
      </c>
      <c r="X1431">
        <v>6</v>
      </c>
      <c r="Y1431">
        <v>5</v>
      </c>
      <c r="Z1431">
        <v>27</v>
      </c>
      <c r="AA1431">
        <v>36</v>
      </c>
      <c r="AB1431">
        <v>50</v>
      </c>
      <c r="AC1431">
        <v>25</v>
      </c>
      <c r="AD1431">
        <v>24</v>
      </c>
      <c r="AE1431">
        <v>11</v>
      </c>
      <c r="AF1431">
        <v>60</v>
      </c>
      <c r="AG1431">
        <v>0</v>
      </c>
      <c r="AH1431">
        <v>25</v>
      </c>
      <c r="AI1431">
        <v>-10</v>
      </c>
      <c r="AJ1431">
        <v>14</v>
      </c>
      <c r="AK1431">
        <v>25</v>
      </c>
      <c r="AL1431">
        <v>0</v>
      </c>
      <c r="AM1431">
        <v>0.2</v>
      </c>
      <c r="AN1431">
        <v>1.2727272727272727</v>
      </c>
      <c r="AO1431">
        <v>0</v>
      </c>
      <c r="AP1431" t="s">
        <v>1662</v>
      </c>
      <c r="AQ1431" t="s">
        <v>131</v>
      </c>
      <c r="AR1431" t="s">
        <v>229</v>
      </c>
      <c r="AS1431">
        <v>0</v>
      </c>
      <c r="AT1431">
        <v>0</v>
      </c>
      <c r="AU1431">
        <v>0</v>
      </c>
      <c r="AV1431">
        <v>0</v>
      </c>
      <c r="AW1431">
        <v>0</v>
      </c>
      <c r="AX1431">
        <v>0</v>
      </c>
      <c r="AY1431">
        <v>0</v>
      </c>
      <c r="AZ1431" t="s">
        <v>147</v>
      </c>
      <c r="BA1431">
        <v>10</v>
      </c>
      <c r="BB1431">
        <v>0</v>
      </c>
      <c r="BC1431" t="s">
        <v>133</v>
      </c>
      <c r="BD1431">
        <v>0</v>
      </c>
      <c r="BE1431" t="s">
        <v>133</v>
      </c>
      <c r="BF143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32" spans="1:58" x14ac:dyDescent="0.25">
      <c r="A1432" t="s">
        <v>1735</v>
      </c>
      <c r="B1432" t="s">
        <v>19</v>
      </c>
      <c r="C1432">
        <v>3</v>
      </c>
      <c r="D1432">
        <v>210</v>
      </c>
      <c r="E1432" t="s">
        <v>2109</v>
      </c>
      <c r="F1432" t="s">
        <v>123</v>
      </c>
      <c r="G1432" t="s">
        <v>124</v>
      </c>
      <c r="H1432" t="s">
        <v>125</v>
      </c>
      <c r="I1432" t="s">
        <v>1661</v>
      </c>
      <c r="J1432" t="s">
        <v>140</v>
      </c>
      <c r="K1432" t="s">
        <v>127</v>
      </c>
      <c r="L1432">
        <v>50</v>
      </c>
      <c r="M1432">
        <v>1382455</v>
      </c>
      <c r="N1432">
        <v>10</v>
      </c>
      <c r="O1432">
        <v>5</v>
      </c>
      <c r="P1432" t="s">
        <v>1515</v>
      </c>
      <c r="Q1432" t="s">
        <v>129</v>
      </c>
      <c r="R1432">
        <v>19</v>
      </c>
      <c r="S1432" t="s">
        <v>1617</v>
      </c>
      <c r="T1432">
        <v>24</v>
      </c>
      <c r="U1432">
        <v>27</v>
      </c>
      <c r="V1432">
        <v>6</v>
      </c>
      <c r="W1432">
        <v>0</v>
      </c>
      <c r="X1432">
        <v>6</v>
      </c>
      <c r="Y1432">
        <v>3</v>
      </c>
      <c r="Z1432">
        <v>27</v>
      </c>
      <c r="AA1432">
        <v>36</v>
      </c>
      <c r="AB1432">
        <v>50</v>
      </c>
      <c r="AC1432">
        <v>27</v>
      </c>
      <c r="AD1432">
        <v>24</v>
      </c>
      <c r="AE1432">
        <v>9</v>
      </c>
      <c r="AF1432">
        <v>60</v>
      </c>
      <c r="AG1432">
        <v>0</v>
      </c>
      <c r="AH1432">
        <v>23</v>
      </c>
      <c r="AI1432">
        <v>-10</v>
      </c>
      <c r="AJ1432">
        <v>14</v>
      </c>
      <c r="AK1432">
        <v>23</v>
      </c>
      <c r="AL1432">
        <v>0</v>
      </c>
      <c r="AM1432">
        <v>0.2</v>
      </c>
      <c r="AN1432">
        <v>1.2727272727272727</v>
      </c>
      <c r="AO1432">
        <v>0</v>
      </c>
      <c r="AP1432" t="s">
        <v>1662</v>
      </c>
      <c r="AQ1432" t="s">
        <v>131</v>
      </c>
      <c r="AR1432" t="s">
        <v>229</v>
      </c>
      <c r="AS1432">
        <v>0</v>
      </c>
      <c r="AT1432">
        <v>0</v>
      </c>
      <c r="AU1432">
        <v>0</v>
      </c>
      <c r="AV1432">
        <v>0</v>
      </c>
      <c r="AW1432">
        <v>0</v>
      </c>
      <c r="AX1432">
        <v>0</v>
      </c>
      <c r="AY1432">
        <v>0</v>
      </c>
      <c r="AZ1432" t="s">
        <v>147</v>
      </c>
      <c r="BA1432">
        <v>10</v>
      </c>
      <c r="BB1432">
        <v>0</v>
      </c>
      <c r="BC1432" t="s">
        <v>144</v>
      </c>
      <c r="BD1432">
        <v>0</v>
      </c>
      <c r="BE1432" t="s">
        <v>133</v>
      </c>
      <c r="BF143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33" spans="1:58" x14ac:dyDescent="0.25">
      <c r="A1433" t="s">
        <v>1736</v>
      </c>
      <c r="B1433" t="s">
        <v>19</v>
      </c>
      <c r="C1433">
        <v>3</v>
      </c>
      <c r="D1433">
        <v>211</v>
      </c>
      <c r="E1433" t="s">
        <v>2109</v>
      </c>
      <c r="F1433" t="s">
        <v>123</v>
      </c>
      <c r="G1433" t="s">
        <v>124</v>
      </c>
      <c r="H1433" t="s">
        <v>125</v>
      </c>
      <c r="I1433" t="s">
        <v>1661</v>
      </c>
      <c r="J1433" t="s">
        <v>140</v>
      </c>
      <c r="K1433" t="s">
        <v>127</v>
      </c>
      <c r="L1433">
        <v>57</v>
      </c>
      <c r="M1433">
        <v>1720267</v>
      </c>
      <c r="N1433">
        <v>10</v>
      </c>
      <c r="O1433">
        <v>5</v>
      </c>
      <c r="P1433" t="s">
        <v>1515</v>
      </c>
      <c r="Q1433" t="s">
        <v>129</v>
      </c>
      <c r="R1433">
        <v>20</v>
      </c>
      <c r="S1433" t="s">
        <v>1617</v>
      </c>
      <c r="T1433">
        <v>24</v>
      </c>
      <c r="U1433">
        <v>27</v>
      </c>
      <c r="V1433">
        <v>6</v>
      </c>
      <c r="W1433">
        <v>0</v>
      </c>
      <c r="X1433">
        <v>6</v>
      </c>
      <c r="Y1433">
        <v>0</v>
      </c>
      <c r="Z1433">
        <v>24</v>
      </c>
      <c r="AA1433">
        <v>33</v>
      </c>
      <c r="AB1433">
        <v>57</v>
      </c>
      <c r="AC1433">
        <v>27</v>
      </c>
      <c r="AD1433">
        <v>24</v>
      </c>
      <c r="AE1433">
        <v>0</v>
      </c>
      <c r="AF1433">
        <v>51</v>
      </c>
      <c r="AG1433">
        <v>0</v>
      </c>
      <c r="AH1433">
        <v>30</v>
      </c>
      <c r="AI1433">
        <v>6</v>
      </c>
      <c r="AJ1433">
        <v>30</v>
      </c>
      <c r="AK1433">
        <v>30</v>
      </c>
      <c r="AL1433">
        <v>0</v>
      </c>
      <c r="AM1433">
        <v>0.17543859649122806</v>
      </c>
      <c r="AN1433">
        <v>2.7272727272727275</v>
      </c>
      <c r="AO1433">
        <v>0</v>
      </c>
      <c r="AP1433" t="s">
        <v>1662</v>
      </c>
      <c r="AQ1433" t="s">
        <v>131</v>
      </c>
      <c r="AR1433" t="s">
        <v>229</v>
      </c>
      <c r="AS1433">
        <v>0</v>
      </c>
      <c r="AT1433">
        <v>0</v>
      </c>
      <c r="AU1433">
        <v>0</v>
      </c>
      <c r="AV1433">
        <v>0</v>
      </c>
      <c r="AW1433">
        <v>0</v>
      </c>
      <c r="AX1433">
        <v>0</v>
      </c>
      <c r="AY1433">
        <v>0</v>
      </c>
      <c r="AZ1433" t="s">
        <v>147</v>
      </c>
      <c r="BA1433">
        <v>10</v>
      </c>
      <c r="BB1433">
        <v>0</v>
      </c>
      <c r="BC1433" t="s">
        <v>132</v>
      </c>
      <c r="BD1433">
        <v>0</v>
      </c>
      <c r="BE1433" t="s">
        <v>133</v>
      </c>
      <c r="BF143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34" spans="1:58" x14ac:dyDescent="0.25">
      <c r="A1434" t="s">
        <v>1737</v>
      </c>
      <c r="B1434" t="s">
        <v>19</v>
      </c>
      <c r="C1434">
        <v>3</v>
      </c>
      <c r="D1434">
        <v>212</v>
      </c>
      <c r="E1434" t="s">
        <v>2109</v>
      </c>
      <c r="F1434" t="s">
        <v>123</v>
      </c>
      <c r="G1434" t="s">
        <v>124</v>
      </c>
      <c r="H1434" t="s">
        <v>125</v>
      </c>
      <c r="I1434" t="s">
        <v>1661</v>
      </c>
      <c r="J1434" t="s">
        <v>140</v>
      </c>
      <c r="K1434" t="s">
        <v>127</v>
      </c>
      <c r="L1434">
        <v>57</v>
      </c>
      <c r="M1434">
        <v>1720269</v>
      </c>
      <c r="N1434">
        <v>10</v>
      </c>
      <c r="O1434">
        <v>5</v>
      </c>
      <c r="P1434" t="s">
        <v>1515</v>
      </c>
      <c r="Q1434" t="s">
        <v>129</v>
      </c>
      <c r="R1434">
        <v>20</v>
      </c>
      <c r="S1434" t="s">
        <v>1617</v>
      </c>
      <c r="T1434">
        <v>24</v>
      </c>
      <c r="U1434">
        <v>27</v>
      </c>
      <c r="V1434">
        <v>6</v>
      </c>
      <c r="W1434">
        <v>0</v>
      </c>
      <c r="X1434">
        <v>6</v>
      </c>
      <c r="Y1434">
        <v>0</v>
      </c>
      <c r="Z1434">
        <v>24</v>
      </c>
      <c r="AA1434">
        <v>33</v>
      </c>
      <c r="AB1434">
        <v>57</v>
      </c>
      <c r="AC1434">
        <v>27</v>
      </c>
      <c r="AD1434">
        <v>24</v>
      </c>
      <c r="AE1434">
        <v>0</v>
      </c>
      <c r="AF1434">
        <v>51</v>
      </c>
      <c r="AG1434">
        <v>0</v>
      </c>
      <c r="AH1434">
        <v>30</v>
      </c>
      <c r="AI1434">
        <v>6</v>
      </c>
      <c r="AJ1434">
        <v>30</v>
      </c>
      <c r="AK1434">
        <v>30</v>
      </c>
      <c r="AL1434">
        <v>0</v>
      </c>
      <c r="AM1434">
        <v>0.17543859649122806</v>
      </c>
      <c r="AN1434">
        <v>2.7272727272727275</v>
      </c>
      <c r="AO1434">
        <v>0</v>
      </c>
      <c r="AP1434" t="s">
        <v>1662</v>
      </c>
      <c r="AQ1434" t="s">
        <v>131</v>
      </c>
      <c r="AR1434" t="s">
        <v>229</v>
      </c>
      <c r="AS1434">
        <v>0</v>
      </c>
      <c r="AT1434">
        <v>0</v>
      </c>
      <c r="AU1434">
        <v>0</v>
      </c>
      <c r="AV1434">
        <v>0</v>
      </c>
      <c r="AW1434">
        <v>0</v>
      </c>
      <c r="AX1434">
        <v>0</v>
      </c>
      <c r="AY1434">
        <v>0</v>
      </c>
      <c r="AZ1434" t="s">
        <v>147</v>
      </c>
      <c r="BA1434">
        <v>10</v>
      </c>
      <c r="BB1434">
        <v>0</v>
      </c>
      <c r="BC1434" t="s">
        <v>133</v>
      </c>
      <c r="BD1434">
        <v>0</v>
      </c>
      <c r="BE1434" t="s">
        <v>133</v>
      </c>
      <c r="BF143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35" spans="1:58" x14ac:dyDescent="0.25">
      <c r="A1435" t="s">
        <v>1738</v>
      </c>
      <c r="B1435" t="s">
        <v>19</v>
      </c>
      <c r="C1435">
        <v>3</v>
      </c>
      <c r="D1435">
        <v>213</v>
      </c>
      <c r="E1435" t="s">
        <v>2109</v>
      </c>
      <c r="F1435" t="s">
        <v>123</v>
      </c>
      <c r="G1435" t="s">
        <v>124</v>
      </c>
      <c r="H1435" t="s">
        <v>125</v>
      </c>
      <c r="I1435" t="s">
        <v>1661</v>
      </c>
      <c r="J1435" t="s">
        <v>140</v>
      </c>
      <c r="K1435" t="s">
        <v>127</v>
      </c>
      <c r="L1435">
        <v>57</v>
      </c>
      <c r="M1435">
        <v>1726767</v>
      </c>
      <c r="N1435">
        <v>10</v>
      </c>
      <c r="O1435">
        <v>5</v>
      </c>
      <c r="P1435" t="s">
        <v>1515</v>
      </c>
      <c r="Q1435" t="s">
        <v>129</v>
      </c>
      <c r="R1435">
        <v>20</v>
      </c>
      <c r="S1435" t="s">
        <v>1617</v>
      </c>
      <c r="T1435">
        <v>24</v>
      </c>
      <c r="U1435">
        <v>27</v>
      </c>
      <c r="V1435">
        <v>6</v>
      </c>
      <c r="W1435">
        <v>0</v>
      </c>
      <c r="X1435">
        <v>6</v>
      </c>
      <c r="Y1435">
        <v>0</v>
      </c>
      <c r="Z1435">
        <v>24</v>
      </c>
      <c r="AA1435">
        <v>33</v>
      </c>
      <c r="AB1435">
        <v>57</v>
      </c>
      <c r="AC1435">
        <v>27</v>
      </c>
      <c r="AD1435">
        <v>24</v>
      </c>
      <c r="AE1435">
        <v>0</v>
      </c>
      <c r="AF1435">
        <v>51</v>
      </c>
      <c r="AG1435">
        <v>0</v>
      </c>
      <c r="AH1435">
        <v>30</v>
      </c>
      <c r="AI1435">
        <v>6</v>
      </c>
      <c r="AJ1435">
        <v>30</v>
      </c>
      <c r="AK1435">
        <v>30</v>
      </c>
      <c r="AL1435">
        <v>0</v>
      </c>
      <c r="AM1435">
        <v>0.17543859649122806</v>
      </c>
      <c r="AN1435">
        <v>2.7272727272727275</v>
      </c>
      <c r="AO1435">
        <v>0</v>
      </c>
      <c r="AP1435" t="s">
        <v>1662</v>
      </c>
      <c r="AQ1435" t="s">
        <v>131</v>
      </c>
      <c r="AR1435" t="s">
        <v>229</v>
      </c>
      <c r="AS1435">
        <v>0</v>
      </c>
      <c r="AT1435">
        <v>0</v>
      </c>
      <c r="AU1435">
        <v>0</v>
      </c>
      <c r="AV1435">
        <v>0</v>
      </c>
      <c r="AW1435">
        <v>0</v>
      </c>
      <c r="AX1435">
        <v>0</v>
      </c>
      <c r="AY1435">
        <v>0</v>
      </c>
      <c r="AZ1435" t="s">
        <v>147</v>
      </c>
      <c r="BA1435">
        <v>10</v>
      </c>
      <c r="BB1435">
        <v>0</v>
      </c>
      <c r="BC1435" t="s">
        <v>133</v>
      </c>
      <c r="BD1435">
        <v>0</v>
      </c>
      <c r="BE1435" t="s">
        <v>133</v>
      </c>
      <c r="BF143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36" spans="1:58" x14ac:dyDescent="0.25">
      <c r="A1436" t="s">
        <v>1739</v>
      </c>
      <c r="B1436" t="s">
        <v>19</v>
      </c>
      <c r="C1436">
        <v>3</v>
      </c>
      <c r="D1436">
        <v>214</v>
      </c>
      <c r="E1436" t="s">
        <v>2109</v>
      </c>
      <c r="F1436" t="s">
        <v>123</v>
      </c>
      <c r="G1436" t="s">
        <v>124</v>
      </c>
      <c r="H1436" t="s">
        <v>125</v>
      </c>
      <c r="I1436" t="s">
        <v>1661</v>
      </c>
      <c r="J1436" t="s">
        <v>140</v>
      </c>
      <c r="K1436" t="s">
        <v>127</v>
      </c>
      <c r="L1436">
        <v>57</v>
      </c>
      <c r="M1436">
        <v>1720169</v>
      </c>
      <c r="N1436">
        <v>10</v>
      </c>
      <c r="O1436">
        <v>5</v>
      </c>
      <c r="P1436" t="s">
        <v>1515</v>
      </c>
      <c r="Q1436" t="s">
        <v>129</v>
      </c>
      <c r="R1436">
        <v>20</v>
      </c>
      <c r="S1436" t="s">
        <v>1617</v>
      </c>
      <c r="T1436">
        <v>24</v>
      </c>
      <c r="U1436">
        <v>27</v>
      </c>
      <c r="V1436">
        <v>6</v>
      </c>
      <c r="W1436">
        <v>0</v>
      </c>
      <c r="X1436">
        <v>6</v>
      </c>
      <c r="Y1436">
        <v>0</v>
      </c>
      <c r="Z1436">
        <v>24</v>
      </c>
      <c r="AA1436">
        <v>33</v>
      </c>
      <c r="AB1436">
        <v>57</v>
      </c>
      <c r="AC1436">
        <v>27</v>
      </c>
      <c r="AD1436">
        <v>24</v>
      </c>
      <c r="AE1436">
        <v>0</v>
      </c>
      <c r="AF1436">
        <v>51</v>
      </c>
      <c r="AG1436">
        <v>0</v>
      </c>
      <c r="AH1436">
        <v>30</v>
      </c>
      <c r="AI1436">
        <v>6</v>
      </c>
      <c r="AJ1436">
        <v>30</v>
      </c>
      <c r="AK1436">
        <v>30</v>
      </c>
      <c r="AL1436">
        <v>0</v>
      </c>
      <c r="AM1436">
        <v>0.17543859649122806</v>
      </c>
      <c r="AN1436">
        <v>2.7272727272727275</v>
      </c>
      <c r="AO1436">
        <v>0</v>
      </c>
      <c r="AP1436" t="s">
        <v>1662</v>
      </c>
      <c r="AQ1436" t="s">
        <v>131</v>
      </c>
      <c r="AR1436" t="s">
        <v>229</v>
      </c>
      <c r="AS1436">
        <v>0</v>
      </c>
      <c r="AT1436">
        <v>0</v>
      </c>
      <c r="AU1436">
        <v>0</v>
      </c>
      <c r="AV1436">
        <v>0</v>
      </c>
      <c r="AW1436">
        <v>0</v>
      </c>
      <c r="AX1436">
        <v>0</v>
      </c>
      <c r="AY1436">
        <v>0</v>
      </c>
      <c r="AZ1436" t="s">
        <v>147</v>
      </c>
      <c r="BA1436">
        <v>10</v>
      </c>
      <c r="BB1436">
        <v>0</v>
      </c>
      <c r="BC1436" t="s">
        <v>133</v>
      </c>
      <c r="BD1436">
        <v>0</v>
      </c>
      <c r="BE1436" t="s">
        <v>133</v>
      </c>
      <c r="BF143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37" spans="1:58" x14ac:dyDescent="0.25">
      <c r="A1437" t="s">
        <v>1740</v>
      </c>
      <c r="B1437" t="s">
        <v>19</v>
      </c>
      <c r="C1437">
        <v>3</v>
      </c>
      <c r="D1437">
        <v>215</v>
      </c>
      <c r="E1437" t="s">
        <v>2109</v>
      </c>
      <c r="F1437" t="s">
        <v>123</v>
      </c>
      <c r="G1437" t="s">
        <v>124</v>
      </c>
      <c r="H1437" t="s">
        <v>125</v>
      </c>
      <c r="I1437" t="s">
        <v>183</v>
      </c>
      <c r="J1437" t="s">
        <v>140</v>
      </c>
      <c r="K1437" t="s">
        <v>127</v>
      </c>
      <c r="L1437">
        <v>50</v>
      </c>
      <c r="M1437">
        <v>3136896</v>
      </c>
      <c r="N1437">
        <v>20</v>
      </c>
      <c r="O1437">
        <v>5</v>
      </c>
      <c r="P1437" t="s">
        <v>1515</v>
      </c>
      <c r="Q1437" t="s">
        <v>129</v>
      </c>
      <c r="R1437">
        <v>20</v>
      </c>
      <c r="T1437">
        <v>21</v>
      </c>
      <c r="U1437">
        <v>24</v>
      </c>
      <c r="V1437">
        <v>0</v>
      </c>
      <c r="W1437">
        <v>0</v>
      </c>
      <c r="X1437">
        <v>0</v>
      </c>
      <c r="Y1437">
        <v>1</v>
      </c>
      <c r="Z1437">
        <v>22</v>
      </c>
      <c r="AA1437">
        <v>25</v>
      </c>
      <c r="AB1437">
        <v>50</v>
      </c>
      <c r="AC1437">
        <v>42</v>
      </c>
      <c r="AD1437">
        <v>0</v>
      </c>
      <c r="AE1437">
        <v>2</v>
      </c>
      <c r="AF1437">
        <v>44</v>
      </c>
      <c r="AG1437">
        <v>0</v>
      </c>
      <c r="AH1437">
        <v>8</v>
      </c>
      <c r="AI1437">
        <v>6</v>
      </c>
      <c r="AJ1437">
        <v>6</v>
      </c>
      <c r="AK1437">
        <v>8</v>
      </c>
      <c r="AL1437">
        <v>0</v>
      </c>
      <c r="AM1437">
        <v>0.4</v>
      </c>
      <c r="AN1437">
        <v>0.54545454545454541</v>
      </c>
      <c r="AO1437">
        <v>0</v>
      </c>
      <c r="AP1437" t="s">
        <v>188</v>
      </c>
      <c r="AQ1437" t="s">
        <v>131</v>
      </c>
      <c r="AR1437" t="s">
        <v>229</v>
      </c>
      <c r="AS1437">
        <v>0</v>
      </c>
      <c r="AT1437">
        <v>0</v>
      </c>
      <c r="AU1437">
        <v>0</v>
      </c>
      <c r="AV1437">
        <v>0</v>
      </c>
      <c r="AW1437">
        <v>0</v>
      </c>
      <c r="AX1437">
        <v>0</v>
      </c>
      <c r="AY1437">
        <v>0</v>
      </c>
      <c r="AZ1437" t="s">
        <v>147</v>
      </c>
      <c r="BA1437">
        <v>20</v>
      </c>
      <c r="BB1437">
        <v>0</v>
      </c>
      <c r="BC1437" t="s">
        <v>133</v>
      </c>
      <c r="BD1437">
        <v>0</v>
      </c>
      <c r="BE1437" t="s">
        <v>133</v>
      </c>
      <c r="BF143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38" spans="1:58" x14ac:dyDescent="0.25">
      <c r="A1438" t="s">
        <v>1741</v>
      </c>
      <c r="B1438" t="s">
        <v>19</v>
      </c>
      <c r="C1438">
        <v>3</v>
      </c>
      <c r="D1438">
        <v>216</v>
      </c>
      <c r="E1438" t="s">
        <v>2109</v>
      </c>
      <c r="F1438" t="s">
        <v>123</v>
      </c>
      <c r="G1438" t="s">
        <v>124</v>
      </c>
      <c r="H1438" t="s">
        <v>125</v>
      </c>
      <c r="I1438" t="s">
        <v>183</v>
      </c>
      <c r="J1438" t="s">
        <v>140</v>
      </c>
      <c r="K1438" t="s">
        <v>127</v>
      </c>
      <c r="L1438">
        <v>50</v>
      </c>
      <c r="M1438">
        <v>3136898</v>
      </c>
      <c r="N1438">
        <v>20</v>
      </c>
      <c r="O1438">
        <v>5</v>
      </c>
      <c r="P1438" t="s">
        <v>1515</v>
      </c>
      <c r="Q1438" t="s">
        <v>129</v>
      </c>
      <c r="R1438">
        <v>20</v>
      </c>
      <c r="T1438">
        <v>20</v>
      </c>
      <c r="U1438">
        <v>23</v>
      </c>
      <c r="V1438">
        <v>2</v>
      </c>
      <c r="W1438">
        <v>0</v>
      </c>
      <c r="X1438">
        <v>2</v>
      </c>
      <c r="Y1438">
        <v>0</v>
      </c>
      <c r="Z1438">
        <v>22</v>
      </c>
      <c r="AA1438">
        <v>25</v>
      </c>
      <c r="AB1438">
        <v>50</v>
      </c>
      <c r="AC1438">
        <v>45</v>
      </c>
      <c r="AD1438">
        <v>4</v>
      </c>
      <c r="AE1438">
        <v>0</v>
      </c>
      <c r="AF1438">
        <v>49</v>
      </c>
      <c r="AG1438">
        <v>0</v>
      </c>
      <c r="AH1438">
        <v>5</v>
      </c>
      <c r="AI1438">
        <v>1</v>
      </c>
      <c r="AJ1438">
        <v>5</v>
      </c>
      <c r="AK1438">
        <v>5</v>
      </c>
      <c r="AL1438">
        <v>0</v>
      </c>
      <c r="AM1438">
        <v>0.4</v>
      </c>
      <c r="AN1438">
        <v>0.45454545454545459</v>
      </c>
      <c r="AO1438">
        <v>0</v>
      </c>
      <c r="AP1438" t="s">
        <v>188</v>
      </c>
      <c r="AQ1438" t="s">
        <v>131</v>
      </c>
      <c r="AR1438" t="s">
        <v>229</v>
      </c>
      <c r="AS1438">
        <v>0</v>
      </c>
      <c r="AT1438">
        <v>0</v>
      </c>
      <c r="AU1438">
        <v>0</v>
      </c>
      <c r="AV1438">
        <v>0</v>
      </c>
      <c r="AW1438">
        <v>0</v>
      </c>
      <c r="AX1438">
        <v>0</v>
      </c>
      <c r="AY1438">
        <v>0</v>
      </c>
      <c r="AZ1438" t="s">
        <v>147</v>
      </c>
      <c r="BA1438">
        <v>20</v>
      </c>
      <c r="BB1438">
        <v>0</v>
      </c>
      <c r="BC1438" t="s">
        <v>133</v>
      </c>
      <c r="BD1438">
        <v>0</v>
      </c>
      <c r="BE1438" t="s">
        <v>133</v>
      </c>
      <c r="BF143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39" spans="1:58" x14ac:dyDescent="0.25">
      <c r="A1439" t="s">
        <v>1742</v>
      </c>
      <c r="B1439" t="s">
        <v>19</v>
      </c>
      <c r="C1439">
        <v>3</v>
      </c>
      <c r="D1439">
        <v>217</v>
      </c>
      <c r="E1439" t="s">
        <v>2109</v>
      </c>
      <c r="F1439" t="s">
        <v>123</v>
      </c>
      <c r="G1439" t="s">
        <v>124</v>
      </c>
      <c r="H1439" t="s">
        <v>125</v>
      </c>
      <c r="I1439" t="s">
        <v>183</v>
      </c>
      <c r="J1439" t="s">
        <v>140</v>
      </c>
      <c r="K1439" t="s">
        <v>127</v>
      </c>
      <c r="L1439">
        <v>50</v>
      </c>
      <c r="M1439">
        <v>3136900</v>
      </c>
      <c r="N1439">
        <v>20</v>
      </c>
      <c r="O1439">
        <v>5</v>
      </c>
      <c r="P1439" t="s">
        <v>1515</v>
      </c>
      <c r="Q1439" t="s">
        <v>129</v>
      </c>
      <c r="R1439">
        <v>20</v>
      </c>
      <c r="T1439">
        <v>22</v>
      </c>
      <c r="U1439">
        <v>25</v>
      </c>
      <c r="V1439">
        <v>0</v>
      </c>
      <c r="W1439">
        <v>0</v>
      </c>
      <c r="X1439">
        <v>0</v>
      </c>
      <c r="Y1439">
        <v>0</v>
      </c>
      <c r="Z1439">
        <v>22</v>
      </c>
      <c r="AA1439">
        <v>25</v>
      </c>
      <c r="AB1439">
        <v>50</v>
      </c>
      <c r="AC1439">
        <v>46</v>
      </c>
      <c r="AD1439">
        <v>0</v>
      </c>
      <c r="AE1439">
        <v>0</v>
      </c>
      <c r="AF1439">
        <v>46</v>
      </c>
      <c r="AG1439">
        <v>0</v>
      </c>
      <c r="AH1439">
        <v>4</v>
      </c>
      <c r="AI1439">
        <v>4</v>
      </c>
      <c r="AJ1439">
        <v>4</v>
      </c>
      <c r="AK1439">
        <v>4</v>
      </c>
      <c r="AL1439">
        <v>0</v>
      </c>
      <c r="AM1439">
        <v>0.4</v>
      </c>
      <c r="AN1439">
        <v>0.36363636363636365</v>
      </c>
      <c r="AO1439">
        <v>0</v>
      </c>
      <c r="AP1439" t="s">
        <v>188</v>
      </c>
      <c r="AQ1439" t="s">
        <v>131</v>
      </c>
      <c r="AR1439" t="s">
        <v>229</v>
      </c>
      <c r="AS1439">
        <v>0</v>
      </c>
      <c r="AT1439">
        <v>0</v>
      </c>
      <c r="AU1439">
        <v>0</v>
      </c>
      <c r="AV1439">
        <v>0</v>
      </c>
      <c r="AW1439">
        <v>0</v>
      </c>
      <c r="AX1439">
        <v>0</v>
      </c>
      <c r="AY1439">
        <v>0</v>
      </c>
      <c r="AZ1439" t="s">
        <v>147</v>
      </c>
      <c r="BA1439">
        <v>20</v>
      </c>
      <c r="BB1439">
        <v>0</v>
      </c>
      <c r="BC1439" t="s">
        <v>133</v>
      </c>
      <c r="BD1439">
        <v>0</v>
      </c>
      <c r="BE1439" t="s">
        <v>133</v>
      </c>
      <c r="BF143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40" spans="1:58" x14ac:dyDescent="0.25">
      <c r="A1440" t="s">
        <v>1743</v>
      </c>
      <c r="B1440" t="s">
        <v>19</v>
      </c>
      <c r="C1440">
        <v>3</v>
      </c>
      <c r="D1440">
        <v>218</v>
      </c>
      <c r="E1440" t="s">
        <v>2109</v>
      </c>
      <c r="F1440" t="s">
        <v>123</v>
      </c>
      <c r="G1440" t="s">
        <v>124</v>
      </c>
      <c r="H1440" t="s">
        <v>125</v>
      </c>
      <c r="I1440" t="s">
        <v>183</v>
      </c>
      <c r="J1440" t="s">
        <v>140</v>
      </c>
      <c r="K1440" t="s">
        <v>127</v>
      </c>
      <c r="L1440">
        <v>57</v>
      </c>
      <c r="M1440">
        <v>1907384</v>
      </c>
      <c r="N1440">
        <v>20</v>
      </c>
      <c r="O1440">
        <v>5</v>
      </c>
      <c r="P1440" t="s">
        <v>1515</v>
      </c>
      <c r="Q1440" t="s">
        <v>129</v>
      </c>
      <c r="R1440">
        <v>20</v>
      </c>
      <c r="T1440">
        <v>22</v>
      </c>
      <c r="U1440">
        <v>25</v>
      </c>
      <c r="V1440">
        <v>0</v>
      </c>
      <c r="W1440">
        <v>0</v>
      </c>
      <c r="X1440">
        <v>0</v>
      </c>
      <c r="Y1440">
        <v>0</v>
      </c>
      <c r="Z1440">
        <v>22</v>
      </c>
      <c r="AA1440">
        <v>25</v>
      </c>
      <c r="AB1440">
        <v>57</v>
      </c>
      <c r="AC1440">
        <v>48</v>
      </c>
      <c r="AD1440">
        <v>0</v>
      </c>
      <c r="AE1440">
        <v>0</v>
      </c>
      <c r="AF1440">
        <v>48</v>
      </c>
      <c r="AG1440">
        <v>0</v>
      </c>
      <c r="AH1440">
        <v>9</v>
      </c>
      <c r="AI1440">
        <v>9</v>
      </c>
      <c r="AJ1440">
        <v>9</v>
      </c>
      <c r="AK1440">
        <v>9</v>
      </c>
      <c r="AL1440">
        <v>0</v>
      </c>
      <c r="AM1440">
        <v>0.35087719298245612</v>
      </c>
      <c r="AN1440">
        <v>0.81818181818181823</v>
      </c>
      <c r="AO1440">
        <v>0</v>
      </c>
      <c r="AP1440" t="s">
        <v>188</v>
      </c>
      <c r="AQ1440" t="s">
        <v>131</v>
      </c>
      <c r="AR1440" t="s">
        <v>229</v>
      </c>
      <c r="AS1440">
        <v>0</v>
      </c>
      <c r="AT1440">
        <v>0</v>
      </c>
      <c r="AU1440">
        <v>0</v>
      </c>
      <c r="AV1440">
        <v>0</v>
      </c>
      <c r="AW1440">
        <v>0</v>
      </c>
      <c r="AX1440">
        <v>0</v>
      </c>
      <c r="AY1440">
        <v>0</v>
      </c>
      <c r="AZ1440" t="s">
        <v>147</v>
      </c>
      <c r="BA1440">
        <v>20</v>
      </c>
      <c r="BB1440">
        <v>0</v>
      </c>
      <c r="BC1440" t="s">
        <v>133</v>
      </c>
      <c r="BD1440">
        <v>0</v>
      </c>
      <c r="BE1440" t="s">
        <v>133</v>
      </c>
      <c r="BF144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41" spans="1:58" x14ac:dyDescent="0.25">
      <c r="A1441" t="s">
        <v>1744</v>
      </c>
      <c r="B1441" t="s">
        <v>19</v>
      </c>
      <c r="C1441">
        <v>3</v>
      </c>
      <c r="D1441">
        <v>219</v>
      </c>
      <c r="E1441" t="s">
        <v>2109</v>
      </c>
      <c r="F1441" t="s">
        <v>123</v>
      </c>
      <c r="G1441" t="s">
        <v>124</v>
      </c>
      <c r="H1441" t="s">
        <v>125</v>
      </c>
      <c r="I1441" t="s">
        <v>183</v>
      </c>
      <c r="J1441" t="s">
        <v>126</v>
      </c>
      <c r="K1441" t="s">
        <v>127</v>
      </c>
      <c r="L1441">
        <v>57</v>
      </c>
      <c r="M1441">
        <v>1907386</v>
      </c>
      <c r="N1441">
        <v>20</v>
      </c>
      <c r="O1441">
        <v>5</v>
      </c>
      <c r="P1441" t="s">
        <v>1515</v>
      </c>
      <c r="Q1441" t="s">
        <v>129</v>
      </c>
      <c r="R1441">
        <v>20</v>
      </c>
      <c r="T1441">
        <v>6</v>
      </c>
      <c r="U1441">
        <v>9</v>
      </c>
      <c r="V1441">
        <v>0</v>
      </c>
      <c r="W1441">
        <v>0</v>
      </c>
      <c r="X1441">
        <v>0</v>
      </c>
      <c r="Y1441">
        <v>0</v>
      </c>
      <c r="Z1441">
        <v>6</v>
      </c>
      <c r="AA1441">
        <v>9</v>
      </c>
      <c r="AB1441">
        <v>57</v>
      </c>
      <c r="AC1441">
        <v>17</v>
      </c>
      <c r="AD1441">
        <v>0</v>
      </c>
      <c r="AE1441">
        <v>0</v>
      </c>
      <c r="AF1441">
        <v>17</v>
      </c>
      <c r="AG1441">
        <v>0</v>
      </c>
      <c r="AH1441">
        <v>40</v>
      </c>
      <c r="AI1441">
        <v>40</v>
      </c>
      <c r="AJ1441">
        <v>40</v>
      </c>
      <c r="AK1441">
        <v>40</v>
      </c>
      <c r="AL1441">
        <v>0</v>
      </c>
      <c r="AM1441">
        <v>0.35087719298245612</v>
      </c>
      <c r="AN1441">
        <v>3.6363636363636367</v>
      </c>
      <c r="AO1441">
        <v>0</v>
      </c>
      <c r="AP1441" t="s">
        <v>188</v>
      </c>
      <c r="AQ1441" t="s">
        <v>131</v>
      </c>
      <c r="AR1441" t="s">
        <v>229</v>
      </c>
      <c r="AS1441">
        <v>0</v>
      </c>
      <c r="AT1441">
        <v>0</v>
      </c>
      <c r="AU1441">
        <v>0</v>
      </c>
      <c r="AV1441">
        <v>0</v>
      </c>
      <c r="AW1441">
        <v>0</v>
      </c>
      <c r="AX1441">
        <v>0</v>
      </c>
      <c r="AY1441">
        <v>0</v>
      </c>
      <c r="AZ1441" t="s">
        <v>147</v>
      </c>
      <c r="BA1441">
        <v>20</v>
      </c>
      <c r="BB1441">
        <v>0</v>
      </c>
      <c r="BC1441" t="s">
        <v>133</v>
      </c>
      <c r="BD1441">
        <v>0</v>
      </c>
      <c r="BE1441" t="s">
        <v>133</v>
      </c>
      <c r="BF144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42" spans="1:58" x14ac:dyDescent="0.25">
      <c r="A1442" t="s">
        <v>1745</v>
      </c>
      <c r="B1442" t="s">
        <v>19</v>
      </c>
      <c r="C1442">
        <v>3</v>
      </c>
      <c r="D1442">
        <v>220</v>
      </c>
      <c r="E1442" t="s">
        <v>2109</v>
      </c>
      <c r="F1442" t="s">
        <v>123</v>
      </c>
      <c r="G1442" t="s">
        <v>124</v>
      </c>
      <c r="H1442" t="s">
        <v>125</v>
      </c>
      <c r="I1442" t="s">
        <v>183</v>
      </c>
      <c r="J1442" t="s">
        <v>140</v>
      </c>
      <c r="K1442" t="s">
        <v>127</v>
      </c>
      <c r="L1442">
        <v>50</v>
      </c>
      <c r="M1442">
        <v>1908696</v>
      </c>
      <c r="N1442">
        <v>20</v>
      </c>
      <c r="O1442">
        <v>5</v>
      </c>
      <c r="P1442" t="s">
        <v>1515</v>
      </c>
      <c r="Q1442" t="s">
        <v>129</v>
      </c>
      <c r="R1442">
        <v>20</v>
      </c>
      <c r="T1442">
        <v>22</v>
      </c>
      <c r="U1442">
        <v>25</v>
      </c>
      <c r="V1442">
        <v>0</v>
      </c>
      <c r="W1442">
        <v>0</v>
      </c>
      <c r="X1442">
        <v>0</v>
      </c>
      <c r="Y1442">
        <v>0</v>
      </c>
      <c r="Z1442">
        <v>22</v>
      </c>
      <c r="AA1442">
        <v>25</v>
      </c>
      <c r="AB1442">
        <v>50</v>
      </c>
      <c r="AC1442">
        <v>48</v>
      </c>
      <c r="AD1442">
        <v>0</v>
      </c>
      <c r="AE1442">
        <v>0</v>
      </c>
      <c r="AF1442">
        <v>48</v>
      </c>
      <c r="AG1442">
        <v>0</v>
      </c>
      <c r="AH1442">
        <v>2</v>
      </c>
      <c r="AI1442">
        <v>2</v>
      </c>
      <c r="AJ1442">
        <v>2</v>
      </c>
      <c r="AK1442">
        <v>2</v>
      </c>
      <c r="AL1442">
        <v>0</v>
      </c>
      <c r="AM1442">
        <v>0.4</v>
      </c>
      <c r="AN1442">
        <v>0.18181818181818182</v>
      </c>
      <c r="AO1442">
        <v>0</v>
      </c>
      <c r="AP1442" t="s">
        <v>188</v>
      </c>
      <c r="AQ1442" t="s">
        <v>131</v>
      </c>
      <c r="AR1442" t="s">
        <v>229</v>
      </c>
      <c r="AS1442">
        <v>0</v>
      </c>
      <c r="AT1442">
        <v>0</v>
      </c>
      <c r="AU1442">
        <v>0</v>
      </c>
      <c r="AV1442">
        <v>0</v>
      </c>
      <c r="AW1442">
        <v>0</v>
      </c>
      <c r="AX1442">
        <v>0</v>
      </c>
      <c r="AY1442">
        <v>0</v>
      </c>
      <c r="AZ1442" t="s">
        <v>147</v>
      </c>
      <c r="BA1442">
        <v>20</v>
      </c>
      <c r="BB1442">
        <v>0</v>
      </c>
      <c r="BC1442" t="s">
        <v>133</v>
      </c>
      <c r="BD1442">
        <v>0</v>
      </c>
      <c r="BE1442" t="s">
        <v>133</v>
      </c>
      <c r="BF144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43" spans="1:58" x14ac:dyDescent="0.25">
      <c r="A1443" t="s">
        <v>1746</v>
      </c>
      <c r="B1443" t="s">
        <v>19</v>
      </c>
      <c r="C1443">
        <v>3</v>
      </c>
      <c r="D1443">
        <v>221</v>
      </c>
      <c r="E1443" t="s">
        <v>2109</v>
      </c>
      <c r="F1443" t="s">
        <v>123</v>
      </c>
      <c r="G1443" t="s">
        <v>124</v>
      </c>
      <c r="H1443" t="s">
        <v>125</v>
      </c>
      <c r="I1443" t="s">
        <v>183</v>
      </c>
      <c r="J1443" t="s">
        <v>140</v>
      </c>
      <c r="K1443" t="s">
        <v>127</v>
      </c>
      <c r="L1443">
        <v>50</v>
      </c>
      <c r="M1443">
        <v>1908600</v>
      </c>
      <c r="N1443">
        <v>20</v>
      </c>
      <c r="O1443">
        <v>5</v>
      </c>
      <c r="P1443" t="s">
        <v>1515</v>
      </c>
      <c r="Q1443" t="s">
        <v>129</v>
      </c>
      <c r="R1443">
        <v>20</v>
      </c>
      <c r="T1443">
        <v>22</v>
      </c>
      <c r="U1443">
        <v>25</v>
      </c>
      <c r="V1443">
        <v>0</v>
      </c>
      <c r="W1443">
        <v>0</v>
      </c>
      <c r="X1443">
        <v>0</v>
      </c>
      <c r="Y1443">
        <v>0</v>
      </c>
      <c r="Z1443">
        <v>22</v>
      </c>
      <c r="AA1443">
        <v>25</v>
      </c>
      <c r="AB1443">
        <v>50</v>
      </c>
      <c r="AC1443">
        <v>48</v>
      </c>
      <c r="AD1443">
        <v>0</v>
      </c>
      <c r="AE1443">
        <v>0</v>
      </c>
      <c r="AF1443">
        <v>48</v>
      </c>
      <c r="AG1443">
        <v>0</v>
      </c>
      <c r="AH1443">
        <v>2</v>
      </c>
      <c r="AI1443">
        <v>2</v>
      </c>
      <c r="AJ1443">
        <v>2</v>
      </c>
      <c r="AK1443">
        <v>2</v>
      </c>
      <c r="AL1443">
        <v>0</v>
      </c>
      <c r="AM1443">
        <v>0.4</v>
      </c>
      <c r="AN1443">
        <v>0.18181818181818182</v>
      </c>
      <c r="AO1443">
        <v>0</v>
      </c>
      <c r="AP1443" t="s">
        <v>188</v>
      </c>
      <c r="AQ1443" t="s">
        <v>131</v>
      </c>
      <c r="AR1443" t="s">
        <v>229</v>
      </c>
      <c r="AS1443">
        <v>0</v>
      </c>
      <c r="AT1443">
        <v>0</v>
      </c>
      <c r="AU1443">
        <v>0</v>
      </c>
      <c r="AV1443">
        <v>0</v>
      </c>
      <c r="AW1443">
        <v>0</v>
      </c>
      <c r="AX1443">
        <v>0</v>
      </c>
      <c r="AY1443">
        <v>0</v>
      </c>
      <c r="AZ1443" t="s">
        <v>147</v>
      </c>
      <c r="BA1443">
        <v>20</v>
      </c>
      <c r="BB1443">
        <v>0</v>
      </c>
      <c r="BC1443" t="s">
        <v>144</v>
      </c>
      <c r="BD1443">
        <v>0</v>
      </c>
      <c r="BE1443" t="s">
        <v>133</v>
      </c>
      <c r="BF144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44" spans="1:58" x14ac:dyDescent="0.25">
      <c r="A1444" t="s">
        <v>1747</v>
      </c>
      <c r="B1444" t="s">
        <v>19</v>
      </c>
      <c r="C1444">
        <v>3</v>
      </c>
      <c r="D1444">
        <v>882</v>
      </c>
      <c r="E1444" t="s">
        <v>2109</v>
      </c>
      <c r="F1444" t="s">
        <v>123</v>
      </c>
      <c r="G1444" t="s">
        <v>124</v>
      </c>
      <c r="H1444" t="s">
        <v>125</v>
      </c>
      <c r="I1444" t="s">
        <v>1661</v>
      </c>
      <c r="J1444" t="s">
        <v>140</v>
      </c>
      <c r="K1444" t="s">
        <v>170</v>
      </c>
      <c r="L1444">
        <v>57</v>
      </c>
      <c r="M1444">
        <v>3512579</v>
      </c>
      <c r="N1444">
        <v>0</v>
      </c>
      <c r="O1444">
        <v>5</v>
      </c>
      <c r="P1444" t="s">
        <v>1515</v>
      </c>
      <c r="Q1444" t="s">
        <v>129</v>
      </c>
      <c r="R1444">
        <v>17</v>
      </c>
      <c r="S1444" t="s">
        <v>1748</v>
      </c>
      <c r="T1444">
        <v>0</v>
      </c>
      <c r="U1444">
        <v>6</v>
      </c>
      <c r="V1444">
        <v>3</v>
      </c>
      <c r="W1444">
        <v>0</v>
      </c>
      <c r="X1444">
        <v>3</v>
      </c>
      <c r="Y1444">
        <v>29</v>
      </c>
      <c r="Z1444">
        <v>29</v>
      </c>
      <c r="AA1444">
        <v>38</v>
      </c>
      <c r="AB1444">
        <v>57</v>
      </c>
      <c r="AC1444">
        <v>24</v>
      </c>
      <c r="AD1444">
        <v>3</v>
      </c>
      <c r="AE1444">
        <v>35</v>
      </c>
      <c r="AF1444">
        <v>62</v>
      </c>
      <c r="AG1444">
        <v>0</v>
      </c>
      <c r="AH1444">
        <v>0</v>
      </c>
      <c r="AI1444">
        <v>-5</v>
      </c>
      <c r="AJ1444">
        <v>-2</v>
      </c>
      <c r="AK1444">
        <v>33</v>
      </c>
      <c r="AL1444">
        <v>33</v>
      </c>
      <c r="AM1444">
        <v>0</v>
      </c>
      <c r="AN1444">
        <v>-0.18181818181818182</v>
      </c>
      <c r="AO1444">
        <v>0</v>
      </c>
      <c r="AP1444" t="s">
        <v>1713</v>
      </c>
      <c r="AQ1444" t="s">
        <v>131</v>
      </c>
      <c r="AR1444" t="s">
        <v>229</v>
      </c>
      <c r="AS1444">
        <v>0</v>
      </c>
      <c r="AT1444">
        <v>0</v>
      </c>
      <c r="AU1444">
        <v>0</v>
      </c>
      <c r="AV1444">
        <v>0</v>
      </c>
      <c r="AW1444">
        <v>0</v>
      </c>
      <c r="AX1444">
        <v>0</v>
      </c>
      <c r="AY1444">
        <v>0</v>
      </c>
      <c r="AZ1444" t="s">
        <v>147</v>
      </c>
      <c r="BA1444">
        <v>0</v>
      </c>
      <c r="BB1444">
        <v>0</v>
      </c>
      <c r="BC1444" t="s">
        <v>133</v>
      </c>
      <c r="BD1444">
        <v>0</v>
      </c>
      <c r="BE1444" t="s">
        <v>133</v>
      </c>
      <c r="BF144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45" spans="1:58" x14ac:dyDescent="0.25">
      <c r="A1445" t="s">
        <v>1749</v>
      </c>
      <c r="B1445" t="s">
        <v>19</v>
      </c>
      <c r="C1445">
        <v>3</v>
      </c>
      <c r="D1445">
        <v>883</v>
      </c>
      <c r="E1445" t="s">
        <v>2109</v>
      </c>
      <c r="F1445" t="s">
        <v>123</v>
      </c>
      <c r="G1445" t="s">
        <v>124</v>
      </c>
      <c r="H1445" t="s">
        <v>125</v>
      </c>
      <c r="I1445" t="s">
        <v>1661</v>
      </c>
      <c r="J1445" t="s">
        <v>140</v>
      </c>
      <c r="K1445" t="s">
        <v>170</v>
      </c>
      <c r="L1445">
        <v>57</v>
      </c>
      <c r="M1445">
        <v>3512581</v>
      </c>
      <c r="N1445">
        <v>0</v>
      </c>
      <c r="O1445">
        <v>5</v>
      </c>
      <c r="P1445" t="s">
        <v>1515</v>
      </c>
      <c r="Q1445" t="s">
        <v>129</v>
      </c>
      <c r="R1445">
        <v>17</v>
      </c>
      <c r="S1445" t="s">
        <v>1748</v>
      </c>
      <c r="T1445">
        <v>0</v>
      </c>
      <c r="U1445">
        <v>6</v>
      </c>
      <c r="V1445">
        <v>2</v>
      </c>
      <c r="W1445">
        <v>0</v>
      </c>
      <c r="X1445">
        <v>2</v>
      </c>
      <c r="Y1445">
        <v>29</v>
      </c>
      <c r="Z1445">
        <v>29</v>
      </c>
      <c r="AA1445">
        <v>37</v>
      </c>
      <c r="AB1445">
        <v>57</v>
      </c>
      <c r="AC1445">
        <v>24</v>
      </c>
      <c r="AD1445">
        <v>2</v>
      </c>
      <c r="AE1445">
        <v>35</v>
      </c>
      <c r="AF1445">
        <v>61</v>
      </c>
      <c r="AG1445">
        <v>0</v>
      </c>
      <c r="AH1445">
        <v>0</v>
      </c>
      <c r="AI1445">
        <v>-4</v>
      </c>
      <c r="AJ1445">
        <v>-2</v>
      </c>
      <c r="AK1445">
        <v>33</v>
      </c>
      <c r="AL1445">
        <v>33</v>
      </c>
      <c r="AM1445">
        <v>0</v>
      </c>
      <c r="AN1445">
        <v>-0.18181818181818182</v>
      </c>
      <c r="AO1445">
        <v>0</v>
      </c>
      <c r="AP1445" t="s">
        <v>1713</v>
      </c>
      <c r="AQ1445" t="s">
        <v>131</v>
      </c>
      <c r="AR1445" t="s">
        <v>229</v>
      </c>
      <c r="AS1445">
        <v>0</v>
      </c>
      <c r="AT1445">
        <v>0</v>
      </c>
      <c r="AU1445">
        <v>0</v>
      </c>
      <c r="AV1445">
        <v>0</v>
      </c>
      <c r="AW1445">
        <v>0</v>
      </c>
      <c r="AX1445">
        <v>0</v>
      </c>
      <c r="AY1445">
        <v>0</v>
      </c>
      <c r="AZ1445" t="s">
        <v>147</v>
      </c>
      <c r="BA1445">
        <v>0</v>
      </c>
      <c r="BB1445">
        <v>0</v>
      </c>
      <c r="BC1445" t="s">
        <v>133</v>
      </c>
      <c r="BD1445">
        <v>0</v>
      </c>
      <c r="BE1445" t="s">
        <v>133</v>
      </c>
      <c r="BF144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46" spans="1:58" x14ac:dyDescent="0.25">
      <c r="A1446" t="s">
        <v>1750</v>
      </c>
      <c r="B1446" t="s">
        <v>19</v>
      </c>
      <c r="C1446">
        <v>3</v>
      </c>
      <c r="D1446">
        <v>884</v>
      </c>
      <c r="E1446" t="s">
        <v>2109</v>
      </c>
      <c r="F1446" t="s">
        <v>123</v>
      </c>
      <c r="G1446" t="s">
        <v>124</v>
      </c>
      <c r="H1446" t="s">
        <v>125</v>
      </c>
      <c r="I1446" t="s">
        <v>1661</v>
      </c>
      <c r="J1446" t="s">
        <v>140</v>
      </c>
      <c r="K1446" t="s">
        <v>170</v>
      </c>
      <c r="L1446">
        <v>57</v>
      </c>
      <c r="M1446">
        <v>3512583</v>
      </c>
      <c r="N1446">
        <v>0</v>
      </c>
      <c r="O1446">
        <v>5</v>
      </c>
      <c r="P1446" t="s">
        <v>1515</v>
      </c>
      <c r="Q1446" t="s">
        <v>129</v>
      </c>
      <c r="R1446">
        <v>17</v>
      </c>
      <c r="S1446" t="s">
        <v>1748</v>
      </c>
      <c r="T1446">
        <v>0</v>
      </c>
      <c r="U1446">
        <v>6</v>
      </c>
      <c r="V1446">
        <v>3</v>
      </c>
      <c r="W1446">
        <v>0</v>
      </c>
      <c r="X1446">
        <v>3</v>
      </c>
      <c r="Y1446">
        <v>28</v>
      </c>
      <c r="Z1446">
        <v>28</v>
      </c>
      <c r="AA1446">
        <v>37</v>
      </c>
      <c r="AB1446">
        <v>57</v>
      </c>
      <c r="AC1446">
        <v>24</v>
      </c>
      <c r="AD1446">
        <v>3</v>
      </c>
      <c r="AE1446">
        <v>34</v>
      </c>
      <c r="AF1446">
        <v>61</v>
      </c>
      <c r="AG1446">
        <v>0</v>
      </c>
      <c r="AH1446">
        <v>0</v>
      </c>
      <c r="AI1446">
        <v>-4</v>
      </c>
      <c r="AJ1446">
        <v>-1</v>
      </c>
      <c r="AK1446">
        <v>33</v>
      </c>
      <c r="AL1446">
        <v>33</v>
      </c>
      <c r="AM1446">
        <v>0</v>
      </c>
      <c r="AN1446">
        <v>-9.0909090909090912E-2</v>
      </c>
      <c r="AO1446">
        <v>0</v>
      </c>
      <c r="AP1446" t="s">
        <v>1713</v>
      </c>
      <c r="AQ1446" t="s">
        <v>131</v>
      </c>
      <c r="AR1446" t="s">
        <v>229</v>
      </c>
      <c r="AS1446">
        <v>0</v>
      </c>
      <c r="AT1446">
        <v>0</v>
      </c>
      <c r="AU1446">
        <v>0</v>
      </c>
      <c r="AV1446">
        <v>0</v>
      </c>
      <c r="AW1446">
        <v>0</v>
      </c>
      <c r="AX1446">
        <v>0</v>
      </c>
      <c r="AY1446">
        <v>0</v>
      </c>
      <c r="AZ1446" t="s">
        <v>147</v>
      </c>
      <c r="BA1446">
        <v>0</v>
      </c>
      <c r="BB1446">
        <v>0</v>
      </c>
      <c r="BC1446" t="s">
        <v>133</v>
      </c>
      <c r="BD1446">
        <v>0</v>
      </c>
      <c r="BE1446" t="s">
        <v>133</v>
      </c>
      <c r="BF144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47" spans="1:58" x14ac:dyDescent="0.25">
      <c r="A1447" t="s">
        <v>1751</v>
      </c>
      <c r="B1447" t="s">
        <v>19</v>
      </c>
      <c r="C1447">
        <v>3</v>
      </c>
      <c r="D1447">
        <v>885</v>
      </c>
      <c r="E1447" t="s">
        <v>2109</v>
      </c>
      <c r="F1447" t="s">
        <v>123</v>
      </c>
      <c r="G1447" t="s">
        <v>124</v>
      </c>
      <c r="H1447" t="s">
        <v>125</v>
      </c>
      <c r="I1447" t="s">
        <v>1661</v>
      </c>
      <c r="J1447" t="s">
        <v>140</v>
      </c>
      <c r="K1447" t="s">
        <v>170</v>
      </c>
      <c r="L1447">
        <v>57</v>
      </c>
      <c r="M1447">
        <v>3512585</v>
      </c>
      <c r="N1447">
        <v>0</v>
      </c>
      <c r="O1447">
        <v>5</v>
      </c>
      <c r="P1447" t="s">
        <v>1515</v>
      </c>
      <c r="Q1447" t="s">
        <v>129</v>
      </c>
      <c r="R1447">
        <v>17</v>
      </c>
      <c r="S1447" t="s">
        <v>1748</v>
      </c>
      <c r="T1447">
        <v>0</v>
      </c>
      <c r="U1447">
        <v>6</v>
      </c>
      <c r="V1447">
        <v>3</v>
      </c>
      <c r="W1447">
        <v>0</v>
      </c>
      <c r="X1447">
        <v>3</v>
      </c>
      <c r="Y1447">
        <v>29</v>
      </c>
      <c r="Z1447">
        <v>29</v>
      </c>
      <c r="AA1447">
        <v>38</v>
      </c>
      <c r="AB1447">
        <v>57</v>
      </c>
      <c r="AC1447">
        <v>24</v>
      </c>
      <c r="AD1447">
        <v>3</v>
      </c>
      <c r="AE1447">
        <v>35</v>
      </c>
      <c r="AF1447">
        <v>62</v>
      </c>
      <c r="AG1447">
        <v>0</v>
      </c>
      <c r="AH1447">
        <v>0</v>
      </c>
      <c r="AI1447">
        <v>-5</v>
      </c>
      <c r="AJ1447">
        <v>-2</v>
      </c>
      <c r="AK1447">
        <v>33</v>
      </c>
      <c r="AL1447">
        <v>33</v>
      </c>
      <c r="AM1447">
        <v>0</v>
      </c>
      <c r="AN1447">
        <v>-0.18181818181818182</v>
      </c>
      <c r="AO1447">
        <v>0</v>
      </c>
      <c r="AP1447" t="s">
        <v>1713</v>
      </c>
      <c r="AQ1447" t="s">
        <v>131</v>
      </c>
      <c r="AR1447" t="s">
        <v>229</v>
      </c>
      <c r="AS1447">
        <v>0</v>
      </c>
      <c r="AT1447">
        <v>0</v>
      </c>
      <c r="AU1447">
        <v>0</v>
      </c>
      <c r="AV1447">
        <v>0</v>
      </c>
      <c r="AW1447">
        <v>0</v>
      </c>
      <c r="AX1447">
        <v>0</v>
      </c>
      <c r="AY1447">
        <v>0</v>
      </c>
      <c r="AZ1447" t="s">
        <v>147</v>
      </c>
      <c r="BA1447">
        <v>0</v>
      </c>
      <c r="BB1447">
        <v>0</v>
      </c>
      <c r="BC1447" t="s">
        <v>133</v>
      </c>
      <c r="BD1447">
        <v>0</v>
      </c>
      <c r="BE1447" t="s">
        <v>133</v>
      </c>
      <c r="BF144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48" spans="1:58" x14ac:dyDescent="0.25">
      <c r="A1448" t="s">
        <v>1752</v>
      </c>
      <c r="B1448" t="s">
        <v>19</v>
      </c>
      <c r="C1448">
        <v>3</v>
      </c>
      <c r="D1448">
        <v>886</v>
      </c>
      <c r="E1448" t="s">
        <v>2109</v>
      </c>
      <c r="F1448" t="s">
        <v>123</v>
      </c>
      <c r="G1448" t="s">
        <v>124</v>
      </c>
      <c r="H1448" t="s">
        <v>125</v>
      </c>
      <c r="I1448" t="s">
        <v>1661</v>
      </c>
      <c r="J1448" t="s">
        <v>140</v>
      </c>
      <c r="K1448" t="s">
        <v>170</v>
      </c>
      <c r="L1448">
        <v>57</v>
      </c>
      <c r="M1448">
        <v>3512587</v>
      </c>
      <c r="N1448">
        <v>0</v>
      </c>
      <c r="O1448">
        <v>5</v>
      </c>
      <c r="P1448" t="s">
        <v>1515</v>
      </c>
      <c r="Q1448" t="s">
        <v>129</v>
      </c>
      <c r="R1448">
        <v>17</v>
      </c>
      <c r="S1448" t="s">
        <v>1748</v>
      </c>
      <c r="T1448">
        <v>0</v>
      </c>
      <c r="U1448">
        <v>6</v>
      </c>
      <c r="V1448">
        <v>2</v>
      </c>
      <c r="W1448">
        <v>0</v>
      </c>
      <c r="X1448">
        <v>2</v>
      </c>
      <c r="Y1448">
        <v>29</v>
      </c>
      <c r="Z1448">
        <v>29</v>
      </c>
      <c r="AA1448">
        <v>37</v>
      </c>
      <c r="AB1448">
        <v>57</v>
      </c>
      <c r="AC1448">
        <v>24</v>
      </c>
      <c r="AD1448">
        <v>2</v>
      </c>
      <c r="AE1448">
        <v>35</v>
      </c>
      <c r="AF1448">
        <v>61</v>
      </c>
      <c r="AG1448">
        <v>0</v>
      </c>
      <c r="AH1448">
        <v>0</v>
      </c>
      <c r="AI1448">
        <v>-4</v>
      </c>
      <c r="AJ1448">
        <v>-2</v>
      </c>
      <c r="AK1448">
        <v>33</v>
      </c>
      <c r="AL1448">
        <v>33</v>
      </c>
      <c r="AM1448">
        <v>0</v>
      </c>
      <c r="AN1448">
        <v>-0.18181818181818182</v>
      </c>
      <c r="AO1448">
        <v>0</v>
      </c>
      <c r="AP1448" t="s">
        <v>1713</v>
      </c>
      <c r="AQ1448" t="s">
        <v>131</v>
      </c>
      <c r="AR1448" t="s">
        <v>229</v>
      </c>
      <c r="AS1448">
        <v>0</v>
      </c>
      <c r="AT1448">
        <v>0</v>
      </c>
      <c r="AU1448">
        <v>0</v>
      </c>
      <c r="AV1448">
        <v>0</v>
      </c>
      <c r="AW1448">
        <v>0</v>
      </c>
      <c r="AX1448">
        <v>0</v>
      </c>
      <c r="AY1448">
        <v>0</v>
      </c>
      <c r="AZ1448" t="s">
        <v>147</v>
      </c>
      <c r="BA1448">
        <v>0</v>
      </c>
      <c r="BB1448">
        <v>0</v>
      </c>
      <c r="BC1448" t="s">
        <v>133</v>
      </c>
      <c r="BD1448">
        <v>0</v>
      </c>
      <c r="BE1448" t="s">
        <v>133</v>
      </c>
      <c r="BF144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49" spans="1:58" x14ac:dyDescent="0.25">
      <c r="A1449" t="s">
        <v>1753</v>
      </c>
      <c r="B1449" t="s">
        <v>19</v>
      </c>
      <c r="C1449">
        <v>3</v>
      </c>
      <c r="D1449">
        <v>887</v>
      </c>
      <c r="E1449" t="s">
        <v>2109</v>
      </c>
      <c r="F1449" t="s">
        <v>123</v>
      </c>
      <c r="G1449" t="s">
        <v>124</v>
      </c>
      <c r="H1449" t="s">
        <v>125</v>
      </c>
      <c r="I1449" t="s">
        <v>1661</v>
      </c>
      <c r="J1449" t="s">
        <v>140</v>
      </c>
      <c r="K1449" t="s">
        <v>170</v>
      </c>
      <c r="L1449">
        <v>57</v>
      </c>
      <c r="M1449">
        <v>3512589</v>
      </c>
      <c r="N1449">
        <v>0</v>
      </c>
      <c r="O1449">
        <v>5</v>
      </c>
      <c r="P1449" t="s">
        <v>1515</v>
      </c>
      <c r="Q1449" t="s">
        <v>129</v>
      </c>
      <c r="R1449">
        <v>17</v>
      </c>
      <c r="S1449" t="s">
        <v>1748</v>
      </c>
      <c r="T1449">
        <v>0</v>
      </c>
      <c r="U1449">
        <v>6</v>
      </c>
      <c r="V1449">
        <v>3</v>
      </c>
      <c r="W1449">
        <v>0</v>
      </c>
      <c r="X1449">
        <v>3</v>
      </c>
      <c r="Y1449">
        <v>29</v>
      </c>
      <c r="Z1449">
        <v>29</v>
      </c>
      <c r="AA1449">
        <v>38</v>
      </c>
      <c r="AB1449">
        <v>57</v>
      </c>
      <c r="AC1449">
        <v>24</v>
      </c>
      <c r="AD1449">
        <v>3</v>
      </c>
      <c r="AE1449">
        <v>35</v>
      </c>
      <c r="AF1449">
        <v>62</v>
      </c>
      <c r="AG1449">
        <v>0</v>
      </c>
      <c r="AH1449">
        <v>0</v>
      </c>
      <c r="AI1449">
        <v>-5</v>
      </c>
      <c r="AJ1449">
        <v>-2</v>
      </c>
      <c r="AK1449">
        <v>33</v>
      </c>
      <c r="AL1449">
        <v>33</v>
      </c>
      <c r="AM1449">
        <v>0</v>
      </c>
      <c r="AN1449">
        <v>-0.18181818181818182</v>
      </c>
      <c r="AO1449">
        <v>0</v>
      </c>
      <c r="AP1449" t="s">
        <v>1713</v>
      </c>
      <c r="AQ1449" t="s">
        <v>131</v>
      </c>
      <c r="AR1449" t="s">
        <v>229</v>
      </c>
      <c r="AS1449">
        <v>0</v>
      </c>
      <c r="AT1449">
        <v>0</v>
      </c>
      <c r="AU1449">
        <v>0</v>
      </c>
      <c r="AV1449">
        <v>0</v>
      </c>
      <c r="AW1449">
        <v>0</v>
      </c>
      <c r="AX1449">
        <v>0</v>
      </c>
      <c r="AY1449">
        <v>0</v>
      </c>
      <c r="AZ1449" t="s">
        <v>147</v>
      </c>
      <c r="BA1449">
        <v>0</v>
      </c>
      <c r="BB1449">
        <v>0</v>
      </c>
      <c r="BC1449" t="s">
        <v>133</v>
      </c>
      <c r="BD1449">
        <v>0</v>
      </c>
      <c r="BE1449" t="s">
        <v>133</v>
      </c>
      <c r="BF144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50" spans="1:58" x14ac:dyDescent="0.25">
      <c r="A1450" t="s">
        <v>1754</v>
      </c>
      <c r="B1450" t="s">
        <v>19</v>
      </c>
      <c r="C1450">
        <v>3</v>
      </c>
      <c r="D1450">
        <v>888</v>
      </c>
      <c r="E1450" t="s">
        <v>2109</v>
      </c>
      <c r="F1450" t="s">
        <v>123</v>
      </c>
      <c r="G1450" t="s">
        <v>124</v>
      </c>
      <c r="H1450" t="s">
        <v>125</v>
      </c>
      <c r="I1450" t="s">
        <v>1661</v>
      </c>
      <c r="J1450" t="s">
        <v>140</v>
      </c>
      <c r="K1450" t="s">
        <v>170</v>
      </c>
      <c r="L1450">
        <v>57</v>
      </c>
      <c r="M1450">
        <v>3512591</v>
      </c>
      <c r="N1450">
        <v>0</v>
      </c>
      <c r="O1450">
        <v>5</v>
      </c>
      <c r="P1450" t="s">
        <v>1515</v>
      </c>
      <c r="Q1450" t="s">
        <v>129</v>
      </c>
      <c r="R1450">
        <v>17</v>
      </c>
      <c r="S1450" t="s">
        <v>1748</v>
      </c>
      <c r="T1450">
        <v>0</v>
      </c>
      <c r="U1450">
        <v>6</v>
      </c>
      <c r="V1450">
        <v>2</v>
      </c>
      <c r="W1450">
        <v>0</v>
      </c>
      <c r="X1450">
        <v>2</v>
      </c>
      <c r="Y1450">
        <v>29</v>
      </c>
      <c r="Z1450">
        <v>29</v>
      </c>
      <c r="AA1450">
        <v>37</v>
      </c>
      <c r="AB1450">
        <v>57</v>
      </c>
      <c r="AC1450">
        <v>24</v>
      </c>
      <c r="AD1450">
        <v>2</v>
      </c>
      <c r="AE1450">
        <v>35</v>
      </c>
      <c r="AF1450">
        <v>61</v>
      </c>
      <c r="AG1450">
        <v>0</v>
      </c>
      <c r="AH1450">
        <v>0</v>
      </c>
      <c r="AI1450">
        <v>-4</v>
      </c>
      <c r="AJ1450">
        <v>-2</v>
      </c>
      <c r="AK1450">
        <v>33</v>
      </c>
      <c r="AL1450">
        <v>33</v>
      </c>
      <c r="AM1450">
        <v>0</v>
      </c>
      <c r="AN1450">
        <v>-0.18181818181818182</v>
      </c>
      <c r="AO1450">
        <v>0</v>
      </c>
      <c r="AP1450" t="s">
        <v>1713</v>
      </c>
      <c r="AQ1450" t="s">
        <v>131</v>
      </c>
      <c r="AR1450" t="s">
        <v>229</v>
      </c>
      <c r="AS1450">
        <v>0</v>
      </c>
      <c r="AT1450">
        <v>0</v>
      </c>
      <c r="AU1450">
        <v>0</v>
      </c>
      <c r="AV1450">
        <v>0</v>
      </c>
      <c r="AW1450">
        <v>0</v>
      </c>
      <c r="AX1450">
        <v>0</v>
      </c>
      <c r="AY1450">
        <v>0</v>
      </c>
      <c r="AZ1450" t="s">
        <v>147</v>
      </c>
      <c r="BA1450">
        <v>0</v>
      </c>
      <c r="BB1450">
        <v>0</v>
      </c>
      <c r="BC1450" t="s">
        <v>133</v>
      </c>
      <c r="BD1450">
        <v>0</v>
      </c>
      <c r="BE1450" t="s">
        <v>133</v>
      </c>
      <c r="BF145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51" spans="1:58" x14ac:dyDescent="0.25">
      <c r="A1451" t="s">
        <v>1755</v>
      </c>
      <c r="B1451" t="s">
        <v>19</v>
      </c>
      <c r="C1451">
        <v>3</v>
      </c>
      <c r="D1451">
        <v>900</v>
      </c>
      <c r="E1451" t="s">
        <v>2109</v>
      </c>
      <c r="F1451" t="s">
        <v>123</v>
      </c>
      <c r="G1451" t="s">
        <v>124</v>
      </c>
      <c r="H1451" t="s">
        <v>125</v>
      </c>
      <c r="I1451" t="s">
        <v>1661</v>
      </c>
      <c r="J1451" t="s">
        <v>140</v>
      </c>
      <c r="K1451" t="s">
        <v>170</v>
      </c>
      <c r="L1451">
        <v>57</v>
      </c>
      <c r="M1451">
        <v>3509327</v>
      </c>
      <c r="N1451">
        <v>0</v>
      </c>
      <c r="O1451">
        <v>5</v>
      </c>
      <c r="P1451" t="s">
        <v>1515</v>
      </c>
      <c r="Q1451" t="s">
        <v>129</v>
      </c>
      <c r="R1451">
        <v>19</v>
      </c>
      <c r="S1451" t="s">
        <v>1756</v>
      </c>
      <c r="T1451">
        <v>0</v>
      </c>
      <c r="U1451">
        <v>5</v>
      </c>
      <c r="V1451">
        <v>3</v>
      </c>
      <c r="W1451">
        <v>0</v>
      </c>
      <c r="X1451">
        <v>3</v>
      </c>
      <c r="Y1451">
        <v>27</v>
      </c>
      <c r="Z1451">
        <v>27</v>
      </c>
      <c r="AA1451">
        <v>35</v>
      </c>
      <c r="AB1451">
        <v>57</v>
      </c>
      <c r="AC1451">
        <v>20</v>
      </c>
      <c r="AD1451">
        <v>6</v>
      </c>
      <c r="AE1451">
        <v>33</v>
      </c>
      <c r="AF1451">
        <v>59</v>
      </c>
      <c r="AG1451">
        <v>0</v>
      </c>
      <c r="AH1451">
        <v>0</v>
      </c>
      <c r="AI1451">
        <v>-2</v>
      </c>
      <c r="AJ1451">
        <v>4</v>
      </c>
      <c r="AK1451">
        <v>37</v>
      </c>
      <c r="AL1451">
        <v>37</v>
      </c>
      <c r="AM1451">
        <v>0</v>
      </c>
      <c r="AN1451">
        <v>0.36363636363636365</v>
      </c>
      <c r="AO1451">
        <v>0</v>
      </c>
      <c r="AP1451" t="s">
        <v>1713</v>
      </c>
      <c r="AQ1451" t="s">
        <v>131</v>
      </c>
      <c r="AR1451" t="s">
        <v>229</v>
      </c>
      <c r="AS1451">
        <v>0</v>
      </c>
      <c r="AT1451">
        <v>0</v>
      </c>
      <c r="AU1451">
        <v>0</v>
      </c>
      <c r="AV1451">
        <v>0</v>
      </c>
      <c r="AW1451">
        <v>0</v>
      </c>
      <c r="AX1451">
        <v>0</v>
      </c>
      <c r="AY1451">
        <v>0</v>
      </c>
      <c r="AZ1451" t="s">
        <v>147</v>
      </c>
      <c r="BA1451">
        <v>0</v>
      </c>
      <c r="BB1451">
        <v>0</v>
      </c>
      <c r="BC1451" t="s">
        <v>133</v>
      </c>
      <c r="BD1451">
        <v>0</v>
      </c>
      <c r="BE1451" t="s">
        <v>133</v>
      </c>
      <c r="BF145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52" spans="1:58" x14ac:dyDescent="0.25">
      <c r="A1452" t="s">
        <v>1757</v>
      </c>
      <c r="B1452" t="s">
        <v>19</v>
      </c>
      <c r="C1452">
        <v>3</v>
      </c>
      <c r="D1452">
        <v>901</v>
      </c>
      <c r="E1452" t="s">
        <v>2109</v>
      </c>
      <c r="F1452" t="s">
        <v>123</v>
      </c>
      <c r="G1452" t="s">
        <v>124</v>
      </c>
      <c r="H1452" t="s">
        <v>125</v>
      </c>
      <c r="I1452" t="s">
        <v>1661</v>
      </c>
      <c r="J1452" t="s">
        <v>140</v>
      </c>
      <c r="K1452" t="s">
        <v>170</v>
      </c>
      <c r="L1452">
        <v>57</v>
      </c>
      <c r="M1452">
        <v>3509329</v>
      </c>
      <c r="N1452">
        <v>0</v>
      </c>
      <c r="O1452">
        <v>5</v>
      </c>
      <c r="P1452" t="s">
        <v>1515</v>
      </c>
      <c r="Q1452" t="s">
        <v>129</v>
      </c>
      <c r="R1452">
        <v>19</v>
      </c>
      <c r="S1452" t="s">
        <v>1756</v>
      </c>
      <c r="T1452">
        <v>0</v>
      </c>
      <c r="U1452">
        <v>6</v>
      </c>
      <c r="V1452">
        <v>3</v>
      </c>
      <c r="W1452">
        <v>0</v>
      </c>
      <c r="X1452">
        <v>3</v>
      </c>
      <c r="Y1452">
        <v>27</v>
      </c>
      <c r="Z1452">
        <v>27</v>
      </c>
      <c r="AA1452">
        <v>36</v>
      </c>
      <c r="AB1452">
        <v>57</v>
      </c>
      <c r="AC1452">
        <v>24</v>
      </c>
      <c r="AD1452">
        <v>3</v>
      </c>
      <c r="AE1452">
        <v>33</v>
      </c>
      <c r="AF1452">
        <v>60</v>
      </c>
      <c r="AG1452">
        <v>0</v>
      </c>
      <c r="AH1452">
        <v>0</v>
      </c>
      <c r="AI1452">
        <v>-3</v>
      </c>
      <c r="AJ1452">
        <v>0</v>
      </c>
      <c r="AK1452">
        <v>33</v>
      </c>
      <c r="AL1452">
        <v>33</v>
      </c>
      <c r="AM1452">
        <v>0</v>
      </c>
      <c r="AN1452">
        <v>0</v>
      </c>
      <c r="AO1452">
        <v>0</v>
      </c>
      <c r="AP1452" t="s">
        <v>1713</v>
      </c>
      <c r="AQ1452" t="s">
        <v>131</v>
      </c>
      <c r="AR1452" t="s">
        <v>229</v>
      </c>
      <c r="AS1452">
        <v>0</v>
      </c>
      <c r="AT1452">
        <v>0</v>
      </c>
      <c r="AU1452">
        <v>0</v>
      </c>
      <c r="AV1452">
        <v>0</v>
      </c>
      <c r="AW1452">
        <v>0</v>
      </c>
      <c r="AX1452">
        <v>0</v>
      </c>
      <c r="AY1452">
        <v>0</v>
      </c>
      <c r="AZ1452" t="s">
        <v>147</v>
      </c>
      <c r="BA1452">
        <v>0</v>
      </c>
      <c r="BB1452">
        <v>0</v>
      </c>
      <c r="BC1452" t="s">
        <v>133</v>
      </c>
      <c r="BD1452">
        <v>0</v>
      </c>
      <c r="BE1452" t="s">
        <v>133</v>
      </c>
      <c r="BF145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53" spans="1:58" x14ac:dyDescent="0.25">
      <c r="A1453" t="s">
        <v>1758</v>
      </c>
      <c r="B1453" t="s">
        <v>19</v>
      </c>
      <c r="C1453">
        <v>3</v>
      </c>
      <c r="D1453">
        <v>902</v>
      </c>
      <c r="E1453" t="s">
        <v>2109</v>
      </c>
      <c r="F1453" t="s">
        <v>123</v>
      </c>
      <c r="G1453" t="s">
        <v>124</v>
      </c>
      <c r="H1453" t="s">
        <v>125</v>
      </c>
      <c r="I1453" t="s">
        <v>1661</v>
      </c>
      <c r="J1453" t="s">
        <v>140</v>
      </c>
      <c r="K1453" t="s">
        <v>170</v>
      </c>
      <c r="L1453">
        <v>57</v>
      </c>
      <c r="M1453">
        <v>3509331</v>
      </c>
      <c r="N1453">
        <v>0</v>
      </c>
      <c r="O1453">
        <v>5</v>
      </c>
      <c r="P1453" t="s">
        <v>1515</v>
      </c>
      <c r="Q1453" t="s">
        <v>129</v>
      </c>
      <c r="R1453">
        <v>19</v>
      </c>
      <c r="S1453" t="s">
        <v>1756</v>
      </c>
      <c r="T1453">
        <v>0</v>
      </c>
      <c r="U1453">
        <v>6</v>
      </c>
      <c r="V1453">
        <v>3</v>
      </c>
      <c r="W1453">
        <v>0</v>
      </c>
      <c r="X1453">
        <v>3</v>
      </c>
      <c r="Y1453">
        <v>27</v>
      </c>
      <c r="Z1453">
        <v>27</v>
      </c>
      <c r="AA1453">
        <v>36</v>
      </c>
      <c r="AB1453">
        <v>57</v>
      </c>
      <c r="AC1453">
        <v>24</v>
      </c>
      <c r="AD1453">
        <v>3</v>
      </c>
      <c r="AE1453">
        <v>33</v>
      </c>
      <c r="AF1453">
        <v>60</v>
      </c>
      <c r="AG1453">
        <v>0</v>
      </c>
      <c r="AH1453">
        <v>0</v>
      </c>
      <c r="AI1453">
        <v>-3</v>
      </c>
      <c r="AJ1453">
        <v>0</v>
      </c>
      <c r="AK1453">
        <v>33</v>
      </c>
      <c r="AL1453">
        <v>33</v>
      </c>
      <c r="AM1453">
        <v>0</v>
      </c>
      <c r="AN1453">
        <v>0</v>
      </c>
      <c r="AO1453">
        <v>0</v>
      </c>
      <c r="AP1453" t="s">
        <v>1713</v>
      </c>
      <c r="AQ1453" t="s">
        <v>131</v>
      </c>
      <c r="AR1453" t="s">
        <v>229</v>
      </c>
      <c r="AS1453">
        <v>0</v>
      </c>
      <c r="AT1453">
        <v>0</v>
      </c>
      <c r="AU1453">
        <v>0</v>
      </c>
      <c r="AV1453">
        <v>0</v>
      </c>
      <c r="AW1453">
        <v>0</v>
      </c>
      <c r="AX1453">
        <v>0</v>
      </c>
      <c r="AY1453">
        <v>0</v>
      </c>
      <c r="AZ1453" t="s">
        <v>147</v>
      </c>
      <c r="BA1453">
        <v>0</v>
      </c>
      <c r="BB1453">
        <v>0</v>
      </c>
      <c r="BC1453" t="s">
        <v>133</v>
      </c>
      <c r="BD1453">
        <v>0</v>
      </c>
      <c r="BE1453" t="s">
        <v>133</v>
      </c>
      <c r="BF145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54" spans="1:58" x14ac:dyDescent="0.25">
      <c r="A1454" t="s">
        <v>1759</v>
      </c>
      <c r="B1454" t="s">
        <v>19</v>
      </c>
      <c r="C1454">
        <v>3</v>
      </c>
      <c r="D1454">
        <v>903</v>
      </c>
      <c r="E1454" t="s">
        <v>2109</v>
      </c>
      <c r="F1454" t="s">
        <v>123</v>
      </c>
      <c r="G1454" t="s">
        <v>124</v>
      </c>
      <c r="H1454" t="s">
        <v>125</v>
      </c>
      <c r="I1454" t="s">
        <v>1661</v>
      </c>
      <c r="J1454" t="s">
        <v>140</v>
      </c>
      <c r="K1454" t="s">
        <v>170</v>
      </c>
      <c r="L1454">
        <v>57</v>
      </c>
      <c r="M1454">
        <v>3509333</v>
      </c>
      <c r="N1454">
        <v>0</v>
      </c>
      <c r="O1454">
        <v>5</v>
      </c>
      <c r="P1454" t="s">
        <v>1515</v>
      </c>
      <c r="Q1454" t="s">
        <v>129</v>
      </c>
      <c r="R1454">
        <v>19</v>
      </c>
      <c r="S1454" t="s">
        <v>1756</v>
      </c>
      <c r="T1454">
        <v>0</v>
      </c>
      <c r="U1454">
        <v>0</v>
      </c>
      <c r="V1454">
        <v>9</v>
      </c>
      <c r="W1454">
        <v>0</v>
      </c>
      <c r="X1454">
        <v>9</v>
      </c>
      <c r="Y1454">
        <v>27</v>
      </c>
      <c r="Z1454">
        <v>27</v>
      </c>
      <c r="AA1454">
        <v>36</v>
      </c>
      <c r="AB1454">
        <v>57</v>
      </c>
      <c r="AC1454">
        <v>0</v>
      </c>
      <c r="AD1454">
        <v>27</v>
      </c>
      <c r="AE1454">
        <v>33</v>
      </c>
      <c r="AF1454">
        <v>60</v>
      </c>
      <c r="AG1454">
        <v>0</v>
      </c>
      <c r="AH1454">
        <v>0</v>
      </c>
      <c r="AI1454">
        <v>-3</v>
      </c>
      <c r="AJ1454">
        <v>24</v>
      </c>
      <c r="AK1454">
        <v>57</v>
      </c>
      <c r="AL1454">
        <v>57</v>
      </c>
      <c r="AM1454">
        <v>0</v>
      </c>
      <c r="AN1454">
        <v>2.1818181818181817</v>
      </c>
      <c r="AO1454">
        <v>0</v>
      </c>
      <c r="AP1454" t="s">
        <v>1713</v>
      </c>
      <c r="AQ1454" t="s">
        <v>131</v>
      </c>
      <c r="AR1454" t="s">
        <v>229</v>
      </c>
      <c r="AS1454">
        <v>0</v>
      </c>
      <c r="AT1454">
        <v>0</v>
      </c>
      <c r="AU1454">
        <v>0</v>
      </c>
      <c r="AV1454">
        <v>0</v>
      </c>
      <c r="AW1454">
        <v>0</v>
      </c>
      <c r="AX1454">
        <v>0</v>
      </c>
      <c r="AY1454">
        <v>0</v>
      </c>
      <c r="AZ1454" t="s">
        <v>147</v>
      </c>
      <c r="BA1454">
        <v>0</v>
      </c>
      <c r="BB1454">
        <v>0</v>
      </c>
      <c r="BC1454" t="s">
        <v>133</v>
      </c>
      <c r="BD1454">
        <v>0</v>
      </c>
      <c r="BE1454" t="s">
        <v>133</v>
      </c>
      <c r="BF145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55" spans="1:58" x14ac:dyDescent="0.25">
      <c r="A1455" t="s">
        <v>1760</v>
      </c>
      <c r="B1455" t="s">
        <v>19</v>
      </c>
      <c r="C1455">
        <v>3</v>
      </c>
      <c r="D1455">
        <v>904</v>
      </c>
      <c r="E1455" t="s">
        <v>2109</v>
      </c>
      <c r="F1455" t="s">
        <v>123</v>
      </c>
      <c r="G1455" t="s">
        <v>124</v>
      </c>
      <c r="H1455" t="s">
        <v>125</v>
      </c>
      <c r="I1455" t="s">
        <v>1661</v>
      </c>
      <c r="J1455" t="s">
        <v>140</v>
      </c>
      <c r="K1455" t="s">
        <v>170</v>
      </c>
      <c r="L1455">
        <v>57</v>
      </c>
      <c r="M1455">
        <v>3509335</v>
      </c>
      <c r="N1455">
        <v>0</v>
      </c>
      <c r="O1455">
        <v>5</v>
      </c>
      <c r="P1455" t="s">
        <v>1515</v>
      </c>
      <c r="Q1455" t="s">
        <v>129</v>
      </c>
      <c r="R1455">
        <v>19</v>
      </c>
      <c r="S1455" t="s">
        <v>1756</v>
      </c>
      <c r="T1455">
        <v>0</v>
      </c>
      <c r="U1455">
        <v>0</v>
      </c>
      <c r="V1455">
        <v>8</v>
      </c>
      <c r="W1455">
        <v>0</v>
      </c>
      <c r="X1455">
        <v>8</v>
      </c>
      <c r="Y1455">
        <v>27</v>
      </c>
      <c r="Z1455">
        <v>27</v>
      </c>
      <c r="AA1455">
        <v>35</v>
      </c>
      <c r="AB1455">
        <v>57</v>
      </c>
      <c r="AC1455">
        <v>0</v>
      </c>
      <c r="AD1455">
        <v>26</v>
      </c>
      <c r="AE1455">
        <v>33</v>
      </c>
      <c r="AF1455">
        <v>59</v>
      </c>
      <c r="AG1455">
        <v>0</v>
      </c>
      <c r="AH1455">
        <v>0</v>
      </c>
      <c r="AI1455">
        <v>-2</v>
      </c>
      <c r="AJ1455">
        <v>24</v>
      </c>
      <c r="AK1455">
        <v>57</v>
      </c>
      <c r="AL1455">
        <v>57</v>
      </c>
      <c r="AM1455">
        <v>0</v>
      </c>
      <c r="AN1455">
        <v>2.1818181818181817</v>
      </c>
      <c r="AO1455">
        <v>0</v>
      </c>
      <c r="AP1455" t="s">
        <v>1713</v>
      </c>
      <c r="AQ1455" t="s">
        <v>131</v>
      </c>
      <c r="AR1455" t="s">
        <v>229</v>
      </c>
      <c r="AS1455">
        <v>0</v>
      </c>
      <c r="AT1455">
        <v>0</v>
      </c>
      <c r="AU1455">
        <v>0</v>
      </c>
      <c r="AV1455">
        <v>0</v>
      </c>
      <c r="AW1455">
        <v>0</v>
      </c>
      <c r="AX1455">
        <v>0</v>
      </c>
      <c r="AY1455">
        <v>0</v>
      </c>
      <c r="AZ1455" t="s">
        <v>147</v>
      </c>
      <c r="BA1455">
        <v>0</v>
      </c>
      <c r="BB1455">
        <v>0</v>
      </c>
      <c r="BC1455" t="s">
        <v>133</v>
      </c>
      <c r="BD1455">
        <v>0</v>
      </c>
      <c r="BE1455" t="s">
        <v>133</v>
      </c>
      <c r="BF145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56" spans="1:58" x14ac:dyDescent="0.25">
      <c r="A1456" t="s">
        <v>1761</v>
      </c>
      <c r="B1456" t="s">
        <v>19</v>
      </c>
      <c r="C1456">
        <v>3</v>
      </c>
      <c r="D1456">
        <v>905</v>
      </c>
      <c r="E1456" t="s">
        <v>2109</v>
      </c>
      <c r="F1456" t="s">
        <v>123</v>
      </c>
      <c r="G1456" t="s">
        <v>124</v>
      </c>
      <c r="H1456" t="s">
        <v>125</v>
      </c>
      <c r="I1456" t="s">
        <v>1661</v>
      </c>
      <c r="J1456" t="s">
        <v>140</v>
      </c>
      <c r="K1456" t="s">
        <v>170</v>
      </c>
      <c r="L1456">
        <v>57</v>
      </c>
      <c r="M1456">
        <v>3509337</v>
      </c>
      <c r="N1456">
        <v>0</v>
      </c>
      <c r="O1456">
        <v>5</v>
      </c>
      <c r="P1456" t="s">
        <v>1515</v>
      </c>
      <c r="Q1456" t="s">
        <v>129</v>
      </c>
      <c r="R1456">
        <v>19</v>
      </c>
      <c r="S1456" t="s">
        <v>1762</v>
      </c>
      <c r="T1456">
        <v>0</v>
      </c>
      <c r="U1456">
        <v>6</v>
      </c>
      <c r="V1456">
        <v>3</v>
      </c>
      <c r="W1456">
        <v>0</v>
      </c>
      <c r="X1456">
        <v>3</v>
      </c>
      <c r="Y1456">
        <v>27</v>
      </c>
      <c r="Z1456">
        <v>27</v>
      </c>
      <c r="AA1456">
        <v>36</v>
      </c>
      <c r="AB1456">
        <v>57</v>
      </c>
      <c r="AC1456">
        <v>24</v>
      </c>
      <c r="AD1456">
        <v>3</v>
      </c>
      <c r="AE1456">
        <v>33</v>
      </c>
      <c r="AF1456">
        <v>60</v>
      </c>
      <c r="AG1456">
        <v>0</v>
      </c>
      <c r="AH1456">
        <v>0</v>
      </c>
      <c r="AI1456">
        <v>-3</v>
      </c>
      <c r="AJ1456">
        <v>0</v>
      </c>
      <c r="AK1456">
        <v>33</v>
      </c>
      <c r="AL1456">
        <v>33</v>
      </c>
      <c r="AM1456">
        <v>0</v>
      </c>
      <c r="AN1456">
        <v>0</v>
      </c>
      <c r="AO1456">
        <v>0</v>
      </c>
      <c r="AP1456" t="s">
        <v>1713</v>
      </c>
      <c r="AQ1456" t="s">
        <v>131</v>
      </c>
      <c r="AR1456" t="s">
        <v>229</v>
      </c>
      <c r="AS1456">
        <v>0</v>
      </c>
      <c r="AT1456">
        <v>0</v>
      </c>
      <c r="AU1456">
        <v>0</v>
      </c>
      <c r="AV1456">
        <v>0</v>
      </c>
      <c r="AW1456">
        <v>0</v>
      </c>
      <c r="AX1456">
        <v>0</v>
      </c>
      <c r="AY1456">
        <v>0</v>
      </c>
      <c r="AZ1456" t="s">
        <v>147</v>
      </c>
      <c r="BA1456">
        <v>0</v>
      </c>
      <c r="BB1456">
        <v>0</v>
      </c>
      <c r="BC1456" t="s">
        <v>133</v>
      </c>
      <c r="BD1456">
        <v>0</v>
      </c>
      <c r="BE1456" t="s">
        <v>133</v>
      </c>
      <c r="BF145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57" spans="1:58" x14ac:dyDescent="0.25">
      <c r="A1457" t="s">
        <v>1763</v>
      </c>
      <c r="B1457" t="s">
        <v>19</v>
      </c>
      <c r="C1457">
        <v>4</v>
      </c>
      <c r="D1457">
        <v>1</v>
      </c>
      <c r="E1457" t="s">
        <v>2112</v>
      </c>
      <c r="F1457" t="s">
        <v>123</v>
      </c>
      <c r="G1457" t="s">
        <v>124</v>
      </c>
      <c r="H1457" t="s">
        <v>125</v>
      </c>
      <c r="I1457" t="s">
        <v>126</v>
      </c>
      <c r="J1457" t="s">
        <v>126</v>
      </c>
      <c r="K1457" t="s">
        <v>127</v>
      </c>
      <c r="L1457">
        <v>50</v>
      </c>
      <c r="M1457">
        <v>1511093</v>
      </c>
      <c r="N1457">
        <v>6</v>
      </c>
      <c r="O1457">
        <v>6</v>
      </c>
      <c r="P1457" t="s">
        <v>1764</v>
      </c>
      <c r="Q1457" t="s">
        <v>1765</v>
      </c>
      <c r="R1457">
        <v>1</v>
      </c>
      <c r="T1457">
        <v>38</v>
      </c>
      <c r="U1457">
        <v>43</v>
      </c>
      <c r="V1457">
        <v>0</v>
      </c>
      <c r="W1457">
        <v>0</v>
      </c>
      <c r="X1457">
        <v>0</v>
      </c>
      <c r="Y1457">
        <v>2</v>
      </c>
      <c r="Z1457">
        <v>40</v>
      </c>
      <c r="AA1457">
        <v>45</v>
      </c>
      <c r="AB1457">
        <v>50</v>
      </c>
      <c r="AC1457">
        <v>43</v>
      </c>
      <c r="AD1457">
        <v>0</v>
      </c>
      <c r="AE1457">
        <v>2</v>
      </c>
      <c r="AF1457">
        <v>45</v>
      </c>
      <c r="AG1457">
        <v>0</v>
      </c>
      <c r="AH1457">
        <v>7</v>
      </c>
      <c r="AI1457">
        <v>5</v>
      </c>
      <c r="AJ1457">
        <v>5</v>
      </c>
      <c r="AK1457">
        <v>7</v>
      </c>
      <c r="AL1457">
        <v>0</v>
      </c>
      <c r="AM1457">
        <v>0.12</v>
      </c>
      <c r="AN1457">
        <v>0.45454545454545459</v>
      </c>
      <c r="AO1457">
        <v>0</v>
      </c>
      <c r="AP1457" t="s">
        <v>130</v>
      </c>
      <c r="AQ1457" t="s">
        <v>131</v>
      </c>
      <c r="AR1457" t="s">
        <v>1766</v>
      </c>
      <c r="AS1457">
        <v>4755</v>
      </c>
      <c r="AT1457">
        <v>4988</v>
      </c>
      <c r="AU1457">
        <v>0</v>
      </c>
      <c r="AV1457">
        <v>0</v>
      </c>
      <c r="AW1457">
        <v>9.7430000000000003</v>
      </c>
      <c r="AX1457">
        <v>0.22658139534883723</v>
      </c>
      <c r="AY1457">
        <v>10.196162790697676</v>
      </c>
      <c r="AZ1457" t="s">
        <v>135</v>
      </c>
      <c r="BA1457">
        <v>-4.1961627906976755</v>
      </c>
      <c r="BB1457">
        <v>-18.519449861438986</v>
      </c>
      <c r="BC1457" t="s">
        <v>132</v>
      </c>
      <c r="BD1457">
        <v>0</v>
      </c>
      <c r="BE1457" t="s">
        <v>133</v>
      </c>
      <c r="BF145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9.7430000000000003</v>
      </c>
    </row>
    <row r="1458" spans="1:58" x14ac:dyDescent="0.25">
      <c r="A1458" t="s">
        <v>1767</v>
      </c>
      <c r="B1458" t="s">
        <v>19</v>
      </c>
      <c r="C1458">
        <v>4</v>
      </c>
      <c r="D1458">
        <v>2</v>
      </c>
      <c r="E1458" t="s">
        <v>2112</v>
      </c>
      <c r="F1458" t="s">
        <v>123</v>
      </c>
      <c r="G1458" t="s">
        <v>124</v>
      </c>
      <c r="H1458" t="s">
        <v>125</v>
      </c>
      <c r="I1458" t="s">
        <v>126</v>
      </c>
      <c r="J1458" t="s">
        <v>126</v>
      </c>
      <c r="K1458" t="s">
        <v>127</v>
      </c>
      <c r="L1458">
        <v>50</v>
      </c>
      <c r="M1458">
        <v>1511095</v>
      </c>
      <c r="N1458">
        <v>6</v>
      </c>
      <c r="O1458">
        <v>6</v>
      </c>
      <c r="P1458" t="s">
        <v>1764</v>
      </c>
      <c r="Q1458" t="s">
        <v>1765</v>
      </c>
      <c r="R1458">
        <v>1</v>
      </c>
      <c r="T1458">
        <v>42</v>
      </c>
      <c r="U1458">
        <v>47</v>
      </c>
      <c r="V1458">
        <v>1</v>
      </c>
      <c r="W1458">
        <v>0</v>
      </c>
      <c r="X1458">
        <v>1</v>
      </c>
      <c r="Y1458">
        <v>0</v>
      </c>
      <c r="Z1458">
        <v>43</v>
      </c>
      <c r="AA1458">
        <v>48</v>
      </c>
      <c r="AB1458">
        <v>50</v>
      </c>
      <c r="AC1458">
        <v>47</v>
      </c>
      <c r="AD1458">
        <v>1</v>
      </c>
      <c r="AE1458">
        <v>0</v>
      </c>
      <c r="AF1458">
        <v>48</v>
      </c>
      <c r="AG1458">
        <v>0</v>
      </c>
      <c r="AH1458">
        <v>3</v>
      </c>
      <c r="AI1458">
        <v>2</v>
      </c>
      <c r="AJ1458">
        <v>3</v>
      </c>
      <c r="AK1458">
        <v>3</v>
      </c>
      <c r="AL1458">
        <v>0</v>
      </c>
      <c r="AM1458">
        <v>0.12</v>
      </c>
      <c r="AN1458">
        <v>0.27272727272727271</v>
      </c>
      <c r="AO1458">
        <v>0</v>
      </c>
      <c r="AP1458" t="s">
        <v>130</v>
      </c>
      <c r="AQ1458" t="s">
        <v>131</v>
      </c>
      <c r="AR1458" t="s">
        <v>1766</v>
      </c>
      <c r="AS1458">
        <v>5996</v>
      </c>
      <c r="AT1458">
        <v>5594</v>
      </c>
      <c r="AU1458">
        <v>0</v>
      </c>
      <c r="AV1458">
        <v>0</v>
      </c>
      <c r="AW1458">
        <v>11.59</v>
      </c>
      <c r="AX1458">
        <v>0.24659574468085105</v>
      </c>
      <c r="AY1458">
        <v>11.836595744680849</v>
      </c>
      <c r="AZ1458" t="s">
        <v>135</v>
      </c>
      <c r="BA1458">
        <v>-5.8365957446808494</v>
      </c>
      <c r="BB1458">
        <v>-23.668679896462461</v>
      </c>
      <c r="BC1458" t="s">
        <v>133</v>
      </c>
      <c r="BD1458">
        <v>0</v>
      </c>
      <c r="BE1458" t="s">
        <v>133</v>
      </c>
      <c r="BF145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11.59</v>
      </c>
    </row>
    <row r="1459" spans="1:58" x14ac:dyDescent="0.25">
      <c r="A1459" t="s">
        <v>1768</v>
      </c>
      <c r="B1459" t="s">
        <v>19</v>
      </c>
      <c r="C1459">
        <v>4</v>
      </c>
      <c r="D1459">
        <v>3</v>
      </c>
      <c r="E1459" t="s">
        <v>2112</v>
      </c>
      <c r="F1459" t="s">
        <v>123</v>
      </c>
      <c r="G1459" t="s">
        <v>124</v>
      </c>
      <c r="H1459" t="s">
        <v>125</v>
      </c>
      <c r="I1459" t="s">
        <v>126</v>
      </c>
      <c r="J1459" t="s">
        <v>126</v>
      </c>
      <c r="K1459" t="s">
        <v>127</v>
      </c>
      <c r="L1459">
        <v>50</v>
      </c>
      <c r="M1459">
        <v>1511097</v>
      </c>
      <c r="N1459">
        <v>6</v>
      </c>
      <c r="O1459">
        <v>6</v>
      </c>
      <c r="P1459" t="s">
        <v>1764</v>
      </c>
      <c r="Q1459" t="s">
        <v>1765</v>
      </c>
      <c r="R1459">
        <v>1</v>
      </c>
      <c r="T1459">
        <v>43</v>
      </c>
      <c r="U1459">
        <v>48</v>
      </c>
      <c r="V1459">
        <v>0</v>
      </c>
      <c r="W1459">
        <v>0</v>
      </c>
      <c r="X1459">
        <v>0</v>
      </c>
      <c r="Y1459">
        <v>0</v>
      </c>
      <c r="Z1459">
        <v>43</v>
      </c>
      <c r="AA1459">
        <v>48</v>
      </c>
      <c r="AB1459">
        <v>50</v>
      </c>
      <c r="AC1459">
        <v>48</v>
      </c>
      <c r="AD1459">
        <v>0</v>
      </c>
      <c r="AE1459">
        <v>0</v>
      </c>
      <c r="AF1459">
        <v>48</v>
      </c>
      <c r="AG1459">
        <v>0</v>
      </c>
      <c r="AH1459">
        <v>2</v>
      </c>
      <c r="AI1459">
        <v>2</v>
      </c>
      <c r="AJ1459">
        <v>2</v>
      </c>
      <c r="AK1459">
        <v>2</v>
      </c>
      <c r="AL1459">
        <v>0</v>
      </c>
      <c r="AM1459">
        <v>0.12</v>
      </c>
      <c r="AN1459">
        <v>0.18181818181818182</v>
      </c>
      <c r="AO1459">
        <v>0</v>
      </c>
      <c r="AP1459" t="s">
        <v>130</v>
      </c>
      <c r="AQ1459" t="s">
        <v>131</v>
      </c>
      <c r="AR1459" t="s">
        <v>1766</v>
      </c>
      <c r="AS1459">
        <v>5721</v>
      </c>
      <c r="AT1459">
        <v>5545</v>
      </c>
      <c r="AU1459">
        <v>0</v>
      </c>
      <c r="AV1459">
        <v>0</v>
      </c>
      <c r="AW1459">
        <v>11.266</v>
      </c>
      <c r="AX1459">
        <v>0.23470833333333332</v>
      </c>
      <c r="AY1459">
        <v>11.266</v>
      </c>
      <c r="AZ1459" t="s">
        <v>135</v>
      </c>
      <c r="BA1459">
        <v>-5.266</v>
      </c>
      <c r="BB1459">
        <v>-22.43635718089828</v>
      </c>
      <c r="BC1459" t="s">
        <v>133</v>
      </c>
      <c r="BD1459">
        <v>0</v>
      </c>
      <c r="BE1459" t="s">
        <v>133</v>
      </c>
      <c r="BF145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11.266</v>
      </c>
    </row>
    <row r="1460" spans="1:58" x14ac:dyDescent="0.25">
      <c r="A1460" t="s">
        <v>1769</v>
      </c>
      <c r="B1460" t="s">
        <v>19</v>
      </c>
      <c r="C1460">
        <v>4</v>
      </c>
      <c r="D1460">
        <v>4</v>
      </c>
      <c r="E1460" t="s">
        <v>2112</v>
      </c>
      <c r="F1460" t="s">
        <v>123</v>
      </c>
      <c r="G1460" t="s">
        <v>124</v>
      </c>
      <c r="H1460" t="s">
        <v>125</v>
      </c>
      <c r="I1460" t="s">
        <v>126</v>
      </c>
      <c r="J1460" t="s">
        <v>126</v>
      </c>
      <c r="K1460" t="s">
        <v>127</v>
      </c>
      <c r="L1460">
        <v>50</v>
      </c>
      <c r="M1460">
        <v>1511099</v>
      </c>
      <c r="N1460">
        <v>6</v>
      </c>
      <c r="O1460">
        <v>6</v>
      </c>
      <c r="P1460" t="s">
        <v>1764</v>
      </c>
      <c r="Q1460" t="s">
        <v>1765</v>
      </c>
      <c r="R1460">
        <v>1</v>
      </c>
      <c r="T1460">
        <v>43</v>
      </c>
      <c r="U1460">
        <v>48</v>
      </c>
      <c r="V1460">
        <v>0</v>
      </c>
      <c r="W1460">
        <v>0</v>
      </c>
      <c r="X1460">
        <v>0</v>
      </c>
      <c r="Y1460">
        <v>0</v>
      </c>
      <c r="Z1460">
        <v>43</v>
      </c>
      <c r="AA1460">
        <v>48</v>
      </c>
      <c r="AB1460">
        <v>50</v>
      </c>
      <c r="AC1460">
        <v>48</v>
      </c>
      <c r="AD1460">
        <v>0</v>
      </c>
      <c r="AE1460">
        <v>0</v>
      </c>
      <c r="AF1460">
        <v>48</v>
      </c>
      <c r="AG1460">
        <v>0</v>
      </c>
      <c r="AH1460">
        <v>2</v>
      </c>
      <c r="AI1460">
        <v>2</v>
      </c>
      <c r="AJ1460">
        <v>2</v>
      </c>
      <c r="AK1460">
        <v>2</v>
      </c>
      <c r="AL1460">
        <v>0</v>
      </c>
      <c r="AM1460">
        <v>0.12</v>
      </c>
      <c r="AN1460">
        <v>0.18181818181818182</v>
      </c>
      <c r="AO1460">
        <v>0</v>
      </c>
      <c r="AP1460" t="s">
        <v>130</v>
      </c>
      <c r="AQ1460" t="s">
        <v>131</v>
      </c>
      <c r="AR1460" t="s">
        <v>1766</v>
      </c>
      <c r="AS1460">
        <v>5463</v>
      </c>
      <c r="AT1460">
        <v>5482</v>
      </c>
      <c r="AU1460">
        <v>0</v>
      </c>
      <c r="AV1460">
        <v>0</v>
      </c>
      <c r="AW1460">
        <v>10.945</v>
      </c>
      <c r="AX1460">
        <v>0.22802083333333334</v>
      </c>
      <c r="AY1460">
        <v>10.945</v>
      </c>
      <c r="AZ1460" t="s">
        <v>135</v>
      </c>
      <c r="BA1460">
        <v>-4.9450000000000003</v>
      </c>
      <c r="BB1460">
        <v>-21.686614892645043</v>
      </c>
      <c r="BC1460" t="s">
        <v>133</v>
      </c>
      <c r="BD1460">
        <v>0</v>
      </c>
      <c r="BE1460" t="s">
        <v>133</v>
      </c>
      <c r="BF146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10.945</v>
      </c>
    </row>
    <row r="1461" spans="1:58" x14ac:dyDescent="0.25">
      <c r="A1461" t="s">
        <v>1770</v>
      </c>
      <c r="B1461" t="s">
        <v>19</v>
      </c>
      <c r="C1461">
        <v>4</v>
      </c>
      <c r="D1461">
        <v>5</v>
      </c>
      <c r="E1461" t="s">
        <v>2112</v>
      </c>
      <c r="F1461" t="s">
        <v>123</v>
      </c>
      <c r="G1461" t="s">
        <v>124</v>
      </c>
      <c r="H1461" t="s">
        <v>125</v>
      </c>
      <c r="I1461" t="s">
        <v>126</v>
      </c>
      <c r="J1461" t="s">
        <v>126</v>
      </c>
      <c r="K1461" t="s">
        <v>127</v>
      </c>
      <c r="L1461">
        <v>50</v>
      </c>
      <c r="M1461">
        <v>1511101</v>
      </c>
      <c r="N1461">
        <v>6</v>
      </c>
      <c r="O1461">
        <v>6</v>
      </c>
      <c r="P1461" t="s">
        <v>1764</v>
      </c>
      <c r="Q1461" t="s">
        <v>1765</v>
      </c>
      <c r="R1461">
        <v>1</v>
      </c>
      <c r="T1461">
        <v>43</v>
      </c>
      <c r="U1461">
        <v>48</v>
      </c>
      <c r="V1461">
        <v>0</v>
      </c>
      <c r="W1461">
        <v>0</v>
      </c>
      <c r="X1461">
        <v>0</v>
      </c>
      <c r="Y1461">
        <v>0</v>
      </c>
      <c r="Z1461">
        <v>43</v>
      </c>
      <c r="AA1461">
        <v>48</v>
      </c>
      <c r="AB1461">
        <v>50</v>
      </c>
      <c r="AC1461">
        <v>48</v>
      </c>
      <c r="AD1461">
        <v>0</v>
      </c>
      <c r="AE1461">
        <v>0</v>
      </c>
      <c r="AF1461">
        <v>48</v>
      </c>
      <c r="AG1461">
        <v>0</v>
      </c>
      <c r="AH1461">
        <v>2</v>
      </c>
      <c r="AI1461">
        <v>2</v>
      </c>
      <c r="AJ1461">
        <v>2</v>
      </c>
      <c r="AK1461">
        <v>2</v>
      </c>
      <c r="AL1461">
        <v>0</v>
      </c>
      <c r="AM1461">
        <v>0.12</v>
      </c>
      <c r="AN1461">
        <v>0.18181818181818182</v>
      </c>
      <c r="AO1461">
        <v>0</v>
      </c>
      <c r="AP1461" t="s">
        <v>130</v>
      </c>
      <c r="AQ1461" t="s">
        <v>131</v>
      </c>
      <c r="AR1461" t="s">
        <v>1766</v>
      </c>
      <c r="AS1461">
        <v>5686</v>
      </c>
      <c r="AT1461">
        <v>5541</v>
      </c>
      <c r="AU1461">
        <v>0</v>
      </c>
      <c r="AV1461">
        <v>0</v>
      </c>
      <c r="AW1461">
        <v>11.227</v>
      </c>
      <c r="AX1461">
        <v>0.23389583333333333</v>
      </c>
      <c r="AY1461">
        <v>11.227</v>
      </c>
      <c r="AZ1461" t="s">
        <v>135</v>
      </c>
      <c r="BA1461">
        <v>-5.2270000000000003</v>
      </c>
      <c r="BB1461">
        <v>-22.347555001336065</v>
      </c>
      <c r="BC1461" t="s">
        <v>133</v>
      </c>
      <c r="BD1461">
        <v>0</v>
      </c>
      <c r="BE1461" t="s">
        <v>133</v>
      </c>
      <c r="BF146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11.227</v>
      </c>
    </row>
    <row r="1462" spans="1:58" x14ac:dyDescent="0.25">
      <c r="A1462" t="s">
        <v>1771</v>
      </c>
      <c r="B1462" t="s">
        <v>19</v>
      </c>
      <c r="C1462">
        <v>4</v>
      </c>
      <c r="D1462">
        <v>6</v>
      </c>
      <c r="E1462" t="s">
        <v>2112</v>
      </c>
      <c r="F1462" t="s">
        <v>123</v>
      </c>
      <c r="G1462" t="s">
        <v>124</v>
      </c>
      <c r="H1462" t="s">
        <v>136</v>
      </c>
      <c r="I1462" t="s">
        <v>137</v>
      </c>
      <c r="J1462" t="s">
        <v>138</v>
      </c>
      <c r="K1462" t="s">
        <v>127</v>
      </c>
      <c r="L1462">
        <v>50</v>
      </c>
      <c r="M1462">
        <v>1511103</v>
      </c>
      <c r="N1462">
        <v>5</v>
      </c>
      <c r="O1462">
        <v>6</v>
      </c>
      <c r="P1462" t="s">
        <v>1764</v>
      </c>
      <c r="Q1462" t="s">
        <v>1765</v>
      </c>
      <c r="R1462">
        <v>1</v>
      </c>
      <c r="T1462">
        <v>0</v>
      </c>
      <c r="U1462">
        <v>4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4</v>
      </c>
      <c r="AB1462">
        <v>50</v>
      </c>
      <c r="AC1462">
        <v>4</v>
      </c>
      <c r="AD1462">
        <v>0</v>
      </c>
      <c r="AE1462">
        <v>0</v>
      </c>
      <c r="AF1462">
        <v>4</v>
      </c>
      <c r="AG1462">
        <v>0</v>
      </c>
      <c r="AH1462">
        <v>46</v>
      </c>
      <c r="AI1462">
        <v>46</v>
      </c>
      <c r="AJ1462">
        <v>46</v>
      </c>
      <c r="AK1462">
        <v>46</v>
      </c>
      <c r="AL1462">
        <v>0</v>
      </c>
      <c r="AM1462">
        <v>0.1</v>
      </c>
      <c r="AN1462">
        <v>4.1818181818181817</v>
      </c>
      <c r="AO1462">
        <v>0</v>
      </c>
      <c r="AP1462" t="s">
        <v>139</v>
      </c>
      <c r="AQ1462" t="s">
        <v>131</v>
      </c>
      <c r="AR1462" t="s">
        <v>1766</v>
      </c>
      <c r="AS1462">
        <v>0</v>
      </c>
      <c r="AT1462">
        <v>0</v>
      </c>
      <c r="AU1462">
        <v>0</v>
      </c>
      <c r="AV1462">
        <v>0</v>
      </c>
      <c r="AW1462">
        <v>0</v>
      </c>
      <c r="AX1462">
        <v>0</v>
      </c>
      <c r="AY1462">
        <v>0</v>
      </c>
      <c r="AZ1462" t="s">
        <v>134</v>
      </c>
      <c r="BA1462">
        <v>5</v>
      </c>
      <c r="BB1462">
        <v>0</v>
      </c>
      <c r="BC1462" t="s">
        <v>133</v>
      </c>
      <c r="BD1462">
        <v>0</v>
      </c>
      <c r="BE1462" t="s">
        <v>133</v>
      </c>
      <c r="BF146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63" spans="1:58" x14ac:dyDescent="0.25">
      <c r="A1463" t="s">
        <v>1772</v>
      </c>
      <c r="B1463" t="s">
        <v>19</v>
      </c>
      <c r="C1463">
        <v>4</v>
      </c>
      <c r="D1463">
        <v>7</v>
      </c>
      <c r="E1463" t="s">
        <v>2112</v>
      </c>
      <c r="F1463" t="s">
        <v>123</v>
      </c>
      <c r="G1463" t="s">
        <v>124</v>
      </c>
      <c r="H1463" t="s">
        <v>125</v>
      </c>
      <c r="I1463" t="s">
        <v>126</v>
      </c>
      <c r="J1463" t="s">
        <v>126</v>
      </c>
      <c r="K1463" t="s">
        <v>127</v>
      </c>
      <c r="L1463">
        <v>50</v>
      </c>
      <c r="M1463">
        <v>1511105</v>
      </c>
      <c r="N1463">
        <v>6</v>
      </c>
      <c r="O1463">
        <v>6</v>
      </c>
      <c r="P1463" t="s">
        <v>1764</v>
      </c>
      <c r="Q1463" t="s">
        <v>1765</v>
      </c>
      <c r="R1463">
        <v>1</v>
      </c>
      <c r="T1463">
        <v>36</v>
      </c>
      <c r="U1463">
        <v>41</v>
      </c>
      <c r="V1463">
        <v>3</v>
      </c>
      <c r="W1463">
        <v>0</v>
      </c>
      <c r="X1463">
        <v>3</v>
      </c>
      <c r="Y1463">
        <v>1</v>
      </c>
      <c r="Z1463">
        <v>40</v>
      </c>
      <c r="AA1463">
        <v>45</v>
      </c>
      <c r="AB1463">
        <v>50</v>
      </c>
      <c r="AC1463">
        <v>41</v>
      </c>
      <c r="AD1463">
        <v>3</v>
      </c>
      <c r="AE1463">
        <v>1</v>
      </c>
      <c r="AF1463">
        <v>45</v>
      </c>
      <c r="AG1463">
        <v>0</v>
      </c>
      <c r="AH1463">
        <v>9</v>
      </c>
      <c r="AI1463">
        <v>5</v>
      </c>
      <c r="AJ1463">
        <v>8</v>
      </c>
      <c r="AK1463">
        <v>9</v>
      </c>
      <c r="AL1463">
        <v>0</v>
      </c>
      <c r="AM1463">
        <v>0.12</v>
      </c>
      <c r="AN1463">
        <v>0.72727272727272729</v>
      </c>
      <c r="AO1463">
        <v>0</v>
      </c>
      <c r="AP1463" t="s">
        <v>130</v>
      </c>
      <c r="AQ1463" t="s">
        <v>131</v>
      </c>
      <c r="AR1463" t="s">
        <v>1766</v>
      </c>
      <c r="AS1463">
        <v>6137</v>
      </c>
      <c r="AT1463">
        <v>5981</v>
      </c>
      <c r="AU1463">
        <v>0</v>
      </c>
      <c r="AV1463">
        <v>0</v>
      </c>
      <c r="AW1463">
        <v>12.118</v>
      </c>
      <c r="AX1463">
        <v>0.29556097560975608</v>
      </c>
      <c r="AY1463">
        <v>13.300243902439023</v>
      </c>
      <c r="AZ1463" t="s">
        <v>135</v>
      </c>
      <c r="BA1463">
        <v>-7.3002439024390231</v>
      </c>
      <c r="BB1463">
        <v>-24.699620399405841</v>
      </c>
      <c r="BC1463" t="s">
        <v>133</v>
      </c>
      <c r="BD1463">
        <v>0</v>
      </c>
      <c r="BE1463" t="s">
        <v>133</v>
      </c>
      <c r="BF146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12.118</v>
      </c>
    </row>
    <row r="1464" spans="1:58" x14ac:dyDescent="0.25">
      <c r="A1464" t="s">
        <v>1773</v>
      </c>
      <c r="B1464" t="s">
        <v>19</v>
      </c>
      <c r="C1464">
        <v>4</v>
      </c>
      <c r="D1464">
        <v>8</v>
      </c>
      <c r="E1464" t="s">
        <v>2112</v>
      </c>
      <c r="F1464" t="s">
        <v>123</v>
      </c>
      <c r="G1464" t="s">
        <v>124</v>
      </c>
      <c r="H1464" t="s">
        <v>125</v>
      </c>
      <c r="I1464" t="s">
        <v>126</v>
      </c>
      <c r="J1464" t="s">
        <v>126</v>
      </c>
      <c r="K1464" t="s">
        <v>127</v>
      </c>
      <c r="L1464">
        <v>50</v>
      </c>
      <c r="M1464">
        <v>1511107</v>
      </c>
      <c r="N1464">
        <v>6</v>
      </c>
      <c r="O1464">
        <v>6</v>
      </c>
      <c r="P1464" t="s">
        <v>1764</v>
      </c>
      <c r="Q1464" t="s">
        <v>1765</v>
      </c>
      <c r="R1464">
        <v>1</v>
      </c>
      <c r="T1464">
        <v>20</v>
      </c>
      <c r="U1464">
        <v>25</v>
      </c>
      <c r="V1464">
        <v>2</v>
      </c>
      <c r="W1464">
        <v>0</v>
      </c>
      <c r="X1464">
        <v>2</v>
      </c>
      <c r="Y1464">
        <v>7</v>
      </c>
      <c r="Z1464">
        <v>29</v>
      </c>
      <c r="AA1464">
        <v>34</v>
      </c>
      <c r="AB1464">
        <v>50</v>
      </c>
      <c r="AC1464">
        <v>25</v>
      </c>
      <c r="AD1464">
        <v>2</v>
      </c>
      <c r="AE1464">
        <v>7</v>
      </c>
      <c r="AF1464">
        <v>34</v>
      </c>
      <c r="AG1464">
        <v>0</v>
      </c>
      <c r="AH1464">
        <v>25</v>
      </c>
      <c r="AI1464">
        <v>16</v>
      </c>
      <c r="AJ1464">
        <v>18</v>
      </c>
      <c r="AK1464">
        <v>25</v>
      </c>
      <c r="AL1464">
        <v>0</v>
      </c>
      <c r="AM1464">
        <v>0.12</v>
      </c>
      <c r="AN1464">
        <v>1.6363636363636365</v>
      </c>
      <c r="AO1464">
        <v>0</v>
      </c>
      <c r="AP1464" t="s">
        <v>130</v>
      </c>
      <c r="AQ1464" t="s">
        <v>131</v>
      </c>
      <c r="AR1464" t="s">
        <v>1766</v>
      </c>
      <c r="AS1464">
        <v>3483</v>
      </c>
      <c r="AT1464">
        <v>3482</v>
      </c>
      <c r="AU1464">
        <v>0</v>
      </c>
      <c r="AV1464">
        <v>0</v>
      </c>
      <c r="AW1464">
        <v>6.9649999999999999</v>
      </c>
      <c r="AX1464">
        <v>0.27860000000000001</v>
      </c>
      <c r="AY1464">
        <v>9.4724000000000004</v>
      </c>
      <c r="AZ1464" t="s">
        <v>135</v>
      </c>
      <c r="BA1464">
        <v>-3.4724000000000004</v>
      </c>
      <c r="BB1464">
        <v>-12.463747307968415</v>
      </c>
      <c r="BC1464" t="s">
        <v>133</v>
      </c>
      <c r="BD1464">
        <v>0</v>
      </c>
      <c r="BE1464" t="s">
        <v>133</v>
      </c>
      <c r="BF146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6.9649999999999999</v>
      </c>
    </row>
    <row r="1465" spans="1:58" x14ac:dyDescent="0.25">
      <c r="A1465" t="s">
        <v>1774</v>
      </c>
      <c r="B1465" t="s">
        <v>19</v>
      </c>
      <c r="C1465">
        <v>4</v>
      </c>
      <c r="D1465">
        <v>9</v>
      </c>
      <c r="E1465" t="s">
        <v>2112</v>
      </c>
      <c r="F1465" t="s">
        <v>123</v>
      </c>
      <c r="G1465" t="s">
        <v>124</v>
      </c>
      <c r="H1465" t="s">
        <v>125</v>
      </c>
      <c r="I1465" t="s">
        <v>126</v>
      </c>
      <c r="J1465" t="s">
        <v>126</v>
      </c>
      <c r="K1465" t="s">
        <v>127</v>
      </c>
      <c r="L1465">
        <v>50</v>
      </c>
      <c r="M1465">
        <v>1511109</v>
      </c>
      <c r="N1465">
        <v>6</v>
      </c>
      <c r="O1465">
        <v>6</v>
      </c>
      <c r="P1465" t="s">
        <v>1764</v>
      </c>
      <c r="Q1465" t="s">
        <v>1765</v>
      </c>
      <c r="R1465">
        <v>1</v>
      </c>
      <c r="T1465">
        <v>41</v>
      </c>
      <c r="U1465">
        <v>46</v>
      </c>
      <c r="V1465">
        <v>0</v>
      </c>
      <c r="W1465">
        <v>0</v>
      </c>
      <c r="X1465">
        <v>0</v>
      </c>
      <c r="Y1465">
        <v>0</v>
      </c>
      <c r="Z1465">
        <v>41</v>
      </c>
      <c r="AA1465">
        <v>46</v>
      </c>
      <c r="AB1465">
        <v>50</v>
      </c>
      <c r="AC1465">
        <v>46</v>
      </c>
      <c r="AD1465">
        <v>0</v>
      </c>
      <c r="AE1465">
        <v>0</v>
      </c>
      <c r="AF1465">
        <v>46</v>
      </c>
      <c r="AG1465">
        <v>0</v>
      </c>
      <c r="AH1465">
        <v>4</v>
      </c>
      <c r="AI1465">
        <v>4</v>
      </c>
      <c r="AJ1465">
        <v>4</v>
      </c>
      <c r="AK1465">
        <v>4</v>
      </c>
      <c r="AL1465">
        <v>0</v>
      </c>
      <c r="AM1465">
        <v>0.12</v>
      </c>
      <c r="AN1465">
        <v>0.36363636363636365</v>
      </c>
      <c r="AO1465">
        <v>0</v>
      </c>
      <c r="AP1465" t="s">
        <v>130</v>
      </c>
      <c r="AQ1465" t="s">
        <v>131</v>
      </c>
      <c r="AR1465" t="s">
        <v>1766</v>
      </c>
      <c r="AS1465">
        <v>7702</v>
      </c>
      <c r="AT1465">
        <v>7574</v>
      </c>
      <c r="AU1465">
        <v>0</v>
      </c>
      <c r="AV1465">
        <v>0</v>
      </c>
      <c r="AW1465">
        <v>15.276</v>
      </c>
      <c r="AX1465">
        <v>0.33208695652173914</v>
      </c>
      <c r="AY1465">
        <v>15.276</v>
      </c>
      <c r="AZ1465" t="s">
        <v>135</v>
      </c>
      <c r="BA1465">
        <v>-9.2759999999999998</v>
      </c>
      <c r="BB1465">
        <v>-27.932443047918301</v>
      </c>
      <c r="BC1465" t="s">
        <v>133</v>
      </c>
      <c r="BD1465">
        <v>0</v>
      </c>
      <c r="BE1465" t="s">
        <v>133</v>
      </c>
      <c r="BF146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15.276</v>
      </c>
    </row>
    <row r="1466" spans="1:58" x14ac:dyDescent="0.25">
      <c r="A1466" t="s">
        <v>1775</v>
      </c>
      <c r="B1466" t="s">
        <v>19</v>
      </c>
      <c r="C1466">
        <v>4</v>
      </c>
      <c r="D1466">
        <v>10</v>
      </c>
      <c r="E1466" t="s">
        <v>2112</v>
      </c>
      <c r="F1466" t="s">
        <v>123</v>
      </c>
      <c r="G1466" t="s">
        <v>124</v>
      </c>
      <c r="H1466" t="s">
        <v>125</v>
      </c>
      <c r="I1466" t="s">
        <v>126</v>
      </c>
      <c r="J1466" t="s">
        <v>126</v>
      </c>
      <c r="K1466" t="s">
        <v>127</v>
      </c>
      <c r="L1466">
        <v>50</v>
      </c>
      <c r="M1466">
        <v>1511111</v>
      </c>
      <c r="N1466">
        <v>6</v>
      </c>
      <c r="O1466">
        <v>6</v>
      </c>
      <c r="P1466" t="s">
        <v>1764</v>
      </c>
      <c r="Q1466" t="s">
        <v>1765</v>
      </c>
      <c r="R1466">
        <v>1</v>
      </c>
      <c r="T1466">
        <v>40</v>
      </c>
      <c r="U1466">
        <v>45</v>
      </c>
      <c r="V1466">
        <v>0</v>
      </c>
      <c r="W1466">
        <v>0</v>
      </c>
      <c r="X1466">
        <v>0</v>
      </c>
      <c r="Y1466">
        <v>0</v>
      </c>
      <c r="Z1466">
        <v>40</v>
      </c>
      <c r="AA1466">
        <v>45</v>
      </c>
      <c r="AB1466">
        <v>50</v>
      </c>
      <c r="AC1466">
        <v>45</v>
      </c>
      <c r="AD1466">
        <v>0</v>
      </c>
      <c r="AE1466">
        <v>0</v>
      </c>
      <c r="AF1466">
        <v>45</v>
      </c>
      <c r="AG1466">
        <v>0</v>
      </c>
      <c r="AH1466">
        <v>5</v>
      </c>
      <c r="AI1466">
        <v>5</v>
      </c>
      <c r="AJ1466">
        <v>5</v>
      </c>
      <c r="AK1466">
        <v>5</v>
      </c>
      <c r="AL1466">
        <v>0</v>
      </c>
      <c r="AM1466">
        <v>0.12</v>
      </c>
      <c r="AN1466">
        <v>0.45454545454545459</v>
      </c>
      <c r="AO1466">
        <v>0</v>
      </c>
      <c r="AP1466" t="s">
        <v>130</v>
      </c>
      <c r="AQ1466" t="s">
        <v>131</v>
      </c>
      <c r="AR1466" t="s">
        <v>1766</v>
      </c>
      <c r="AS1466">
        <v>7130</v>
      </c>
      <c r="AT1466">
        <v>7027</v>
      </c>
      <c r="AU1466">
        <v>0</v>
      </c>
      <c r="AV1466">
        <v>0</v>
      </c>
      <c r="AW1466">
        <v>14.157</v>
      </c>
      <c r="AX1466">
        <v>0.31459999999999999</v>
      </c>
      <c r="AY1466">
        <v>14.157</v>
      </c>
      <c r="AZ1466" t="s">
        <v>135</v>
      </c>
      <c r="BA1466">
        <v>-8.157</v>
      </c>
      <c r="BB1466">
        <v>-25.928162746344565</v>
      </c>
      <c r="BC1466" t="s">
        <v>133</v>
      </c>
      <c r="BD1466">
        <v>0</v>
      </c>
      <c r="BE1466" t="s">
        <v>133</v>
      </c>
      <c r="BF146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14.157</v>
      </c>
    </row>
    <row r="1467" spans="1:58" x14ac:dyDescent="0.25">
      <c r="A1467" t="s">
        <v>1776</v>
      </c>
      <c r="B1467" t="s">
        <v>19</v>
      </c>
      <c r="C1467">
        <v>4</v>
      </c>
      <c r="D1467">
        <v>11</v>
      </c>
      <c r="E1467" t="s">
        <v>2112</v>
      </c>
      <c r="F1467" t="s">
        <v>123</v>
      </c>
      <c r="G1467" t="s">
        <v>124</v>
      </c>
      <c r="H1467" t="s">
        <v>125</v>
      </c>
      <c r="I1467" t="s">
        <v>126</v>
      </c>
      <c r="J1467" t="s">
        <v>126</v>
      </c>
      <c r="K1467" t="s">
        <v>127</v>
      </c>
      <c r="L1467">
        <v>50</v>
      </c>
      <c r="M1467">
        <v>1511113</v>
      </c>
      <c r="N1467">
        <v>6</v>
      </c>
      <c r="O1467">
        <v>6</v>
      </c>
      <c r="P1467" t="s">
        <v>1764</v>
      </c>
      <c r="Q1467" t="s">
        <v>1765</v>
      </c>
      <c r="R1467">
        <v>1</v>
      </c>
      <c r="T1467">
        <v>43</v>
      </c>
      <c r="U1467">
        <v>48</v>
      </c>
      <c r="V1467">
        <v>0</v>
      </c>
      <c r="W1467">
        <v>0</v>
      </c>
      <c r="X1467">
        <v>0</v>
      </c>
      <c r="Y1467">
        <v>0</v>
      </c>
      <c r="Z1467">
        <v>43</v>
      </c>
      <c r="AA1467">
        <v>48</v>
      </c>
      <c r="AB1467">
        <v>50</v>
      </c>
      <c r="AC1467">
        <v>48</v>
      </c>
      <c r="AD1467">
        <v>0</v>
      </c>
      <c r="AE1467">
        <v>0</v>
      </c>
      <c r="AF1467">
        <v>48</v>
      </c>
      <c r="AG1467">
        <v>0</v>
      </c>
      <c r="AH1467">
        <v>2</v>
      </c>
      <c r="AI1467">
        <v>2</v>
      </c>
      <c r="AJ1467">
        <v>2</v>
      </c>
      <c r="AK1467">
        <v>2</v>
      </c>
      <c r="AL1467">
        <v>0</v>
      </c>
      <c r="AM1467">
        <v>0.12</v>
      </c>
      <c r="AN1467">
        <v>0.18181818181818182</v>
      </c>
      <c r="AO1467">
        <v>0</v>
      </c>
      <c r="AP1467" t="s">
        <v>130</v>
      </c>
      <c r="AQ1467" t="s">
        <v>131</v>
      </c>
      <c r="AR1467" t="s">
        <v>1766</v>
      </c>
      <c r="AS1467">
        <v>6958</v>
      </c>
      <c r="AT1467">
        <v>7218</v>
      </c>
      <c r="AU1467">
        <v>0</v>
      </c>
      <c r="AV1467">
        <v>0</v>
      </c>
      <c r="AW1467">
        <v>14.176</v>
      </c>
      <c r="AX1467">
        <v>0.29533333333333334</v>
      </c>
      <c r="AY1467">
        <v>14.176</v>
      </c>
      <c r="AZ1467" t="s">
        <v>135</v>
      </c>
      <c r="BA1467">
        <v>-8.1760000000000002</v>
      </c>
      <c r="BB1467">
        <v>-27.683972911963881</v>
      </c>
      <c r="BC1467" t="s">
        <v>144</v>
      </c>
      <c r="BD1467">
        <v>0</v>
      </c>
      <c r="BE1467" t="s">
        <v>133</v>
      </c>
      <c r="BF146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14.176</v>
      </c>
    </row>
    <row r="1468" spans="1:58" x14ac:dyDescent="0.25">
      <c r="A1468" t="s">
        <v>1777</v>
      </c>
      <c r="B1468" t="s">
        <v>19</v>
      </c>
      <c r="C1468">
        <v>4</v>
      </c>
      <c r="D1468">
        <v>12</v>
      </c>
      <c r="E1468" t="s">
        <v>2112</v>
      </c>
      <c r="F1468" t="s">
        <v>123</v>
      </c>
      <c r="G1468" t="s">
        <v>124</v>
      </c>
      <c r="H1468" t="s">
        <v>125</v>
      </c>
      <c r="I1468" t="s">
        <v>126</v>
      </c>
      <c r="J1468" t="s">
        <v>126</v>
      </c>
      <c r="K1468" t="s">
        <v>127</v>
      </c>
      <c r="L1468">
        <v>50</v>
      </c>
      <c r="M1468">
        <v>1511115</v>
      </c>
      <c r="N1468">
        <v>6</v>
      </c>
      <c r="O1468">
        <v>6</v>
      </c>
      <c r="P1468" t="s">
        <v>1764</v>
      </c>
      <c r="Q1468" t="s">
        <v>1765</v>
      </c>
      <c r="R1468">
        <v>2</v>
      </c>
      <c r="T1468">
        <v>21</v>
      </c>
      <c r="U1468">
        <v>26</v>
      </c>
      <c r="V1468">
        <v>2</v>
      </c>
      <c r="W1468">
        <v>0</v>
      </c>
      <c r="X1468">
        <v>2</v>
      </c>
      <c r="Y1468">
        <v>8</v>
      </c>
      <c r="Z1468">
        <v>31</v>
      </c>
      <c r="AA1468">
        <v>36</v>
      </c>
      <c r="AB1468">
        <v>50</v>
      </c>
      <c r="AC1468">
        <v>27</v>
      </c>
      <c r="AD1468">
        <v>2</v>
      </c>
      <c r="AE1468">
        <v>9</v>
      </c>
      <c r="AF1468">
        <v>38</v>
      </c>
      <c r="AG1468">
        <v>0</v>
      </c>
      <c r="AH1468">
        <v>23</v>
      </c>
      <c r="AI1468">
        <v>12</v>
      </c>
      <c r="AJ1468">
        <v>14</v>
      </c>
      <c r="AK1468">
        <v>23</v>
      </c>
      <c r="AL1468">
        <v>0</v>
      </c>
      <c r="AM1468">
        <v>0.12</v>
      </c>
      <c r="AN1468">
        <v>1.2727272727272727</v>
      </c>
      <c r="AO1468">
        <v>0</v>
      </c>
      <c r="AP1468" t="s">
        <v>130</v>
      </c>
      <c r="AQ1468" t="s">
        <v>131</v>
      </c>
      <c r="AR1468" t="s">
        <v>1766</v>
      </c>
      <c r="AS1468">
        <v>3045</v>
      </c>
      <c r="AT1468">
        <v>3117</v>
      </c>
      <c r="AU1468">
        <v>0</v>
      </c>
      <c r="AV1468">
        <v>0</v>
      </c>
      <c r="AW1468">
        <v>6.1619999999999999</v>
      </c>
      <c r="AX1468">
        <v>0.22822222222222222</v>
      </c>
      <c r="AY1468">
        <v>8.6724444444444444</v>
      </c>
      <c r="AZ1468" t="s">
        <v>135</v>
      </c>
      <c r="BA1468">
        <v>-2.6724444444444444</v>
      </c>
      <c r="BB1468">
        <v>-11.70983446932814</v>
      </c>
      <c r="BC1468" t="s">
        <v>132</v>
      </c>
      <c r="BD1468">
        <v>0</v>
      </c>
      <c r="BE1468" t="s">
        <v>133</v>
      </c>
      <c r="BF146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6.1619999999999999</v>
      </c>
    </row>
    <row r="1469" spans="1:58" x14ac:dyDescent="0.25">
      <c r="A1469" t="s">
        <v>1778</v>
      </c>
      <c r="B1469" t="s">
        <v>19</v>
      </c>
      <c r="C1469">
        <v>4</v>
      </c>
      <c r="D1469">
        <v>13</v>
      </c>
      <c r="E1469" t="s">
        <v>2112</v>
      </c>
      <c r="F1469" t="s">
        <v>123</v>
      </c>
      <c r="G1469" t="s">
        <v>124</v>
      </c>
      <c r="H1469" t="s">
        <v>125</v>
      </c>
      <c r="I1469" t="s">
        <v>126</v>
      </c>
      <c r="J1469" t="s">
        <v>126</v>
      </c>
      <c r="K1469" t="s">
        <v>127</v>
      </c>
      <c r="L1469">
        <v>50</v>
      </c>
      <c r="M1469">
        <v>1511117</v>
      </c>
      <c r="N1469">
        <v>6</v>
      </c>
      <c r="O1469">
        <v>6</v>
      </c>
      <c r="P1469" t="s">
        <v>1764</v>
      </c>
      <c r="Q1469" t="s">
        <v>1765</v>
      </c>
      <c r="R1469">
        <v>2</v>
      </c>
      <c r="T1469">
        <v>15</v>
      </c>
      <c r="U1469">
        <v>20</v>
      </c>
      <c r="V1469">
        <v>2</v>
      </c>
      <c r="W1469">
        <v>0</v>
      </c>
      <c r="X1469">
        <v>2</v>
      </c>
      <c r="Y1469">
        <v>13</v>
      </c>
      <c r="Z1469">
        <v>30</v>
      </c>
      <c r="AA1469">
        <v>35</v>
      </c>
      <c r="AB1469">
        <v>50</v>
      </c>
      <c r="AC1469">
        <v>20</v>
      </c>
      <c r="AD1469">
        <v>3</v>
      </c>
      <c r="AE1469">
        <v>18</v>
      </c>
      <c r="AF1469">
        <v>41</v>
      </c>
      <c r="AG1469">
        <v>0</v>
      </c>
      <c r="AH1469">
        <v>30</v>
      </c>
      <c r="AI1469">
        <v>9</v>
      </c>
      <c r="AJ1469">
        <v>12</v>
      </c>
      <c r="AK1469">
        <v>30</v>
      </c>
      <c r="AL1469">
        <v>0</v>
      </c>
      <c r="AM1469">
        <v>0.12</v>
      </c>
      <c r="AN1469">
        <v>1.0909090909090908</v>
      </c>
      <c r="AO1469">
        <v>0</v>
      </c>
      <c r="AP1469" t="s">
        <v>130</v>
      </c>
      <c r="AQ1469" t="s">
        <v>131</v>
      </c>
      <c r="AR1469" t="s">
        <v>1766</v>
      </c>
      <c r="AS1469">
        <v>1833</v>
      </c>
      <c r="AT1469">
        <v>1776</v>
      </c>
      <c r="AU1469">
        <v>0</v>
      </c>
      <c r="AV1469">
        <v>0</v>
      </c>
      <c r="AW1469">
        <v>3.609</v>
      </c>
      <c r="AX1469">
        <v>0.18045</v>
      </c>
      <c r="AY1469">
        <v>7.3984500000000004</v>
      </c>
      <c r="AZ1469" t="s">
        <v>135</v>
      </c>
      <c r="BA1469">
        <v>-1.3984500000000004</v>
      </c>
      <c r="BB1469">
        <v>-7.7497921862011658</v>
      </c>
      <c r="BC1469" t="s">
        <v>133</v>
      </c>
      <c r="BD1469">
        <v>0</v>
      </c>
      <c r="BE1469" t="s">
        <v>133</v>
      </c>
      <c r="BF146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3.609</v>
      </c>
    </row>
    <row r="1470" spans="1:58" x14ac:dyDescent="0.25">
      <c r="A1470" t="s">
        <v>1779</v>
      </c>
      <c r="B1470" t="s">
        <v>19</v>
      </c>
      <c r="C1470">
        <v>4</v>
      </c>
      <c r="D1470">
        <v>14</v>
      </c>
      <c r="E1470" t="s">
        <v>2112</v>
      </c>
      <c r="F1470" t="s">
        <v>123</v>
      </c>
      <c r="G1470" t="s">
        <v>124</v>
      </c>
      <c r="H1470" t="s">
        <v>125</v>
      </c>
      <c r="I1470" t="s">
        <v>126</v>
      </c>
      <c r="J1470" t="s">
        <v>126</v>
      </c>
      <c r="K1470" t="s">
        <v>127</v>
      </c>
      <c r="L1470">
        <v>50</v>
      </c>
      <c r="M1470">
        <v>1511119</v>
      </c>
      <c r="N1470">
        <v>6</v>
      </c>
      <c r="O1470">
        <v>6</v>
      </c>
      <c r="P1470" t="s">
        <v>1764</v>
      </c>
      <c r="Q1470" t="s">
        <v>1765</v>
      </c>
      <c r="R1470">
        <v>2</v>
      </c>
      <c r="T1470">
        <v>12</v>
      </c>
      <c r="U1470">
        <v>17</v>
      </c>
      <c r="V1470">
        <v>5</v>
      </c>
      <c r="W1470">
        <v>0</v>
      </c>
      <c r="X1470">
        <v>5</v>
      </c>
      <c r="Y1470">
        <v>14</v>
      </c>
      <c r="Z1470">
        <v>31</v>
      </c>
      <c r="AA1470">
        <v>36</v>
      </c>
      <c r="AB1470">
        <v>50</v>
      </c>
      <c r="AC1470">
        <v>19</v>
      </c>
      <c r="AD1470">
        <v>6</v>
      </c>
      <c r="AE1470">
        <v>16</v>
      </c>
      <c r="AF1470">
        <v>41</v>
      </c>
      <c r="AG1470">
        <v>0</v>
      </c>
      <c r="AH1470">
        <v>31</v>
      </c>
      <c r="AI1470">
        <v>9</v>
      </c>
      <c r="AJ1470">
        <v>15</v>
      </c>
      <c r="AK1470">
        <v>31</v>
      </c>
      <c r="AL1470">
        <v>0</v>
      </c>
      <c r="AM1470">
        <v>0.12</v>
      </c>
      <c r="AN1470">
        <v>1.3636363636363638</v>
      </c>
      <c r="AO1470">
        <v>0</v>
      </c>
      <c r="AP1470" t="s">
        <v>130</v>
      </c>
      <c r="AQ1470" t="s">
        <v>131</v>
      </c>
      <c r="AR1470" t="s">
        <v>1766</v>
      </c>
      <c r="AS1470">
        <v>2032</v>
      </c>
      <c r="AT1470">
        <v>1854</v>
      </c>
      <c r="AU1470">
        <v>0</v>
      </c>
      <c r="AV1470">
        <v>0</v>
      </c>
      <c r="AW1470">
        <v>3.8860000000000001</v>
      </c>
      <c r="AX1470">
        <v>0.20452631578947369</v>
      </c>
      <c r="AY1470">
        <v>8.3855789473684208</v>
      </c>
      <c r="AZ1470" t="s">
        <v>135</v>
      </c>
      <c r="BA1470">
        <v>-2.3855789473684208</v>
      </c>
      <c r="BB1470">
        <v>-11.663921770458053</v>
      </c>
      <c r="BC1470" t="s">
        <v>133</v>
      </c>
      <c r="BD1470">
        <v>0</v>
      </c>
      <c r="BE1470" t="s">
        <v>133</v>
      </c>
      <c r="BF147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3.8860000000000001</v>
      </c>
    </row>
    <row r="1471" spans="1:58" x14ac:dyDescent="0.25">
      <c r="A1471" t="s">
        <v>1780</v>
      </c>
      <c r="B1471" t="s">
        <v>19</v>
      </c>
      <c r="C1471">
        <v>4</v>
      </c>
      <c r="D1471">
        <v>15</v>
      </c>
      <c r="E1471" t="s">
        <v>2112</v>
      </c>
      <c r="F1471" t="s">
        <v>123</v>
      </c>
      <c r="G1471" t="s">
        <v>124</v>
      </c>
      <c r="H1471" t="s">
        <v>125</v>
      </c>
      <c r="I1471" t="s">
        <v>126</v>
      </c>
      <c r="J1471" t="s">
        <v>126</v>
      </c>
      <c r="K1471" t="s">
        <v>127</v>
      </c>
      <c r="L1471">
        <v>50</v>
      </c>
      <c r="M1471">
        <v>1511121</v>
      </c>
      <c r="N1471">
        <v>6</v>
      </c>
      <c r="O1471">
        <v>6</v>
      </c>
      <c r="P1471" t="s">
        <v>1764</v>
      </c>
      <c r="Q1471" t="s">
        <v>1765</v>
      </c>
      <c r="R1471">
        <v>2</v>
      </c>
      <c r="T1471">
        <v>19</v>
      </c>
      <c r="U1471">
        <v>24</v>
      </c>
      <c r="V1471">
        <v>1</v>
      </c>
      <c r="W1471">
        <v>0</v>
      </c>
      <c r="X1471">
        <v>1</v>
      </c>
      <c r="Y1471">
        <v>6</v>
      </c>
      <c r="Z1471">
        <v>26</v>
      </c>
      <c r="AA1471">
        <v>31</v>
      </c>
      <c r="AB1471">
        <v>50</v>
      </c>
      <c r="AC1471">
        <v>27</v>
      </c>
      <c r="AD1471">
        <v>1</v>
      </c>
      <c r="AE1471">
        <v>8</v>
      </c>
      <c r="AF1471">
        <v>36</v>
      </c>
      <c r="AG1471">
        <v>0</v>
      </c>
      <c r="AH1471">
        <v>23</v>
      </c>
      <c r="AI1471">
        <v>14</v>
      </c>
      <c r="AJ1471">
        <v>15</v>
      </c>
      <c r="AK1471">
        <v>23</v>
      </c>
      <c r="AL1471">
        <v>0</v>
      </c>
      <c r="AM1471">
        <v>0.12</v>
      </c>
      <c r="AN1471">
        <v>1.3636363636363638</v>
      </c>
      <c r="AO1471">
        <v>0</v>
      </c>
      <c r="AP1471" t="s">
        <v>130</v>
      </c>
      <c r="AQ1471" t="s">
        <v>131</v>
      </c>
      <c r="AR1471" t="s">
        <v>1766</v>
      </c>
      <c r="AS1471">
        <v>2200</v>
      </c>
      <c r="AT1471">
        <v>2295</v>
      </c>
      <c r="AU1471">
        <v>0</v>
      </c>
      <c r="AV1471">
        <v>0</v>
      </c>
      <c r="AW1471">
        <v>4.4950000000000001</v>
      </c>
      <c r="AX1471">
        <v>0.16648148148148148</v>
      </c>
      <c r="AY1471">
        <v>5.9933333333333332</v>
      </c>
      <c r="AZ1471" t="s">
        <v>135</v>
      </c>
      <c r="BA1471">
        <v>6.6666666666668206E-3</v>
      </c>
      <c r="BB1471">
        <v>4.0044493882092136E-2</v>
      </c>
      <c r="BC1471" t="s">
        <v>133</v>
      </c>
      <c r="BD1471">
        <v>0</v>
      </c>
      <c r="BE1471" t="s">
        <v>133</v>
      </c>
      <c r="BF147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4.4950000000000001</v>
      </c>
    </row>
    <row r="1472" spans="1:58" x14ac:dyDescent="0.25">
      <c r="A1472" t="s">
        <v>1781</v>
      </c>
      <c r="B1472" t="s">
        <v>19</v>
      </c>
      <c r="C1472">
        <v>4</v>
      </c>
      <c r="D1472">
        <v>16</v>
      </c>
      <c r="E1472" t="s">
        <v>2112</v>
      </c>
      <c r="F1472" t="s">
        <v>123</v>
      </c>
      <c r="G1472" t="s">
        <v>124</v>
      </c>
      <c r="H1472" t="s">
        <v>125</v>
      </c>
      <c r="I1472" t="s">
        <v>126</v>
      </c>
      <c r="J1472" t="s">
        <v>126</v>
      </c>
      <c r="K1472" t="s">
        <v>127</v>
      </c>
      <c r="L1472">
        <v>50</v>
      </c>
      <c r="M1472">
        <v>1511123</v>
      </c>
      <c r="N1472">
        <v>6</v>
      </c>
      <c r="O1472">
        <v>6</v>
      </c>
      <c r="P1472" t="s">
        <v>1764</v>
      </c>
      <c r="Q1472" t="s">
        <v>1765</v>
      </c>
      <c r="R1472">
        <v>2</v>
      </c>
      <c r="T1472">
        <v>9</v>
      </c>
      <c r="U1472">
        <v>14</v>
      </c>
      <c r="V1472">
        <v>4</v>
      </c>
      <c r="W1472">
        <v>0</v>
      </c>
      <c r="X1472">
        <v>4</v>
      </c>
      <c r="Y1472">
        <v>17</v>
      </c>
      <c r="Z1472">
        <v>30</v>
      </c>
      <c r="AA1472">
        <v>35</v>
      </c>
      <c r="AB1472">
        <v>50</v>
      </c>
      <c r="AC1472">
        <v>14</v>
      </c>
      <c r="AD1472">
        <v>4</v>
      </c>
      <c r="AE1472">
        <v>21</v>
      </c>
      <c r="AF1472">
        <v>39</v>
      </c>
      <c r="AG1472">
        <v>0</v>
      </c>
      <c r="AH1472">
        <v>36</v>
      </c>
      <c r="AI1472">
        <v>11</v>
      </c>
      <c r="AJ1472">
        <v>15</v>
      </c>
      <c r="AK1472">
        <v>36</v>
      </c>
      <c r="AL1472">
        <v>0</v>
      </c>
      <c r="AM1472">
        <v>0.12</v>
      </c>
      <c r="AN1472">
        <v>1.3636363636363638</v>
      </c>
      <c r="AO1472">
        <v>0</v>
      </c>
      <c r="AP1472" t="s">
        <v>130</v>
      </c>
      <c r="AQ1472" t="s">
        <v>131</v>
      </c>
      <c r="AR1472" t="s">
        <v>1766</v>
      </c>
      <c r="AS1472">
        <v>1410</v>
      </c>
      <c r="AT1472">
        <v>1409</v>
      </c>
      <c r="AU1472">
        <v>0</v>
      </c>
      <c r="AV1472">
        <v>0</v>
      </c>
      <c r="AW1472">
        <v>2.819</v>
      </c>
      <c r="AX1472">
        <v>0.20135714285714285</v>
      </c>
      <c r="AY1472">
        <v>7.8529285714285706</v>
      </c>
      <c r="AZ1472" t="s">
        <v>135</v>
      </c>
      <c r="BA1472">
        <v>-1.8529285714285706</v>
      </c>
      <c r="BB1472">
        <v>-9.2021993614756976</v>
      </c>
      <c r="BC1472" t="s">
        <v>133</v>
      </c>
      <c r="BD1472">
        <v>0</v>
      </c>
      <c r="BE1472" t="s">
        <v>133</v>
      </c>
      <c r="BF147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2.819</v>
      </c>
    </row>
    <row r="1473" spans="1:58" x14ac:dyDescent="0.25">
      <c r="A1473" t="s">
        <v>1782</v>
      </c>
      <c r="B1473" t="s">
        <v>19</v>
      </c>
      <c r="C1473">
        <v>4</v>
      </c>
      <c r="D1473">
        <v>17</v>
      </c>
      <c r="E1473" t="s">
        <v>2112</v>
      </c>
      <c r="F1473" t="s">
        <v>123</v>
      </c>
      <c r="G1473" t="s">
        <v>124</v>
      </c>
      <c r="H1473" t="s">
        <v>136</v>
      </c>
      <c r="I1473" t="s">
        <v>137</v>
      </c>
      <c r="J1473" t="s">
        <v>138</v>
      </c>
      <c r="K1473" t="s">
        <v>127</v>
      </c>
      <c r="L1473">
        <v>50</v>
      </c>
      <c r="M1473">
        <v>1511125</v>
      </c>
      <c r="N1473">
        <v>5</v>
      </c>
      <c r="O1473">
        <v>6</v>
      </c>
      <c r="P1473" t="s">
        <v>1764</v>
      </c>
      <c r="Q1473" t="s">
        <v>1765</v>
      </c>
      <c r="R1473">
        <v>2</v>
      </c>
      <c r="T1473">
        <v>0</v>
      </c>
      <c r="U1473">
        <v>4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4</v>
      </c>
      <c r="AB1473">
        <v>50</v>
      </c>
      <c r="AC1473">
        <v>4</v>
      </c>
      <c r="AD1473">
        <v>0</v>
      </c>
      <c r="AE1473">
        <v>0</v>
      </c>
      <c r="AF1473">
        <v>4</v>
      </c>
      <c r="AG1473">
        <v>0</v>
      </c>
      <c r="AH1473">
        <v>46</v>
      </c>
      <c r="AI1473">
        <v>46</v>
      </c>
      <c r="AJ1473">
        <v>46</v>
      </c>
      <c r="AK1473">
        <v>46</v>
      </c>
      <c r="AL1473">
        <v>0</v>
      </c>
      <c r="AM1473">
        <v>0.1</v>
      </c>
      <c r="AN1473">
        <v>4.1818181818181817</v>
      </c>
      <c r="AO1473">
        <v>0</v>
      </c>
      <c r="AP1473" t="s">
        <v>139</v>
      </c>
      <c r="AQ1473" t="s">
        <v>131</v>
      </c>
      <c r="AR1473" t="s">
        <v>1766</v>
      </c>
      <c r="AS1473">
        <v>0</v>
      </c>
      <c r="AT1473">
        <v>0</v>
      </c>
      <c r="AU1473">
        <v>0</v>
      </c>
      <c r="AV1473">
        <v>0</v>
      </c>
      <c r="AW1473">
        <v>0</v>
      </c>
      <c r="AX1473">
        <v>0</v>
      </c>
      <c r="AY1473">
        <v>0</v>
      </c>
      <c r="AZ1473" t="s">
        <v>134</v>
      </c>
      <c r="BA1473">
        <v>5</v>
      </c>
      <c r="BB1473">
        <v>0</v>
      </c>
      <c r="BC1473" t="s">
        <v>133</v>
      </c>
      <c r="BD1473">
        <v>0</v>
      </c>
      <c r="BE1473" t="s">
        <v>133</v>
      </c>
      <c r="BF147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74" spans="1:58" x14ac:dyDescent="0.25">
      <c r="A1474" t="s">
        <v>1783</v>
      </c>
      <c r="B1474" t="s">
        <v>19</v>
      </c>
      <c r="C1474">
        <v>4</v>
      </c>
      <c r="D1474">
        <v>18</v>
      </c>
      <c r="E1474" t="s">
        <v>2112</v>
      </c>
      <c r="F1474" t="s">
        <v>123</v>
      </c>
      <c r="G1474" t="s">
        <v>124</v>
      </c>
      <c r="H1474" t="s">
        <v>125</v>
      </c>
      <c r="I1474" t="s">
        <v>126</v>
      </c>
      <c r="J1474" t="s">
        <v>126</v>
      </c>
      <c r="K1474" t="s">
        <v>127</v>
      </c>
      <c r="L1474">
        <v>50</v>
      </c>
      <c r="M1474">
        <v>1511127</v>
      </c>
      <c r="N1474">
        <v>6</v>
      </c>
      <c r="O1474">
        <v>6</v>
      </c>
      <c r="P1474" t="s">
        <v>1764</v>
      </c>
      <c r="Q1474" t="s">
        <v>1765</v>
      </c>
      <c r="R1474">
        <v>2</v>
      </c>
      <c r="T1474">
        <v>7</v>
      </c>
      <c r="U1474">
        <v>12</v>
      </c>
      <c r="V1474">
        <v>7</v>
      </c>
      <c r="W1474">
        <v>0</v>
      </c>
      <c r="X1474">
        <v>7</v>
      </c>
      <c r="Y1474">
        <v>8</v>
      </c>
      <c r="Z1474">
        <v>22</v>
      </c>
      <c r="AA1474">
        <v>27</v>
      </c>
      <c r="AB1474">
        <v>50</v>
      </c>
      <c r="AC1474">
        <v>16</v>
      </c>
      <c r="AD1474">
        <v>7</v>
      </c>
      <c r="AE1474">
        <v>11</v>
      </c>
      <c r="AF1474">
        <v>34</v>
      </c>
      <c r="AG1474">
        <v>0</v>
      </c>
      <c r="AH1474">
        <v>34</v>
      </c>
      <c r="AI1474">
        <v>16</v>
      </c>
      <c r="AJ1474">
        <v>23</v>
      </c>
      <c r="AK1474">
        <v>34</v>
      </c>
      <c r="AL1474">
        <v>0</v>
      </c>
      <c r="AM1474">
        <v>0.12</v>
      </c>
      <c r="AN1474">
        <v>2.0909090909090908</v>
      </c>
      <c r="AO1474">
        <v>0</v>
      </c>
      <c r="AP1474" t="s">
        <v>130</v>
      </c>
      <c r="AQ1474" t="s">
        <v>131</v>
      </c>
      <c r="AR1474" t="s">
        <v>1766</v>
      </c>
      <c r="AS1474">
        <v>1294</v>
      </c>
      <c r="AT1474">
        <v>1267</v>
      </c>
      <c r="AU1474">
        <v>0</v>
      </c>
      <c r="AV1474">
        <v>0</v>
      </c>
      <c r="AW1474">
        <v>2.5609999999999999</v>
      </c>
      <c r="AX1474">
        <v>0.1600625</v>
      </c>
      <c r="AY1474">
        <v>5.4421249999999999</v>
      </c>
      <c r="AZ1474" t="s">
        <v>135</v>
      </c>
      <c r="BA1474">
        <v>0.55787500000000012</v>
      </c>
      <c r="BB1474">
        <v>3.4853572823115977</v>
      </c>
      <c r="BC1474" t="s">
        <v>133</v>
      </c>
      <c r="BD1474">
        <v>0</v>
      </c>
      <c r="BE1474" t="s">
        <v>133</v>
      </c>
      <c r="BF147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2.5609999999999999</v>
      </c>
    </row>
    <row r="1475" spans="1:58" x14ac:dyDescent="0.25">
      <c r="A1475" t="s">
        <v>1784</v>
      </c>
      <c r="B1475" t="s">
        <v>19</v>
      </c>
      <c r="C1475">
        <v>4</v>
      </c>
      <c r="D1475">
        <v>19</v>
      </c>
      <c r="E1475" t="s">
        <v>2112</v>
      </c>
      <c r="F1475" t="s">
        <v>123</v>
      </c>
      <c r="G1475" t="s">
        <v>124</v>
      </c>
      <c r="H1475" t="s">
        <v>125</v>
      </c>
      <c r="I1475" t="s">
        <v>126</v>
      </c>
      <c r="J1475" t="s">
        <v>126</v>
      </c>
      <c r="K1475" t="s">
        <v>127</v>
      </c>
      <c r="L1475">
        <v>50</v>
      </c>
      <c r="M1475">
        <v>1511129</v>
      </c>
      <c r="N1475">
        <v>6</v>
      </c>
      <c r="O1475">
        <v>6</v>
      </c>
      <c r="P1475" t="s">
        <v>1764</v>
      </c>
      <c r="Q1475" t="s">
        <v>1765</v>
      </c>
      <c r="R1475">
        <v>2</v>
      </c>
      <c r="T1475">
        <v>16</v>
      </c>
      <c r="U1475">
        <v>21</v>
      </c>
      <c r="V1475">
        <v>2</v>
      </c>
      <c r="W1475">
        <v>0</v>
      </c>
      <c r="X1475">
        <v>2</v>
      </c>
      <c r="Y1475">
        <v>8</v>
      </c>
      <c r="Z1475">
        <v>26</v>
      </c>
      <c r="AA1475">
        <v>31</v>
      </c>
      <c r="AB1475">
        <v>50</v>
      </c>
      <c r="AC1475">
        <v>25</v>
      </c>
      <c r="AD1475">
        <v>2</v>
      </c>
      <c r="AE1475">
        <v>13</v>
      </c>
      <c r="AF1475">
        <v>40</v>
      </c>
      <c r="AG1475">
        <v>0</v>
      </c>
      <c r="AH1475">
        <v>25</v>
      </c>
      <c r="AI1475">
        <v>10</v>
      </c>
      <c r="AJ1475">
        <v>12</v>
      </c>
      <c r="AK1475">
        <v>25</v>
      </c>
      <c r="AL1475">
        <v>0</v>
      </c>
      <c r="AM1475">
        <v>0.12</v>
      </c>
      <c r="AN1475">
        <v>1.0909090909090908</v>
      </c>
      <c r="AO1475">
        <v>0</v>
      </c>
      <c r="AP1475" t="s">
        <v>130</v>
      </c>
      <c r="AQ1475" t="s">
        <v>131</v>
      </c>
      <c r="AR1475" t="s">
        <v>1766</v>
      </c>
      <c r="AS1475">
        <v>1888</v>
      </c>
      <c r="AT1475">
        <v>1787</v>
      </c>
      <c r="AU1475">
        <v>0</v>
      </c>
      <c r="AV1475">
        <v>0</v>
      </c>
      <c r="AW1475">
        <v>3.6749999999999998</v>
      </c>
      <c r="AX1475">
        <v>0.14699999999999999</v>
      </c>
      <c r="AY1475">
        <v>5.88</v>
      </c>
      <c r="AZ1475" t="s">
        <v>135</v>
      </c>
      <c r="BA1475">
        <v>0.12000000000000011</v>
      </c>
      <c r="BB1475">
        <v>0.81632653061224569</v>
      </c>
      <c r="BC1475" t="s">
        <v>133</v>
      </c>
      <c r="BD1475">
        <v>0</v>
      </c>
      <c r="BE1475" t="s">
        <v>133</v>
      </c>
      <c r="BF147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3.6749999999999998</v>
      </c>
    </row>
    <row r="1476" spans="1:58" x14ac:dyDescent="0.25">
      <c r="A1476" t="s">
        <v>1785</v>
      </c>
      <c r="B1476" t="s">
        <v>19</v>
      </c>
      <c r="C1476">
        <v>4</v>
      </c>
      <c r="D1476">
        <v>20</v>
      </c>
      <c r="E1476" t="s">
        <v>2112</v>
      </c>
      <c r="F1476" t="s">
        <v>123</v>
      </c>
      <c r="G1476" t="s">
        <v>124</v>
      </c>
      <c r="H1476" t="s">
        <v>125</v>
      </c>
      <c r="I1476" t="s">
        <v>126</v>
      </c>
      <c r="J1476" t="s">
        <v>126</v>
      </c>
      <c r="K1476" t="s">
        <v>127</v>
      </c>
      <c r="L1476">
        <v>50</v>
      </c>
      <c r="M1476">
        <v>1511131</v>
      </c>
      <c r="N1476">
        <v>6</v>
      </c>
      <c r="O1476">
        <v>6</v>
      </c>
      <c r="P1476" t="s">
        <v>1764</v>
      </c>
      <c r="Q1476" t="s">
        <v>1765</v>
      </c>
      <c r="R1476">
        <v>2</v>
      </c>
      <c r="T1476">
        <v>18</v>
      </c>
      <c r="U1476">
        <v>23</v>
      </c>
      <c r="V1476">
        <v>3</v>
      </c>
      <c r="W1476">
        <v>0</v>
      </c>
      <c r="X1476">
        <v>3</v>
      </c>
      <c r="Y1476">
        <v>5</v>
      </c>
      <c r="Z1476">
        <v>26</v>
      </c>
      <c r="AA1476">
        <v>31</v>
      </c>
      <c r="AB1476">
        <v>50</v>
      </c>
      <c r="AC1476">
        <v>26</v>
      </c>
      <c r="AD1476">
        <v>4</v>
      </c>
      <c r="AE1476">
        <v>9</v>
      </c>
      <c r="AF1476">
        <v>39</v>
      </c>
      <c r="AG1476">
        <v>0</v>
      </c>
      <c r="AH1476">
        <v>24</v>
      </c>
      <c r="AI1476">
        <v>11</v>
      </c>
      <c r="AJ1476">
        <v>15</v>
      </c>
      <c r="AK1476">
        <v>24</v>
      </c>
      <c r="AL1476">
        <v>0</v>
      </c>
      <c r="AM1476">
        <v>0.12</v>
      </c>
      <c r="AN1476">
        <v>1.3636363636363638</v>
      </c>
      <c r="AO1476">
        <v>0</v>
      </c>
      <c r="AP1476" t="s">
        <v>130</v>
      </c>
      <c r="AQ1476" t="s">
        <v>131</v>
      </c>
      <c r="AR1476" t="s">
        <v>1766</v>
      </c>
      <c r="AS1476">
        <v>2463</v>
      </c>
      <c r="AT1476">
        <v>2752</v>
      </c>
      <c r="AU1476">
        <v>0</v>
      </c>
      <c r="AV1476">
        <v>0</v>
      </c>
      <c r="AW1476">
        <v>5.2149999999999999</v>
      </c>
      <c r="AX1476">
        <v>0.20057692307692307</v>
      </c>
      <c r="AY1476">
        <v>7.8224999999999998</v>
      </c>
      <c r="AZ1476" t="s">
        <v>135</v>
      </c>
      <c r="BA1476">
        <v>-1.8224999999999998</v>
      </c>
      <c r="BB1476">
        <v>-9.0862895493767972</v>
      </c>
      <c r="BC1476" t="s">
        <v>133</v>
      </c>
      <c r="BD1476">
        <v>0</v>
      </c>
      <c r="BE1476" t="s">
        <v>133</v>
      </c>
      <c r="BF147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5.2149999999999999</v>
      </c>
    </row>
    <row r="1477" spans="1:58" x14ac:dyDescent="0.25">
      <c r="A1477" t="s">
        <v>1786</v>
      </c>
      <c r="B1477" t="s">
        <v>19</v>
      </c>
      <c r="C1477">
        <v>4</v>
      </c>
      <c r="D1477">
        <v>21</v>
      </c>
      <c r="E1477" t="s">
        <v>2112</v>
      </c>
      <c r="F1477" t="s">
        <v>123</v>
      </c>
      <c r="G1477" t="s">
        <v>124</v>
      </c>
      <c r="H1477" t="s">
        <v>125</v>
      </c>
      <c r="I1477" t="s">
        <v>126</v>
      </c>
      <c r="J1477" t="s">
        <v>126</v>
      </c>
      <c r="K1477" t="s">
        <v>127</v>
      </c>
      <c r="L1477">
        <v>50</v>
      </c>
      <c r="M1477">
        <v>1511133</v>
      </c>
      <c r="N1477">
        <v>6</v>
      </c>
      <c r="O1477">
        <v>6</v>
      </c>
      <c r="P1477" t="s">
        <v>1764</v>
      </c>
      <c r="Q1477" t="s">
        <v>1765</v>
      </c>
      <c r="R1477">
        <v>2</v>
      </c>
      <c r="T1477">
        <v>19</v>
      </c>
      <c r="U1477">
        <v>24</v>
      </c>
      <c r="V1477">
        <v>6</v>
      </c>
      <c r="W1477">
        <v>0</v>
      </c>
      <c r="X1477">
        <v>6</v>
      </c>
      <c r="Y1477">
        <v>5</v>
      </c>
      <c r="Z1477">
        <v>30</v>
      </c>
      <c r="AA1477">
        <v>35</v>
      </c>
      <c r="AB1477">
        <v>50</v>
      </c>
      <c r="AC1477">
        <v>25</v>
      </c>
      <c r="AD1477">
        <v>6</v>
      </c>
      <c r="AE1477">
        <v>6</v>
      </c>
      <c r="AF1477">
        <v>37</v>
      </c>
      <c r="AG1477">
        <v>0</v>
      </c>
      <c r="AH1477">
        <v>25</v>
      </c>
      <c r="AI1477">
        <v>13</v>
      </c>
      <c r="AJ1477">
        <v>19</v>
      </c>
      <c r="AK1477">
        <v>25</v>
      </c>
      <c r="AL1477">
        <v>0</v>
      </c>
      <c r="AM1477">
        <v>0.12</v>
      </c>
      <c r="AN1477">
        <v>1.7272727272727273</v>
      </c>
      <c r="AO1477">
        <v>0</v>
      </c>
      <c r="AP1477" t="s">
        <v>130</v>
      </c>
      <c r="AQ1477" t="s">
        <v>131</v>
      </c>
      <c r="AR1477" t="s">
        <v>1766</v>
      </c>
      <c r="AS1477">
        <v>2302</v>
      </c>
      <c r="AT1477">
        <v>2269</v>
      </c>
      <c r="AU1477">
        <v>0</v>
      </c>
      <c r="AV1477">
        <v>0</v>
      </c>
      <c r="AW1477">
        <v>4.5709999999999997</v>
      </c>
      <c r="AX1477">
        <v>0.18284</v>
      </c>
      <c r="AY1477">
        <v>6.7650800000000002</v>
      </c>
      <c r="AZ1477" t="s">
        <v>135</v>
      </c>
      <c r="BA1477">
        <v>-0.7650800000000002</v>
      </c>
      <c r="BB1477">
        <v>-4.1844235397068488</v>
      </c>
      <c r="BC1477" t="s">
        <v>133</v>
      </c>
      <c r="BD1477">
        <v>0</v>
      </c>
      <c r="BE1477" t="s">
        <v>133</v>
      </c>
      <c r="BF147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4.5709999999999997</v>
      </c>
    </row>
    <row r="1478" spans="1:58" x14ac:dyDescent="0.25">
      <c r="A1478" t="s">
        <v>1787</v>
      </c>
      <c r="B1478" t="s">
        <v>19</v>
      </c>
      <c r="C1478">
        <v>4</v>
      </c>
      <c r="D1478">
        <v>22</v>
      </c>
      <c r="E1478" t="s">
        <v>2112</v>
      </c>
      <c r="F1478" t="s">
        <v>123</v>
      </c>
      <c r="G1478" t="s">
        <v>124</v>
      </c>
      <c r="H1478" t="s">
        <v>125</v>
      </c>
      <c r="I1478" t="s">
        <v>126</v>
      </c>
      <c r="J1478" t="s">
        <v>145</v>
      </c>
      <c r="K1478" t="s">
        <v>127</v>
      </c>
      <c r="L1478">
        <v>50</v>
      </c>
      <c r="M1478">
        <v>1511135</v>
      </c>
      <c r="N1478">
        <v>6</v>
      </c>
      <c r="O1478">
        <v>6</v>
      </c>
      <c r="P1478" t="s">
        <v>1764</v>
      </c>
      <c r="Q1478" t="s">
        <v>1765</v>
      </c>
      <c r="R1478">
        <v>2</v>
      </c>
      <c r="T1478">
        <v>0</v>
      </c>
      <c r="U1478">
        <v>6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6</v>
      </c>
      <c r="AB1478">
        <v>50</v>
      </c>
      <c r="AC1478">
        <v>6</v>
      </c>
      <c r="AD1478">
        <v>0</v>
      </c>
      <c r="AE1478">
        <v>0</v>
      </c>
      <c r="AF1478">
        <v>6</v>
      </c>
      <c r="AG1478">
        <v>0</v>
      </c>
      <c r="AH1478">
        <v>44</v>
      </c>
      <c r="AI1478">
        <v>44</v>
      </c>
      <c r="AJ1478">
        <v>44</v>
      </c>
      <c r="AK1478">
        <v>44</v>
      </c>
      <c r="AL1478">
        <v>0</v>
      </c>
      <c r="AM1478">
        <v>0.12</v>
      </c>
      <c r="AN1478">
        <v>4</v>
      </c>
      <c r="AO1478">
        <v>0</v>
      </c>
      <c r="AP1478" t="s">
        <v>130</v>
      </c>
      <c r="AQ1478" t="s">
        <v>131</v>
      </c>
      <c r="AR1478" t="s">
        <v>1766</v>
      </c>
      <c r="AS1478">
        <v>142</v>
      </c>
      <c r="AT1478">
        <v>118</v>
      </c>
      <c r="AU1478">
        <v>0</v>
      </c>
      <c r="AV1478">
        <v>0</v>
      </c>
      <c r="AW1478">
        <v>0.26</v>
      </c>
      <c r="AX1478">
        <v>4.3333333333333335E-2</v>
      </c>
      <c r="AY1478">
        <v>0.26</v>
      </c>
      <c r="AZ1478" t="s">
        <v>135</v>
      </c>
      <c r="BA1478">
        <v>5.74</v>
      </c>
      <c r="BB1478">
        <v>132.46153846153845</v>
      </c>
      <c r="BC1478" t="s">
        <v>144</v>
      </c>
      <c r="BD1478">
        <v>1</v>
      </c>
      <c r="BE1478" t="s">
        <v>133</v>
      </c>
      <c r="BF147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0.26</v>
      </c>
    </row>
    <row r="1479" spans="1:58" x14ac:dyDescent="0.25">
      <c r="A1479" t="s">
        <v>1788</v>
      </c>
      <c r="B1479" t="s">
        <v>19</v>
      </c>
      <c r="C1479">
        <v>4</v>
      </c>
      <c r="D1479">
        <v>23</v>
      </c>
      <c r="E1479" t="s">
        <v>2112</v>
      </c>
      <c r="F1479" t="s">
        <v>123</v>
      </c>
      <c r="G1479" t="s">
        <v>124</v>
      </c>
      <c r="H1479" t="s">
        <v>125</v>
      </c>
      <c r="I1479" t="s">
        <v>126</v>
      </c>
      <c r="J1479" t="s">
        <v>126</v>
      </c>
      <c r="K1479" t="s">
        <v>127</v>
      </c>
      <c r="L1479">
        <v>50</v>
      </c>
      <c r="M1479">
        <v>1511137</v>
      </c>
      <c r="N1479">
        <v>6</v>
      </c>
      <c r="O1479">
        <v>6</v>
      </c>
      <c r="P1479" t="s">
        <v>1764</v>
      </c>
      <c r="Q1479" t="s">
        <v>1765</v>
      </c>
      <c r="R1479">
        <v>3</v>
      </c>
      <c r="T1479">
        <v>12</v>
      </c>
      <c r="U1479">
        <v>17</v>
      </c>
      <c r="V1479">
        <v>4</v>
      </c>
      <c r="W1479">
        <v>0</v>
      </c>
      <c r="X1479">
        <v>4</v>
      </c>
      <c r="Y1479">
        <v>5</v>
      </c>
      <c r="Z1479">
        <v>21</v>
      </c>
      <c r="AA1479">
        <v>26</v>
      </c>
      <c r="AB1479">
        <v>50</v>
      </c>
      <c r="AC1479">
        <v>21</v>
      </c>
      <c r="AD1479">
        <v>5</v>
      </c>
      <c r="AE1479">
        <v>9</v>
      </c>
      <c r="AF1479">
        <v>35</v>
      </c>
      <c r="AG1479">
        <v>0</v>
      </c>
      <c r="AH1479">
        <v>29</v>
      </c>
      <c r="AI1479">
        <v>15</v>
      </c>
      <c r="AJ1479">
        <v>20</v>
      </c>
      <c r="AK1479">
        <v>29</v>
      </c>
      <c r="AL1479">
        <v>0</v>
      </c>
      <c r="AM1479">
        <v>0.12</v>
      </c>
      <c r="AN1479">
        <v>1.8181818181818183</v>
      </c>
      <c r="AO1479">
        <v>0</v>
      </c>
      <c r="AP1479" t="s">
        <v>130</v>
      </c>
      <c r="AQ1479" t="s">
        <v>131</v>
      </c>
      <c r="AR1479" t="s">
        <v>1766</v>
      </c>
      <c r="AS1479">
        <v>1919</v>
      </c>
      <c r="AT1479">
        <v>1882</v>
      </c>
      <c r="AU1479">
        <v>0</v>
      </c>
      <c r="AV1479">
        <v>0</v>
      </c>
      <c r="AW1479">
        <v>3.8010000000000002</v>
      </c>
      <c r="AX1479">
        <v>0.18099999999999999</v>
      </c>
      <c r="AY1479">
        <v>6.335</v>
      </c>
      <c r="AZ1479" t="s">
        <v>135</v>
      </c>
      <c r="BA1479">
        <v>-0.33499999999999996</v>
      </c>
      <c r="BB1479">
        <v>-1.8508287292817678</v>
      </c>
      <c r="BC1479" t="s">
        <v>132</v>
      </c>
      <c r="BD1479">
        <v>0</v>
      </c>
      <c r="BE1479" t="s">
        <v>133</v>
      </c>
      <c r="BF147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3.8010000000000002</v>
      </c>
    </row>
    <row r="1480" spans="1:58" x14ac:dyDescent="0.25">
      <c r="A1480" t="s">
        <v>1789</v>
      </c>
      <c r="B1480" t="s">
        <v>19</v>
      </c>
      <c r="C1480">
        <v>4</v>
      </c>
      <c r="D1480">
        <v>24</v>
      </c>
      <c r="E1480" t="s">
        <v>2112</v>
      </c>
      <c r="F1480" t="s">
        <v>123</v>
      </c>
      <c r="G1480" t="s">
        <v>124</v>
      </c>
      <c r="H1480" t="s">
        <v>125</v>
      </c>
      <c r="I1480" t="s">
        <v>126</v>
      </c>
      <c r="J1480" t="s">
        <v>126</v>
      </c>
      <c r="K1480" t="s">
        <v>127</v>
      </c>
      <c r="L1480">
        <v>50</v>
      </c>
      <c r="M1480">
        <v>1511139</v>
      </c>
      <c r="N1480">
        <v>6</v>
      </c>
      <c r="O1480">
        <v>6</v>
      </c>
      <c r="P1480" t="s">
        <v>1764</v>
      </c>
      <c r="Q1480" t="s">
        <v>1765</v>
      </c>
      <c r="R1480">
        <v>3</v>
      </c>
      <c r="T1480">
        <v>9</v>
      </c>
      <c r="U1480">
        <v>14</v>
      </c>
      <c r="V1480">
        <v>4</v>
      </c>
      <c r="W1480">
        <v>0</v>
      </c>
      <c r="X1480">
        <v>4</v>
      </c>
      <c r="Y1480">
        <v>10</v>
      </c>
      <c r="Z1480">
        <v>23</v>
      </c>
      <c r="AA1480">
        <v>28</v>
      </c>
      <c r="AB1480">
        <v>50</v>
      </c>
      <c r="AC1480">
        <v>22</v>
      </c>
      <c r="AD1480">
        <v>7</v>
      </c>
      <c r="AE1480">
        <v>13</v>
      </c>
      <c r="AF1480">
        <v>42</v>
      </c>
      <c r="AG1480">
        <v>0</v>
      </c>
      <c r="AH1480">
        <v>28</v>
      </c>
      <c r="AI1480">
        <v>8</v>
      </c>
      <c r="AJ1480">
        <v>15</v>
      </c>
      <c r="AK1480">
        <v>28</v>
      </c>
      <c r="AL1480">
        <v>0</v>
      </c>
      <c r="AM1480">
        <v>0.12</v>
      </c>
      <c r="AN1480">
        <v>1.3636363636363638</v>
      </c>
      <c r="AO1480">
        <v>0</v>
      </c>
      <c r="AP1480" t="s">
        <v>130</v>
      </c>
      <c r="AQ1480" t="s">
        <v>131</v>
      </c>
      <c r="AR1480" t="s">
        <v>1766</v>
      </c>
      <c r="AS1480">
        <v>1696</v>
      </c>
      <c r="AT1480">
        <v>1572</v>
      </c>
      <c r="AU1480">
        <v>0</v>
      </c>
      <c r="AV1480">
        <v>0</v>
      </c>
      <c r="AW1480">
        <v>3.2679999999999998</v>
      </c>
      <c r="AX1480">
        <v>0.14854545454545454</v>
      </c>
      <c r="AY1480">
        <v>6.2389090909090905</v>
      </c>
      <c r="AZ1480" t="s">
        <v>135</v>
      </c>
      <c r="BA1480">
        <v>-0.23890909090909052</v>
      </c>
      <c r="BB1480">
        <v>-1.6083231334149302</v>
      </c>
      <c r="BC1480" t="s">
        <v>133</v>
      </c>
      <c r="BD1480">
        <v>0</v>
      </c>
      <c r="BE1480" t="s">
        <v>133</v>
      </c>
      <c r="BF148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3.2679999999999998</v>
      </c>
    </row>
    <row r="1481" spans="1:58" x14ac:dyDescent="0.25">
      <c r="A1481" t="s">
        <v>1790</v>
      </c>
      <c r="B1481" t="s">
        <v>19</v>
      </c>
      <c r="C1481">
        <v>4</v>
      </c>
      <c r="D1481">
        <v>25</v>
      </c>
      <c r="E1481" t="s">
        <v>2112</v>
      </c>
      <c r="F1481" t="s">
        <v>123</v>
      </c>
      <c r="G1481" t="s">
        <v>124</v>
      </c>
      <c r="H1481" t="s">
        <v>125</v>
      </c>
      <c r="I1481" t="s">
        <v>126</v>
      </c>
      <c r="J1481" t="s">
        <v>126</v>
      </c>
      <c r="K1481" t="s">
        <v>127</v>
      </c>
      <c r="L1481">
        <v>50</v>
      </c>
      <c r="M1481">
        <v>1511141</v>
      </c>
      <c r="N1481">
        <v>6</v>
      </c>
      <c r="O1481">
        <v>6</v>
      </c>
      <c r="P1481" t="s">
        <v>1764</v>
      </c>
      <c r="Q1481" t="s">
        <v>1765</v>
      </c>
      <c r="R1481">
        <v>3</v>
      </c>
      <c r="T1481">
        <v>11</v>
      </c>
      <c r="U1481">
        <v>16</v>
      </c>
      <c r="V1481">
        <v>1</v>
      </c>
      <c r="W1481">
        <v>0</v>
      </c>
      <c r="X1481">
        <v>1</v>
      </c>
      <c r="Y1481">
        <v>3</v>
      </c>
      <c r="Z1481">
        <v>15</v>
      </c>
      <c r="AA1481">
        <v>20</v>
      </c>
      <c r="AB1481">
        <v>50</v>
      </c>
      <c r="AC1481">
        <v>27</v>
      </c>
      <c r="AD1481">
        <v>1</v>
      </c>
      <c r="AE1481">
        <v>7</v>
      </c>
      <c r="AF1481">
        <v>35</v>
      </c>
      <c r="AG1481">
        <v>0</v>
      </c>
      <c r="AH1481">
        <v>23</v>
      </c>
      <c r="AI1481">
        <v>15</v>
      </c>
      <c r="AJ1481">
        <v>16</v>
      </c>
      <c r="AK1481">
        <v>23</v>
      </c>
      <c r="AL1481">
        <v>0</v>
      </c>
      <c r="AM1481">
        <v>0.12</v>
      </c>
      <c r="AN1481">
        <v>1.4545454545454546</v>
      </c>
      <c r="AO1481">
        <v>0</v>
      </c>
      <c r="AP1481" t="s">
        <v>130</v>
      </c>
      <c r="AQ1481" t="s">
        <v>131</v>
      </c>
      <c r="AR1481" t="s">
        <v>1766</v>
      </c>
      <c r="AS1481">
        <v>2057</v>
      </c>
      <c r="AT1481">
        <v>1825</v>
      </c>
      <c r="AU1481">
        <v>0</v>
      </c>
      <c r="AV1481">
        <v>0</v>
      </c>
      <c r="AW1481">
        <v>3.8820000000000001</v>
      </c>
      <c r="AX1481">
        <v>0.14377777777777778</v>
      </c>
      <c r="AY1481">
        <v>5.0322222222222219</v>
      </c>
      <c r="AZ1481" t="s">
        <v>135</v>
      </c>
      <c r="BA1481">
        <v>0.96777777777777807</v>
      </c>
      <c r="BB1481">
        <v>6.7310664605873276</v>
      </c>
      <c r="BC1481" t="s">
        <v>133</v>
      </c>
      <c r="BD1481">
        <v>0</v>
      </c>
      <c r="BE1481" t="s">
        <v>133</v>
      </c>
      <c r="BF148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3.8820000000000001</v>
      </c>
    </row>
    <row r="1482" spans="1:58" x14ac:dyDescent="0.25">
      <c r="A1482" t="s">
        <v>1791</v>
      </c>
      <c r="B1482" t="s">
        <v>19</v>
      </c>
      <c r="C1482">
        <v>4</v>
      </c>
      <c r="D1482">
        <v>26</v>
      </c>
      <c r="E1482" t="s">
        <v>2112</v>
      </c>
      <c r="F1482" t="s">
        <v>123</v>
      </c>
      <c r="G1482" t="s">
        <v>124</v>
      </c>
      <c r="H1482" t="s">
        <v>125</v>
      </c>
      <c r="I1482" t="s">
        <v>126</v>
      </c>
      <c r="J1482" t="s">
        <v>126</v>
      </c>
      <c r="K1482" t="s">
        <v>127</v>
      </c>
      <c r="L1482">
        <v>50</v>
      </c>
      <c r="M1482">
        <v>1511143</v>
      </c>
      <c r="N1482">
        <v>6</v>
      </c>
      <c r="O1482">
        <v>6</v>
      </c>
      <c r="P1482" t="s">
        <v>1764</v>
      </c>
      <c r="Q1482" t="s">
        <v>1765</v>
      </c>
      <c r="R1482">
        <v>3</v>
      </c>
      <c r="T1482">
        <v>6</v>
      </c>
      <c r="U1482">
        <v>11</v>
      </c>
      <c r="V1482">
        <v>2</v>
      </c>
      <c r="W1482">
        <v>0</v>
      </c>
      <c r="X1482">
        <v>2</v>
      </c>
      <c r="Y1482">
        <v>11</v>
      </c>
      <c r="Z1482">
        <v>19</v>
      </c>
      <c r="AA1482">
        <v>24</v>
      </c>
      <c r="AB1482">
        <v>50</v>
      </c>
      <c r="AC1482">
        <v>15</v>
      </c>
      <c r="AD1482">
        <v>2</v>
      </c>
      <c r="AE1482">
        <v>17</v>
      </c>
      <c r="AF1482">
        <v>34</v>
      </c>
      <c r="AG1482">
        <v>0</v>
      </c>
      <c r="AH1482">
        <v>35</v>
      </c>
      <c r="AI1482">
        <v>16</v>
      </c>
      <c r="AJ1482">
        <v>18</v>
      </c>
      <c r="AK1482">
        <v>35</v>
      </c>
      <c r="AL1482">
        <v>0</v>
      </c>
      <c r="AM1482">
        <v>0.12</v>
      </c>
      <c r="AN1482">
        <v>1.6363636363636365</v>
      </c>
      <c r="AO1482">
        <v>0</v>
      </c>
      <c r="AP1482" t="s">
        <v>130</v>
      </c>
      <c r="AQ1482" t="s">
        <v>131</v>
      </c>
      <c r="AR1482" t="s">
        <v>1766</v>
      </c>
      <c r="AS1482">
        <v>1027</v>
      </c>
      <c r="AT1482">
        <v>931</v>
      </c>
      <c r="AU1482">
        <v>0</v>
      </c>
      <c r="AV1482">
        <v>0</v>
      </c>
      <c r="AW1482">
        <v>1.958</v>
      </c>
      <c r="AX1482">
        <v>0.13053333333333333</v>
      </c>
      <c r="AY1482">
        <v>4.438133333333333</v>
      </c>
      <c r="AZ1482" t="s">
        <v>135</v>
      </c>
      <c r="BA1482">
        <v>1.561866666666667</v>
      </c>
      <c r="BB1482">
        <v>11.965270684371809</v>
      </c>
      <c r="BC1482" t="s">
        <v>133</v>
      </c>
      <c r="BD1482">
        <v>0</v>
      </c>
      <c r="BE1482" t="s">
        <v>133</v>
      </c>
      <c r="BF148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1.958</v>
      </c>
    </row>
    <row r="1483" spans="1:58" x14ac:dyDescent="0.25">
      <c r="A1483" t="s">
        <v>1792</v>
      </c>
      <c r="B1483" t="s">
        <v>19</v>
      </c>
      <c r="C1483">
        <v>4</v>
      </c>
      <c r="D1483">
        <v>27</v>
      </c>
      <c r="E1483" t="s">
        <v>2112</v>
      </c>
      <c r="F1483" t="s">
        <v>123</v>
      </c>
      <c r="G1483" t="s">
        <v>124</v>
      </c>
      <c r="H1483" t="s">
        <v>125</v>
      </c>
      <c r="I1483" t="s">
        <v>126</v>
      </c>
      <c r="J1483" t="s">
        <v>126</v>
      </c>
      <c r="K1483" t="s">
        <v>127</v>
      </c>
      <c r="L1483">
        <v>50</v>
      </c>
      <c r="M1483">
        <v>1511145</v>
      </c>
      <c r="N1483">
        <v>6</v>
      </c>
      <c r="O1483">
        <v>6</v>
      </c>
      <c r="P1483" t="s">
        <v>1764</v>
      </c>
      <c r="Q1483" t="s">
        <v>1765</v>
      </c>
      <c r="R1483">
        <v>3</v>
      </c>
      <c r="T1483">
        <v>12</v>
      </c>
      <c r="U1483">
        <v>17</v>
      </c>
      <c r="V1483">
        <v>4</v>
      </c>
      <c r="W1483">
        <v>0</v>
      </c>
      <c r="X1483">
        <v>4</v>
      </c>
      <c r="Y1483">
        <v>5</v>
      </c>
      <c r="Z1483">
        <v>21</v>
      </c>
      <c r="AA1483">
        <v>26</v>
      </c>
      <c r="AB1483">
        <v>50</v>
      </c>
      <c r="AC1483">
        <v>27</v>
      </c>
      <c r="AD1483">
        <v>7</v>
      </c>
      <c r="AE1483">
        <v>7</v>
      </c>
      <c r="AF1483">
        <v>41</v>
      </c>
      <c r="AG1483">
        <v>0</v>
      </c>
      <c r="AH1483">
        <v>23</v>
      </c>
      <c r="AI1483">
        <v>9</v>
      </c>
      <c r="AJ1483">
        <v>16</v>
      </c>
      <c r="AK1483">
        <v>23</v>
      </c>
      <c r="AL1483">
        <v>0</v>
      </c>
      <c r="AM1483">
        <v>0.12</v>
      </c>
      <c r="AN1483">
        <v>1.4545454545454546</v>
      </c>
      <c r="AO1483">
        <v>0</v>
      </c>
      <c r="AP1483" t="s">
        <v>130</v>
      </c>
      <c r="AQ1483" t="s">
        <v>131</v>
      </c>
      <c r="AR1483" t="s">
        <v>1766</v>
      </c>
      <c r="AS1483">
        <v>2062</v>
      </c>
      <c r="AT1483">
        <v>2018</v>
      </c>
      <c r="AU1483">
        <v>0</v>
      </c>
      <c r="AV1483">
        <v>0</v>
      </c>
      <c r="AW1483">
        <v>4.08</v>
      </c>
      <c r="AX1483">
        <v>0.15111111111111111</v>
      </c>
      <c r="AY1483">
        <v>6.1955555555555559</v>
      </c>
      <c r="AZ1483" t="s">
        <v>135</v>
      </c>
      <c r="BA1483">
        <v>-0.19555555555555593</v>
      </c>
      <c r="BB1483">
        <v>-1.294117647058826</v>
      </c>
      <c r="BC1483" t="s">
        <v>133</v>
      </c>
      <c r="BD1483">
        <v>0</v>
      </c>
      <c r="BE1483" t="s">
        <v>133</v>
      </c>
      <c r="BF148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4.08</v>
      </c>
    </row>
    <row r="1484" spans="1:58" x14ac:dyDescent="0.25">
      <c r="A1484" t="s">
        <v>1793</v>
      </c>
      <c r="B1484" t="s">
        <v>19</v>
      </c>
      <c r="C1484">
        <v>4</v>
      </c>
      <c r="D1484">
        <v>28</v>
      </c>
      <c r="E1484" t="s">
        <v>2112</v>
      </c>
      <c r="F1484" t="s">
        <v>123</v>
      </c>
      <c r="G1484" t="s">
        <v>124</v>
      </c>
      <c r="H1484" t="s">
        <v>136</v>
      </c>
      <c r="I1484" t="s">
        <v>137</v>
      </c>
      <c r="J1484" t="s">
        <v>138</v>
      </c>
      <c r="K1484" t="s">
        <v>127</v>
      </c>
      <c r="L1484">
        <v>50</v>
      </c>
      <c r="M1484">
        <v>1511147</v>
      </c>
      <c r="N1484">
        <v>5</v>
      </c>
      <c r="O1484">
        <v>6</v>
      </c>
      <c r="P1484" t="s">
        <v>1764</v>
      </c>
      <c r="Q1484" t="s">
        <v>1765</v>
      </c>
      <c r="R1484">
        <v>3</v>
      </c>
      <c r="T1484">
        <v>0</v>
      </c>
      <c r="U1484">
        <v>4</v>
      </c>
      <c r="V1484">
        <v>0</v>
      </c>
      <c r="W1484">
        <v>0</v>
      </c>
      <c r="X1484">
        <v>0</v>
      </c>
      <c r="Y1484">
        <v>0</v>
      </c>
      <c r="Z1484">
        <v>0</v>
      </c>
      <c r="AA1484">
        <v>4</v>
      </c>
      <c r="AB1484">
        <v>50</v>
      </c>
      <c r="AC1484">
        <v>4</v>
      </c>
      <c r="AD1484">
        <v>0</v>
      </c>
      <c r="AE1484">
        <v>0</v>
      </c>
      <c r="AF1484">
        <v>4</v>
      </c>
      <c r="AG1484">
        <v>0</v>
      </c>
      <c r="AH1484">
        <v>46</v>
      </c>
      <c r="AI1484">
        <v>46</v>
      </c>
      <c r="AJ1484">
        <v>46</v>
      </c>
      <c r="AK1484">
        <v>46</v>
      </c>
      <c r="AL1484">
        <v>0</v>
      </c>
      <c r="AM1484">
        <v>0.1</v>
      </c>
      <c r="AN1484">
        <v>4.1818181818181817</v>
      </c>
      <c r="AO1484">
        <v>0</v>
      </c>
      <c r="AP1484" t="s">
        <v>139</v>
      </c>
      <c r="AQ1484" t="s">
        <v>131</v>
      </c>
      <c r="AR1484" t="s">
        <v>1766</v>
      </c>
      <c r="AS1484">
        <v>0</v>
      </c>
      <c r="AT1484">
        <v>0</v>
      </c>
      <c r="AU1484">
        <v>0</v>
      </c>
      <c r="AV1484">
        <v>0</v>
      </c>
      <c r="AW1484">
        <v>0</v>
      </c>
      <c r="AX1484">
        <v>0</v>
      </c>
      <c r="AY1484">
        <v>0</v>
      </c>
      <c r="AZ1484" t="s">
        <v>134</v>
      </c>
      <c r="BA1484">
        <v>5</v>
      </c>
      <c r="BB1484">
        <v>0</v>
      </c>
      <c r="BC1484" t="s">
        <v>133</v>
      </c>
      <c r="BD1484">
        <v>0</v>
      </c>
      <c r="BE1484" t="s">
        <v>133</v>
      </c>
      <c r="BF148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85" spans="1:58" x14ac:dyDescent="0.25">
      <c r="A1485" t="s">
        <v>1794</v>
      </c>
      <c r="B1485" t="s">
        <v>19</v>
      </c>
      <c r="C1485">
        <v>4</v>
      </c>
      <c r="D1485">
        <v>29</v>
      </c>
      <c r="E1485" t="s">
        <v>2112</v>
      </c>
      <c r="F1485" t="s">
        <v>123</v>
      </c>
      <c r="G1485" t="s">
        <v>124</v>
      </c>
      <c r="H1485" t="s">
        <v>125</v>
      </c>
      <c r="I1485" t="s">
        <v>126</v>
      </c>
      <c r="J1485" t="s">
        <v>126</v>
      </c>
      <c r="K1485" t="s">
        <v>127</v>
      </c>
      <c r="L1485">
        <v>50</v>
      </c>
      <c r="M1485">
        <v>1511149</v>
      </c>
      <c r="N1485">
        <v>6</v>
      </c>
      <c r="O1485">
        <v>6</v>
      </c>
      <c r="P1485" t="s">
        <v>1764</v>
      </c>
      <c r="Q1485" t="s">
        <v>1765</v>
      </c>
      <c r="R1485">
        <v>3</v>
      </c>
      <c r="T1485">
        <v>9</v>
      </c>
      <c r="U1485">
        <v>14</v>
      </c>
      <c r="V1485">
        <v>0</v>
      </c>
      <c r="W1485">
        <v>0</v>
      </c>
      <c r="X1485">
        <v>0</v>
      </c>
      <c r="Y1485">
        <v>8</v>
      </c>
      <c r="Z1485">
        <v>17</v>
      </c>
      <c r="AA1485">
        <v>22</v>
      </c>
      <c r="AB1485">
        <v>50</v>
      </c>
      <c r="AC1485">
        <v>27</v>
      </c>
      <c r="AD1485">
        <v>0</v>
      </c>
      <c r="AE1485">
        <v>14</v>
      </c>
      <c r="AF1485">
        <v>41</v>
      </c>
      <c r="AG1485">
        <v>0</v>
      </c>
      <c r="AH1485">
        <v>23</v>
      </c>
      <c r="AI1485">
        <v>9</v>
      </c>
      <c r="AJ1485">
        <v>9</v>
      </c>
      <c r="AK1485">
        <v>23</v>
      </c>
      <c r="AL1485">
        <v>0</v>
      </c>
      <c r="AM1485">
        <v>0.12</v>
      </c>
      <c r="AN1485">
        <v>0.81818181818181823</v>
      </c>
      <c r="AO1485">
        <v>0</v>
      </c>
      <c r="AP1485" t="s">
        <v>130</v>
      </c>
      <c r="AQ1485" t="s">
        <v>131</v>
      </c>
      <c r="AR1485" t="s">
        <v>1766</v>
      </c>
      <c r="AS1485">
        <v>1608</v>
      </c>
      <c r="AT1485">
        <v>1727</v>
      </c>
      <c r="AU1485">
        <v>0</v>
      </c>
      <c r="AV1485">
        <v>0</v>
      </c>
      <c r="AW1485">
        <v>3.335</v>
      </c>
      <c r="AX1485">
        <v>0.12351851851851851</v>
      </c>
      <c r="AY1485">
        <v>5.0642592592592592</v>
      </c>
      <c r="AZ1485" t="s">
        <v>135</v>
      </c>
      <c r="BA1485">
        <v>0.93574074074074076</v>
      </c>
      <c r="BB1485">
        <v>7.5757121439280368</v>
      </c>
      <c r="BC1485" t="s">
        <v>133</v>
      </c>
      <c r="BD1485">
        <v>0</v>
      </c>
      <c r="BE1485" t="s">
        <v>133</v>
      </c>
      <c r="BF148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3.335</v>
      </c>
    </row>
    <row r="1486" spans="1:58" x14ac:dyDescent="0.25">
      <c r="A1486" t="s">
        <v>1795</v>
      </c>
      <c r="B1486" t="s">
        <v>19</v>
      </c>
      <c r="C1486">
        <v>4</v>
      </c>
      <c r="D1486">
        <v>30</v>
      </c>
      <c r="E1486" t="s">
        <v>2112</v>
      </c>
      <c r="F1486" t="s">
        <v>123</v>
      </c>
      <c r="G1486" t="s">
        <v>124</v>
      </c>
      <c r="H1486" t="s">
        <v>125</v>
      </c>
      <c r="I1486" t="s">
        <v>126</v>
      </c>
      <c r="J1486" t="s">
        <v>126</v>
      </c>
      <c r="K1486" t="s">
        <v>127</v>
      </c>
      <c r="L1486">
        <v>50</v>
      </c>
      <c r="M1486">
        <v>1511151</v>
      </c>
      <c r="N1486">
        <v>6</v>
      </c>
      <c r="O1486">
        <v>6</v>
      </c>
      <c r="P1486" t="s">
        <v>1764</v>
      </c>
      <c r="Q1486" t="s">
        <v>1765</v>
      </c>
      <c r="R1486">
        <v>3</v>
      </c>
      <c r="T1486">
        <v>6</v>
      </c>
      <c r="U1486">
        <v>11</v>
      </c>
      <c r="V1486">
        <v>4</v>
      </c>
      <c r="W1486">
        <v>0</v>
      </c>
      <c r="X1486">
        <v>4</v>
      </c>
      <c r="Y1486">
        <v>7</v>
      </c>
      <c r="Z1486">
        <v>17</v>
      </c>
      <c r="AA1486">
        <v>22</v>
      </c>
      <c r="AB1486">
        <v>50</v>
      </c>
      <c r="AC1486">
        <v>15</v>
      </c>
      <c r="AD1486">
        <v>12</v>
      </c>
      <c r="AE1486">
        <v>12</v>
      </c>
      <c r="AF1486">
        <v>39</v>
      </c>
      <c r="AG1486">
        <v>0</v>
      </c>
      <c r="AH1486">
        <v>35</v>
      </c>
      <c r="AI1486">
        <v>11</v>
      </c>
      <c r="AJ1486">
        <v>23</v>
      </c>
      <c r="AK1486">
        <v>35</v>
      </c>
      <c r="AL1486">
        <v>0</v>
      </c>
      <c r="AM1486">
        <v>0.12</v>
      </c>
      <c r="AN1486">
        <v>2.0909090909090908</v>
      </c>
      <c r="AO1486">
        <v>0</v>
      </c>
      <c r="AP1486" t="s">
        <v>130</v>
      </c>
      <c r="AQ1486" t="s">
        <v>131</v>
      </c>
      <c r="AR1486" t="s">
        <v>1766</v>
      </c>
      <c r="AS1486">
        <v>1383</v>
      </c>
      <c r="AT1486">
        <v>1319</v>
      </c>
      <c r="AU1486">
        <v>0</v>
      </c>
      <c r="AV1486">
        <v>0</v>
      </c>
      <c r="AW1486">
        <v>2.702</v>
      </c>
      <c r="AX1486">
        <v>0.18013333333333334</v>
      </c>
      <c r="AY1486">
        <v>7.0251999999999999</v>
      </c>
      <c r="AZ1486" t="s">
        <v>135</v>
      </c>
      <c r="BA1486">
        <v>-1.0251999999999999</v>
      </c>
      <c r="BB1486">
        <v>-5.691339748334566</v>
      </c>
      <c r="BC1486" t="s">
        <v>133</v>
      </c>
      <c r="BD1486">
        <v>0</v>
      </c>
      <c r="BE1486" t="s">
        <v>133</v>
      </c>
      <c r="BF148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2.702</v>
      </c>
    </row>
    <row r="1487" spans="1:58" x14ac:dyDescent="0.25">
      <c r="A1487" t="s">
        <v>1796</v>
      </c>
      <c r="B1487" t="s">
        <v>19</v>
      </c>
      <c r="C1487">
        <v>4</v>
      </c>
      <c r="D1487">
        <v>31</v>
      </c>
      <c r="E1487" t="s">
        <v>2112</v>
      </c>
      <c r="F1487" t="s">
        <v>123</v>
      </c>
      <c r="G1487" t="s">
        <v>124</v>
      </c>
      <c r="H1487" t="s">
        <v>125</v>
      </c>
      <c r="I1487" t="s">
        <v>126</v>
      </c>
      <c r="J1487" t="s">
        <v>126</v>
      </c>
      <c r="K1487" t="s">
        <v>127</v>
      </c>
      <c r="L1487">
        <v>50</v>
      </c>
      <c r="M1487">
        <v>1511153</v>
      </c>
      <c r="N1487">
        <v>6</v>
      </c>
      <c r="O1487">
        <v>6</v>
      </c>
      <c r="P1487" t="s">
        <v>1764</v>
      </c>
      <c r="Q1487" t="s">
        <v>1765</v>
      </c>
      <c r="R1487">
        <v>3</v>
      </c>
      <c r="T1487">
        <v>10</v>
      </c>
      <c r="U1487">
        <v>15</v>
      </c>
      <c r="V1487">
        <v>4</v>
      </c>
      <c r="W1487">
        <v>0</v>
      </c>
      <c r="X1487">
        <v>4</v>
      </c>
      <c r="Y1487">
        <v>3</v>
      </c>
      <c r="Z1487">
        <v>17</v>
      </c>
      <c r="AA1487">
        <v>22</v>
      </c>
      <c r="AB1487">
        <v>50</v>
      </c>
      <c r="AC1487">
        <v>22</v>
      </c>
      <c r="AD1487">
        <v>7</v>
      </c>
      <c r="AE1487">
        <v>7</v>
      </c>
      <c r="AF1487">
        <v>36</v>
      </c>
      <c r="AG1487">
        <v>0</v>
      </c>
      <c r="AH1487">
        <v>28</v>
      </c>
      <c r="AI1487">
        <v>14</v>
      </c>
      <c r="AJ1487">
        <v>21</v>
      </c>
      <c r="AK1487">
        <v>28</v>
      </c>
      <c r="AL1487">
        <v>0</v>
      </c>
      <c r="AM1487">
        <v>0.12</v>
      </c>
      <c r="AN1487">
        <v>1.9090909090909092</v>
      </c>
      <c r="AO1487">
        <v>0</v>
      </c>
      <c r="AP1487" t="s">
        <v>130</v>
      </c>
      <c r="AQ1487" t="s">
        <v>131</v>
      </c>
      <c r="AR1487" t="s">
        <v>1766</v>
      </c>
      <c r="AS1487">
        <v>1689</v>
      </c>
      <c r="AT1487">
        <v>1484</v>
      </c>
      <c r="AU1487">
        <v>0</v>
      </c>
      <c r="AV1487">
        <v>0</v>
      </c>
      <c r="AW1487">
        <v>3.173</v>
      </c>
      <c r="AX1487">
        <v>0.14422727272727273</v>
      </c>
      <c r="AY1487">
        <v>5.192181818181818</v>
      </c>
      <c r="AZ1487" t="s">
        <v>135</v>
      </c>
      <c r="BA1487">
        <v>0.80781818181818199</v>
      </c>
      <c r="BB1487">
        <v>5.6010085092971957</v>
      </c>
      <c r="BC1487" t="s">
        <v>133</v>
      </c>
      <c r="BD1487">
        <v>0</v>
      </c>
      <c r="BE1487" t="s">
        <v>133</v>
      </c>
      <c r="BF148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3.173</v>
      </c>
    </row>
    <row r="1488" spans="1:58" x14ac:dyDescent="0.25">
      <c r="A1488" t="s">
        <v>1797</v>
      </c>
      <c r="B1488" t="s">
        <v>19</v>
      </c>
      <c r="C1488">
        <v>4</v>
      </c>
      <c r="D1488">
        <v>32</v>
      </c>
      <c r="E1488" t="s">
        <v>2112</v>
      </c>
      <c r="F1488" t="s">
        <v>123</v>
      </c>
      <c r="G1488" t="s">
        <v>124</v>
      </c>
      <c r="H1488" t="s">
        <v>125</v>
      </c>
      <c r="I1488" t="s">
        <v>126</v>
      </c>
      <c r="J1488" t="s">
        <v>126</v>
      </c>
      <c r="K1488" t="s">
        <v>127</v>
      </c>
      <c r="L1488">
        <v>50</v>
      </c>
      <c r="M1488">
        <v>1511155</v>
      </c>
      <c r="N1488">
        <v>6</v>
      </c>
      <c r="O1488">
        <v>6</v>
      </c>
      <c r="P1488" t="s">
        <v>1764</v>
      </c>
      <c r="Q1488" t="s">
        <v>1765</v>
      </c>
      <c r="R1488">
        <v>3</v>
      </c>
      <c r="T1488">
        <v>17</v>
      </c>
      <c r="U1488">
        <v>22</v>
      </c>
      <c r="V1488">
        <v>0</v>
      </c>
      <c r="W1488">
        <v>0</v>
      </c>
      <c r="X1488">
        <v>0</v>
      </c>
      <c r="Y1488">
        <v>2</v>
      </c>
      <c r="Z1488">
        <v>19</v>
      </c>
      <c r="AA1488">
        <v>24</v>
      </c>
      <c r="AB1488">
        <v>50</v>
      </c>
      <c r="AC1488">
        <v>34</v>
      </c>
      <c r="AD1488">
        <v>0</v>
      </c>
      <c r="AE1488">
        <v>3</v>
      </c>
      <c r="AF1488">
        <v>37</v>
      </c>
      <c r="AG1488">
        <v>0</v>
      </c>
      <c r="AH1488">
        <v>16</v>
      </c>
      <c r="AI1488">
        <v>13</v>
      </c>
      <c r="AJ1488">
        <v>13</v>
      </c>
      <c r="AK1488">
        <v>16</v>
      </c>
      <c r="AL1488">
        <v>0</v>
      </c>
      <c r="AM1488">
        <v>0.12</v>
      </c>
      <c r="AN1488">
        <v>1.1818181818181819</v>
      </c>
      <c r="AO1488">
        <v>0</v>
      </c>
      <c r="AP1488" t="s">
        <v>130</v>
      </c>
      <c r="AQ1488" t="s">
        <v>131</v>
      </c>
      <c r="AR1488" t="s">
        <v>1766</v>
      </c>
      <c r="AS1488">
        <v>2564</v>
      </c>
      <c r="AT1488">
        <v>2462</v>
      </c>
      <c r="AU1488">
        <v>0</v>
      </c>
      <c r="AV1488">
        <v>0</v>
      </c>
      <c r="AW1488">
        <v>5.0259999999999998</v>
      </c>
      <c r="AX1488">
        <v>0.14782352941176469</v>
      </c>
      <c r="AY1488">
        <v>5.4694705882352936</v>
      </c>
      <c r="AZ1488" t="s">
        <v>135</v>
      </c>
      <c r="BA1488">
        <v>0.53052941176470636</v>
      </c>
      <c r="BB1488">
        <v>3.5889375248706763</v>
      </c>
      <c r="BC1488" t="s">
        <v>133</v>
      </c>
      <c r="BD1488">
        <v>0</v>
      </c>
      <c r="BE1488" t="s">
        <v>133</v>
      </c>
      <c r="BF148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5.0259999999999998</v>
      </c>
    </row>
    <row r="1489" spans="1:58" x14ac:dyDescent="0.25">
      <c r="A1489" t="s">
        <v>1798</v>
      </c>
      <c r="B1489" t="s">
        <v>19</v>
      </c>
      <c r="C1489">
        <v>4</v>
      </c>
      <c r="D1489">
        <v>33</v>
      </c>
      <c r="E1489" t="s">
        <v>2112</v>
      </c>
      <c r="F1489" t="s">
        <v>123</v>
      </c>
      <c r="G1489" t="s">
        <v>124</v>
      </c>
      <c r="H1489" t="s">
        <v>125</v>
      </c>
      <c r="I1489" t="s">
        <v>126</v>
      </c>
      <c r="J1489" t="s">
        <v>126</v>
      </c>
      <c r="K1489" t="s">
        <v>127</v>
      </c>
      <c r="L1489">
        <v>50</v>
      </c>
      <c r="M1489">
        <v>1511157</v>
      </c>
      <c r="N1489">
        <v>6</v>
      </c>
      <c r="O1489">
        <v>6</v>
      </c>
      <c r="P1489" t="s">
        <v>1764</v>
      </c>
      <c r="Q1489" t="s">
        <v>1765</v>
      </c>
      <c r="R1489">
        <v>3</v>
      </c>
      <c r="T1489">
        <v>10</v>
      </c>
      <c r="U1489">
        <v>15</v>
      </c>
      <c r="V1489">
        <v>5</v>
      </c>
      <c r="W1489">
        <v>0</v>
      </c>
      <c r="X1489">
        <v>5</v>
      </c>
      <c r="Y1489">
        <v>4</v>
      </c>
      <c r="Z1489">
        <v>19</v>
      </c>
      <c r="AA1489">
        <v>24</v>
      </c>
      <c r="AB1489">
        <v>50</v>
      </c>
      <c r="AC1489">
        <v>20</v>
      </c>
      <c r="AD1489">
        <v>9</v>
      </c>
      <c r="AE1489">
        <v>5</v>
      </c>
      <c r="AF1489">
        <v>34</v>
      </c>
      <c r="AG1489">
        <v>0</v>
      </c>
      <c r="AH1489">
        <v>30</v>
      </c>
      <c r="AI1489">
        <v>16</v>
      </c>
      <c r="AJ1489">
        <v>25</v>
      </c>
      <c r="AK1489">
        <v>30</v>
      </c>
      <c r="AL1489">
        <v>0</v>
      </c>
      <c r="AM1489">
        <v>0.12</v>
      </c>
      <c r="AN1489">
        <v>2.2727272727272729</v>
      </c>
      <c r="AO1489">
        <v>0</v>
      </c>
      <c r="AP1489" t="s">
        <v>130</v>
      </c>
      <c r="AQ1489" t="s">
        <v>131</v>
      </c>
      <c r="AR1489" t="s">
        <v>1766</v>
      </c>
      <c r="AS1489">
        <v>1397</v>
      </c>
      <c r="AT1489">
        <v>1355</v>
      </c>
      <c r="AU1489">
        <v>0</v>
      </c>
      <c r="AV1489">
        <v>0</v>
      </c>
      <c r="AW1489">
        <v>2.7519999999999998</v>
      </c>
      <c r="AX1489">
        <v>0.1376</v>
      </c>
      <c r="AY1489">
        <v>4.6783999999999999</v>
      </c>
      <c r="AZ1489" t="s">
        <v>135</v>
      </c>
      <c r="BA1489">
        <v>1.3216000000000001</v>
      </c>
      <c r="BB1489">
        <v>9.6046511627906987</v>
      </c>
      <c r="BC1489" t="s">
        <v>144</v>
      </c>
      <c r="BD1489">
        <v>0</v>
      </c>
      <c r="BE1489" t="s">
        <v>133</v>
      </c>
      <c r="BF148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2.7519999999999998</v>
      </c>
    </row>
    <row r="1490" spans="1:58" x14ac:dyDescent="0.25">
      <c r="A1490" t="s">
        <v>1799</v>
      </c>
      <c r="B1490" t="s">
        <v>19</v>
      </c>
      <c r="C1490">
        <v>4</v>
      </c>
      <c r="D1490">
        <v>34</v>
      </c>
      <c r="E1490" t="s">
        <v>2112</v>
      </c>
      <c r="F1490" t="s">
        <v>123</v>
      </c>
      <c r="G1490" t="s">
        <v>124</v>
      </c>
      <c r="H1490" t="s">
        <v>125</v>
      </c>
      <c r="I1490" t="s">
        <v>126</v>
      </c>
      <c r="J1490" t="s">
        <v>126</v>
      </c>
      <c r="K1490" t="s">
        <v>127</v>
      </c>
      <c r="L1490">
        <v>50</v>
      </c>
      <c r="M1490">
        <v>1511159</v>
      </c>
      <c r="N1490">
        <v>6</v>
      </c>
      <c r="O1490">
        <v>6</v>
      </c>
      <c r="P1490" t="s">
        <v>1764</v>
      </c>
      <c r="Q1490" t="s">
        <v>1765</v>
      </c>
      <c r="R1490">
        <v>4</v>
      </c>
      <c r="T1490">
        <v>9</v>
      </c>
      <c r="U1490">
        <v>14</v>
      </c>
      <c r="V1490">
        <v>5</v>
      </c>
      <c r="W1490">
        <v>0</v>
      </c>
      <c r="X1490">
        <v>5</v>
      </c>
      <c r="Y1490">
        <v>5</v>
      </c>
      <c r="Z1490">
        <v>19</v>
      </c>
      <c r="AA1490">
        <v>24</v>
      </c>
      <c r="AB1490">
        <v>50</v>
      </c>
      <c r="AC1490">
        <v>25</v>
      </c>
      <c r="AD1490">
        <v>11</v>
      </c>
      <c r="AE1490">
        <v>7</v>
      </c>
      <c r="AF1490">
        <v>43</v>
      </c>
      <c r="AG1490">
        <v>0</v>
      </c>
      <c r="AH1490">
        <v>25</v>
      </c>
      <c r="AI1490">
        <v>7</v>
      </c>
      <c r="AJ1490">
        <v>18</v>
      </c>
      <c r="AK1490">
        <v>25</v>
      </c>
      <c r="AL1490">
        <v>0</v>
      </c>
      <c r="AM1490">
        <v>0.12</v>
      </c>
      <c r="AN1490">
        <v>1.6363636363636365</v>
      </c>
      <c r="AO1490">
        <v>0</v>
      </c>
      <c r="AP1490" t="s">
        <v>130</v>
      </c>
      <c r="AQ1490" t="s">
        <v>131</v>
      </c>
      <c r="AR1490" t="s">
        <v>1766</v>
      </c>
      <c r="AS1490">
        <v>1948</v>
      </c>
      <c r="AT1490">
        <v>2069</v>
      </c>
      <c r="AU1490">
        <v>0</v>
      </c>
      <c r="AV1490">
        <v>0</v>
      </c>
      <c r="AW1490">
        <v>4.0170000000000003</v>
      </c>
      <c r="AX1490">
        <v>0.16068000000000002</v>
      </c>
      <c r="AY1490">
        <v>6.9092400000000005</v>
      </c>
      <c r="AZ1490" t="s">
        <v>135</v>
      </c>
      <c r="BA1490">
        <v>-0.90924000000000049</v>
      </c>
      <c r="BB1490">
        <v>-5.6587005227781955</v>
      </c>
      <c r="BC1490" t="s">
        <v>132</v>
      </c>
      <c r="BD1490">
        <v>0</v>
      </c>
      <c r="BE1490" t="s">
        <v>133</v>
      </c>
      <c r="BF149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4.0170000000000003</v>
      </c>
    </row>
    <row r="1491" spans="1:58" x14ac:dyDescent="0.25">
      <c r="A1491" t="s">
        <v>1800</v>
      </c>
      <c r="B1491" t="s">
        <v>19</v>
      </c>
      <c r="C1491">
        <v>4</v>
      </c>
      <c r="D1491">
        <v>35</v>
      </c>
      <c r="E1491" t="s">
        <v>2112</v>
      </c>
      <c r="F1491" t="s">
        <v>123</v>
      </c>
      <c r="G1491" t="s">
        <v>124</v>
      </c>
      <c r="H1491" t="s">
        <v>125</v>
      </c>
      <c r="I1491" t="s">
        <v>126</v>
      </c>
      <c r="J1491" t="s">
        <v>126</v>
      </c>
      <c r="K1491" t="s">
        <v>127</v>
      </c>
      <c r="L1491">
        <v>50</v>
      </c>
      <c r="M1491">
        <v>1511161</v>
      </c>
      <c r="N1491">
        <v>6</v>
      </c>
      <c r="O1491">
        <v>6</v>
      </c>
      <c r="P1491" t="s">
        <v>1764</v>
      </c>
      <c r="Q1491" t="s">
        <v>1765</v>
      </c>
      <c r="R1491">
        <v>4</v>
      </c>
      <c r="T1491">
        <v>11</v>
      </c>
      <c r="U1491">
        <v>16</v>
      </c>
      <c r="V1491">
        <v>4</v>
      </c>
      <c r="W1491">
        <v>0</v>
      </c>
      <c r="X1491">
        <v>4</v>
      </c>
      <c r="Y1491">
        <v>4</v>
      </c>
      <c r="Z1491">
        <v>19</v>
      </c>
      <c r="AA1491">
        <v>24</v>
      </c>
      <c r="AB1491">
        <v>50</v>
      </c>
      <c r="AC1491">
        <v>26</v>
      </c>
      <c r="AD1491">
        <v>8</v>
      </c>
      <c r="AE1491">
        <v>4</v>
      </c>
      <c r="AF1491">
        <v>38</v>
      </c>
      <c r="AG1491">
        <v>0</v>
      </c>
      <c r="AH1491">
        <v>24</v>
      </c>
      <c r="AI1491">
        <v>12</v>
      </c>
      <c r="AJ1491">
        <v>20</v>
      </c>
      <c r="AK1491">
        <v>24</v>
      </c>
      <c r="AL1491">
        <v>0</v>
      </c>
      <c r="AM1491">
        <v>0.12</v>
      </c>
      <c r="AN1491">
        <v>1.8181818181818183</v>
      </c>
      <c r="AO1491">
        <v>0</v>
      </c>
      <c r="AP1491" t="s">
        <v>130</v>
      </c>
      <c r="AQ1491" t="s">
        <v>131</v>
      </c>
      <c r="AR1491" t="s">
        <v>1766</v>
      </c>
      <c r="AS1491">
        <v>2019</v>
      </c>
      <c r="AT1491">
        <v>1984</v>
      </c>
      <c r="AU1491">
        <v>0</v>
      </c>
      <c r="AV1491">
        <v>0</v>
      </c>
      <c r="AW1491">
        <v>4.0030000000000001</v>
      </c>
      <c r="AX1491">
        <v>0.15396153846153846</v>
      </c>
      <c r="AY1491">
        <v>5.850538461538461</v>
      </c>
      <c r="AZ1491" t="s">
        <v>135</v>
      </c>
      <c r="BA1491">
        <v>0.14946153846153898</v>
      </c>
      <c r="BB1491">
        <v>0.97077192105920895</v>
      </c>
      <c r="BC1491" t="s">
        <v>133</v>
      </c>
      <c r="BD1491">
        <v>0</v>
      </c>
      <c r="BE1491" t="s">
        <v>133</v>
      </c>
      <c r="BF149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4.0030000000000001</v>
      </c>
    </row>
    <row r="1492" spans="1:58" x14ac:dyDescent="0.25">
      <c r="A1492" t="s">
        <v>1801</v>
      </c>
      <c r="B1492" t="s">
        <v>19</v>
      </c>
      <c r="C1492">
        <v>4</v>
      </c>
      <c r="D1492">
        <v>36</v>
      </c>
      <c r="E1492" t="s">
        <v>2112</v>
      </c>
      <c r="F1492" t="s">
        <v>123</v>
      </c>
      <c r="G1492" t="s">
        <v>124</v>
      </c>
      <c r="H1492" t="s">
        <v>125</v>
      </c>
      <c r="I1492" t="s">
        <v>126</v>
      </c>
      <c r="J1492" t="s">
        <v>126</v>
      </c>
      <c r="K1492" t="s">
        <v>127</v>
      </c>
      <c r="L1492">
        <v>50</v>
      </c>
      <c r="M1492">
        <v>1511163</v>
      </c>
      <c r="N1492">
        <v>6</v>
      </c>
      <c r="O1492">
        <v>6</v>
      </c>
      <c r="P1492" t="s">
        <v>1764</v>
      </c>
      <c r="Q1492" t="s">
        <v>1765</v>
      </c>
      <c r="R1492">
        <v>4</v>
      </c>
      <c r="T1492">
        <v>7</v>
      </c>
      <c r="U1492">
        <v>12</v>
      </c>
      <c r="V1492">
        <v>5</v>
      </c>
      <c r="W1492">
        <v>0</v>
      </c>
      <c r="X1492">
        <v>5</v>
      </c>
      <c r="Y1492">
        <v>10</v>
      </c>
      <c r="Z1492">
        <v>22</v>
      </c>
      <c r="AA1492">
        <v>27</v>
      </c>
      <c r="AB1492">
        <v>50</v>
      </c>
      <c r="AC1492">
        <v>23</v>
      </c>
      <c r="AD1492">
        <v>8</v>
      </c>
      <c r="AE1492">
        <v>12</v>
      </c>
      <c r="AF1492">
        <v>43</v>
      </c>
      <c r="AG1492">
        <v>0</v>
      </c>
      <c r="AH1492">
        <v>27</v>
      </c>
      <c r="AI1492">
        <v>7</v>
      </c>
      <c r="AJ1492">
        <v>15</v>
      </c>
      <c r="AK1492">
        <v>27</v>
      </c>
      <c r="AL1492">
        <v>0</v>
      </c>
      <c r="AM1492">
        <v>0.12</v>
      </c>
      <c r="AN1492">
        <v>1.3636363636363638</v>
      </c>
      <c r="AO1492">
        <v>0</v>
      </c>
      <c r="AP1492" t="s">
        <v>130</v>
      </c>
      <c r="AQ1492" t="s">
        <v>131</v>
      </c>
      <c r="AR1492" t="s">
        <v>1766</v>
      </c>
      <c r="AS1492">
        <v>1061</v>
      </c>
      <c r="AT1492">
        <v>1020</v>
      </c>
      <c r="AU1492">
        <v>0</v>
      </c>
      <c r="AV1492">
        <v>0</v>
      </c>
      <c r="AW1492">
        <v>2.081</v>
      </c>
      <c r="AX1492">
        <v>9.0478260869565216E-2</v>
      </c>
      <c r="AY1492">
        <v>3.8905652173913041</v>
      </c>
      <c r="AZ1492" t="s">
        <v>135</v>
      </c>
      <c r="BA1492">
        <v>2.1094347826086959</v>
      </c>
      <c r="BB1492">
        <v>23.314271984622781</v>
      </c>
      <c r="BC1492" t="s">
        <v>133</v>
      </c>
      <c r="BD1492">
        <v>0</v>
      </c>
      <c r="BE1492" t="s">
        <v>133</v>
      </c>
      <c r="BF149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2.081</v>
      </c>
    </row>
    <row r="1493" spans="1:58" x14ac:dyDescent="0.25">
      <c r="A1493" t="s">
        <v>1802</v>
      </c>
      <c r="B1493" t="s">
        <v>19</v>
      </c>
      <c r="C1493">
        <v>4</v>
      </c>
      <c r="D1493">
        <v>37</v>
      </c>
      <c r="E1493" t="s">
        <v>2112</v>
      </c>
      <c r="F1493" t="s">
        <v>123</v>
      </c>
      <c r="G1493" t="s">
        <v>124</v>
      </c>
      <c r="H1493" t="s">
        <v>125</v>
      </c>
      <c r="I1493" t="s">
        <v>126</v>
      </c>
      <c r="J1493" t="s">
        <v>126</v>
      </c>
      <c r="K1493" t="s">
        <v>127</v>
      </c>
      <c r="L1493">
        <v>50</v>
      </c>
      <c r="M1493">
        <v>1511165</v>
      </c>
      <c r="N1493">
        <v>6</v>
      </c>
      <c r="O1493">
        <v>6</v>
      </c>
      <c r="P1493" t="s">
        <v>1764</v>
      </c>
      <c r="Q1493" t="s">
        <v>1765</v>
      </c>
      <c r="R1493">
        <v>4</v>
      </c>
      <c r="T1493">
        <v>10</v>
      </c>
      <c r="U1493">
        <v>15</v>
      </c>
      <c r="V1493">
        <v>9</v>
      </c>
      <c r="W1493">
        <v>0</v>
      </c>
      <c r="X1493">
        <v>9</v>
      </c>
      <c r="Y1493">
        <v>6</v>
      </c>
      <c r="Z1493">
        <v>25</v>
      </c>
      <c r="AA1493">
        <v>30</v>
      </c>
      <c r="AB1493">
        <v>50</v>
      </c>
      <c r="AC1493">
        <v>16</v>
      </c>
      <c r="AD1493">
        <v>12</v>
      </c>
      <c r="AE1493">
        <v>8</v>
      </c>
      <c r="AF1493">
        <v>36</v>
      </c>
      <c r="AG1493">
        <v>0</v>
      </c>
      <c r="AH1493">
        <v>34</v>
      </c>
      <c r="AI1493">
        <v>14</v>
      </c>
      <c r="AJ1493">
        <v>26</v>
      </c>
      <c r="AK1493">
        <v>34</v>
      </c>
      <c r="AL1493">
        <v>0</v>
      </c>
      <c r="AM1493">
        <v>0.12</v>
      </c>
      <c r="AN1493">
        <v>2.3636363636363638</v>
      </c>
      <c r="AO1493">
        <v>0</v>
      </c>
      <c r="AP1493" t="s">
        <v>130</v>
      </c>
      <c r="AQ1493" t="s">
        <v>131</v>
      </c>
      <c r="AR1493" t="s">
        <v>1766</v>
      </c>
      <c r="AS1493">
        <v>2218</v>
      </c>
      <c r="AT1493">
        <v>1745</v>
      </c>
      <c r="AU1493">
        <v>0</v>
      </c>
      <c r="AV1493">
        <v>0</v>
      </c>
      <c r="AW1493">
        <v>3.9630000000000001</v>
      </c>
      <c r="AX1493">
        <v>0.2476875</v>
      </c>
      <c r="AY1493">
        <v>8.9167500000000004</v>
      </c>
      <c r="AZ1493" t="s">
        <v>135</v>
      </c>
      <c r="BA1493">
        <v>-2.9167500000000004</v>
      </c>
      <c r="BB1493">
        <v>-11.775927327781984</v>
      </c>
      <c r="BC1493" t="s">
        <v>133</v>
      </c>
      <c r="BD1493">
        <v>0</v>
      </c>
      <c r="BE1493" t="s">
        <v>133</v>
      </c>
      <c r="BF149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3.9630000000000001</v>
      </c>
    </row>
    <row r="1494" spans="1:58" x14ac:dyDescent="0.25">
      <c r="A1494" t="s">
        <v>1803</v>
      </c>
      <c r="B1494" t="s">
        <v>19</v>
      </c>
      <c r="C1494">
        <v>4</v>
      </c>
      <c r="D1494">
        <v>38</v>
      </c>
      <c r="E1494" t="s">
        <v>2112</v>
      </c>
      <c r="F1494" t="s">
        <v>123</v>
      </c>
      <c r="G1494" t="s">
        <v>124</v>
      </c>
      <c r="H1494" t="s">
        <v>125</v>
      </c>
      <c r="I1494" t="s">
        <v>126</v>
      </c>
      <c r="J1494" t="s">
        <v>126</v>
      </c>
      <c r="K1494" t="s">
        <v>127</v>
      </c>
      <c r="L1494">
        <v>50</v>
      </c>
      <c r="M1494">
        <v>1511167</v>
      </c>
      <c r="N1494">
        <v>6</v>
      </c>
      <c r="O1494">
        <v>6</v>
      </c>
      <c r="P1494" t="s">
        <v>1764</v>
      </c>
      <c r="Q1494" t="s">
        <v>1765</v>
      </c>
      <c r="R1494">
        <v>4</v>
      </c>
      <c r="T1494">
        <v>6</v>
      </c>
      <c r="U1494">
        <v>11</v>
      </c>
      <c r="V1494">
        <v>10</v>
      </c>
      <c r="W1494">
        <v>1</v>
      </c>
      <c r="X1494">
        <v>9</v>
      </c>
      <c r="Y1494">
        <v>10</v>
      </c>
      <c r="Z1494">
        <v>26</v>
      </c>
      <c r="AA1494">
        <v>31</v>
      </c>
      <c r="AB1494">
        <v>50</v>
      </c>
      <c r="AC1494">
        <v>11</v>
      </c>
      <c r="AD1494">
        <v>10</v>
      </c>
      <c r="AE1494">
        <v>17</v>
      </c>
      <c r="AF1494">
        <v>39</v>
      </c>
      <c r="AG1494">
        <v>1</v>
      </c>
      <c r="AH1494">
        <v>39</v>
      </c>
      <c r="AI1494">
        <v>11</v>
      </c>
      <c r="AJ1494">
        <v>21</v>
      </c>
      <c r="AK1494">
        <v>38</v>
      </c>
      <c r="AL1494">
        <v>0</v>
      </c>
      <c r="AM1494">
        <v>0.12</v>
      </c>
      <c r="AN1494">
        <v>1.9090909090909092</v>
      </c>
      <c r="AO1494">
        <v>0.13636363636363635</v>
      </c>
      <c r="AP1494" t="s">
        <v>130</v>
      </c>
      <c r="AQ1494" t="s">
        <v>131</v>
      </c>
      <c r="AR1494" t="s">
        <v>1766</v>
      </c>
      <c r="AS1494">
        <v>1358</v>
      </c>
      <c r="AT1494">
        <v>1316</v>
      </c>
      <c r="AU1494">
        <v>0</v>
      </c>
      <c r="AV1494">
        <v>0</v>
      </c>
      <c r="AW1494">
        <v>2.6739999999999999</v>
      </c>
      <c r="AX1494">
        <v>0.24309090909090908</v>
      </c>
      <c r="AY1494">
        <v>9.4805454545454548</v>
      </c>
      <c r="AZ1494" t="s">
        <v>135</v>
      </c>
      <c r="BA1494">
        <v>-3.4805454545454548</v>
      </c>
      <c r="BB1494">
        <v>-14.317875841436052</v>
      </c>
      <c r="BC1494" t="s">
        <v>133</v>
      </c>
      <c r="BD1494">
        <v>0</v>
      </c>
      <c r="BE1494" t="s">
        <v>133</v>
      </c>
      <c r="BF149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2.6739999999999999</v>
      </c>
    </row>
    <row r="1495" spans="1:58" x14ac:dyDescent="0.25">
      <c r="A1495" t="s">
        <v>1804</v>
      </c>
      <c r="B1495" t="s">
        <v>19</v>
      </c>
      <c r="C1495">
        <v>4</v>
      </c>
      <c r="D1495">
        <v>39</v>
      </c>
      <c r="E1495" t="s">
        <v>2112</v>
      </c>
      <c r="F1495" t="s">
        <v>123</v>
      </c>
      <c r="G1495" t="s">
        <v>124</v>
      </c>
      <c r="H1495" t="s">
        <v>136</v>
      </c>
      <c r="I1495" t="s">
        <v>137</v>
      </c>
      <c r="J1495" t="s">
        <v>138</v>
      </c>
      <c r="K1495" t="s">
        <v>127</v>
      </c>
      <c r="L1495">
        <v>50</v>
      </c>
      <c r="M1495">
        <v>1511169</v>
      </c>
      <c r="N1495">
        <v>5</v>
      </c>
      <c r="O1495">
        <v>6</v>
      </c>
      <c r="P1495" t="s">
        <v>1764</v>
      </c>
      <c r="Q1495" t="s">
        <v>1765</v>
      </c>
      <c r="R1495">
        <v>4</v>
      </c>
      <c r="T1495">
        <v>0</v>
      </c>
      <c r="U1495">
        <v>4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4</v>
      </c>
      <c r="AB1495">
        <v>50</v>
      </c>
      <c r="AC1495">
        <v>4</v>
      </c>
      <c r="AD1495">
        <v>0</v>
      </c>
      <c r="AE1495">
        <v>0</v>
      </c>
      <c r="AF1495">
        <v>4</v>
      </c>
      <c r="AG1495">
        <v>0</v>
      </c>
      <c r="AH1495">
        <v>46</v>
      </c>
      <c r="AI1495">
        <v>46</v>
      </c>
      <c r="AJ1495">
        <v>46</v>
      </c>
      <c r="AK1495">
        <v>46</v>
      </c>
      <c r="AL1495">
        <v>0</v>
      </c>
      <c r="AM1495">
        <v>0.1</v>
      </c>
      <c r="AN1495">
        <v>4.1818181818181817</v>
      </c>
      <c r="AO1495">
        <v>0</v>
      </c>
      <c r="AP1495" t="s">
        <v>139</v>
      </c>
      <c r="AQ1495" t="s">
        <v>131</v>
      </c>
      <c r="AR1495" t="s">
        <v>1766</v>
      </c>
      <c r="AS1495">
        <v>0</v>
      </c>
      <c r="AT1495">
        <v>0</v>
      </c>
      <c r="AU1495">
        <v>0</v>
      </c>
      <c r="AV1495">
        <v>0</v>
      </c>
      <c r="AW1495">
        <v>0</v>
      </c>
      <c r="AX1495">
        <v>0</v>
      </c>
      <c r="AY1495">
        <v>0</v>
      </c>
      <c r="AZ1495" t="s">
        <v>134</v>
      </c>
      <c r="BA1495">
        <v>5</v>
      </c>
      <c r="BB1495">
        <v>0</v>
      </c>
      <c r="BC1495" t="s">
        <v>133</v>
      </c>
      <c r="BD1495">
        <v>0</v>
      </c>
      <c r="BE1495" t="s">
        <v>133</v>
      </c>
      <c r="BF149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496" spans="1:58" x14ac:dyDescent="0.25">
      <c r="A1496" t="s">
        <v>1805</v>
      </c>
      <c r="B1496" t="s">
        <v>19</v>
      </c>
      <c r="C1496">
        <v>4</v>
      </c>
      <c r="D1496">
        <v>40</v>
      </c>
      <c r="E1496" t="s">
        <v>2112</v>
      </c>
      <c r="F1496" t="s">
        <v>123</v>
      </c>
      <c r="G1496" t="s">
        <v>124</v>
      </c>
      <c r="H1496" t="s">
        <v>125</v>
      </c>
      <c r="I1496" t="s">
        <v>126</v>
      </c>
      <c r="J1496" t="s">
        <v>126</v>
      </c>
      <c r="K1496" t="s">
        <v>127</v>
      </c>
      <c r="L1496">
        <v>50</v>
      </c>
      <c r="M1496">
        <v>1511171</v>
      </c>
      <c r="N1496">
        <v>6</v>
      </c>
      <c r="O1496">
        <v>6</v>
      </c>
      <c r="P1496" t="s">
        <v>1764</v>
      </c>
      <c r="Q1496" t="s">
        <v>1765</v>
      </c>
      <c r="R1496">
        <v>4</v>
      </c>
      <c r="T1496">
        <v>7</v>
      </c>
      <c r="U1496">
        <v>12</v>
      </c>
      <c r="V1496">
        <v>3</v>
      </c>
      <c r="W1496">
        <v>0</v>
      </c>
      <c r="X1496">
        <v>3</v>
      </c>
      <c r="Y1496">
        <v>3</v>
      </c>
      <c r="Z1496">
        <v>13</v>
      </c>
      <c r="AA1496">
        <v>18</v>
      </c>
      <c r="AB1496">
        <v>50</v>
      </c>
      <c r="AC1496">
        <v>16</v>
      </c>
      <c r="AD1496">
        <v>4</v>
      </c>
      <c r="AE1496">
        <v>3</v>
      </c>
      <c r="AF1496">
        <v>23</v>
      </c>
      <c r="AG1496">
        <v>0</v>
      </c>
      <c r="AH1496">
        <v>34</v>
      </c>
      <c r="AI1496">
        <v>27</v>
      </c>
      <c r="AJ1496">
        <v>31</v>
      </c>
      <c r="AK1496">
        <v>34</v>
      </c>
      <c r="AL1496">
        <v>0</v>
      </c>
      <c r="AM1496">
        <v>0.12</v>
      </c>
      <c r="AN1496">
        <v>2.8181818181818183</v>
      </c>
      <c r="AO1496">
        <v>0</v>
      </c>
      <c r="AP1496" t="s">
        <v>130</v>
      </c>
      <c r="AQ1496" t="s">
        <v>131</v>
      </c>
      <c r="AR1496" t="s">
        <v>1766</v>
      </c>
      <c r="AS1496">
        <v>1196</v>
      </c>
      <c r="AT1496">
        <v>1151</v>
      </c>
      <c r="AU1496">
        <v>0</v>
      </c>
      <c r="AV1496">
        <v>0</v>
      </c>
      <c r="AW1496">
        <v>2.347</v>
      </c>
      <c r="AX1496">
        <v>0.1466875</v>
      </c>
      <c r="AY1496">
        <v>3.3738125000000001</v>
      </c>
      <c r="AZ1496" t="s">
        <v>135</v>
      </c>
      <c r="BA1496">
        <v>2.6261874999999999</v>
      </c>
      <c r="BB1496">
        <v>17.903280783979547</v>
      </c>
      <c r="BC1496" t="s">
        <v>133</v>
      </c>
      <c r="BD1496">
        <v>0</v>
      </c>
      <c r="BE1496" t="s">
        <v>133</v>
      </c>
      <c r="BF149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2.347</v>
      </c>
    </row>
    <row r="1497" spans="1:58" x14ac:dyDescent="0.25">
      <c r="A1497" t="s">
        <v>1806</v>
      </c>
      <c r="B1497" t="s">
        <v>19</v>
      </c>
      <c r="C1497">
        <v>4</v>
      </c>
      <c r="D1497">
        <v>41</v>
      </c>
      <c r="E1497" t="s">
        <v>2112</v>
      </c>
      <c r="F1497" t="s">
        <v>123</v>
      </c>
      <c r="G1497" t="s">
        <v>124</v>
      </c>
      <c r="H1497" t="s">
        <v>125</v>
      </c>
      <c r="I1497" t="s">
        <v>126</v>
      </c>
      <c r="J1497" t="s">
        <v>126</v>
      </c>
      <c r="K1497" t="s">
        <v>127</v>
      </c>
      <c r="L1497">
        <v>50</v>
      </c>
      <c r="M1497">
        <v>1511173</v>
      </c>
      <c r="N1497">
        <v>6</v>
      </c>
      <c r="O1497">
        <v>6</v>
      </c>
      <c r="P1497" t="s">
        <v>1764</v>
      </c>
      <c r="Q1497" t="s">
        <v>1765</v>
      </c>
      <c r="R1497">
        <v>4</v>
      </c>
      <c r="T1497">
        <v>20</v>
      </c>
      <c r="U1497">
        <v>25</v>
      </c>
      <c r="V1497">
        <v>2</v>
      </c>
      <c r="W1497">
        <v>0</v>
      </c>
      <c r="X1497">
        <v>2</v>
      </c>
      <c r="Y1497">
        <v>1</v>
      </c>
      <c r="Z1497">
        <v>23</v>
      </c>
      <c r="AA1497">
        <v>28</v>
      </c>
      <c r="AB1497">
        <v>50</v>
      </c>
      <c r="AC1497">
        <v>29</v>
      </c>
      <c r="AD1497">
        <v>2</v>
      </c>
      <c r="AE1497">
        <v>1</v>
      </c>
      <c r="AF1497">
        <v>32</v>
      </c>
      <c r="AG1497">
        <v>0</v>
      </c>
      <c r="AH1497">
        <v>21</v>
      </c>
      <c r="AI1497">
        <v>18</v>
      </c>
      <c r="AJ1497">
        <v>20</v>
      </c>
      <c r="AK1497">
        <v>21</v>
      </c>
      <c r="AL1497">
        <v>0</v>
      </c>
      <c r="AM1497">
        <v>0.12</v>
      </c>
      <c r="AN1497">
        <v>1.8181818181818183</v>
      </c>
      <c r="AO1497">
        <v>0</v>
      </c>
      <c r="AP1497" t="s">
        <v>130</v>
      </c>
      <c r="AQ1497" t="s">
        <v>131</v>
      </c>
      <c r="AR1497" t="s">
        <v>1766</v>
      </c>
      <c r="AS1497">
        <v>2273</v>
      </c>
      <c r="AT1497">
        <v>3609</v>
      </c>
      <c r="AU1497">
        <v>0</v>
      </c>
      <c r="AV1497">
        <v>0</v>
      </c>
      <c r="AW1497">
        <v>5.8819999999999997</v>
      </c>
      <c r="AX1497">
        <v>0.20282758620689653</v>
      </c>
      <c r="AY1497">
        <v>6.490482758620689</v>
      </c>
      <c r="AZ1497" t="s">
        <v>135</v>
      </c>
      <c r="BA1497">
        <v>-0.49048275862068902</v>
      </c>
      <c r="BB1497">
        <v>-2.4182250935056073</v>
      </c>
      <c r="BC1497" t="s">
        <v>133</v>
      </c>
      <c r="BD1497">
        <v>0</v>
      </c>
      <c r="BE1497" t="s">
        <v>133</v>
      </c>
      <c r="BF149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5.8819999999999997</v>
      </c>
    </row>
    <row r="1498" spans="1:58" x14ac:dyDescent="0.25">
      <c r="A1498" t="s">
        <v>1807</v>
      </c>
      <c r="B1498" t="s">
        <v>19</v>
      </c>
      <c r="C1498">
        <v>4</v>
      </c>
      <c r="D1498">
        <v>42</v>
      </c>
      <c r="E1498" t="s">
        <v>2112</v>
      </c>
      <c r="F1498" t="s">
        <v>123</v>
      </c>
      <c r="G1498" t="s">
        <v>124</v>
      </c>
      <c r="H1498" t="s">
        <v>125</v>
      </c>
      <c r="I1498" t="s">
        <v>126</v>
      </c>
      <c r="J1498" t="s">
        <v>126</v>
      </c>
      <c r="K1498" t="s">
        <v>127</v>
      </c>
      <c r="L1498">
        <v>50</v>
      </c>
      <c r="M1498">
        <v>1511175</v>
      </c>
      <c r="N1498">
        <v>6</v>
      </c>
      <c r="O1498">
        <v>6</v>
      </c>
      <c r="P1498" t="s">
        <v>1764</v>
      </c>
      <c r="Q1498" t="s">
        <v>1765</v>
      </c>
      <c r="R1498">
        <v>4</v>
      </c>
      <c r="T1498">
        <v>29</v>
      </c>
      <c r="U1498">
        <v>34</v>
      </c>
      <c r="V1498">
        <v>0</v>
      </c>
      <c r="W1498">
        <v>0</v>
      </c>
      <c r="X1498">
        <v>0</v>
      </c>
      <c r="Y1498">
        <v>3</v>
      </c>
      <c r="Z1498">
        <v>32</v>
      </c>
      <c r="AA1498">
        <v>37</v>
      </c>
      <c r="AB1498">
        <v>50</v>
      </c>
      <c r="AC1498">
        <v>37</v>
      </c>
      <c r="AD1498">
        <v>0</v>
      </c>
      <c r="AE1498">
        <v>6</v>
      </c>
      <c r="AF1498">
        <v>43</v>
      </c>
      <c r="AG1498">
        <v>0</v>
      </c>
      <c r="AH1498">
        <v>13</v>
      </c>
      <c r="AI1498">
        <v>7</v>
      </c>
      <c r="AJ1498">
        <v>7</v>
      </c>
      <c r="AK1498">
        <v>13</v>
      </c>
      <c r="AL1498">
        <v>0</v>
      </c>
      <c r="AM1498">
        <v>0.12</v>
      </c>
      <c r="AN1498">
        <v>0.63636363636363635</v>
      </c>
      <c r="AO1498">
        <v>0</v>
      </c>
      <c r="AP1498" t="s">
        <v>130</v>
      </c>
      <c r="AQ1498" t="s">
        <v>131</v>
      </c>
      <c r="AR1498" t="s">
        <v>1766</v>
      </c>
      <c r="AS1498">
        <v>3409</v>
      </c>
      <c r="AT1498">
        <v>3374</v>
      </c>
      <c r="AU1498">
        <v>0</v>
      </c>
      <c r="AV1498">
        <v>0</v>
      </c>
      <c r="AW1498">
        <v>6.7830000000000004</v>
      </c>
      <c r="AX1498">
        <v>0.18332432432432433</v>
      </c>
      <c r="AY1498">
        <v>7.8829459459459459</v>
      </c>
      <c r="AZ1498" t="s">
        <v>135</v>
      </c>
      <c r="BA1498">
        <v>-1.8829459459459459</v>
      </c>
      <c r="BB1498">
        <v>-10.271118973905351</v>
      </c>
      <c r="BC1498" t="s">
        <v>133</v>
      </c>
      <c r="BD1498">
        <v>0</v>
      </c>
      <c r="BE1498" t="s">
        <v>133</v>
      </c>
      <c r="BF149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6.7830000000000004</v>
      </c>
    </row>
    <row r="1499" spans="1:58" x14ac:dyDescent="0.25">
      <c r="A1499" t="s">
        <v>1808</v>
      </c>
      <c r="B1499" t="s">
        <v>19</v>
      </c>
      <c r="C1499">
        <v>4</v>
      </c>
      <c r="D1499">
        <v>43</v>
      </c>
      <c r="E1499" t="s">
        <v>2112</v>
      </c>
      <c r="F1499" t="s">
        <v>123</v>
      </c>
      <c r="G1499" t="s">
        <v>124</v>
      </c>
      <c r="H1499" t="s">
        <v>125</v>
      </c>
      <c r="I1499" t="s">
        <v>126</v>
      </c>
      <c r="J1499" t="s">
        <v>126</v>
      </c>
      <c r="K1499" t="s">
        <v>127</v>
      </c>
      <c r="L1499">
        <v>50</v>
      </c>
      <c r="M1499">
        <v>1511177</v>
      </c>
      <c r="N1499">
        <v>6</v>
      </c>
      <c r="O1499">
        <v>6</v>
      </c>
      <c r="P1499" t="s">
        <v>1764</v>
      </c>
      <c r="Q1499" t="s">
        <v>1765</v>
      </c>
      <c r="R1499">
        <v>4</v>
      </c>
      <c r="T1499">
        <v>19</v>
      </c>
      <c r="U1499">
        <v>24</v>
      </c>
      <c r="V1499">
        <v>0</v>
      </c>
      <c r="W1499">
        <v>0</v>
      </c>
      <c r="X1499">
        <v>0</v>
      </c>
      <c r="Y1499">
        <v>1</v>
      </c>
      <c r="Z1499">
        <v>20</v>
      </c>
      <c r="AA1499">
        <v>25</v>
      </c>
      <c r="AB1499">
        <v>50</v>
      </c>
      <c r="AC1499">
        <v>35</v>
      </c>
      <c r="AD1499">
        <v>0</v>
      </c>
      <c r="AE1499">
        <v>2</v>
      </c>
      <c r="AF1499">
        <v>37</v>
      </c>
      <c r="AG1499">
        <v>0</v>
      </c>
      <c r="AH1499">
        <v>15</v>
      </c>
      <c r="AI1499">
        <v>13</v>
      </c>
      <c r="AJ1499">
        <v>13</v>
      </c>
      <c r="AK1499">
        <v>15</v>
      </c>
      <c r="AL1499">
        <v>0</v>
      </c>
      <c r="AM1499">
        <v>0.12</v>
      </c>
      <c r="AN1499">
        <v>1.1818181818181819</v>
      </c>
      <c r="AO1499">
        <v>0</v>
      </c>
      <c r="AP1499" t="s">
        <v>130</v>
      </c>
      <c r="AQ1499" t="s">
        <v>131</v>
      </c>
      <c r="AR1499" t="s">
        <v>1766</v>
      </c>
      <c r="AS1499">
        <v>2944</v>
      </c>
      <c r="AT1499">
        <v>2919</v>
      </c>
      <c r="AU1499">
        <v>0</v>
      </c>
      <c r="AV1499">
        <v>0</v>
      </c>
      <c r="AW1499">
        <v>5.8630000000000004</v>
      </c>
      <c r="AX1499">
        <v>0.16751428571428573</v>
      </c>
      <c r="AY1499">
        <v>6.1980285714285719</v>
      </c>
      <c r="AZ1499" t="s">
        <v>135</v>
      </c>
      <c r="BA1499">
        <v>-0.19802857142857189</v>
      </c>
      <c r="BB1499">
        <v>-1.1821593041105263</v>
      </c>
      <c r="BC1499" t="s">
        <v>133</v>
      </c>
      <c r="BD1499">
        <v>0</v>
      </c>
      <c r="BE1499" t="s">
        <v>133</v>
      </c>
      <c r="BF149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5.8630000000000004</v>
      </c>
    </row>
    <row r="1500" spans="1:58" x14ac:dyDescent="0.25">
      <c r="A1500" t="s">
        <v>1809</v>
      </c>
      <c r="B1500" t="s">
        <v>19</v>
      </c>
      <c r="C1500">
        <v>4</v>
      </c>
      <c r="D1500">
        <v>44</v>
      </c>
      <c r="E1500" t="s">
        <v>2112</v>
      </c>
      <c r="F1500" t="s">
        <v>123</v>
      </c>
      <c r="G1500" t="s">
        <v>124</v>
      </c>
      <c r="H1500" t="s">
        <v>125</v>
      </c>
      <c r="I1500" t="s">
        <v>137</v>
      </c>
      <c r="J1500" t="s">
        <v>146</v>
      </c>
      <c r="K1500" t="s">
        <v>127</v>
      </c>
      <c r="L1500">
        <v>50</v>
      </c>
      <c r="M1500">
        <v>1511179</v>
      </c>
      <c r="N1500">
        <v>6</v>
      </c>
      <c r="O1500">
        <v>6</v>
      </c>
      <c r="P1500" t="s">
        <v>1764</v>
      </c>
      <c r="Q1500" t="s">
        <v>1765</v>
      </c>
      <c r="R1500">
        <v>4</v>
      </c>
      <c r="T1500">
        <v>0</v>
      </c>
      <c r="U1500">
        <v>5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5</v>
      </c>
      <c r="AB1500">
        <v>50</v>
      </c>
      <c r="AC1500">
        <v>5</v>
      </c>
      <c r="AD1500">
        <v>0</v>
      </c>
      <c r="AE1500">
        <v>0</v>
      </c>
      <c r="AF1500">
        <v>5</v>
      </c>
      <c r="AG1500">
        <v>0</v>
      </c>
      <c r="AH1500">
        <v>45</v>
      </c>
      <c r="AI1500">
        <v>45</v>
      </c>
      <c r="AJ1500">
        <v>45</v>
      </c>
      <c r="AK1500">
        <v>45</v>
      </c>
      <c r="AL1500">
        <v>0</v>
      </c>
      <c r="AM1500">
        <v>0.12</v>
      </c>
      <c r="AN1500">
        <v>4.0909090909090908</v>
      </c>
      <c r="AO1500">
        <v>0</v>
      </c>
      <c r="AP1500" t="s">
        <v>139</v>
      </c>
      <c r="AQ1500" t="s">
        <v>131</v>
      </c>
      <c r="AR1500" t="s">
        <v>1766</v>
      </c>
      <c r="AS1500">
        <v>189</v>
      </c>
      <c r="AT1500">
        <v>173</v>
      </c>
      <c r="AU1500">
        <v>0</v>
      </c>
      <c r="AV1500">
        <v>0</v>
      </c>
      <c r="AW1500">
        <v>0.36199999999999999</v>
      </c>
      <c r="AX1500">
        <v>7.2399999999999992E-2</v>
      </c>
      <c r="AY1500">
        <v>0.36199999999999999</v>
      </c>
      <c r="AZ1500" t="s">
        <v>135</v>
      </c>
      <c r="BA1500">
        <v>5.6379999999999999</v>
      </c>
      <c r="BB1500">
        <v>77.872928176795583</v>
      </c>
      <c r="BC1500" t="s">
        <v>144</v>
      </c>
      <c r="BD1500">
        <v>0</v>
      </c>
      <c r="BE1500" t="s">
        <v>133</v>
      </c>
      <c r="BF150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0.36199999999999999</v>
      </c>
    </row>
    <row r="1501" spans="1:58" x14ac:dyDescent="0.25">
      <c r="A1501" t="s">
        <v>1810</v>
      </c>
      <c r="B1501" t="s">
        <v>19</v>
      </c>
      <c r="C1501">
        <v>4</v>
      </c>
      <c r="D1501">
        <v>45</v>
      </c>
      <c r="E1501" t="s">
        <v>2112</v>
      </c>
      <c r="F1501" t="s">
        <v>123</v>
      </c>
      <c r="G1501" t="s">
        <v>124</v>
      </c>
      <c r="H1501" t="s">
        <v>125</v>
      </c>
      <c r="I1501" t="s">
        <v>126</v>
      </c>
      <c r="J1501" t="s">
        <v>126</v>
      </c>
      <c r="K1501" t="s">
        <v>127</v>
      </c>
      <c r="L1501">
        <v>50</v>
      </c>
      <c r="M1501">
        <v>1511181</v>
      </c>
      <c r="N1501">
        <v>6</v>
      </c>
      <c r="O1501">
        <v>6</v>
      </c>
      <c r="P1501" t="s">
        <v>1764</v>
      </c>
      <c r="Q1501" t="s">
        <v>1765</v>
      </c>
      <c r="R1501">
        <v>5</v>
      </c>
      <c r="T1501">
        <v>0</v>
      </c>
      <c r="U1501">
        <v>5</v>
      </c>
      <c r="V1501">
        <v>4</v>
      </c>
      <c r="W1501">
        <v>0</v>
      </c>
      <c r="X1501">
        <v>4</v>
      </c>
      <c r="Y1501">
        <v>4</v>
      </c>
      <c r="Z1501">
        <v>8</v>
      </c>
      <c r="AA1501">
        <v>13</v>
      </c>
      <c r="AB1501">
        <v>50</v>
      </c>
      <c r="AC1501">
        <v>5</v>
      </c>
      <c r="AD1501">
        <v>8</v>
      </c>
      <c r="AE1501">
        <v>6</v>
      </c>
      <c r="AF1501">
        <v>19</v>
      </c>
      <c r="AG1501">
        <v>0</v>
      </c>
      <c r="AH1501">
        <v>45</v>
      </c>
      <c r="AI1501">
        <v>31</v>
      </c>
      <c r="AJ1501">
        <v>39</v>
      </c>
      <c r="AK1501">
        <v>45</v>
      </c>
      <c r="AL1501">
        <v>0</v>
      </c>
      <c r="AM1501">
        <v>0.12</v>
      </c>
      <c r="AN1501">
        <v>3.5454545454545454</v>
      </c>
      <c r="AO1501">
        <v>0</v>
      </c>
      <c r="AP1501" t="s">
        <v>130</v>
      </c>
      <c r="AQ1501" t="s">
        <v>131</v>
      </c>
      <c r="AR1501" t="s">
        <v>1766</v>
      </c>
      <c r="AS1501">
        <v>441</v>
      </c>
      <c r="AT1501">
        <v>384</v>
      </c>
      <c r="AU1501">
        <v>0</v>
      </c>
      <c r="AV1501">
        <v>0</v>
      </c>
      <c r="AW1501">
        <v>0.82499999999999996</v>
      </c>
      <c r="AX1501">
        <v>0.16499999999999998</v>
      </c>
      <c r="AY1501">
        <v>3.1349999999999998</v>
      </c>
      <c r="AZ1501" t="s">
        <v>135</v>
      </c>
      <c r="BA1501">
        <v>2.8650000000000002</v>
      </c>
      <c r="BB1501">
        <v>17.363636363636367</v>
      </c>
      <c r="BC1501" t="s">
        <v>132</v>
      </c>
      <c r="BD1501">
        <v>1</v>
      </c>
      <c r="BE1501" t="s">
        <v>133</v>
      </c>
      <c r="BF150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0.82499999999999996</v>
      </c>
    </row>
    <row r="1502" spans="1:58" x14ac:dyDescent="0.25">
      <c r="A1502" t="s">
        <v>1811</v>
      </c>
      <c r="B1502" t="s">
        <v>19</v>
      </c>
      <c r="C1502">
        <v>4</v>
      </c>
      <c r="D1502">
        <v>46</v>
      </c>
      <c r="E1502" t="s">
        <v>2112</v>
      </c>
      <c r="F1502" t="s">
        <v>123</v>
      </c>
      <c r="G1502" t="s">
        <v>124</v>
      </c>
      <c r="H1502" t="s">
        <v>125</v>
      </c>
      <c r="I1502" t="s">
        <v>126</v>
      </c>
      <c r="J1502" t="s">
        <v>126</v>
      </c>
      <c r="K1502" t="s">
        <v>127</v>
      </c>
      <c r="L1502">
        <v>50</v>
      </c>
      <c r="M1502">
        <v>1511183</v>
      </c>
      <c r="N1502">
        <v>6</v>
      </c>
      <c r="O1502">
        <v>6</v>
      </c>
      <c r="P1502" t="s">
        <v>1764</v>
      </c>
      <c r="Q1502" t="s">
        <v>1765</v>
      </c>
      <c r="R1502">
        <v>5</v>
      </c>
      <c r="T1502">
        <v>18</v>
      </c>
      <c r="U1502">
        <v>23</v>
      </c>
      <c r="V1502">
        <v>3</v>
      </c>
      <c r="W1502">
        <v>0</v>
      </c>
      <c r="X1502">
        <v>3</v>
      </c>
      <c r="Y1502">
        <v>4</v>
      </c>
      <c r="Z1502">
        <v>25</v>
      </c>
      <c r="AA1502">
        <v>30</v>
      </c>
      <c r="AB1502">
        <v>50</v>
      </c>
      <c r="AC1502">
        <v>25</v>
      </c>
      <c r="AD1502">
        <v>5</v>
      </c>
      <c r="AE1502">
        <v>5</v>
      </c>
      <c r="AF1502">
        <v>35</v>
      </c>
      <c r="AG1502">
        <v>0</v>
      </c>
      <c r="AH1502">
        <v>25</v>
      </c>
      <c r="AI1502">
        <v>15</v>
      </c>
      <c r="AJ1502">
        <v>20</v>
      </c>
      <c r="AK1502">
        <v>25</v>
      </c>
      <c r="AL1502">
        <v>0</v>
      </c>
      <c r="AM1502">
        <v>0.12</v>
      </c>
      <c r="AN1502">
        <v>1.8181818181818183</v>
      </c>
      <c r="AO1502">
        <v>0</v>
      </c>
      <c r="AP1502" t="s">
        <v>130</v>
      </c>
      <c r="AQ1502" t="s">
        <v>131</v>
      </c>
      <c r="AR1502" t="s">
        <v>1766</v>
      </c>
      <c r="AS1502">
        <v>2149</v>
      </c>
      <c r="AT1502">
        <v>2168</v>
      </c>
      <c r="AU1502">
        <v>0</v>
      </c>
      <c r="AV1502">
        <v>0</v>
      </c>
      <c r="AW1502">
        <v>4.3170000000000002</v>
      </c>
      <c r="AX1502">
        <v>0.17268</v>
      </c>
      <c r="AY1502">
        <v>6.0438000000000001</v>
      </c>
      <c r="AZ1502" t="s">
        <v>135</v>
      </c>
      <c r="BA1502">
        <v>-4.3800000000000061E-2</v>
      </c>
      <c r="BB1502">
        <v>-0.25364836692147358</v>
      </c>
      <c r="BC1502" t="s">
        <v>133</v>
      </c>
      <c r="BD1502">
        <v>0</v>
      </c>
      <c r="BE1502" t="s">
        <v>133</v>
      </c>
      <c r="BF150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4.3170000000000002</v>
      </c>
    </row>
    <row r="1503" spans="1:58" x14ac:dyDescent="0.25">
      <c r="A1503" t="s">
        <v>1812</v>
      </c>
      <c r="B1503" t="s">
        <v>19</v>
      </c>
      <c r="C1503">
        <v>4</v>
      </c>
      <c r="D1503">
        <v>47</v>
      </c>
      <c r="E1503" t="s">
        <v>2112</v>
      </c>
      <c r="F1503" t="s">
        <v>123</v>
      </c>
      <c r="G1503" t="s">
        <v>124</v>
      </c>
      <c r="H1503" t="s">
        <v>125</v>
      </c>
      <c r="I1503" t="s">
        <v>126</v>
      </c>
      <c r="J1503" t="s">
        <v>126</v>
      </c>
      <c r="K1503" t="s">
        <v>127</v>
      </c>
      <c r="L1503">
        <v>50</v>
      </c>
      <c r="M1503">
        <v>1511185</v>
      </c>
      <c r="N1503">
        <v>6</v>
      </c>
      <c r="O1503">
        <v>6</v>
      </c>
      <c r="P1503" t="s">
        <v>1764</v>
      </c>
      <c r="Q1503" t="s">
        <v>1765</v>
      </c>
      <c r="R1503">
        <v>5</v>
      </c>
      <c r="T1503">
        <v>18</v>
      </c>
      <c r="U1503">
        <v>23</v>
      </c>
      <c r="V1503">
        <v>3</v>
      </c>
      <c r="W1503">
        <v>0</v>
      </c>
      <c r="X1503">
        <v>3</v>
      </c>
      <c r="Y1503">
        <v>5</v>
      </c>
      <c r="Z1503">
        <v>26</v>
      </c>
      <c r="AA1503">
        <v>31</v>
      </c>
      <c r="AB1503">
        <v>50</v>
      </c>
      <c r="AC1503">
        <v>28</v>
      </c>
      <c r="AD1503">
        <v>5</v>
      </c>
      <c r="AE1503">
        <v>5</v>
      </c>
      <c r="AF1503">
        <v>38</v>
      </c>
      <c r="AG1503">
        <v>0</v>
      </c>
      <c r="AH1503">
        <v>22</v>
      </c>
      <c r="AI1503">
        <v>12</v>
      </c>
      <c r="AJ1503">
        <v>17</v>
      </c>
      <c r="AK1503">
        <v>22</v>
      </c>
      <c r="AL1503">
        <v>0</v>
      </c>
      <c r="AM1503">
        <v>0.12</v>
      </c>
      <c r="AN1503">
        <v>1.5454545454545454</v>
      </c>
      <c r="AO1503">
        <v>0</v>
      </c>
      <c r="AP1503" t="s">
        <v>130</v>
      </c>
      <c r="AQ1503" t="s">
        <v>131</v>
      </c>
      <c r="AR1503" t="s">
        <v>1766</v>
      </c>
      <c r="AS1503">
        <v>2137</v>
      </c>
      <c r="AT1503">
        <v>2836</v>
      </c>
      <c r="AU1503">
        <v>0</v>
      </c>
      <c r="AV1503">
        <v>0</v>
      </c>
      <c r="AW1503">
        <v>4.9729999999999999</v>
      </c>
      <c r="AX1503">
        <v>0.17760714285714285</v>
      </c>
      <c r="AY1503">
        <v>6.7490714285714279</v>
      </c>
      <c r="AZ1503" t="s">
        <v>135</v>
      </c>
      <c r="BA1503">
        <v>-0.74907142857142794</v>
      </c>
      <c r="BB1503">
        <v>-4.217574904484211</v>
      </c>
      <c r="BC1503" t="s">
        <v>133</v>
      </c>
      <c r="BD1503">
        <v>0</v>
      </c>
      <c r="BE1503" t="s">
        <v>133</v>
      </c>
      <c r="BF150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4.9729999999999999</v>
      </c>
    </row>
    <row r="1504" spans="1:58" x14ac:dyDescent="0.25">
      <c r="A1504" t="s">
        <v>1813</v>
      </c>
      <c r="B1504" t="s">
        <v>19</v>
      </c>
      <c r="C1504">
        <v>4</v>
      </c>
      <c r="D1504">
        <v>48</v>
      </c>
      <c r="E1504" t="s">
        <v>2112</v>
      </c>
      <c r="F1504" t="s">
        <v>123</v>
      </c>
      <c r="G1504" t="s">
        <v>124</v>
      </c>
      <c r="H1504" t="s">
        <v>125</v>
      </c>
      <c r="I1504" t="s">
        <v>126</v>
      </c>
      <c r="J1504" t="s">
        <v>126</v>
      </c>
      <c r="K1504" t="s">
        <v>127</v>
      </c>
      <c r="L1504">
        <v>50</v>
      </c>
      <c r="M1504">
        <v>1511187</v>
      </c>
      <c r="N1504">
        <v>6</v>
      </c>
      <c r="O1504">
        <v>6</v>
      </c>
      <c r="P1504" t="s">
        <v>1764</v>
      </c>
      <c r="Q1504" t="s">
        <v>1765</v>
      </c>
      <c r="R1504">
        <v>5</v>
      </c>
      <c r="T1504">
        <v>16</v>
      </c>
      <c r="U1504">
        <v>21</v>
      </c>
      <c r="V1504">
        <v>2</v>
      </c>
      <c r="W1504">
        <v>0</v>
      </c>
      <c r="X1504">
        <v>2</v>
      </c>
      <c r="Y1504">
        <v>3</v>
      </c>
      <c r="Z1504">
        <v>21</v>
      </c>
      <c r="AA1504">
        <v>26</v>
      </c>
      <c r="AB1504">
        <v>50</v>
      </c>
      <c r="AC1504">
        <v>26</v>
      </c>
      <c r="AD1504">
        <v>3</v>
      </c>
      <c r="AE1504">
        <v>3</v>
      </c>
      <c r="AF1504">
        <v>32</v>
      </c>
      <c r="AG1504">
        <v>0</v>
      </c>
      <c r="AH1504">
        <v>24</v>
      </c>
      <c r="AI1504">
        <v>18</v>
      </c>
      <c r="AJ1504">
        <v>21</v>
      </c>
      <c r="AK1504">
        <v>24</v>
      </c>
      <c r="AL1504">
        <v>0</v>
      </c>
      <c r="AM1504">
        <v>0.12</v>
      </c>
      <c r="AN1504">
        <v>1.9090909090909092</v>
      </c>
      <c r="AO1504">
        <v>0</v>
      </c>
      <c r="AP1504" t="s">
        <v>130</v>
      </c>
      <c r="AQ1504" t="s">
        <v>131</v>
      </c>
      <c r="AR1504" t="s">
        <v>1766</v>
      </c>
      <c r="AS1504">
        <v>2149</v>
      </c>
      <c r="AT1504">
        <v>2168</v>
      </c>
      <c r="AU1504">
        <v>0</v>
      </c>
      <c r="AV1504">
        <v>0</v>
      </c>
      <c r="AW1504">
        <v>4.3170000000000002</v>
      </c>
      <c r="AX1504">
        <v>0.16603846153846155</v>
      </c>
      <c r="AY1504">
        <v>5.3132307692307696</v>
      </c>
      <c r="AZ1504" t="s">
        <v>135</v>
      </c>
      <c r="BA1504">
        <v>0.68676923076923035</v>
      </c>
      <c r="BB1504">
        <v>4.1362056984016649</v>
      </c>
      <c r="BC1504" t="s">
        <v>133</v>
      </c>
      <c r="BD1504">
        <v>0</v>
      </c>
      <c r="BE1504" t="s">
        <v>133</v>
      </c>
      <c r="BF150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4.3170000000000002</v>
      </c>
    </row>
    <row r="1505" spans="1:58" x14ac:dyDescent="0.25">
      <c r="A1505" t="s">
        <v>1814</v>
      </c>
      <c r="B1505" t="s">
        <v>19</v>
      </c>
      <c r="C1505">
        <v>4</v>
      </c>
      <c r="D1505">
        <v>49</v>
      </c>
      <c r="E1505" t="s">
        <v>2112</v>
      </c>
      <c r="F1505" t="s">
        <v>123</v>
      </c>
      <c r="G1505" t="s">
        <v>124</v>
      </c>
      <c r="H1505" t="s">
        <v>125</v>
      </c>
      <c r="I1505" t="s">
        <v>126</v>
      </c>
      <c r="J1505" t="s">
        <v>126</v>
      </c>
      <c r="K1505" t="s">
        <v>127</v>
      </c>
      <c r="L1505">
        <v>50</v>
      </c>
      <c r="M1505">
        <v>1511189</v>
      </c>
      <c r="N1505">
        <v>6</v>
      </c>
      <c r="O1505">
        <v>6</v>
      </c>
      <c r="P1505" t="s">
        <v>1764</v>
      </c>
      <c r="Q1505" t="s">
        <v>1765</v>
      </c>
      <c r="R1505">
        <v>5</v>
      </c>
      <c r="T1505">
        <v>10</v>
      </c>
      <c r="U1505">
        <v>15</v>
      </c>
      <c r="V1505">
        <v>1</v>
      </c>
      <c r="W1505">
        <v>0</v>
      </c>
      <c r="X1505">
        <v>1</v>
      </c>
      <c r="Y1505">
        <v>6</v>
      </c>
      <c r="Z1505">
        <v>17</v>
      </c>
      <c r="AA1505">
        <v>22</v>
      </c>
      <c r="AB1505">
        <v>50</v>
      </c>
      <c r="AC1505">
        <v>21</v>
      </c>
      <c r="AD1505">
        <v>2</v>
      </c>
      <c r="AE1505">
        <v>8</v>
      </c>
      <c r="AF1505">
        <v>31</v>
      </c>
      <c r="AG1505">
        <v>0</v>
      </c>
      <c r="AH1505">
        <v>29</v>
      </c>
      <c r="AI1505">
        <v>19</v>
      </c>
      <c r="AJ1505">
        <v>21</v>
      </c>
      <c r="AK1505">
        <v>29</v>
      </c>
      <c r="AL1505">
        <v>0</v>
      </c>
      <c r="AM1505">
        <v>0.12</v>
      </c>
      <c r="AN1505">
        <v>1.9090909090909092</v>
      </c>
      <c r="AO1505">
        <v>0</v>
      </c>
      <c r="AP1505" t="s">
        <v>130</v>
      </c>
      <c r="AQ1505" t="s">
        <v>131</v>
      </c>
      <c r="AR1505" t="s">
        <v>1766</v>
      </c>
      <c r="AS1505">
        <v>1725</v>
      </c>
      <c r="AT1505">
        <v>1546</v>
      </c>
      <c r="AU1505">
        <v>0</v>
      </c>
      <c r="AV1505">
        <v>0</v>
      </c>
      <c r="AW1505">
        <v>3.2709999999999999</v>
      </c>
      <c r="AX1505">
        <v>0.15576190476190477</v>
      </c>
      <c r="AY1505">
        <v>4.828619047619048</v>
      </c>
      <c r="AZ1505" t="s">
        <v>135</v>
      </c>
      <c r="BA1505">
        <v>1.171380952380952</v>
      </c>
      <c r="BB1505">
        <v>7.5203301742586337</v>
      </c>
      <c r="BC1505" t="s">
        <v>133</v>
      </c>
      <c r="BD1505">
        <v>0</v>
      </c>
      <c r="BE1505" t="s">
        <v>133</v>
      </c>
      <c r="BF150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3.2709999999999999</v>
      </c>
    </row>
    <row r="1506" spans="1:58" x14ac:dyDescent="0.25">
      <c r="A1506" t="s">
        <v>1815</v>
      </c>
      <c r="B1506" t="s">
        <v>19</v>
      </c>
      <c r="C1506">
        <v>4</v>
      </c>
      <c r="D1506">
        <v>50</v>
      </c>
      <c r="E1506" t="s">
        <v>2112</v>
      </c>
      <c r="F1506" t="s">
        <v>123</v>
      </c>
      <c r="G1506" t="s">
        <v>124</v>
      </c>
      <c r="H1506" t="s">
        <v>136</v>
      </c>
      <c r="I1506" t="s">
        <v>137</v>
      </c>
      <c r="J1506" t="s">
        <v>138</v>
      </c>
      <c r="K1506" t="s">
        <v>127</v>
      </c>
      <c r="L1506">
        <v>50</v>
      </c>
      <c r="M1506">
        <v>1511191</v>
      </c>
      <c r="N1506">
        <v>5</v>
      </c>
      <c r="O1506">
        <v>6</v>
      </c>
      <c r="P1506" t="s">
        <v>1764</v>
      </c>
      <c r="Q1506" t="s">
        <v>1765</v>
      </c>
      <c r="R1506">
        <v>5</v>
      </c>
      <c r="T1506">
        <v>0</v>
      </c>
      <c r="U1506">
        <v>4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4</v>
      </c>
      <c r="AB1506">
        <v>50</v>
      </c>
      <c r="AC1506">
        <v>4</v>
      </c>
      <c r="AD1506">
        <v>0</v>
      </c>
      <c r="AE1506">
        <v>0</v>
      </c>
      <c r="AF1506">
        <v>4</v>
      </c>
      <c r="AG1506">
        <v>0</v>
      </c>
      <c r="AH1506">
        <v>46</v>
      </c>
      <c r="AI1506">
        <v>46</v>
      </c>
      <c r="AJ1506">
        <v>46</v>
      </c>
      <c r="AK1506">
        <v>46</v>
      </c>
      <c r="AL1506">
        <v>0</v>
      </c>
      <c r="AM1506">
        <v>0.1</v>
      </c>
      <c r="AN1506">
        <v>4.1818181818181817</v>
      </c>
      <c r="AO1506">
        <v>0</v>
      </c>
      <c r="AP1506" t="s">
        <v>139</v>
      </c>
      <c r="AQ1506" t="s">
        <v>131</v>
      </c>
      <c r="AR1506" t="s">
        <v>1766</v>
      </c>
      <c r="AS1506">
        <v>0</v>
      </c>
      <c r="AT1506">
        <v>0</v>
      </c>
      <c r="AU1506">
        <v>0</v>
      </c>
      <c r="AV1506">
        <v>0</v>
      </c>
      <c r="AW1506">
        <v>0</v>
      </c>
      <c r="AX1506">
        <v>0</v>
      </c>
      <c r="AY1506">
        <v>0</v>
      </c>
      <c r="AZ1506" t="s">
        <v>134</v>
      </c>
      <c r="BA1506">
        <v>5</v>
      </c>
      <c r="BB1506">
        <v>0</v>
      </c>
      <c r="BC1506" t="s">
        <v>133</v>
      </c>
      <c r="BD1506">
        <v>0</v>
      </c>
      <c r="BE1506" t="s">
        <v>133</v>
      </c>
      <c r="BF150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07" spans="1:58" x14ac:dyDescent="0.25">
      <c r="A1507" t="s">
        <v>1816</v>
      </c>
      <c r="B1507" t="s">
        <v>19</v>
      </c>
      <c r="C1507">
        <v>4</v>
      </c>
      <c r="D1507">
        <v>51</v>
      </c>
      <c r="E1507" t="s">
        <v>2112</v>
      </c>
      <c r="F1507" t="s">
        <v>123</v>
      </c>
      <c r="G1507" t="s">
        <v>124</v>
      </c>
      <c r="H1507" t="s">
        <v>125</v>
      </c>
      <c r="I1507" t="s">
        <v>126</v>
      </c>
      <c r="J1507" t="s">
        <v>126</v>
      </c>
      <c r="K1507" t="s">
        <v>127</v>
      </c>
      <c r="L1507">
        <v>50</v>
      </c>
      <c r="M1507">
        <v>1511193</v>
      </c>
      <c r="N1507">
        <v>6</v>
      </c>
      <c r="O1507">
        <v>6</v>
      </c>
      <c r="P1507" t="s">
        <v>1764</v>
      </c>
      <c r="Q1507" t="s">
        <v>1765</v>
      </c>
      <c r="R1507">
        <v>5</v>
      </c>
      <c r="T1507">
        <v>10</v>
      </c>
      <c r="U1507">
        <v>15</v>
      </c>
      <c r="V1507">
        <v>2</v>
      </c>
      <c r="W1507">
        <v>0</v>
      </c>
      <c r="X1507">
        <v>2</v>
      </c>
      <c r="Y1507">
        <v>7</v>
      </c>
      <c r="Z1507">
        <v>19</v>
      </c>
      <c r="AA1507">
        <v>24</v>
      </c>
      <c r="AB1507">
        <v>50</v>
      </c>
      <c r="AC1507">
        <v>20</v>
      </c>
      <c r="AD1507">
        <v>3</v>
      </c>
      <c r="AE1507">
        <v>11</v>
      </c>
      <c r="AF1507">
        <v>34</v>
      </c>
      <c r="AG1507">
        <v>0</v>
      </c>
      <c r="AH1507">
        <v>30</v>
      </c>
      <c r="AI1507">
        <v>16</v>
      </c>
      <c r="AJ1507">
        <v>19</v>
      </c>
      <c r="AK1507">
        <v>30</v>
      </c>
      <c r="AL1507">
        <v>0</v>
      </c>
      <c r="AM1507">
        <v>0.12</v>
      </c>
      <c r="AN1507">
        <v>1.7272727272727273</v>
      </c>
      <c r="AO1507">
        <v>0</v>
      </c>
      <c r="AP1507" t="s">
        <v>130</v>
      </c>
      <c r="AQ1507" t="s">
        <v>131</v>
      </c>
      <c r="AR1507" t="s">
        <v>1766</v>
      </c>
      <c r="AS1507">
        <v>1731</v>
      </c>
      <c r="AT1507">
        <v>1598</v>
      </c>
      <c r="AU1507">
        <v>0</v>
      </c>
      <c r="AV1507">
        <v>0</v>
      </c>
      <c r="AW1507">
        <v>3.3290000000000002</v>
      </c>
      <c r="AX1507">
        <v>0.16645000000000001</v>
      </c>
      <c r="AY1507">
        <v>5.6593000000000009</v>
      </c>
      <c r="AZ1507" t="s">
        <v>135</v>
      </c>
      <c r="BA1507">
        <v>0.34069999999999911</v>
      </c>
      <c r="BB1507">
        <v>2.0468609191949478</v>
      </c>
      <c r="BC1507" t="s">
        <v>133</v>
      </c>
      <c r="BD1507">
        <v>0</v>
      </c>
      <c r="BE1507" t="s">
        <v>133</v>
      </c>
      <c r="BF150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3.3290000000000002</v>
      </c>
    </row>
    <row r="1508" spans="1:58" x14ac:dyDescent="0.25">
      <c r="A1508" t="s">
        <v>1817</v>
      </c>
      <c r="B1508" t="s">
        <v>19</v>
      </c>
      <c r="C1508">
        <v>4</v>
      </c>
      <c r="D1508">
        <v>52</v>
      </c>
      <c r="E1508" t="s">
        <v>2112</v>
      </c>
      <c r="F1508" t="s">
        <v>123</v>
      </c>
      <c r="G1508" t="s">
        <v>124</v>
      </c>
      <c r="H1508" t="s">
        <v>125</v>
      </c>
      <c r="I1508" t="s">
        <v>126</v>
      </c>
      <c r="J1508" t="s">
        <v>126</v>
      </c>
      <c r="K1508" t="s">
        <v>127</v>
      </c>
      <c r="L1508">
        <v>50</v>
      </c>
      <c r="M1508">
        <v>1511195</v>
      </c>
      <c r="N1508">
        <v>6</v>
      </c>
      <c r="O1508">
        <v>6</v>
      </c>
      <c r="P1508" t="s">
        <v>1764</v>
      </c>
      <c r="Q1508" t="s">
        <v>1765</v>
      </c>
      <c r="R1508">
        <v>5</v>
      </c>
      <c r="T1508">
        <v>13</v>
      </c>
      <c r="U1508">
        <v>18</v>
      </c>
      <c r="V1508">
        <v>1</v>
      </c>
      <c r="W1508">
        <v>0</v>
      </c>
      <c r="X1508">
        <v>1</v>
      </c>
      <c r="Y1508">
        <v>7</v>
      </c>
      <c r="Z1508">
        <v>21</v>
      </c>
      <c r="AA1508">
        <v>26</v>
      </c>
      <c r="AB1508">
        <v>50</v>
      </c>
      <c r="AC1508">
        <v>24</v>
      </c>
      <c r="AD1508">
        <v>2</v>
      </c>
      <c r="AE1508">
        <v>9</v>
      </c>
      <c r="AF1508">
        <v>35</v>
      </c>
      <c r="AG1508">
        <v>0</v>
      </c>
      <c r="AH1508">
        <v>26</v>
      </c>
      <c r="AI1508">
        <v>15</v>
      </c>
      <c r="AJ1508">
        <v>17</v>
      </c>
      <c r="AK1508">
        <v>26</v>
      </c>
      <c r="AL1508">
        <v>0</v>
      </c>
      <c r="AM1508">
        <v>0.12</v>
      </c>
      <c r="AN1508">
        <v>1.5454545454545454</v>
      </c>
      <c r="AO1508">
        <v>0</v>
      </c>
      <c r="AP1508" t="s">
        <v>130</v>
      </c>
      <c r="AQ1508" t="s">
        <v>131</v>
      </c>
      <c r="AR1508" t="s">
        <v>1766</v>
      </c>
      <c r="AS1508">
        <v>1994</v>
      </c>
      <c r="AT1508">
        <v>1999</v>
      </c>
      <c r="AU1508">
        <v>0</v>
      </c>
      <c r="AV1508">
        <v>0</v>
      </c>
      <c r="AW1508">
        <v>3.9929999999999999</v>
      </c>
      <c r="AX1508">
        <v>0.166375</v>
      </c>
      <c r="AY1508">
        <v>5.8231250000000001</v>
      </c>
      <c r="AZ1508" t="s">
        <v>135</v>
      </c>
      <c r="BA1508">
        <v>0.17687499999999989</v>
      </c>
      <c r="BB1508">
        <v>1.0631104432757319</v>
      </c>
      <c r="BC1508" t="s">
        <v>133</v>
      </c>
      <c r="BD1508">
        <v>0</v>
      </c>
      <c r="BE1508" t="s">
        <v>133</v>
      </c>
      <c r="BF150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3.9929999999999999</v>
      </c>
    </row>
    <row r="1509" spans="1:58" x14ac:dyDescent="0.25">
      <c r="A1509" t="s">
        <v>1818</v>
      </c>
      <c r="B1509" t="s">
        <v>19</v>
      </c>
      <c r="C1509">
        <v>4</v>
      </c>
      <c r="D1509">
        <v>53</v>
      </c>
      <c r="E1509" t="s">
        <v>2112</v>
      </c>
      <c r="F1509" t="s">
        <v>123</v>
      </c>
      <c r="G1509" t="s">
        <v>124</v>
      </c>
      <c r="H1509" t="s">
        <v>125</v>
      </c>
      <c r="I1509" t="s">
        <v>126</v>
      </c>
      <c r="J1509" t="s">
        <v>126</v>
      </c>
      <c r="K1509" t="s">
        <v>127</v>
      </c>
      <c r="L1509">
        <v>50</v>
      </c>
      <c r="M1509">
        <v>1511197</v>
      </c>
      <c r="N1509">
        <v>6</v>
      </c>
      <c r="O1509">
        <v>6</v>
      </c>
      <c r="P1509" t="s">
        <v>1764</v>
      </c>
      <c r="Q1509" t="s">
        <v>1765</v>
      </c>
      <c r="R1509">
        <v>5</v>
      </c>
      <c r="T1509">
        <v>14</v>
      </c>
      <c r="U1509">
        <v>19</v>
      </c>
      <c r="V1509">
        <v>1</v>
      </c>
      <c r="W1509">
        <v>0</v>
      </c>
      <c r="X1509">
        <v>1</v>
      </c>
      <c r="Y1509">
        <v>3</v>
      </c>
      <c r="Z1509">
        <v>18</v>
      </c>
      <c r="AA1509">
        <v>23</v>
      </c>
      <c r="AB1509">
        <v>50</v>
      </c>
      <c r="AC1509">
        <v>24</v>
      </c>
      <c r="AD1509">
        <v>1</v>
      </c>
      <c r="AE1509">
        <v>3</v>
      </c>
      <c r="AF1509">
        <v>28</v>
      </c>
      <c r="AG1509">
        <v>0</v>
      </c>
      <c r="AH1509">
        <v>26</v>
      </c>
      <c r="AI1509">
        <v>22</v>
      </c>
      <c r="AJ1509">
        <v>23</v>
      </c>
      <c r="AK1509">
        <v>26</v>
      </c>
      <c r="AL1509">
        <v>0</v>
      </c>
      <c r="AM1509">
        <v>0.12</v>
      </c>
      <c r="AN1509">
        <v>2.0909090909090908</v>
      </c>
      <c r="AO1509">
        <v>0</v>
      </c>
      <c r="AP1509" t="s">
        <v>130</v>
      </c>
      <c r="AQ1509" t="s">
        <v>131</v>
      </c>
      <c r="AR1509" t="s">
        <v>1766</v>
      </c>
      <c r="AS1509">
        <v>1984</v>
      </c>
      <c r="AT1509">
        <v>1853</v>
      </c>
      <c r="AU1509">
        <v>0</v>
      </c>
      <c r="AV1509">
        <v>0</v>
      </c>
      <c r="AW1509">
        <v>3.8370000000000002</v>
      </c>
      <c r="AX1509">
        <v>0.15987500000000002</v>
      </c>
      <c r="AY1509">
        <v>4.4765000000000006</v>
      </c>
      <c r="AZ1509" t="s">
        <v>135</v>
      </c>
      <c r="BA1509">
        <v>1.5234999999999994</v>
      </c>
      <c r="BB1509">
        <v>9.5293197810789625</v>
      </c>
      <c r="BC1509" t="s">
        <v>133</v>
      </c>
      <c r="BD1509">
        <v>0</v>
      </c>
      <c r="BE1509" t="s">
        <v>133</v>
      </c>
      <c r="BF150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3.8370000000000002</v>
      </c>
    </row>
    <row r="1510" spans="1:58" x14ac:dyDescent="0.25">
      <c r="A1510" t="s">
        <v>1819</v>
      </c>
      <c r="B1510" t="s">
        <v>19</v>
      </c>
      <c r="C1510">
        <v>4</v>
      </c>
      <c r="D1510">
        <v>54</v>
      </c>
      <c r="E1510" t="s">
        <v>2112</v>
      </c>
      <c r="F1510" t="s">
        <v>123</v>
      </c>
      <c r="G1510" t="s">
        <v>124</v>
      </c>
      <c r="H1510" t="s">
        <v>125</v>
      </c>
      <c r="I1510" t="s">
        <v>126</v>
      </c>
      <c r="J1510" t="s">
        <v>126</v>
      </c>
      <c r="K1510" t="s">
        <v>127</v>
      </c>
      <c r="L1510">
        <v>50</v>
      </c>
      <c r="M1510">
        <v>1511199</v>
      </c>
      <c r="N1510">
        <v>6</v>
      </c>
      <c r="O1510">
        <v>6</v>
      </c>
      <c r="P1510" t="s">
        <v>1764</v>
      </c>
      <c r="Q1510" t="s">
        <v>1765</v>
      </c>
      <c r="R1510">
        <v>5</v>
      </c>
      <c r="T1510">
        <v>16</v>
      </c>
      <c r="U1510">
        <v>21</v>
      </c>
      <c r="V1510">
        <v>5</v>
      </c>
      <c r="W1510">
        <v>0</v>
      </c>
      <c r="X1510">
        <v>5</v>
      </c>
      <c r="Y1510">
        <v>10</v>
      </c>
      <c r="Z1510">
        <v>31</v>
      </c>
      <c r="AA1510">
        <v>36</v>
      </c>
      <c r="AB1510">
        <v>50</v>
      </c>
      <c r="AC1510">
        <v>23</v>
      </c>
      <c r="AD1510">
        <v>6</v>
      </c>
      <c r="AE1510">
        <v>14</v>
      </c>
      <c r="AF1510">
        <v>43</v>
      </c>
      <c r="AG1510">
        <v>0</v>
      </c>
      <c r="AH1510">
        <v>27</v>
      </c>
      <c r="AI1510">
        <v>7</v>
      </c>
      <c r="AJ1510">
        <v>13</v>
      </c>
      <c r="AK1510">
        <v>27</v>
      </c>
      <c r="AL1510">
        <v>0</v>
      </c>
      <c r="AM1510">
        <v>0.12</v>
      </c>
      <c r="AN1510">
        <v>1.1818181818181819</v>
      </c>
      <c r="AO1510">
        <v>0</v>
      </c>
      <c r="AP1510" t="s">
        <v>130</v>
      </c>
      <c r="AQ1510" t="s">
        <v>131</v>
      </c>
      <c r="AR1510" t="s">
        <v>1766</v>
      </c>
      <c r="AS1510">
        <v>2209</v>
      </c>
      <c r="AT1510">
        <v>2154</v>
      </c>
      <c r="AU1510">
        <v>0</v>
      </c>
      <c r="AV1510">
        <v>0</v>
      </c>
      <c r="AW1510">
        <v>4.3630000000000004</v>
      </c>
      <c r="AX1510">
        <v>0.18969565217391307</v>
      </c>
      <c r="AY1510">
        <v>8.1569130434782622</v>
      </c>
      <c r="AZ1510" t="s">
        <v>135</v>
      </c>
      <c r="BA1510">
        <v>-2.1569130434782622</v>
      </c>
      <c r="BB1510">
        <v>-11.370387348154944</v>
      </c>
      <c r="BC1510" t="s">
        <v>133</v>
      </c>
      <c r="BD1510">
        <v>0</v>
      </c>
      <c r="BE1510" t="s">
        <v>133</v>
      </c>
      <c r="BF151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4.3630000000000004</v>
      </c>
    </row>
    <row r="1511" spans="1:58" x14ac:dyDescent="0.25">
      <c r="A1511" t="s">
        <v>1820</v>
      </c>
      <c r="B1511" t="s">
        <v>19</v>
      </c>
      <c r="C1511">
        <v>4</v>
      </c>
      <c r="D1511">
        <v>55</v>
      </c>
      <c r="E1511" t="s">
        <v>2112</v>
      </c>
      <c r="F1511" t="s">
        <v>123</v>
      </c>
      <c r="G1511" t="s">
        <v>124</v>
      </c>
      <c r="H1511" t="s">
        <v>125</v>
      </c>
      <c r="I1511" t="s">
        <v>126</v>
      </c>
      <c r="J1511" t="s">
        <v>126</v>
      </c>
      <c r="K1511" t="s">
        <v>127</v>
      </c>
      <c r="L1511">
        <v>50</v>
      </c>
      <c r="M1511">
        <v>1511201</v>
      </c>
      <c r="N1511">
        <v>6</v>
      </c>
      <c r="O1511">
        <v>6</v>
      </c>
      <c r="P1511" t="s">
        <v>1764</v>
      </c>
      <c r="Q1511" t="s">
        <v>1765</v>
      </c>
      <c r="R1511">
        <v>5</v>
      </c>
      <c r="T1511">
        <v>20</v>
      </c>
      <c r="U1511">
        <v>25</v>
      </c>
      <c r="V1511">
        <v>3</v>
      </c>
      <c r="W1511">
        <v>0</v>
      </c>
      <c r="X1511">
        <v>3</v>
      </c>
      <c r="Y1511">
        <v>4</v>
      </c>
      <c r="Z1511">
        <v>27</v>
      </c>
      <c r="AA1511">
        <v>32</v>
      </c>
      <c r="AB1511">
        <v>50</v>
      </c>
      <c r="AC1511">
        <v>27</v>
      </c>
      <c r="AD1511">
        <v>7</v>
      </c>
      <c r="AE1511">
        <v>4</v>
      </c>
      <c r="AF1511">
        <v>38</v>
      </c>
      <c r="AG1511">
        <v>0</v>
      </c>
      <c r="AH1511">
        <v>23</v>
      </c>
      <c r="AI1511">
        <v>12</v>
      </c>
      <c r="AJ1511">
        <v>19</v>
      </c>
      <c r="AK1511">
        <v>23</v>
      </c>
      <c r="AL1511">
        <v>0</v>
      </c>
      <c r="AM1511">
        <v>0.12</v>
      </c>
      <c r="AN1511">
        <v>1.7272727272727273</v>
      </c>
      <c r="AO1511">
        <v>0</v>
      </c>
      <c r="AP1511" t="s">
        <v>130</v>
      </c>
      <c r="AQ1511" t="s">
        <v>131</v>
      </c>
      <c r="AR1511" t="s">
        <v>1766</v>
      </c>
      <c r="AS1511">
        <v>2410</v>
      </c>
      <c r="AT1511">
        <v>2376</v>
      </c>
      <c r="AU1511">
        <v>0</v>
      </c>
      <c r="AV1511">
        <v>0</v>
      </c>
      <c r="AW1511">
        <v>4.7859999999999996</v>
      </c>
      <c r="AX1511">
        <v>0.17725925925925926</v>
      </c>
      <c r="AY1511">
        <v>6.7358518518518515</v>
      </c>
      <c r="AZ1511" t="s">
        <v>135</v>
      </c>
      <c r="BA1511">
        <v>-0.73585185185185154</v>
      </c>
      <c r="BB1511">
        <v>-4.1512745507730866</v>
      </c>
      <c r="BC1511" t="s">
        <v>144</v>
      </c>
      <c r="BD1511">
        <v>0</v>
      </c>
      <c r="BE1511" t="s">
        <v>133</v>
      </c>
      <c r="BF151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4.7859999999999996</v>
      </c>
    </row>
    <row r="1512" spans="1:58" x14ac:dyDescent="0.25">
      <c r="A1512" t="s">
        <v>1821</v>
      </c>
      <c r="B1512" t="s">
        <v>19</v>
      </c>
      <c r="C1512">
        <v>4</v>
      </c>
      <c r="D1512">
        <v>56</v>
      </c>
      <c r="E1512" t="s">
        <v>2112</v>
      </c>
      <c r="F1512" t="s">
        <v>123</v>
      </c>
      <c r="G1512" t="s">
        <v>124</v>
      </c>
      <c r="H1512" t="s">
        <v>125</v>
      </c>
      <c r="I1512" t="s">
        <v>126</v>
      </c>
      <c r="J1512" t="s">
        <v>126</v>
      </c>
      <c r="K1512" t="s">
        <v>127</v>
      </c>
      <c r="L1512">
        <v>50</v>
      </c>
      <c r="M1512">
        <v>1511203</v>
      </c>
      <c r="N1512">
        <v>6</v>
      </c>
      <c r="O1512">
        <v>6</v>
      </c>
      <c r="P1512" t="s">
        <v>1764</v>
      </c>
      <c r="Q1512" t="s">
        <v>1822</v>
      </c>
      <c r="R1512">
        <v>6</v>
      </c>
      <c r="T1512">
        <v>0</v>
      </c>
      <c r="U1512">
        <v>5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5</v>
      </c>
      <c r="AB1512">
        <v>50</v>
      </c>
      <c r="AC1512">
        <v>5</v>
      </c>
      <c r="AD1512">
        <v>0</v>
      </c>
      <c r="AE1512">
        <v>0</v>
      </c>
      <c r="AF1512">
        <v>5</v>
      </c>
      <c r="AG1512">
        <v>0</v>
      </c>
      <c r="AH1512">
        <v>45</v>
      </c>
      <c r="AI1512">
        <v>45</v>
      </c>
      <c r="AJ1512">
        <v>45</v>
      </c>
      <c r="AK1512">
        <v>45</v>
      </c>
      <c r="AL1512">
        <v>0</v>
      </c>
      <c r="AM1512">
        <v>0.12</v>
      </c>
      <c r="AN1512">
        <v>4.0909090909090908</v>
      </c>
      <c r="AO1512">
        <v>0</v>
      </c>
      <c r="AP1512" t="s">
        <v>130</v>
      </c>
      <c r="AQ1512" t="s">
        <v>131</v>
      </c>
      <c r="AR1512" t="s">
        <v>1766</v>
      </c>
      <c r="AS1512">
        <v>206</v>
      </c>
      <c r="AT1512">
        <v>183</v>
      </c>
      <c r="AU1512">
        <v>0</v>
      </c>
      <c r="AV1512">
        <v>0</v>
      </c>
      <c r="AW1512">
        <v>0.38900000000000001</v>
      </c>
      <c r="AX1512">
        <v>7.7800000000000008E-2</v>
      </c>
      <c r="AY1512">
        <v>0.38900000000000001</v>
      </c>
      <c r="AZ1512" t="s">
        <v>135</v>
      </c>
      <c r="BA1512">
        <v>5.6109999999999998</v>
      </c>
      <c r="BB1512">
        <v>72.120822622107966</v>
      </c>
      <c r="BC1512" t="s">
        <v>132</v>
      </c>
      <c r="BD1512">
        <v>1</v>
      </c>
      <c r="BE1512" t="s">
        <v>133</v>
      </c>
      <c r="BF151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0.38900000000000001</v>
      </c>
    </row>
    <row r="1513" spans="1:58" x14ac:dyDescent="0.25">
      <c r="A1513" t="s">
        <v>1823</v>
      </c>
      <c r="B1513" t="s">
        <v>19</v>
      </c>
      <c r="C1513">
        <v>4</v>
      </c>
      <c r="D1513">
        <v>57</v>
      </c>
      <c r="E1513" t="s">
        <v>2112</v>
      </c>
      <c r="F1513" t="s">
        <v>123</v>
      </c>
      <c r="G1513" t="s">
        <v>124</v>
      </c>
      <c r="H1513" t="s">
        <v>125</v>
      </c>
      <c r="I1513" t="s">
        <v>126</v>
      </c>
      <c r="J1513" t="s">
        <v>126</v>
      </c>
      <c r="K1513" t="s">
        <v>127</v>
      </c>
      <c r="L1513">
        <v>50</v>
      </c>
      <c r="M1513">
        <v>1511205</v>
      </c>
      <c r="N1513">
        <v>6</v>
      </c>
      <c r="O1513">
        <v>6</v>
      </c>
      <c r="P1513" t="s">
        <v>1764</v>
      </c>
      <c r="Q1513" t="s">
        <v>1822</v>
      </c>
      <c r="R1513">
        <v>6</v>
      </c>
      <c r="T1513">
        <v>11</v>
      </c>
      <c r="U1513">
        <v>16</v>
      </c>
      <c r="V1513">
        <v>1</v>
      </c>
      <c r="W1513">
        <v>0</v>
      </c>
      <c r="X1513">
        <v>1</v>
      </c>
      <c r="Y1513">
        <v>9</v>
      </c>
      <c r="Z1513">
        <v>21</v>
      </c>
      <c r="AA1513">
        <v>26</v>
      </c>
      <c r="AB1513">
        <v>50</v>
      </c>
      <c r="AC1513">
        <v>18</v>
      </c>
      <c r="AD1513">
        <v>1</v>
      </c>
      <c r="AE1513">
        <v>16</v>
      </c>
      <c r="AF1513">
        <v>35</v>
      </c>
      <c r="AG1513">
        <v>0</v>
      </c>
      <c r="AH1513">
        <v>32</v>
      </c>
      <c r="AI1513">
        <v>15</v>
      </c>
      <c r="AJ1513">
        <v>16</v>
      </c>
      <c r="AK1513">
        <v>32</v>
      </c>
      <c r="AL1513">
        <v>0</v>
      </c>
      <c r="AM1513">
        <v>0.12</v>
      </c>
      <c r="AN1513">
        <v>1.4545454545454546</v>
      </c>
      <c r="AO1513">
        <v>0</v>
      </c>
      <c r="AP1513" t="s">
        <v>130</v>
      </c>
      <c r="AQ1513" t="s">
        <v>131</v>
      </c>
      <c r="AR1513" t="s">
        <v>1766</v>
      </c>
      <c r="AS1513">
        <v>2314</v>
      </c>
      <c r="AT1513">
        <v>2264</v>
      </c>
      <c r="AU1513">
        <v>0</v>
      </c>
      <c r="AV1513">
        <v>0</v>
      </c>
      <c r="AW1513">
        <v>4.5780000000000003</v>
      </c>
      <c r="AX1513">
        <v>0.25433333333333336</v>
      </c>
      <c r="AY1513">
        <v>8.9016666666666673</v>
      </c>
      <c r="AZ1513" t="s">
        <v>135</v>
      </c>
      <c r="BA1513">
        <v>-2.9016666666666673</v>
      </c>
      <c r="BB1513">
        <v>-11.408912188728705</v>
      </c>
      <c r="BC1513" t="s">
        <v>133</v>
      </c>
      <c r="BD1513">
        <v>0</v>
      </c>
      <c r="BE1513" t="s">
        <v>133</v>
      </c>
      <c r="BF151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4.5780000000000003</v>
      </c>
    </row>
    <row r="1514" spans="1:58" x14ac:dyDescent="0.25">
      <c r="A1514" t="s">
        <v>1824</v>
      </c>
      <c r="B1514" t="s">
        <v>19</v>
      </c>
      <c r="C1514">
        <v>4</v>
      </c>
      <c r="D1514">
        <v>58</v>
      </c>
      <c r="E1514" t="s">
        <v>2112</v>
      </c>
      <c r="F1514" t="s">
        <v>123</v>
      </c>
      <c r="G1514" t="s">
        <v>124</v>
      </c>
      <c r="H1514" t="s">
        <v>125</v>
      </c>
      <c r="I1514" t="s">
        <v>126</v>
      </c>
      <c r="J1514" t="s">
        <v>126</v>
      </c>
      <c r="K1514" t="s">
        <v>127</v>
      </c>
      <c r="L1514">
        <v>50</v>
      </c>
      <c r="M1514">
        <v>1511207</v>
      </c>
      <c r="N1514">
        <v>6</v>
      </c>
      <c r="O1514">
        <v>6</v>
      </c>
      <c r="P1514" t="s">
        <v>1764</v>
      </c>
      <c r="Q1514" t="s">
        <v>1822</v>
      </c>
      <c r="R1514">
        <v>6</v>
      </c>
      <c r="T1514">
        <v>8</v>
      </c>
      <c r="U1514">
        <v>13</v>
      </c>
      <c r="V1514">
        <v>9</v>
      </c>
      <c r="W1514">
        <v>0</v>
      </c>
      <c r="X1514">
        <v>9</v>
      </c>
      <c r="Y1514">
        <v>7</v>
      </c>
      <c r="Z1514">
        <v>24</v>
      </c>
      <c r="AA1514">
        <v>29</v>
      </c>
      <c r="AB1514">
        <v>50</v>
      </c>
      <c r="AC1514">
        <v>14</v>
      </c>
      <c r="AD1514">
        <v>11</v>
      </c>
      <c r="AE1514">
        <v>13</v>
      </c>
      <c r="AF1514">
        <v>38</v>
      </c>
      <c r="AG1514">
        <v>0</v>
      </c>
      <c r="AH1514">
        <v>36</v>
      </c>
      <c r="AI1514">
        <v>12</v>
      </c>
      <c r="AJ1514">
        <v>23</v>
      </c>
      <c r="AK1514">
        <v>36</v>
      </c>
      <c r="AL1514">
        <v>0</v>
      </c>
      <c r="AM1514">
        <v>0.12</v>
      </c>
      <c r="AN1514">
        <v>2.0909090909090908</v>
      </c>
      <c r="AO1514">
        <v>0</v>
      </c>
      <c r="AP1514" t="s">
        <v>130</v>
      </c>
      <c r="AQ1514" t="s">
        <v>131</v>
      </c>
      <c r="AR1514" t="s">
        <v>1766</v>
      </c>
      <c r="AS1514">
        <v>1714</v>
      </c>
      <c r="AT1514">
        <v>1647</v>
      </c>
      <c r="AU1514">
        <v>0</v>
      </c>
      <c r="AV1514">
        <v>0</v>
      </c>
      <c r="AW1514">
        <v>3.3610000000000002</v>
      </c>
      <c r="AX1514">
        <v>0.24007142857142857</v>
      </c>
      <c r="AY1514">
        <v>9.1227142857142862</v>
      </c>
      <c r="AZ1514" t="s">
        <v>135</v>
      </c>
      <c r="BA1514">
        <v>-3.1227142857142862</v>
      </c>
      <c r="BB1514">
        <v>-13.0074382624219</v>
      </c>
      <c r="BC1514" t="s">
        <v>133</v>
      </c>
      <c r="BD1514">
        <v>0</v>
      </c>
      <c r="BE1514" t="s">
        <v>133</v>
      </c>
      <c r="BF151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3.3610000000000002</v>
      </c>
    </row>
    <row r="1515" spans="1:58" x14ac:dyDescent="0.25">
      <c r="A1515" t="s">
        <v>1825</v>
      </c>
      <c r="B1515" t="s">
        <v>19</v>
      </c>
      <c r="C1515">
        <v>4</v>
      </c>
      <c r="D1515">
        <v>59</v>
      </c>
      <c r="E1515" t="s">
        <v>2112</v>
      </c>
      <c r="F1515" t="s">
        <v>123</v>
      </c>
      <c r="G1515" t="s">
        <v>124</v>
      </c>
      <c r="H1515" t="s">
        <v>125</v>
      </c>
      <c r="I1515" t="s">
        <v>126</v>
      </c>
      <c r="J1515" t="s">
        <v>126</v>
      </c>
      <c r="K1515" t="s">
        <v>127</v>
      </c>
      <c r="L1515">
        <v>50</v>
      </c>
      <c r="M1515">
        <v>1511209</v>
      </c>
      <c r="N1515">
        <v>6</v>
      </c>
      <c r="O1515">
        <v>6</v>
      </c>
      <c r="P1515" t="s">
        <v>1764</v>
      </c>
      <c r="Q1515" t="s">
        <v>1822</v>
      </c>
      <c r="R1515">
        <v>6</v>
      </c>
      <c r="T1515">
        <v>11</v>
      </c>
      <c r="U1515">
        <v>16</v>
      </c>
      <c r="V1515">
        <v>9</v>
      </c>
      <c r="W1515">
        <v>0</v>
      </c>
      <c r="X1515">
        <v>9</v>
      </c>
      <c r="Y1515">
        <v>7</v>
      </c>
      <c r="Z1515">
        <v>27</v>
      </c>
      <c r="AA1515">
        <v>32</v>
      </c>
      <c r="AB1515">
        <v>50</v>
      </c>
      <c r="AC1515">
        <v>17</v>
      </c>
      <c r="AD1515">
        <v>10</v>
      </c>
      <c r="AE1515">
        <v>10</v>
      </c>
      <c r="AF1515">
        <v>37</v>
      </c>
      <c r="AG1515">
        <v>0</v>
      </c>
      <c r="AH1515">
        <v>33</v>
      </c>
      <c r="AI1515">
        <v>13</v>
      </c>
      <c r="AJ1515">
        <v>23</v>
      </c>
      <c r="AK1515">
        <v>33</v>
      </c>
      <c r="AL1515">
        <v>0</v>
      </c>
      <c r="AM1515">
        <v>0.12</v>
      </c>
      <c r="AN1515">
        <v>2.0909090909090908</v>
      </c>
      <c r="AO1515">
        <v>0</v>
      </c>
      <c r="AP1515" t="s">
        <v>130</v>
      </c>
      <c r="AQ1515" t="s">
        <v>131</v>
      </c>
      <c r="AR1515" t="s">
        <v>1766</v>
      </c>
      <c r="AS1515">
        <v>2496</v>
      </c>
      <c r="AT1515">
        <v>2372</v>
      </c>
      <c r="AU1515">
        <v>0</v>
      </c>
      <c r="AV1515">
        <v>0</v>
      </c>
      <c r="AW1515">
        <v>4.8680000000000003</v>
      </c>
      <c r="AX1515">
        <v>0.28635294117647059</v>
      </c>
      <c r="AY1515">
        <v>10.595058823529412</v>
      </c>
      <c r="AZ1515" t="s">
        <v>135</v>
      </c>
      <c r="BA1515">
        <v>-4.5950588235294116</v>
      </c>
      <c r="BB1515">
        <v>-16.0468364831553</v>
      </c>
      <c r="BC1515" t="s">
        <v>133</v>
      </c>
      <c r="BD1515">
        <v>0</v>
      </c>
      <c r="BE1515" t="s">
        <v>133</v>
      </c>
      <c r="BF151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4.8680000000000003</v>
      </c>
    </row>
    <row r="1516" spans="1:58" x14ac:dyDescent="0.25">
      <c r="A1516" t="s">
        <v>1826</v>
      </c>
      <c r="B1516" t="s">
        <v>19</v>
      </c>
      <c r="C1516">
        <v>4</v>
      </c>
      <c r="D1516">
        <v>60</v>
      </c>
      <c r="E1516" t="s">
        <v>2112</v>
      </c>
      <c r="F1516" t="s">
        <v>123</v>
      </c>
      <c r="G1516" t="s">
        <v>124</v>
      </c>
      <c r="H1516" t="s">
        <v>125</v>
      </c>
      <c r="I1516" t="s">
        <v>126</v>
      </c>
      <c r="J1516" t="s">
        <v>126</v>
      </c>
      <c r="K1516" t="s">
        <v>127</v>
      </c>
      <c r="L1516">
        <v>50</v>
      </c>
      <c r="M1516">
        <v>1511211</v>
      </c>
      <c r="N1516">
        <v>6</v>
      </c>
      <c r="O1516">
        <v>6</v>
      </c>
      <c r="P1516" t="s">
        <v>1764</v>
      </c>
      <c r="Q1516" t="s">
        <v>1822</v>
      </c>
      <c r="R1516">
        <v>6</v>
      </c>
      <c r="T1516">
        <v>14</v>
      </c>
      <c r="U1516">
        <v>19</v>
      </c>
      <c r="V1516">
        <v>3</v>
      </c>
      <c r="W1516">
        <v>0</v>
      </c>
      <c r="X1516">
        <v>3</v>
      </c>
      <c r="Y1516">
        <v>6</v>
      </c>
      <c r="Z1516">
        <v>23</v>
      </c>
      <c r="AA1516">
        <v>28</v>
      </c>
      <c r="AB1516">
        <v>50</v>
      </c>
      <c r="AC1516">
        <v>23</v>
      </c>
      <c r="AD1516">
        <v>4</v>
      </c>
      <c r="AE1516">
        <v>7</v>
      </c>
      <c r="AF1516">
        <v>34</v>
      </c>
      <c r="AG1516">
        <v>0</v>
      </c>
      <c r="AH1516">
        <v>27</v>
      </c>
      <c r="AI1516">
        <v>16</v>
      </c>
      <c r="AJ1516">
        <v>20</v>
      </c>
      <c r="AK1516">
        <v>27</v>
      </c>
      <c r="AL1516">
        <v>0</v>
      </c>
      <c r="AM1516">
        <v>0.12</v>
      </c>
      <c r="AN1516">
        <v>1.8181818181818183</v>
      </c>
      <c r="AO1516">
        <v>0</v>
      </c>
      <c r="AP1516" t="s">
        <v>130</v>
      </c>
      <c r="AQ1516" t="s">
        <v>131</v>
      </c>
      <c r="AR1516" t="s">
        <v>1766</v>
      </c>
      <c r="AS1516">
        <v>2190</v>
      </c>
      <c r="AT1516">
        <v>1992</v>
      </c>
      <c r="AU1516">
        <v>0</v>
      </c>
      <c r="AV1516">
        <v>0</v>
      </c>
      <c r="AW1516">
        <v>4.1820000000000004</v>
      </c>
      <c r="AX1516">
        <v>0.18182608695652175</v>
      </c>
      <c r="AY1516">
        <v>6.1820869565217391</v>
      </c>
      <c r="AZ1516" t="s">
        <v>135</v>
      </c>
      <c r="BA1516">
        <v>-0.18208695652173912</v>
      </c>
      <c r="BB1516">
        <v>-1.001434720229555</v>
      </c>
      <c r="BC1516" t="s">
        <v>133</v>
      </c>
      <c r="BD1516">
        <v>0</v>
      </c>
      <c r="BE1516" t="s">
        <v>133</v>
      </c>
      <c r="BF151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4.1820000000000004</v>
      </c>
    </row>
    <row r="1517" spans="1:58" x14ac:dyDescent="0.25">
      <c r="A1517" t="s">
        <v>1827</v>
      </c>
      <c r="B1517" t="s">
        <v>19</v>
      </c>
      <c r="C1517">
        <v>4</v>
      </c>
      <c r="D1517">
        <v>61</v>
      </c>
      <c r="E1517" t="s">
        <v>2112</v>
      </c>
      <c r="F1517" t="s">
        <v>123</v>
      </c>
      <c r="G1517" t="s">
        <v>124</v>
      </c>
      <c r="H1517" t="s">
        <v>136</v>
      </c>
      <c r="I1517" t="s">
        <v>137</v>
      </c>
      <c r="J1517" t="s">
        <v>138</v>
      </c>
      <c r="K1517" t="s">
        <v>127</v>
      </c>
      <c r="L1517">
        <v>50</v>
      </c>
      <c r="M1517">
        <v>1511213</v>
      </c>
      <c r="N1517">
        <v>5</v>
      </c>
      <c r="O1517">
        <v>6</v>
      </c>
      <c r="P1517" t="s">
        <v>1764</v>
      </c>
      <c r="Q1517" t="s">
        <v>1822</v>
      </c>
      <c r="R1517">
        <v>6</v>
      </c>
      <c r="T1517">
        <v>0</v>
      </c>
      <c r="U1517">
        <v>4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4</v>
      </c>
      <c r="AB1517">
        <v>50</v>
      </c>
      <c r="AC1517">
        <v>4</v>
      </c>
      <c r="AD1517">
        <v>0</v>
      </c>
      <c r="AE1517">
        <v>0</v>
      </c>
      <c r="AF1517">
        <v>4</v>
      </c>
      <c r="AG1517">
        <v>0</v>
      </c>
      <c r="AH1517">
        <v>46</v>
      </c>
      <c r="AI1517">
        <v>46</v>
      </c>
      <c r="AJ1517">
        <v>46</v>
      </c>
      <c r="AK1517">
        <v>46</v>
      </c>
      <c r="AL1517">
        <v>0</v>
      </c>
      <c r="AM1517">
        <v>0.1</v>
      </c>
      <c r="AN1517">
        <v>4.1818181818181817</v>
      </c>
      <c r="AO1517">
        <v>0</v>
      </c>
      <c r="AP1517" t="s">
        <v>139</v>
      </c>
      <c r="AQ1517" t="s">
        <v>131</v>
      </c>
      <c r="AR1517" t="s">
        <v>1766</v>
      </c>
      <c r="AS1517">
        <v>0</v>
      </c>
      <c r="AT1517">
        <v>0</v>
      </c>
      <c r="AU1517">
        <v>0</v>
      </c>
      <c r="AV1517">
        <v>0</v>
      </c>
      <c r="AW1517">
        <v>0</v>
      </c>
      <c r="AX1517">
        <v>0</v>
      </c>
      <c r="AY1517">
        <v>0</v>
      </c>
      <c r="AZ1517" t="s">
        <v>134</v>
      </c>
      <c r="BA1517">
        <v>5</v>
      </c>
      <c r="BB1517">
        <v>0</v>
      </c>
      <c r="BC1517" t="s">
        <v>133</v>
      </c>
      <c r="BD1517">
        <v>0</v>
      </c>
      <c r="BE1517" t="s">
        <v>133</v>
      </c>
      <c r="BF151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18" spans="1:58" x14ac:dyDescent="0.25">
      <c r="A1518" t="s">
        <v>1828</v>
      </c>
      <c r="B1518" t="s">
        <v>19</v>
      </c>
      <c r="C1518">
        <v>4</v>
      </c>
      <c r="D1518">
        <v>62</v>
      </c>
      <c r="E1518" t="s">
        <v>2112</v>
      </c>
      <c r="F1518" t="s">
        <v>123</v>
      </c>
      <c r="G1518" t="s">
        <v>124</v>
      </c>
      <c r="H1518" t="s">
        <v>125</v>
      </c>
      <c r="I1518" t="s">
        <v>126</v>
      </c>
      <c r="J1518" t="s">
        <v>126</v>
      </c>
      <c r="K1518" t="s">
        <v>127</v>
      </c>
      <c r="L1518">
        <v>50</v>
      </c>
      <c r="M1518">
        <v>1511215</v>
      </c>
      <c r="N1518">
        <v>6</v>
      </c>
      <c r="O1518">
        <v>6</v>
      </c>
      <c r="P1518" t="s">
        <v>1764</v>
      </c>
      <c r="Q1518" t="s">
        <v>1822</v>
      </c>
      <c r="R1518">
        <v>6</v>
      </c>
      <c r="T1518">
        <v>17</v>
      </c>
      <c r="U1518">
        <v>22</v>
      </c>
      <c r="V1518">
        <v>7</v>
      </c>
      <c r="W1518">
        <v>0</v>
      </c>
      <c r="X1518">
        <v>7</v>
      </c>
      <c r="Y1518">
        <v>2</v>
      </c>
      <c r="Z1518">
        <v>26</v>
      </c>
      <c r="AA1518">
        <v>31</v>
      </c>
      <c r="AB1518">
        <v>50</v>
      </c>
      <c r="AC1518">
        <v>26</v>
      </c>
      <c r="AD1518">
        <v>9</v>
      </c>
      <c r="AE1518">
        <v>5</v>
      </c>
      <c r="AF1518">
        <v>40</v>
      </c>
      <c r="AG1518">
        <v>0</v>
      </c>
      <c r="AH1518">
        <v>24</v>
      </c>
      <c r="AI1518">
        <v>10</v>
      </c>
      <c r="AJ1518">
        <v>19</v>
      </c>
      <c r="AK1518">
        <v>24</v>
      </c>
      <c r="AL1518">
        <v>0</v>
      </c>
      <c r="AM1518">
        <v>0.12</v>
      </c>
      <c r="AN1518">
        <v>1.7272727272727273</v>
      </c>
      <c r="AO1518">
        <v>0</v>
      </c>
      <c r="AP1518" t="s">
        <v>130</v>
      </c>
      <c r="AQ1518" t="s">
        <v>131</v>
      </c>
      <c r="AR1518" t="s">
        <v>1766</v>
      </c>
      <c r="AS1518">
        <v>0</v>
      </c>
      <c r="AT1518">
        <v>2252</v>
      </c>
      <c r="AU1518">
        <v>0</v>
      </c>
      <c r="AV1518">
        <v>0</v>
      </c>
      <c r="AW1518">
        <v>2.2519999999999998</v>
      </c>
      <c r="AX1518">
        <v>8.6615384615384608E-2</v>
      </c>
      <c r="AY1518">
        <v>3.4646153846153842</v>
      </c>
      <c r="AZ1518" t="s">
        <v>143</v>
      </c>
      <c r="BA1518">
        <v>2.5353846153846158</v>
      </c>
      <c r="BB1518">
        <v>29.271758436944946</v>
      </c>
      <c r="BC1518" t="s">
        <v>133</v>
      </c>
      <c r="BD1518">
        <v>0</v>
      </c>
      <c r="BE1518" t="s">
        <v>133</v>
      </c>
      <c r="BF151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2.2519999999999998</v>
      </c>
    </row>
    <row r="1519" spans="1:58" x14ac:dyDescent="0.25">
      <c r="A1519" t="s">
        <v>1829</v>
      </c>
      <c r="B1519" t="s">
        <v>19</v>
      </c>
      <c r="C1519">
        <v>4</v>
      </c>
      <c r="D1519">
        <v>63</v>
      </c>
      <c r="E1519" t="s">
        <v>2112</v>
      </c>
      <c r="F1519" t="s">
        <v>123</v>
      </c>
      <c r="G1519" t="s">
        <v>124</v>
      </c>
      <c r="H1519" t="s">
        <v>125</v>
      </c>
      <c r="I1519" t="s">
        <v>126</v>
      </c>
      <c r="J1519" t="s">
        <v>126</v>
      </c>
      <c r="K1519" t="s">
        <v>127</v>
      </c>
      <c r="L1519">
        <v>50</v>
      </c>
      <c r="M1519">
        <v>1511217</v>
      </c>
      <c r="N1519">
        <v>6</v>
      </c>
      <c r="O1519">
        <v>6</v>
      </c>
      <c r="P1519" t="s">
        <v>1764</v>
      </c>
      <c r="Q1519" t="s">
        <v>1822</v>
      </c>
      <c r="R1519">
        <v>6</v>
      </c>
      <c r="T1519">
        <v>12</v>
      </c>
      <c r="U1519">
        <v>17</v>
      </c>
      <c r="V1519">
        <v>12</v>
      </c>
      <c r="W1519">
        <v>1</v>
      </c>
      <c r="X1519">
        <v>11</v>
      </c>
      <c r="Y1519">
        <v>5</v>
      </c>
      <c r="Z1519">
        <v>29</v>
      </c>
      <c r="AA1519">
        <v>34</v>
      </c>
      <c r="AB1519">
        <v>50</v>
      </c>
      <c r="AC1519">
        <v>20</v>
      </c>
      <c r="AD1519">
        <v>12</v>
      </c>
      <c r="AE1519">
        <v>5</v>
      </c>
      <c r="AF1519">
        <v>38</v>
      </c>
      <c r="AG1519">
        <v>1</v>
      </c>
      <c r="AH1519">
        <v>30</v>
      </c>
      <c r="AI1519">
        <v>12</v>
      </c>
      <c r="AJ1519">
        <v>24</v>
      </c>
      <c r="AK1519">
        <v>29</v>
      </c>
      <c r="AL1519">
        <v>0</v>
      </c>
      <c r="AM1519">
        <v>0.12</v>
      </c>
      <c r="AN1519">
        <v>2.1818181818181817</v>
      </c>
      <c r="AO1519">
        <v>0.13636363636363635</v>
      </c>
      <c r="AP1519" t="s">
        <v>130</v>
      </c>
      <c r="AQ1519" t="s">
        <v>131</v>
      </c>
      <c r="AR1519" t="s">
        <v>1766</v>
      </c>
      <c r="AS1519">
        <v>1869</v>
      </c>
      <c r="AT1519">
        <v>1527</v>
      </c>
      <c r="AU1519">
        <v>0</v>
      </c>
      <c r="AV1519">
        <v>0</v>
      </c>
      <c r="AW1519">
        <v>3.3959999999999999</v>
      </c>
      <c r="AX1519">
        <v>0.16980000000000001</v>
      </c>
      <c r="AY1519">
        <v>6.4523999999999999</v>
      </c>
      <c r="AZ1519" t="s">
        <v>135</v>
      </c>
      <c r="BA1519">
        <v>-0.45239999999999991</v>
      </c>
      <c r="BB1519">
        <v>-2.6643109540636036</v>
      </c>
      <c r="BC1519" t="s">
        <v>133</v>
      </c>
      <c r="BD1519">
        <v>0</v>
      </c>
      <c r="BE1519" t="s">
        <v>133</v>
      </c>
      <c r="BF151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3.3959999999999999</v>
      </c>
    </row>
    <row r="1520" spans="1:58" x14ac:dyDescent="0.25">
      <c r="A1520" t="s">
        <v>1830</v>
      </c>
      <c r="B1520" t="s">
        <v>19</v>
      </c>
      <c r="C1520">
        <v>4</v>
      </c>
      <c r="D1520">
        <v>64</v>
      </c>
      <c r="E1520" t="s">
        <v>2112</v>
      </c>
      <c r="F1520" t="s">
        <v>123</v>
      </c>
      <c r="G1520" t="s">
        <v>124</v>
      </c>
      <c r="H1520" t="s">
        <v>125</v>
      </c>
      <c r="I1520" t="s">
        <v>126</v>
      </c>
      <c r="J1520" t="s">
        <v>126</v>
      </c>
      <c r="K1520" t="s">
        <v>127</v>
      </c>
      <c r="L1520">
        <v>50</v>
      </c>
      <c r="M1520">
        <v>1511219</v>
      </c>
      <c r="N1520">
        <v>6</v>
      </c>
      <c r="O1520">
        <v>6</v>
      </c>
      <c r="P1520" t="s">
        <v>1764</v>
      </c>
      <c r="Q1520" t="s">
        <v>1822</v>
      </c>
      <c r="R1520">
        <v>6</v>
      </c>
      <c r="T1520">
        <v>15</v>
      </c>
      <c r="U1520">
        <v>20</v>
      </c>
      <c r="V1520">
        <v>8</v>
      </c>
      <c r="W1520">
        <v>0</v>
      </c>
      <c r="X1520">
        <v>8</v>
      </c>
      <c r="Y1520">
        <v>5</v>
      </c>
      <c r="Z1520">
        <v>28</v>
      </c>
      <c r="AA1520">
        <v>33</v>
      </c>
      <c r="AB1520">
        <v>50</v>
      </c>
      <c r="AC1520">
        <v>22</v>
      </c>
      <c r="AD1520">
        <v>10</v>
      </c>
      <c r="AE1520">
        <v>6</v>
      </c>
      <c r="AF1520">
        <v>38</v>
      </c>
      <c r="AG1520">
        <v>0</v>
      </c>
      <c r="AH1520">
        <v>28</v>
      </c>
      <c r="AI1520">
        <v>12</v>
      </c>
      <c r="AJ1520">
        <v>22</v>
      </c>
      <c r="AK1520">
        <v>28</v>
      </c>
      <c r="AL1520">
        <v>0</v>
      </c>
      <c r="AM1520">
        <v>0.12</v>
      </c>
      <c r="AN1520">
        <v>2</v>
      </c>
      <c r="AO1520">
        <v>0</v>
      </c>
      <c r="AP1520" t="s">
        <v>130</v>
      </c>
      <c r="AQ1520" t="s">
        <v>131</v>
      </c>
      <c r="AR1520" t="s">
        <v>1766</v>
      </c>
      <c r="AS1520">
        <v>2239</v>
      </c>
      <c r="AT1520">
        <v>2210</v>
      </c>
      <c r="AU1520">
        <v>0</v>
      </c>
      <c r="AV1520">
        <v>0</v>
      </c>
      <c r="AW1520">
        <v>4.4489999999999998</v>
      </c>
      <c r="AX1520">
        <v>0.20222727272727273</v>
      </c>
      <c r="AY1520">
        <v>7.6846363636363639</v>
      </c>
      <c r="AZ1520" t="s">
        <v>135</v>
      </c>
      <c r="BA1520">
        <v>-1.6846363636363639</v>
      </c>
      <c r="BB1520">
        <v>-8.3304113283884025</v>
      </c>
      <c r="BC1520" t="s">
        <v>133</v>
      </c>
      <c r="BD1520">
        <v>0</v>
      </c>
      <c r="BE1520" t="s">
        <v>133</v>
      </c>
      <c r="BF152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4.4489999999999998</v>
      </c>
    </row>
    <row r="1521" spans="1:58" x14ac:dyDescent="0.25">
      <c r="A1521" t="s">
        <v>1831</v>
      </c>
      <c r="B1521" t="s">
        <v>19</v>
      </c>
      <c r="C1521">
        <v>4</v>
      </c>
      <c r="D1521">
        <v>65</v>
      </c>
      <c r="E1521" t="s">
        <v>2112</v>
      </c>
      <c r="F1521" t="s">
        <v>123</v>
      </c>
      <c r="G1521" t="s">
        <v>124</v>
      </c>
      <c r="H1521" t="s">
        <v>125</v>
      </c>
      <c r="I1521" t="s">
        <v>126</v>
      </c>
      <c r="J1521" t="s">
        <v>126</v>
      </c>
      <c r="K1521" t="s">
        <v>127</v>
      </c>
      <c r="L1521">
        <v>50</v>
      </c>
      <c r="M1521">
        <v>1511221</v>
      </c>
      <c r="N1521">
        <v>6</v>
      </c>
      <c r="O1521">
        <v>6</v>
      </c>
      <c r="P1521" t="s">
        <v>1764</v>
      </c>
      <c r="Q1521" t="s">
        <v>1822</v>
      </c>
      <c r="R1521">
        <v>6</v>
      </c>
      <c r="T1521">
        <v>11</v>
      </c>
      <c r="U1521">
        <v>16</v>
      </c>
      <c r="V1521">
        <v>3</v>
      </c>
      <c r="W1521">
        <v>0</v>
      </c>
      <c r="X1521">
        <v>3</v>
      </c>
      <c r="Y1521">
        <v>7</v>
      </c>
      <c r="Z1521">
        <v>21</v>
      </c>
      <c r="AA1521">
        <v>26</v>
      </c>
      <c r="AB1521">
        <v>50</v>
      </c>
      <c r="AC1521">
        <v>28</v>
      </c>
      <c r="AD1521">
        <v>3</v>
      </c>
      <c r="AE1521">
        <v>9</v>
      </c>
      <c r="AF1521">
        <v>40</v>
      </c>
      <c r="AG1521">
        <v>0</v>
      </c>
      <c r="AH1521">
        <v>22</v>
      </c>
      <c r="AI1521">
        <v>10</v>
      </c>
      <c r="AJ1521">
        <v>13</v>
      </c>
      <c r="AK1521">
        <v>22</v>
      </c>
      <c r="AL1521">
        <v>0</v>
      </c>
      <c r="AM1521">
        <v>0.12</v>
      </c>
      <c r="AN1521">
        <v>1.1818181818181819</v>
      </c>
      <c r="AO1521">
        <v>0</v>
      </c>
      <c r="AP1521" t="s">
        <v>130</v>
      </c>
      <c r="AQ1521" t="s">
        <v>131</v>
      </c>
      <c r="AR1521" t="s">
        <v>1766</v>
      </c>
      <c r="AS1521">
        <v>1306</v>
      </c>
      <c r="AT1521">
        <v>1299</v>
      </c>
      <c r="AU1521">
        <v>0</v>
      </c>
      <c r="AV1521">
        <v>0</v>
      </c>
      <c r="AW1521">
        <v>2.605</v>
      </c>
      <c r="AX1521">
        <v>9.3035714285714291E-2</v>
      </c>
      <c r="AY1521">
        <v>3.7214285714285715</v>
      </c>
      <c r="AZ1521" t="s">
        <v>135</v>
      </c>
      <c r="BA1521">
        <v>2.2785714285714285</v>
      </c>
      <c r="BB1521">
        <v>24.491362763915543</v>
      </c>
      <c r="BC1521" t="s">
        <v>133</v>
      </c>
      <c r="BD1521">
        <v>0</v>
      </c>
      <c r="BE1521" t="s">
        <v>133</v>
      </c>
      <c r="BF152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2.605</v>
      </c>
    </row>
    <row r="1522" spans="1:58" x14ac:dyDescent="0.25">
      <c r="A1522" t="s">
        <v>1832</v>
      </c>
      <c r="B1522" t="s">
        <v>19</v>
      </c>
      <c r="C1522">
        <v>4</v>
      </c>
      <c r="D1522">
        <v>66</v>
      </c>
      <c r="E1522" t="s">
        <v>2112</v>
      </c>
      <c r="F1522" t="s">
        <v>123</v>
      </c>
      <c r="G1522" t="s">
        <v>124</v>
      </c>
      <c r="H1522" t="s">
        <v>125</v>
      </c>
      <c r="I1522" t="s">
        <v>126</v>
      </c>
      <c r="J1522" t="s">
        <v>126</v>
      </c>
      <c r="K1522" t="s">
        <v>127</v>
      </c>
      <c r="L1522">
        <v>50</v>
      </c>
      <c r="M1522">
        <v>1511223</v>
      </c>
      <c r="N1522">
        <v>6</v>
      </c>
      <c r="O1522">
        <v>6</v>
      </c>
      <c r="P1522" t="s">
        <v>1764</v>
      </c>
      <c r="Q1522" t="s">
        <v>1822</v>
      </c>
      <c r="R1522">
        <v>6</v>
      </c>
      <c r="T1522">
        <v>0</v>
      </c>
      <c r="U1522">
        <v>5</v>
      </c>
      <c r="V1522">
        <v>23</v>
      </c>
      <c r="W1522">
        <v>0</v>
      </c>
      <c r="X1522">
        <v>23</v>
      </c>
      <c r="Y1522">
        <v>0</v>
      </c>
      <c r="Z1522">
        <v>23</v>
      </c>
      <c r="AA1522">
        <v>28</v>
      </c>
      <c r="AB1522">
        <v>50</v>
      </c>
      <c r="AC1522">
        <v>5</v>
      </c>
      <c r="AD1522">
        <v>38</v>
      </c>
      <c r="AE1522">
        <v>0</v>
      </c>
      <c r="AF1522">
        <v>43</v>
      </c>
      <c r="AG1522">
        <v>0</v>
      </c>
      <c r="AH1522">
        <v>45</v>
      </c>
      <c r="AI1522">
        <v>7</v>
      </c>
      <c r="AJ1522">
        <v>45</v>
      </c>
      <c r="AK1522">
        <v>45</v>
      </c>
      <c r="AL1522">
        <v>0</v>
      </c>
      <c r="AM1522">
        <v>0.12</v>
      </c>
      <c r="AN1522">
        <v>4.0909090909090908</v>
      </c>
      <c r="AO1522">
        <v>0</v>
      </c>
      <c r="AP1522" t="s">
        <v>130</v>
      </c>
      <c r="AQ1522" t="s">
        <v>131</v>
      </c>
      <c r="AR1522" t="s">
        <v>1766</v>
      </c>
      <c r="AS1522">
        <v>535</v>
      </c>
      <c r="AT1522">
        <v>515</v>
      </c>
      <c r="AU1522">
        <v>0</v>
      </c>
      <c r="AV1522">
        <v>0</v>
      </c>
      <c r="AW1522">
        <v>1.05</v>
      </c>
      <c r="AX1522">
        <v>0.21000000000000002</v>
      </c>
      <c r="AY1522">
        <v>9.0300000000000011</v>
      </c>
      <c r="AZ1522" t="s">
        <v>135</v>
      </c>
      <c r="BA1522">
        <v>-3.0300000000000011</v>
      </c>
      <c r="BB1522">
        <v>-14.428571428571432</v>
      </c>
      <c r="BC1522" t="s">
        <v>144</v>
      </c>
      <c r="BD1522">
        <v>1</v>
      </c>
      <c r="BE1522" t="s">
        <v>133</v>
      </c>
      <c r="BF152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1.05</v>
      </c>
    </row>
    <row r="1523" spans="1:58" x14ac:dyDescent="0.25">
      <c r="A1523" t="s">
        <v>1833</v>
      </c>
      <c r="B1523" t="s">
        <v>19</v>
      </c>
      <c r="C1523">
        <v>4</v>
      </c>
      <c r="D1523">
        <v>67</v>
      </c>
      <c r="E1523" t="s">
        <v>2112</v>
      </c>
      <c r="F1523" t="s">
        <v>123</v>
      </c>
      <c r="G1523" t="s">
        <v>124</v>
      </c>
      <c r="H1523" t="s">
        <v>125</v>
      </c>
      <c r="I1523" t="s">
        <v>140</v>
      </c>
      <c r="J1523" t="s">
        <v>141</v>
      </c>
      <c r="K1523" t="s">
        <v>127</v>
      </c>
      <c r="L1523">
        <v>50</v>
      </c>
      <c r="M1523">
        <v>1511225</v>
      </c>
      <c r="N1523">
        <v>10</v>
      </c>
      <c r="O1523">
        <v>6</v>
      </c>
      <c r="P1523" t="s">
        <v>1764</v>
      </c>
      <c r="Q1523" t="s">
        <v>1822</v>
      </c>
      <c r="R1523">
        <v>7</v>
      </c>
      <c r="T1523">
        <v>35</v>
      </c>
      <c r="U1523">
        <v>40</v>
      </c>
      <c r="V1523">
        <v>0</v>
      </c>
      <c r="W1523">
        <v>0</v>
      </c>
      <c r="X1523">
        <v>0</v>
      </c>
      <c r="Y1523">
        <v>4</v>
      </c>
      <c r="Z1523">
        <v>39</v>
      </c>
      <c r="AA1523">
        <v>44</v>
      </c>
      <c r="AB1523">
        <v>50</v>
      </c>
      <c r="AC1523">
        <v>40</v>
      </c>
      <c r="AD1523">
        <v>0</v>
      </c>
      <c r="AE1523">
        <v>4</v>
      </c>
      <c r="AF1523">
        <v>44</v>
      </c>
      <c r="AG1523">
        <v>0</v>
      </c>
      <c r="AH1523">
        <v>10</v>
      </c>
      <c r="AI1523">
        <v>6</v>
      </c>
      <c r="AJ1523">
        <v>6</v>
      </c>
      <c r="AK1523">
        <v>10</v>
      </c>
      <c r="AL1523">
        <v>0</v>
      </c>
      <c r="AM1523">
        <v>0.2</v>
      </c>
      <c r="AN1523">
        <v>0.54545454545454541</v>
      </c>
      <c r="AO1523">
        <v>0</v>
      </c>
      <c r="AP1523" t="s">
        <v>142</v>
      </c>
      <c r="AQ1523" t="s">
        <v>131</v>
      </c>
      <c r="AR1523" t="s">
        <v>1766</v>
      </c>
      <c r="AS1523">
        <v>4866</v>
      </c>
      <c r="AT1523">
        <v>4067</v>
      </c>
      <c r="AU1523">
        <v>0</v>
      </c>
      <c r="AV1523">
        <v>0</v>
      </c>
      <c r="AW1523">
        <v>8.9329999999999998</v>
      </c>
      <c r="AX1523">
        <v>0.223325</v>
      </c>
      <c r="AY1523">
        <v>9.8262999999999998</v>
      </c>
      <c r="AZ1523" t="s">
        <v>135</v>
      </c>
      <c r="BA1523">
        <v>0.17370000000000019</v>
      </c>
      <c r="BB1523">
        <v>0.7777902160528386</v>
      </c>
      <c r="BC1523" t="s">
        <v>132</v>
      </c>
      <c r="BD1523">
        <v>0</v>
      </c>
      <c r="BE1523" t="s">
        <v>133</v>
      </c>
      <c r="BF152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8.9329999999999998</v>
      </c>
    </row>
    <row r="1524" spans="1:58" x14ac:dyDescent="0.25">
      <c r="A1524" t="s">
        <v>1834</v>
      </c>
      <c r="B1524" t="s">
        <v>19</v>
      </c>
      <c r="C1524">
        <v>4</v>
      </c>
      <c r="D1524">
        <v>68</v>
      </c>
      <c r="E1524" t="s">
        <v>2112</v>
      </c>
      <c r="F1524" t="s">
        <v>123</v>
      </c>
      <c r="G1524" t="s">
        <v>124</v>
      </c>
      <c r="H1524" t="s">
        <v>125</v>
      </c>
      <c r="I1524" t="s">
        <v>140</v>
      </c>
      <c r="J1524" t="s">
        <v>141</v>
      </c>
      <c r="K1524" t="s">
        <v>127</v>
      </c>
      <c r="L1524">
        <v>50</v>
      </c>
      <c r="M1524">
        <v>1511227</v>
      </c>
      <c r="N1524">
        <v>10</v>
      </c>
      <c r="O1524">
        <v>6</v>
      </c>
      <c r="P1524" t="s">
        <v>1764</v>
      </c>
      <c r="Q1524" t="s">
        <v>1822</v>
      </c>
      <c r="R1524">
        <v>7</v>
      </c>
      <c r="T1524">
        <v>43</v>
      </c>
      <c r="U1524">
        <v>48</v>
      </c>
      <c r="V1524">
        <v>0</v>
      </c>
      <c r="W1524">
        <v>0</v>
      </c>
      <c r="X1524">
        <v>0</v>
      </c>
      <c r="Y1524">
        <v>0</v>
      </c>
      <c r="Z1524">
        <v>43</v>
      </c>
      <c r="AA1524">
        <v>48</v>
      </c>
      <c r="AB1524">
        <v>50</v>
      </c>
      <c r="AC1524">
        <v>48</v>
      </c>
      <c r="AD1524">
        <v>0</v>
      </c>
      <c r="AE1524">
        <v>0</v>
      </c>
      <c r="AF1524">
        <v>48</v>
      </c>
      <c r="AG1524">
        <v>0</v>
      </c>
      <c r="AH1524">
        <v>2</v>
      </c>
      <c r="AI1524">
        <v>2</v>
      </c>
      <c r="AJ1524">
        <v>2</v>
      </c>
      <c r="AK1524">
        <v>2</v>
      </c>
      <c r="AL1524">
        <v>0</v>
      </c>
      <c r="AM1524">
        <v>0.2</v>
      </c>
      <c r="AN1524">
        <v>0.18181818181818182</v>
      </c>
      <c r="AO1524">
        <v>0</v>
      </c>
      <c r="AP1524" t="s">
        <v>142</v>
      </c>
      <c r="AQ1524" t="s">
        <v>131</v>
      </c>
      <c r="AR1524" t="s">
        <v>1766</v>
      </c>
      <c r="AS1524">
        <v>5514</v>
      </c>
      <c r="AT1524">
        <v>5477</v>
      </c>
      <c r="AU1524">
        <v>0</v>
      </c>
      <c r="AV1524">
        <v>0</v>
      </c>
      <c r="AW1524">
        <v>10.991</v>
      </c>
      <c r="AX1524">
        <v>0.22897916666666665</v>
      </c>
      <c r="AY1524">
        <v>10.991</v>
      </c>
      <c r="AZ1524" t="s">
        <v>135</v>
      </c>
      <c r="BA1524">
        <v>-0.99099999999999966</v>
      </c>
      <c r="BB1524">
        <v>-4.3279046492584827</v>
      </c>
      <c r="BC1524" t="s">
        <v>133</v>
      </c>
      <c r="BD1524">
        <v>0</v>
      </c>
      <c r="BE1524" t="s">
        <v>133</v>
      </c>
      <c r="BF152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10.991</v>
      </c>
    </row>
    <row r="1525" spans="1:58" x14ac:dyDescent="0.25">
      <c r="A1525" t="s">
        <v>1835</v>
      </c>
      <c r="B1525" t="s">
        <v>19</v>
      </c>
      <c r="C1525">
        <v>4</v>
      </c>
      <c r="D1525">
        <v>69</v>
      </c>
      <c r="E1525" t="s">
        <v>2112</v>
      </c>
      <c r="F1525" t="s">
        <v>123</v>
      </c>
      <c r="G1525" t="s">
        <v>124</v>
      </c>
      <c r="H1525" t="s">
        <v>125</v>
      </c>
      <c r="I1525" t="s">
        <v>140</v>
      </c>
      <c r="J1525" t="s">
        <v>141</v>
      </c>
      <c r="K1525" t="s">
        <v>127</v>
      </c>
      <c r="L1525">
        <v>50</v>
      </c>
      <c r="M1525">
        <v>1511229</v>
      </c>
      <c r="N1525">
        <v>10</v>
      </c>
      <c r="O1525">
        <v>6</v>
      </c>
      <c r="P1525" t="s">
        <v>1764</v>
      </c>
      <c r="Q1525" t="s">
        <v>1822</v>
      </c>
      <c r="R1525">
        <v>7</v>
      </c>
      <c r="T1525">
        <v>35</v>
      </c>
      <c r="U1525">
        <v>40</v>
      </c>
      <c r="V1525">
        <v>1</v>
      </c>
      <c r="W1525">
        <v>0</v>
      </c>
      <c r="X1525">
        <v>1</v>
      </c>
      <c r="Y1525">
        <v>0</v>
      </c>
      <c r="Z1525">
        <v>36</v>
      </c>
      <c r="AA1525">
        <v>41</v>
      </c>
      <c r="AB1525">
        <v>50</v>
      </c>
      <c r="AC1525">
        <v>40</v>
      </c>
      <c r="AD1525">
        <v>1</v>
      </c>
      <c r="AE1525">
        <v>0</v>
      </c>
      <c r="AF1525">
        <v>41</v>
      </c>
      <c r="AG1525">
        <v>0</v>
      </c>
      <c r="AH1525">
        <v>10</v>
      </c>
      <c r="AI1525">
        <v>9</v>
      </c>
      <c r="AJ1525">
        <v>10</v>
      </c>
      <c r="AK1525">
        <v>10</v>
      </c>
      <c r="AL1525">
        <v>0</v>
      </c>
      <c r="AM1525">
        <v>0.2</v>
      </c>
      <c r="AN1525">
        <v>0.90909090909090917</v>
      </c>
      <c r="AO1525">
        <v>0</v>
      </c>
      <c r="AP1525" t="s">
        <v>142</v>
      </c>
      <c r="AQ1525" t="s">
        <v>131</v>
      </c>
      <c r="AR1525" t="s">
        <v>1766</v>
      </c>
      <c r="AS1525">
        <v>4508</v>
      </c>
      <c r="AT1525">
        <v>5196</v>
      </c>
      <c r="AU1525">
        <v>0</v>
      </c>
      <c r="AV1525">
        <v>0</v>
      </c>
      <c r="AW1525">
        <v>9.7040000000000006</v>
      </c>
      <c r="AX1525">
        <v>0.24260000000000001</v>
      </c>
      <c r="AY1525">
        <v>9.9466000000000001</v>
      </c>
      <c r="AZ1525" t="s">
        <v>135</v>
      </c>
      <c r="BA1525">
        <v>5.3399999999999892E-2</v>
      </c>
      <c r="BB1525">
        <v>0.22011541632316525</v>
      </c>
      <c r="BC1525" t="s">
        <v>133</v>
      </c>
      <c r="BD1525">
        <v>0</v>
      </c>
      <c r="BE1525" t="s">
        <v>133</v>
      </c>
      <c r="BF152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9.7040000000000006</v>
      </c>
    </row>
    <row r="1526" spans="1:58" x14ac:dyDescent="0.25">
      <c r="A1526" t="s">
        <v>1836</v>
      </c>
      <c r="B1526" t="s">
        <v>19</v>
      </c>
      <c r="C1526">
        <v>4</v>
      </c>
      <c r="D1526">
        <v>70</v>
      </c>
      <c r="E1526" t="s">
        <v>2112</v>
      </c>
      <c r="F1526" t="s">
        <v>123</v>
      </c>
      <c r="G1526" t="s">
        <v>124</v>
      </c>
      <c r="H1526" t="s">
        <v>125</v>
      </c>
      <c r="I1526" t="s">
        <v>140</v>
      </c>
      <c r="J1526" t="s">
        <v>141</v>
      </c>
      <c r="K1526" t="s">
        <v>127</v>
      </c>
      <c r="L1526">
        <v>50</v>
      </c>
      <c r="M1526">
        <v>1511231</v>
      </c>
      <c r="N1526">
        <v>10</v>
      </c>
      <c r="O1526">
        <v>6</v>
      </c>
      <c r="P1526" t="s">
        <v>1764</v>
      </c>
      <c r="Q1526" t="s">
        <v>1822</v>
      </c>
      <c r="R1526">
        <v>7</v>
      </c>
      <c r="T1526">
        <v>42</v>
      </c>
      <c r="U1526">
        <v>47</v>
      </c>
      <c r="V1526">
        <v>1</v>
      </c>
      <c r="W1526">
        <v>0</v>
      </c>
      <c r="X1526">
        <v>1</v>
      </c>
      <c r="Y1526">
        <v>0</v>
      </c>
      <c r="Z1526">
        <v>43</v>
      </c>
      <c r="AA1526">
        <v>48</v>
      </c>
      <c r="AB1526">
        <v>50</v>
      </c>
      <c r="AC1526">
        <v>47</v>
      </c>
      <c r="AD1526">
        <v>1</v>
      </c>
      <c r="AE1526">
        <v>0</v>
      </c>
      <c r="AF1526">
        <v>48</v>
      </c>
      <c r="AG1526">
        <v>0</v>
      </c>
      <c r="AH1526">
        <v>3</v>
      </c>
      <c r="AI1526">
        <v>2</v>
      </c>
      <c r="AJ1526">
        <v>3</v>
      </c>
      <c r="AK1526">
        <v>3</v>
      </c>
      <c r="AL1526">
        <v>0</v>
      </c>
      <c r="AM1526">
        <v>0.2</v>
      </c>
      <c r="AN1526">
        <v>0.27272727272727271</v>
      </c>
      <c r="AO1526">
        <v>0</v>
      </c>
      <c r="AP1526" t="s">
        <v>142</v>
      </c>
      <c r="AQ1526" t="s">
        <v>131</v>
      </c>
      <c r="AR1526" t="s">
        <v>1766</v>
      </c>
      <c r="AS1526">
        <v>7350</v>
      </c>
      <c r="AT1526">
        <v>7312</v>
      </c>
      <c r="AU1526">
        <v>0</v>
      </c>
      <c r="AV1526">
        <v>0</v>
      </c>
      <c r="AW1526">
        <v>14.662000000000001</v>
      </c>
      <c r="AX1526">
        <v>0.31195744680851067</v>
      </c>
      <c r="AY1526">
        <v>14.973957446808512</v>
      </c>
      <c r="AZ1526" t="s">
        <v>135</v>
      </c>
      <c r="BA1526">
        <v>-4.9739574468085124</v>
      </c>
      <c r="BB1526">
        <v>-15.944345928249902</v>
      </c>
      <c r="BC1526" t="s">
        <v>133</v>
      </c>
      <c r="BD1526">
        <v>0</v>
      </c>
      <c r="BE1526" t="s">
        <v>133</v>
      </c>
      <c r="BF152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14.662000000000001</v>
      </c>
    </row>
    <row r="1527" spans="1:58" x14ac:dyDescent="0.25">
      <c r="A1527" t="s">
        <v>1837</v>
      </c>
      <c r="B1527" t="s">
        <v>19</v>
      </c>
      <c r="C1527">
        <v>4</v>
      </c>
      <c r="D1527">
        <v>71</v>
      </c>
      <c r="E1527" t="s">
        <v>2112</v>
      </c>
      <c r="F1527" t="s">
        <v>123</v>
      </c>
      <c r="G1527" t="s">
        <v>124</v>
      </c>
      <c r="H1527" t="s">
        <v>125</v>
      </c>
      <c r="I1527" t="s">
        <v>140</v>
      </c>
      <c r="J1527" t="s">
        <v>141</v>
      </c>
      <c r="K1527" t="s">
        <v>127</v>
      </c>
      <c r="L1527">
        <v>50</v>
      </c>
      <c r="M1527">
        <v>1511233</v>
      </c>
      <c r="N1527">
        <v>10</v>
      </c>
      <c r="O1527">
        <v>6</v>
      </c>
      <c r="P1527" t="s">
        <v>1764</v>
      </c>
      <c r="Q1527" t="s">
        <v>1822</v>
      </c>
      <c r="R1527">
        <v>7</v>
      </c>
      <c r="T1527">
        <v>41</v>
      </c>
      <c r="U1527">
        <v>46</v>
      </c>
      <c r="V1527">
        <v>0</v>
      </c>
      <c r="W1527">
        <v>0</v>
      </c>
      <c r="X1527">
        <v>0</v>
      </c>
      <c r="Y1527">
        <v>0</v>
      </c>
      <c r="Z1527">
        <v>41</v>
      </c>
      <c r="AA1527">
        <v>46</v>
      </c>
      <c r="AB1527">
        <v>50</v>
      </c>
      <c r="AC1527">
        <v>46</v>
      </c>
      <c r="AD1527">
        <v>0</v>
      </c>
      <c r="AE1527">
        <v>0</v>
      </c>
      <c r="AF1527">
        <v>46</v>
      </c>
      <c r="AG1527">
        <v>0</v>
      </c>
      <c r="AH1527">
        <v>4</v>
      </c>
      <c r="AI1527">
        <v>4</v>
      </c>
      <c r="AJ1527">
        <v>4</v>
      </c>
      <c r="AK1527">
        <v>4</v>
      </c>
      <c r="AL1527">
        <v>0</v>
      </c>
      <c r="AM1527">
        <v>0.2</v>
      </c>
      <c r="AN1527">
        <v>0.36363636363636365</v>
      </c>
      <c r="AO1527">
        <v>0</v>
      </c>
      <c r="AP1527" t="s">
        <v>142</v>
      </c>
      <c r="AQ1527" t="s">
        <v>131</v>
      </c>
      <c r="AR1527" t="s">
        <v>1766</v>
      </c>
      <c r="AS1527">
        <v>6707</v>
      </c>
      <c r="AT1527">
        <v>6878</v>
      </c>
      <c r="AU1527">
        <v>0</v>
      </c>
      <c r="AV1527">
        <v>0</v>
      </c>
      <c r="AW1527">
        <v>13.585000000000001</v>
      </c>
      <c r="AX1527">
        <v>0.29532608695652174</v>
      </c>
      <c r="AY1527">
        <v>13.585000000000001</v>
      </c>
      <c r="AZ1527" t="s">
        <v>135</v>
      </c>
      <c r="BA1527">
        <v>-3.5850000000000009</v>
      </c>
      <c r="BB1527">
        <v>-12.139124033860879</v>
      </c>
      <c r="BC1527" t="s">
        <v>133</v>
      </c>
      <c r="BD1527">
        <v>0</v>
      </c>
      <c r="BE1527" t="s">
        <v>133</v>
      </c>
      <c r="BF152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13.585000000000001</v>
      </c>
    </row>
    <row r="1528" spans="1:58" x14ac:dyDescent="0.25">
      <c r="A1528" t="s">
        <v>1838</v>
      </c>
      <c r="B1528" t="s">
        <v>19</v>
      </c>
      <c r="C1528">
        <v>4</v>
      </c>
      <c r="D1528">
        <v>72</v>
      </c>
      <c r="E1528" t="s">
        <v>2112</v>
      </c>
      <c r="F1528" t="s">
        <v>123</v>
      </c>
      <c r="G1528" t="s">
        <v>124</v>
      </c>
      <c r="H1528" t="s">
        <v>136</v>
      </c>
      <c r="I1528" t="s">
        <v>137</v>
      </c>
      <c r="J1528" t="s">
        <v>138</v>
      </c>
      <c r="K1528" t="s">
        <v>127</v>
      </c>
      <c r="L1528">
        <v>50</v>
      </c>
      <c r="M1528">
        <v>1511235</v>
      </c>
      <c r="N1528">
        <v>5</v>
      </c>
      <c r="O1528">
        <v>6</v>
      </c>
      <c r="P1528" t="s">
        <v>1764</v>
      </c>
      <c r="Q1528" t="s">
        <v>1822</v>
      </c>
      <c r="R1528">
        <v>7</v>
      </c>
      <c r="T1528">
        <v>0</v>
      </c>
      <c r="U1528">
        <v>4</v>
      </c>
      <c r="V1528">
        <v>0</v>
      </c>
      <c r="W1528">
        <v>0</v>
      </c>
      <c r="X1528">
        <v>0</v>
      </c>
      <c r="Y1528">
        <v>0</v>
      </c>
      <c r="Z1528">
        <v>0</v>
      </c>
      <c r="AA1528">
        <v>4</v>
      </c>
      <c r="AB1528">
        <v>50</v>
      </c>
      <c r="AC1528">
        <v>4</v>
      </c>
      <c r="AD1528">
        <v>0</v>
      </c>
      <c r="AE1528">
        <v>0</v>
      </c>
      <c r="AF1528">
        <v>4</v>
      </c>
      <c r="AG1528">
        <v>0</v>
      </c>
      <c r="AH1528">
        <v>46</v>
      </c>
      <c r="AI1528">
        <v>46</v>
      </c>
      <c r="AJ1528">
        <v>46</v>
      </c>
      <c r="AK1528">
        <v>46</v>
      </c>
      <c r="AL1528">
        <v>0</v>
      </c>
      <c r="AM1528">
        <v>0.1</v>
      </c>
      <c r="AN1528">
        <v>4.1818181818181817</v>
      </c>
      <c r="AO1528">
        <v>0</v>
      </c>
      <c r="AP1528" t="s">
        <v>139</v>
      </c>
      <c r="AQ1528" t="s">
        <v>131</v>
      </c>
      <c r="AR1528" t="s">
        <v>1766</v>
      </c>
      <c r="AS1528">
        <v>0</v>
      </c>
      <c r="AT1528">
        <v>0</v>
      </c>
      <c r="AU1528">
        <v>0</v>
      </c>
      <c r="AV1528">
        <v>0</v>
      </c>
      <c r="AW1528">
        <v>0</v>
      </c>
      <c r="AX1528">
        <v>0</v>
      </c>
      <c r="AY1528">
        <v>0</v>
      </c>
      <c r="AZ1528" t="s">
        <v>134</v>
      </c>
      <c r="BA1528">
        <v>5</v>
      </c>
      <c r="BB1528">
        <v>0</v>
      </c>
      <c r="BC1528" t="s">
        <v>133</v>
      </c>
      <c r="BD1528">
        <v>0</v>
      </c>
      <c r="BE1528" t="s">
        <v>133</v>
      </c>
      <c r="BF152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29" spans="1:58" x14ac:dyDescent="0.25">
      <c r="A1529" t="s">
        <v>1839</v>
      </c>
      <c r="B1529" t="s">
        <v>19</v>
      </c>
      <c r="C1529">
        <v>4</v>
      </c>
      <c r="D1529">
        <v>73</v>
      </c>
      <c r="E1529" t="s">
        <v>2112</v>
      </c>
      <c r="F1529" t="s">
        <v>123</v>
      </c>
      <c r="G1529" t="s">
        <v>124</v>
      </c>
      <c r="H1529" t="s">
        <v>125</v>
      </c>
      <c r="I1529" t="s">
        <v>140</v>
      </c>
      <c r="J1529" t="s">
        <v>141</v>
      </c>
      <c r="K1529" t="s">
        <v>127</v>
      </c>
      <c r="L1529">
        <v>50</v>
      </c>
      <c r="M1529">
        <v>1511237</v>
      </c>
      <c r="N1529">
        <v>10</v>
      </c>
      <c r="O1529">
        <v>6</v>
      </c>
      <c r="P1529" t="s">
        <v>1764</v>
      </c>
      <c r="Q1529" t="s">
        <v>1822</v>
      </c>
      <c r="R1529">
        <v>7</v>
      </c>
      <c r="T1529">
        <v>42</v>
      </c>
      <c r="U1529">
        <v>47</v>
      </c>
      <c r="V1529">
        <v>1</v>
      </c>
      <c r="W1529">
        <v>0</v>
      </c>
      <c r="X1529">
        <v>1</v>
      </c>
      <c r="Y1529">
        <v>0</v>
      </c>
      <c r="Z1529">
        <v>43</v>
      </c>
      <c r="AA1529">
        <v>48</v>
      </c>
      <c r="AB1529">
        <v>50</v>
      </c>
      <c r="AC1529">
        <v>47</v>
      </c>
      <c r="AD1529">
        <v>1</v>
      </c>
      <c r="AE1529">
        <v>0</v>
      </c>
      <c r="AF1529">
        <v>48</v>
      </c>
      <c r="AG1529">
        <v>0</v>
      </c>
      <c r="AH1529">
        <v>3</v>
      </c>
      <c r="AI1529">
        <v>2</v>
      </c>
      <c r="AJ1529">
        <v>3</v>
      </c>
      <c r="AK1529">
        <v>3</v>
      </c>
      <c r="AL1529">
        <v>0</v>
      </c>
      <c r="AM1529">
        <v>0.2</v>
      </c>
      <c r="AN1529">
        <v>0.27272727272727271</v>
      </c>
      <c r="AO1529">
        <v>0</v>
      </c>
      <c r="AP1529" t="s">
        <v>142</v>
      </c>
      <c r="AQ1529" t="s">
        <v>131</v>
      </c>
      <c r="AR1529" t="s">
        <v>1766</v>
      </c>
      <c r="AS1529">
        <v>7228</v>
      </c>
      <c r="AT1529">
        <v>6821</v>
      </c>
      <c r="AU1529">
        <v>0</v>
      </c>
      <c r="AV1529">
        <v>0</v>
      </c>
      <c r="AW1529">
        <v>14.048999999999999</v>
      </c>
      <c r="AX1529">
        <v>0.29891489361702128</v>
      </c>
      <c r="AY1529">
        <v>14.347914893617022</v>
      </c>
      <c r="AZ1529" t="s">
        <v>135</v>
      </c>
      <c r="BA1529">
        <v>-4.3479148936170215</v>
      </c>
      <c r="BB1529">
        <v>-14.545661612926187</v>
      </c>
      <c r="BC1529" t="s">
        <v>133</v>
      </c>
      <c r="BD1529">
        <v>0</v>
      </c>
      <c r="BE1529" t="s">
        <v>133</v>
      </c>
      <c r="BF152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14.048999999999999</v>
      </c>
    </row>
    <row r="1530" spans="1:58" x14ac:dyDescent="0.25">
      <c r="A1530" t="s">
        <v>1840</v>
      </c>
      <c r="B1530" t="s">
        <v>19</v>
      </c>
      <c r="C1530">
        <v>4</v>
      </c>
      <c r="D1530">
        <v>74</v>
      </c>
      <c r="E1530" t="s">
        <v>2112</v>
      </c>
      <c r="F1530" t="s">
        <v>123</v>
      </c>
      <c r="G1530" t="s">
        <v>124</v>
      </c>
      <c r="H1530" t="s">
        <v>125</v>
      </c>
      <c r="I1530" t="s">
        <v>140</v>
      </c>
      <c r="J1530" t="s">
        <v>141</v>
      </c>
      <c r="K1530" t="s">
        <v>127</v>
      </c>
      <c r="L1530">
        <v>50</v>
      </c>
      <c r="M1530">
        <v>1511239</v>
      </c>
      <c r="N1530">
        <v>10</v>
      </c>
      <c r="O1530">
        <v>6</v>
      </c>
      <c r="P1530" t="s">
        <v>1764</v>
      </c>
      <c r="Q1530" t="s">
        <v>1822</v>
      </c>
      <c r="R1530">
        <v>7</v>
      </c>
      <c r="T1530">
        <v>18</v>
      </c>
      <c r="U1530">
        <v>23</v>
      </c>
      <c r="V1530">
        <v>0</v>
      </c>
      <c r="W1530">
        <v>0</v>
      </c>
      <c r="X1530">
        <v>0</v>
      </c>
      <c r="Y1530">
        <v>15</v>
      </c>
      <c r="Z1530">
        <v>33</v>
      </c>
      <c r="AA1530">
        <v>38</v>
      </c>
      <c r="AB1530">
        <v>50</v>
      </c>
      <c r="AC1530">
        <v>23</v>
      </c>
      <c r="AD1530">
        <v>0</v>
      </c>
      <c r="AE1530">
        <v>15</v>
      </c>
      <c r="AF1530">
        <v>38</v>
      </c>
      <c r="AG1530">
        <v>0</v>
      </c>
      <c r="AH1530">
        <v>27</v>
      </c>
      <c r="AI1530">
        <v>12</v>
      </c>
      <c r="AJ1530">
        <v>12</v>
      </c>
      <c r="AK1530">
        <v>27</v>
      </c>
      <c r="AL1530">
        <v>0</v>
      </c>
      <c r="AM1530">
        <v>0.2</v>
      </c>
      <c r="AN1530">
        <v>1.0909090909090908</v>
      </c>
      <c r="AO1530">
        <v>0</v>
      </c>
      <c r="AP1530" t="s">
        <v>142</v>
      </c>
      <c r="AQ1530" t="s">
        <v>131</v>
      </c>
      <c r="AR1530" t="s">
        <v>1766</v>
      </c>
      <c r="AS1530">
        <v>3772</v>
      </c>
      <c r="AT1530">
        <v>3760</v>
      </c>
      <c r="AU1530">
        <v>0</v>
      </c>
      <c r="AV1530">
        <v>0</v>
      </c>
      <c r="AW1530">
        <v>7.532</v>
      </c>
      <c r="AX1530">
        <v>0.32747826086956522</v>
      </c>
      <c r="AY1530">
        <v>12.444173913043478</v>
      </c>
      <c r="AZ1530" t="s">
        <v>135</v>
      </c>
      <c r="BA1530">
        <v>-2.4441739130434783</v>
      </c>
      <c r="BB1530">
        <v>-7.4636218799787573</v>
      </c>
      <c r="BC1530" t="s">
        <v>133</v>
      </c>
      <c r="BD1530">
        <v>0</v>
      </c>
      <c r="BE1530" t="s">
        <v>133</v>
      </c>
      <c r="BF153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7.532</v>
      </c>
    </row>
    <row r="1531" spans="1:58" x14ac:dyDescent="0.25">
      <c r="A1531" t="s">
        <v>1841</v>
      </c>
      <c r="B1531" t="s">
        <v>19</v>
      </c>
      <c r="C1531">
        <v>4</v>
      </c>
      <c r="D1531">
        <v>75</v>
      </c>
      <c r="E1531" t="s">
        <v>2112</v>
      </c>
      <c r="F1531" t="s">
        <v>123</v>
      </c>
      <c r="G1531" t="s">
        <v>124</v>
      </c>
      <c r="H1531" t="s">
        <v>125</v>
      </c>
      <c r="I1531" t="s">
        <v>140</v>
      </c>
      <c r="J1531" t="s">
        <v>141</v>
      </c>
      <c r="K1531" t="s">
        <v>127</v>
      </c>
      <c r="L1531">
        <v>50</v>
      </c>
      <c r="M1531">
        <v>1511241</v>
      </c>
      <c r="N1531">
        <v>10</v>
      </c>
      <c r="O1531">
        <v>6</v>
      </c>
      <c r="P1531" t="s">
        <v>1764</v>
      </c>
      <c r="Q1531" t="s">
        <v>1822</v>
      </c>
      <c r="R1531">
        <v>7</v>
      </c>
      <c r="T1531">
        <v>8</v>
      </c>
      <c r="U1531">
        <v>13</v>
      </c>
      <c r="V1531">
        <v>3</v>
      </c>
      <c r="W1531">
        <v>0</v>
      </c>
      <c r="X1531">
        <v>3</v>
      </c>
      <c r="Y1531">
        <v>17</v>
      </c>
      <c r="Z1531">
        <v>28</v>
      </c>
      <c r="AA1531">
        <v>33</v>
      </c>
      <c r="AB1531">
        <v>50</v>
      </c>
      <c r="AC1531">
        <v>13</v>
      </c>
      <c r="AD1531">
        <v>3</v>
      </c>
      <c r="AE1531">
        <v>17</v>
      </c>
      <c r="AF1531">
        <v>33</v>
      </c>
      <c r="AG1531">
        <v>0</v>
      </c>
      <c r="AH1531">
        <v>37</v>
      </c>
      <c r="AI1531">
        <v>17</v>
      </c>
      <c r="AJ1531">
        <v>20</v>
      </c>
      <c r="AK1531">
        <v>37</v>
      </c>
      <c r="AL1531">
        <v>0</v>
      </c>
      <c r="AM1531">
        <v>0.2</v>
      </c>
      <c r="AN1531">
        <v>1.8181818181818183</v>
      </c>
      <c r="AO1531">
        <v>0</v>
      </c>
      <c r="AP1531" t="s">
        <v>142</v>
      </c>
      <c r="AQ1531" t="s">
        <v>131</v>
      </c>
      <c r="AR1531" t="s">
        <v>1766</v>
      </c>
      <c r="AS1531">
        <v>1889</v>
      </c>
      <c r="AT1531">
        <v>2068</v>
      </c>
      <c r="AU1531">
        <v>0</v>
      </c>
      <c r="AV1531">
        <v>0</v>
      </c>
      <c r="AW1531">
        <v>3.9569999999999999</v>
      </c>
      <c r="AX1531">
        <v>0.30438461538461536</v>
      </c>
      <c r="AY1531">
        <v>10.044692307692307</v>
      </c>
      <c r="AZ1531" t="s">
        <v>135</v>
      </c>
      <c r="BA1531">
        <v>-4.4692307692306699E-2</v>
      </c>
      <c r="BB1531">
        <v>-0.14682840535759087</v>
      </c>
      <c r="BC1531" t="s">
        <v>133</v>
      </c>
      <c r="BD1531">
        <v>0</v>
      </c>
      <c r="BE1531" t="s">
        <v>133</v>
      </c>
      <c r="BF153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3.9569999999999999</v>
      </c>
    </row>
    <row r="1532" spans="1:58" x14ac:dyDescent="0.25">
      <c r="A1532" t="s">
        <v>1842</v>
      </c>
      <c r="B1532" t="s">
        <v>19</v>
      </c>
      <c r="C1532">
        <v>4</v>
      </c>
      <c r="D1532">
        <v>76</v>
      </c>
      <c r="E1532" t="s">
        <v>2112</v>
      </c>
      <c r="F1532" t="s">
        <v>123</v>
      </c>
      <c r="G1532" t="s">
        <v>124</v>
      </c>
      <c r="H1532" t="s">
        <v>125</v>
      </c>
      <c r="I1532" t="s">
        <v>140</v>
      </c>
      <c r="J1532" t="s">
        <v>141</v>
      </c>
      <c r="K1532" t="s">
        <v>127</v>
      </c>
      <c r="L1532">
        <v>50</v>
      </c>
      <c r="M1532">
        <v>1511243</v>
      </c>
      <c r="N1532">
        <v>10</v>
      </c>
      <c r="O1532">
        <v>6</v>
      </c>
      <c r="P1532" t="s">
        <v>1764</v>
      </c>
      <c r="Q1532" t="s">
        <v>1822</v>
      </c>
      <c r="R1532">
        <v>7</v>
      </c>
      <c r="T1532">
        <v>3</v>
      </c>
      <c r="U1532">
        <v>8</v>
      </c>
      <c r="V1532">
        <v>5</v>
      </c>
      <c r="W1532">
        <v>0</v>
      </c>
      <c r="X1532">
        <v>5</v>
      </c>
      <c r="Y1532">
        <v>11</v>
      </c>
      <c r="Z1532">
        <v>19</v>
      </c>
      <c r="AA1532">
        <v>24</v>
      </c>
      <c r="AB1532">
        <v>50</v>
      </c>
      <c r="AC1532">
        <v>8</v>
      </c>
      <c r="AD1532">
        <v>5</v>
      </c>
      <c r="AE1532">
        <v>11</v>
      </c>
      <c r="AF1532">
        <v>24</v>
      </c>
      <c r="AG1532">
        <v>0</v>
      </c>
      <c r="AH1532">
        <v>42</v>
      </c>
      <c r="AI1532">
        <v>26</v>
      </c>
      <c r="AJ1532">
        <v>31</v>
      </c>
      <c r="AK1532">
        <v>42</v>
      </c>
      <c r="AL1532">
        <v>0</v>
      </c>
      <c r="AM1532">
        <v>0.2</v>
      </c>
      <c r="AN1532">
        <v>2.8181818181818183</v>
      </c>
      <c r="AO1532">
        <v>0</v>
      </c>
      <c r="AP1532" t="s">
        <v>142</v>
      </c>
      <c r="AQ1532" t="s">
        <v>131</v>
      </c>
      <c r="AR1532" t="s">
        <v>1766</v>
      </c>
      <c r="AS1532">
        <v>1364</v>
      </c>
      <c r="AT1532">
        <v>1385</v>
      </c>
      <c r="AU1532">
        <v>0</v>
      </c>
      <c r="AV1532">
        <v>0</v>
      </c>
      <c r="AW1532">
        <v>2.7490000000000001</v>
      </c>
      <c r="AX1532">
        <v>0.34362500000000001</v>
      </c>
      <c r="AY1532">
        <v>8.2469999999999999</v>
      </c>
      <c r="AZ1532" t="s">
        <v>135</v>
      </c>
      <c r="BA1532">
        <v>1.7530000000000001</v>
      </c>
      <c r="BB1532">
        <v>5.1014914514368863</v>
      </c>
      <c r="BC1532" t="s">
        <v>133</v>
      </c>
      <c r="BD1532">
        <v>0</v>
      </c>
      <c r="BE1532" t="s">
        <v>133</v>
      </c>
      <c r="BF153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2.7490000000000001</v>
      </c>
    </row>
    <row r="1533" spans="1:58" x14ac:dyDescent="0.25">
      <c r="A1533" t="s">
        <v>1843</v>
      </c>
      <c r="B1533" t="s">
        <v>19</v>
      </c>
      <c r="C1533">
        <v>4</v>
      </c>
      <c r="D1533">
        <v>77</v>
      </c>
      <c r="E1533" t="s">
        <v>2112</v>
      </c>
      <c r="F1533" t="s">
        <v>123</v>
      </c>
      <c r="G1533" t="s">
        <v>124</v>
      </c>
      <c r="H1533" t="s">
        <v>125</v>
      </c>
      <c r="I1533" t="s">
        <v>140</v>
      </c>
      <c r="J1533" t="s">
        <v>141</v>
      </c>
      <c r="K1533" t="s">
        <v>127</v>
      </c>
      <c r="L1533">
        <v>50</v>
      </c>
      <c r="M1533">
        <v>1511245</v>
      </c>
      <c r="N1533">
        <v>10</v>
      </c>
      <c r="O1533">
        <v>6</v>
      </c>
      <c r="P1533" t="s">
        <v>1764</v>
      </c>
      <c r="Q1533" t="s">
        <v>1822</v>
      </c>
      <c r="R1533">
        <v>7</v>
      </c>
      <c r="T1533">
        <v>8</v>
      </c>
      <c r="U1533">
        <v>13</v>
      </c>
      <c r="V1533">
        <v>5</v>
      </c>
      <c r="W1533">
        <v>0</v>
      </c>
      <c r="X1533">
        <v>5</v>
      </c>
      <c r="Y1533">
        <v>16</v>
      </c>
      <c r="Z1533">
        <v>29</v>
      </c>
      <c r="AA1533">
        <v>34</v>
      </c>
      <c r="AB1533">
        <v>50</v>
      </c>
      <c r="AC1533">
        <v>13</v>
      </c>
      <c r="AD1533">
        <v>5</v>
      </c>
      <c r="AE1533">
        <v>16</v>
      </c>
      <c r="AF1533">
        <v>34</v>
      </c>
      <c r="AG1533">
        <v>0</v>
      </c>
      <c r="AH1533">
        <v>37</v>
      </c>
      <c r="AI1533">
        <v>16</v>
      </c>
      <c r="AJ1533">
        <v>21</v>
      </c>
      <c r="AK1533">
        <v>37</v>
      </c>
      <c r="AL1533">
        <v>0</v>
      </c>
      <c r="AM1533">
        <v>0.2</v>
      </c>
      <c r="AN1533">
        <v>1.9090909090909092</v>
      </c>
      <c r="AO1533">
        <v>0</v>
      </c>
      <c r="AP1533" t="s">
        <v>142</v>
      </c>
      <c r="AQ1533" t="s">
        <v>131</v>
      </c>
      <c r="AR1533" t="s">
        <v>1766</v>
      </c>
      <c r="AS1533">
        <v>2062</v>
      </c>
      <c r="AT1533">
        <v>2032</v>
      </c>
      <c r="AU1533">
        <v>0</v>
      </c>
      <c r="AV1533">
        <v>0</v>
      </c>
      <c r="AW1533">
        <v>4.0940000000000003</v>
      </c>
      <c r="AX1533">
        <v>0.31492307692307697</v>
      </c>
      <c r="AY1533">
        <v>10.707384615384617</v>
      </c>
      <c r="AZ1533" t="s">
        <v>135</v>
      </c>
      <c r="BA1533">
        <v>-0.70738461538461728</v>
      </c>
      <c r="BB1533">
        <v>-2.246213971665858</v>
      </c>
      <c r="BC1533" t="s">
        <v>144</v>
      </c>
      <c r="BD1533">
        <v>0</v>
      </c>
      <c r="BE1533" t="s">
        <v>133</v>
      </c>
      <c r="BF153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4.0940000000000003</v>
      </c>
    </row>
    <row r="1534" spans="1:58" x14ac:dyDescent="0.25">
      <c r="A1534" t="s">
        <v>1844</v>
      </c>
      <c r="B1534" t="s">
        <v>19</v>
      </c>
      <c r="C1534">
        <v>4</v>
      </c>
      <c r="D1534">
        <v>78</v>
      </c>
      <c r="E1534" t="s">
        <v>2112</v>
      </c>
      <c r="F1534" t="s">
        <v>123</v>
      </c>
      <c r="G1534" t="s">
        <v>124</v>
      </c>
      <c r="H1534" t="s">
        <v>125</v>
      </c>
      <c r="I1534" t="s">
        <v>140</v>
      </c>
      <c r="J1534" t="s">
        <v>141</v>
      </c>
      <c r="K1534" t="s">
        <v>127</v>
      </c>
      <c r="L1534">
        <v>50</v>
      </c>
      <c r="M1534">
        <v>1511247</v>
      </c>
      <c r="N1534">
        <v>10</v>
      </c>
      <c r="O1534">
        <v>6</v>
      </c>
      <c r="P1534" t="s">
        <v>1764</v>
      </c>
      <c r="Q1534" t="s">
        <v>1822</v>
      </c>
      <c r="R1534">
        <v>8</v>
      </c>
      <c r="T1534">
        <v>14</v>
      </c>
      <c r="U1534">
        <v>19</v>
      </c>
      <c r="V1534">
        <v>2</v>
      </c>
      <c r="W1534">
        <v>0</v>
      </c>
      <c r="X1534">
        <v>2</v>
      </c>
      <c r="Y1534">
        <v>19</v>
      </c>
      <c r="Z1534">
        <v>35</v>
      </c>
      <c r="AA1534">
        <v>40</v>
      </c>
      <c r="AB1534">
        <v>50</v>
      </c>
      <c r="AC1534">
        <v>19</v>
      </c>
      <c r="AD1534">
        <v>2</v>
      </c>
      <c r="AE1534">
        <v>19</v>
      </c>
      <c r="AF1534">
        <v>40</v>
      </c>
      <c r="AG1534">
        <v>0</v>
      </c>
      <c r="AH1534">
        <v>31</v>
      </c>
      <c r="AI1534">
        <v>10</v>
      </c>
      <c r="AJ1534">
        <v>12</v>
      </c>
      <c r="AK1534">
        <v>31</v>
      </c>
      <c r="AL1534">
        <v>0</v>
      </c>
      <c r="AM1534">
        <v>0.2</v>
      </c>
      <c r="AN1534">
        <v>1.0909090909090908</v>
      </c>
      <c r="AO1534">
        <v>0</v>
      </c>
      <c r="AP1534" t="s">
        <v>142</v>
      </c>
      <c r="AQ1534" t="s">
        <v>131</v>
      </c>
      <c r="AR1534" t="s">
        <v>1766</v>
      </c>
      <c r="AS1534">
        <v>2817</v>
      </c>
      <c r="AT1534">
        <v>2779</v>
      </c>
      <c r="AU1534">
        <v>0</v>
      </c>
      <c r="AV1534">
        <v>0</v>
      </c>
      <c r="AW1534">
        <v>5.5960000000000001</v>
      </c>
      <c r="AX1534">
        <v>0.29452631578947369</v>
      </c>
      <c r="AY1534">
        <v>11.781052631578948</v>
      </c>
      <c r="AZ1534" t="s">
        <v>135</v>
      </c>
      <c r="BA1534">
        <v>-1.7810526315789481</v>
      </c>
      <c r="BB1534">
        <v>-6.0471765546819176</v>
      </c>
      <c r="BC1534" t="s">
        <v>132</v>
      </c>
      <c r="BD1534">
        <v>0</v>
      </c>
      <c r="BE1534" t="s">
        <v>133</v>
      </c>
      <c r="BF153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5.5960000000000001</v>
      </c>
    </row>
    <row r="1535" spans="1:58" x14ac:dyDescent="0.25">
      <c r="A1535" t="s">
        <v>1845</v>
      </c>
      <c r="B1535" t="s">
        <v>19</v>
      </c>
      <c r="C1535">
        <v>4</v>
      </c>
      <c r="D1535">
        <v>79</v>
      </c>
      <c r="E1535" t="s">
        <v>2112</v>
      </c>
      <c r="F1535" t="s">
        <v>123</v>
      </c>
      <c r="G1535" t="s">
        <v>124</v>
      </c>
      <c r="H1535" t="s">
        <v>125</v>
      </c>
      <c r="I1535" t="s">
        <v>140</v>
      </c>
      <c r="J1535" t="s">
        <v>141</v>
      </c>
      <c r="K1535" t="s">
        <v>127</v>
      </c>
      <c r="L1535">
        <v>50</v>
      </c>
      <c r="M1535">
        <v>1511249</v>
      </c>
      <c r="N1535">
        <v>10</v>
      </c>
      <c r="O1535">
        <v>6</v>
      </c>
      <c r="P1535" t="s">
        <v>1764</v>
      </c>
      <c r="Q1535" t="s">
        <v>1822</v>
      </c>
      <c r="R1535">
        <v>8</v>
      </c>
      <c r="T1535">
        <v>34</v>
      </c>
      <c r="U1535">
        <v>39</v>
      </c>
      <c r="V1535">
        <v>0</v>
      </c>
      <c r="W1535">
        <v>0</v>
      </c>
      <c r="X1535">
        <v>0</v>
      </c>
      <c r="Y1535">
        <v>0</v>
      </c>
      <c r="Z1535">
        <v>34</v>
      </c>
      <c r="AA1535">
        <v>39</v>
      </c>
      <c r="AB1535">
        <v>50</v>
      </c>
      <c r="AC1535">
        <v>39</v>
      </c>
      <c r="AD1535">
        <v>0</v>
      </c>
      <c r="AE1535">
        <v>0</v>
      </c>
      <c r="AF1535">
        <v>39</v>
      </c>
      <c r="AG1535">
        <v>0</v>
      </c>
      <c r="AH1535">
        <v>11</v>
      </c>
      <c r="AI1535">
        <v>11</v>
      </c>
      <c r="AJ1535">
        <v>11</v>
      </c>
      <c r="AK1535">
        <v>11</v>
      </c>
      <c r="AL1535">
        <v>0</v>
      </c>
      <c r="AM1535">
        <v>0.2</v>
      </c>
      <c r="AN1535">
        <v>1</v>
      </c>
      <c r="AO1535">
        <v>0</v>
      </c>
      <c r="AP1535" t="s">
        <v>142</v>
      </c>
      <c r="AQ1535" t="s">
        <v>131</v>
      </c>
      <c r="AR1535" t="s">
        <v>1766</v>
      </c>
      <c r="AS1535">
        <v>5770</v>
      </c>
      <c r="AT1535">
        <v>5701</v>
      </c>
      <c r="AU1535">
        <v>0</v>
      </c>
      <c r="AV1535">
        <v>0</v>
      </c>
      <c r="AW1535">
        <v>11.471</v>
      </c>
      <c r="AX1535">
        <v>0.29412820512820514</v>
      </c>
      <c r="AY1535">
        <v>11.471</v>
      </c>
      <c r="AZ1535" t="s">
        <v>135</v>
      </c>
      <c r="BA1535">
        <v>-1.4710000000000001</v>
      </c>
      <c r="BB1535">
        <v>-5.0012204690088051</v>
      </c>
      <c r="BC1535" t="s">
        <v>133</v>
      </c>
      <c r="BD1535">
        <v>0</v>
      </c>
      <c r="BE1535" t="s">
        <v>133</v>
      </c>
      <c r="BF153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11.471</v>
      </c>
    </row>
    <row r="1536" spans="1:58" x14ac:dyDescent="0.25">
      <c r="A1536" t="s">
        <v>1846</v>
      </c>
      <c r="B1536" t="s">
        <v>19</v>
      </c>
      <c r="C1536">
        <v>4</v>
      </c>
      <c r="D1536">
        <v>80</v>
      </c>
      <c r="E1536" t="s">
        <v>2112</v>
      </c>
      <c r="F1536" t="s">
        <v>123</v>
      </c>
      <c r="G1536" t="s">
        <v>124</v>
      </c>
      <c r="H1536" t="s">
        <v>125</v>
      </c>
      <c r="I1536" t="s">
        <v>140</v>
      </c>
      <c r="J1536" t="s">
        <v>141</v>
      </c>
      <c r="K1536" t="s">
        <v>127</v>
      </c>
      <c r="L1536">
        <v>50</v>
      </c>
      <c r="M1536">
        <v>1511251</v>
      </c>
      <c r="N1536">
        <v>10</v>
      </c>
      <c r="O1536">
        <v>6</v>
      </c>
      <c r="P1536" t="s">
        <v>1764</v>
      </c>
      <c r="Q1536" t="s">
        <v>1822</v>
      </c>
      <c r="R1536">
        <v>8</v>
      </c>
      <c r="T1536">
        <v>32</v>
      </c>
      <c r="U1536">
        <v>37</v>
      </c>
      <c r="V1536">
        <v>0</v>
      </c>
      <c r="W1536">
        <v>0</v>
      </c>
      <c r="X1536">
        <v>0</v>
      </c>
      <c r="Y1536">
        <v>3</v>
      </c>
      <c r="Z1536">
        <v>35</v>
      </c>
      <c r="AA1536">
        <v>40</v>
      </c>
      <c r="AB1536">
        <v>50</v>
      </c>
      <c r="AC1536">
        <v>37</v>
      </c>
      <c r="AD1536">
        <v>0</v>
      </c>
      <c r="AE1536">
        <v>3</v>
      </c>
      <c r="AF1536">
        <v>40</v>
      </c>
      <c r="AG1536">
        <v>0</v>
      </c>
      <c r="AH1536">
        <v>13</v>
      </c>
      <c r="AI1536">
        <v>10</v>
      </c>
      <c r="AJ1536">
        <v>10</v>
      </c>
      <c r="AK1536">
        <v>13</v>
      </c>
      <c r="AL1536">
        <v>0</v>
      </c>
      <c r="AM1536">
        <v>0.2</v>
      </c>
      <c r="AN1536">
        <v>0.90909090909090917</v>
      </c>
      <c r="AO1536">
        <v>0</v>
      </c>
      <c r="AP1536" t="s">
        <v>142</v>
      </c>
      <c r="AQ1536" t="s">
        <v>131</v>
      </c>
      <c r="AR1536" t="s">
        <v>1766</v>
      </c>
      <c r="AS1536">
        <v>5749</v>
      </c>
      <c r="AT1536">
        <v>5689</v>
      </c>
      <c r="AU1536">
        <v>0</v>
      </c>
      <c r="AV1536">
        <v>0</v>
      </c>
      <c r="AW1536">
        <v>11.438000000000001</v>
      </c>
      <c r="AX1536">
        <v>0.30913513513513513</v>
      </c>
      <c r="AY1536">
        <v>12.365405405405404</v>
      </c>
      <c r="AZ1536" t="s">
        <v>135</v>
      </c>
      <c r="BA1536">
        <v>-2.3654054054054043</v>
      </c>
      <c r="BB1536">
        <v>-7.6516873579297044</v>
      </c>
      <c r="BC1536" t="s">
        <v>133</v>
      </c>
      <c r="BD1536">
        <v>0</v>
      </c>
      <c r="BE1536" t="s">
        <v>133</v>
      </c>
      <c r="BF153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11.438000000000001</v>
      </c>
    </row>
    <row r="1537" spans="1:58" x14ac:dyDescent="0.25">
      <c r="A1537" t="s">
        <v>1847</v>
      </c>
      <c r="B1537" t="s">
        <v>19</v>
      </c>
      <c r="C1537">
        <v>4</v>
      </c>
      <c r="D1537">
        <v>81</v>
      </c>
      <c r="E1537" t="s">
        <v>2112</v>
      </c>
      <c r="F1537" t="s">
        <v>123</v>
      </c>
      <c r="G1537" t="s">
        <v>124</v>
      </c>
      <c r="H1537" t="s">
        <v>125</v>
      </c>
      <c r="I1537" t="s">
        <v>140</v>
      </c>
      <c r="J1537" t="s">
        <v>141</v>
      </c>
      <c r="K1537" t="s">
        <v>127</v>
      </c>
      <c r="L1537">
        <v>50</v>
      </c>
      <c r="M1537">
        <v>1511253</v>
      </c>
      <c r="N1537">
        <v>10</v>
      </c>
      <c r="O1537">
        <v>6</v>
      </c>
      <c r="P1537" t="s">
        <v>1764</v>
      </c>
      <c r="Q1537" t="s">
        <v>1822</v>
      </c>
      <c r="R1537">
        <v>8</v>
      </c>
      <c r="T1537">
        <v>32</v>
      </c>
      <c r="U1537">
        <v>37</v>
      </c>
      <c r="V1537">
        <v>1</v>
      </c>
      <c r="W1537">
        <v>0</v>
      </c>
      <c r="X1537">
        <v>1</v>
      </c>
      <c r="Y1537">
        <v>0</v>
      </c>
      <c r="Z1537">
        <v>33</v>
      </c>
      <c r="AA1537">
        <v>38</v>
      </c>
      <c r="AB1537">
        <v>50</v>
      </c>
      <c r="AC1537">
        <v>37</v>
      </c>
      <c r="AD1537">
        <v>1</v>
      </c>
      <c r="AE1537">
        <v>0</v>
      </c>
      <c r="AF1537">
        <v>38</v>
      </c>
      <c r="AG1537">
        <v>0</v>
      </c>
      <c r="AH1537">
        <v>13</v>
      </c>
      <c r="AI1537">
        <v>12</v>
      </c>
      <c r="AJ1537">
        <v>13</v>
      </c>
      <c r="AK1537">
        <v>13</v>
      </c>
      <c r="AL1537">
        <v>0</v>
      </c>
      <c r="AM1537">
        <v>0.2</v>
      </c>
      <c r="AN1537">
        <v>1.1818181818181819</v>
      </c>
      <c r="AO1537">
        <v>0</v>
      </c>
      <c r="AP1537" t="s">
        <v>142</v>
      </c>
      <c r="AQ1537" t="s">
        <v>131</v>
      </c>
      <c r="AR1537" t="s">
        <v>1766</v>
      </c>
      <c r="AS1537">
        <v>3340</v>
      </c>
      <c r="AT1537">
        <v>4483</v>
      </c>
      <c r="AU1537">
        <v>0</v>
      </c>
      <c r="AV1537">
        <v>0</v>
      </c>
      <c r="AW1537">
        <v>7.8230000000000004</v>
      </c>
      <c r="AX1537">
        <v>0.21143243243243245</v>
      </c>
      <c r="AY1537">
        <v>8.0344324324324337</v>
      </c>
      <c r="AZ1537" t="s">
        <v>135</v>
      </c>
      <c r="BA1537">
        <v>1.9655675675675663</v>
      </c>
      <c r="BB1537">
        <v>9.296433593250665</v>
      </c>
      <c r="BC1537" t="s">
        <v>133</v>
      </c>
      <c r="BD1537">
        <v>0</v>
      </c>
      <c r="BE1537" t="s">
        <v>133</v>
      </c>
      <c r="BF153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7.8230000000000004</v>
      </c>
    </row>
    <row r="1538" spans="1:58" x14ac:dyDescent="0.25">
      <c r="A1538" t="s">
        <v>1848</v>
      </c>
      <c r="B1538" t="s">
        <v>19</v>
      </c>
      <c r="C1538">
        <v>4</v>
      </c>
      <c r="D1538">
        <v>82</v>
      </c>
      <c r="E1538" t="s">
        <v>2112</v>
      </c>
      <c r="F1538" t="s">
        <v>123</v>
      </c>
      <c r="G1538" t="s">
        <v>124</v>
      </c>
      <c r="H1538" t="s">
        <v>125</v>
      </c>
      <c r="I1538" t="s">
        <v>140</v>
      </c>
      <c r="J1538" t="s">
        <v>141</v>
      </c>
      <c r="K1538" t="s">
        <v>127</v>
      </c>
      <c r="L1538">
        <v>50</v>
      </c>
      <c r="M1538">
        <v>1511255</v>
      </c>
      <c r="N1538">
        <v>10</v>
      </c>
      <c r="O1538">
        <v>6</v>
      </c>
      <c r="P1538" t="s">
        <v>1764</v>
      </c>
      <c r="Q1538" t="s">
        <v>1822</v>
      </c>
      <c r="R1538">
        <v>8</v>
      </c>
      <c r="T1538">
        <v>28</v>
      </c>
      <c r="U1538">
        <v>33</v>
      </c>
      <c r="V1538">
        <v>0</v>
      </c>
      <c r="W1538">
        <v>0</v>
      </c>
      <c r="X1538">
        <v>0</v>
      </c>
      <c r="Y1538">
        <v>5</v>
      </c>
      <c r="Z1538">
        <v>33</v>
      </c>
      <c r="AA1538">
        <v>38</v>
      </c>
      <c r="AB1538">
        <v>50</v>
      </c>
      <c r="AC1538">
        <v>33</v>
      </c>
      <c r="AD1538">
        <v>0</v>
      </c>
      <c r="AE1538">
        <v>5</v>
      </c>
      <c r="AF1538">
        <v>38</v>
      </c>
      <c r="AG1538">
        <v>0</v>
      </c>
      <c r="AH1538">
        <v>17</v>
      </c>
      <c r="AI1538">
        <v>12</v>
      </c>
      <c r="AJ1538">
        <v>12</v>
      </c>
      <c r="AK1538">
        <v>17</v>
      </c>
      <c r="AL1538">
        <v>0</v>
      </c>
      <c r="AM1538">
        <v>0.2</v>
      </c>
      <c r="AN1538">
        <v>1.0909090909090908</v>
      </c>
      <c r="AO1538">
        <v>0</v>
      </c>
      <c r="AP1538" t="s">
        <v>142</v>
      </c>
      <c r="AQ1538" t="s">
        <v>131</v>
      </c>
      <c r="AR1538" t="s">
        <v>1766</v>
      </c>
      <c r="AS1538">
        <v>5124</v>
      </c>
      <c r="AT1538">
        <v>5116</v>
      </c>
      <c r="AU1538">
        <v>0</v>
      </c>
      <c r="AV1538">
        <v>0</v>
      </c>
      <c r="AW1538">
        <v>10.24</v>
      </c>
      <c r="AX1538">
        <v>0.3103030303030303</v>
      </c>
      <c r="AY1538">
        <v>11.791515151515151</v>
      </c>
      <c r="AZ1538" t="s">
        <v>135</v>
      </c>
      <c r="BA1538">
        <v>-1.7915151515151511</v>
      </c>
      <c r="BB1538">
        <v>-5.7734374999999982</v>
      </c>
      <c r="BC1538" t="s">
        <v>133</v>
      </c>
      <c r="BD1538">
        <v>0</v>
      </c>
      <c r="BE1538" t="s">
        <v>133</v>
      </c>
      <c r="BF153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10.24</v>
      </c>
    </row>
    <row r="1539" spans="1:58" x14ac:dyDescent="0.25">
      <c r="A1539" t="s">
        <v>1849</v>
      </c>
      <c r="B1539" t="s">
        <v>19</v>
      </c>
      <c r="C1539">
        <v>4</v>
      </c>
      <c r="D1539">
        <v>83</v>
      </c>
      <c r="E1539" t="s">
        <v>2112</v>
      </c>
      <c r="F1539" t="s">
        <v>123</v>
      </c>
      <c r="G1539" t="s">
        <v>124</v>
      </c>
      <c r="H1539" t="s">
        <v>136</v>
      </c>
      <c r="I1539" t="s">
        <v>137</v>
      </c>
      <c r="J1539" t="s">
        <v>138</v>
      </c>
      <c r="K1539" t="s">
        <v>127</v>
      </c>
      <c r="L1539">
        <v>50</v>
      </c>
      <c r="M1539">
        <v>1511257</v>
      </c>
      <c r="N1539">
        <v>5</v>
      </c>
      <c r="O1539">
        <v>6</v>
      </c>
      <c r="P1539" t="s">
        <v>1764</v>
      </c>
      <c r="Q1539" t="s">
        <v>1822</v>
      </c>
      <c r="R1539">
        <v>8</v>
      </c>
      <c r="T1539">
        <v>0</v>
      </c>
      <c r="U1539">
        <v>4</v>
      </c>
      <c r="V1539">
        <v>0</v>
      </c>
      <c r="W1539">
        <v>0</v>
      </c>
      <c r="X1539">
        <v>0</v>
      </c>
      <c r="Y1539">
        <v>0</v>
      </c>
      <c r="Z1539">
        <v>0</v>
      </c>
      <c r="AA1539">
        <v>4</v>
      </c>
      <c r="AB1539">
        <v>50</v>
      </c>
      <c r="AC1539">
        <v>4</v>
      </c>
      <c r="AD1539">
        <v>0</v>
      </c>
      <c r="AE1539">
        <v>0</v>
      </c>
      <c r="AF1539">
        <v>4</v>
      </c>
      <c r="AG1539">
        <v>0</v>
      </c>
      <c r="AH1539">
        <v>46</v>
      </c>
      <c r="AI1539">
        <v>46</v>
      </c>
      <c r="AJ1539">
        <v>46</v>
      </c>
      <c r="AK1539">
        <v>46</v>
      </c>
      <c r="AL1539">
        <v>0</v>
      </c>
      <c r="AM1539">
        <v>0.1</v>
      </c>
      <c r="AN1539">
        <v>4.1818181818181817</v>
      </c>
      <c r="AO1539">
        <v>0</v>
      </c>
      <c r="AP1539" t="s">
        <v>139</v>
      </c>
      <c r="AQ1539" t="s">
        <v>131</v>
      </c>
      <c r="AR1539" t="s">
        <v>1766</v>
      </c>
      <c r="AS1539">
        <v>0</v>
      </c>
      <c r="AT1539">
        <v>0</v>
      </c>
      <c r="AU1539">
        <v>0</v>
      </c>
      <c r="AV1539">
        <v>0</v>
      </c>
      <c r="AW1539">
        <v>0</v>
      </c>
      <c r="AX1539">
        <v>0</v>
      </c>
      <c r="AY1539">
        <v>0</v>
      </c>
      <c r="AZ1539" t="s">
        <v>134</v>
      </c>
      <c r="BA1539">
        <v>5</v>
      </c>
      <c r="BB1539">
        <v>0</v>
      </c>
      <c r="BC1539" t="s">
        <v>133</v>
      </c>
      <c r="BD1539">
        <v>0</v>
      </c>
      <c r="BE1539" t="s">
        <v>133</v>
      </c>
      <c r="BF153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40" spans="1:58" x14ac:dyDescent="0.25">
      <c r="A1540" t="s">
        <v>1850</v>
      </c>
      <c r="B1540" t="s">
        <v>19</v>
      </c>
      <c r="C1540">
        <v>4</v>
      </c>
      <c r="D1540">
        <v>84</v>
      </c>
      <c r="E1540" t="s">
        <v>2112</v>
      </c>
      <c r="F1540" t="s">
        <v>123</v>
      </c>
      <c r="G1540" t="s">
        <v>124</v>
      </c>
      <c r="H1540" t="s">
        <v>125</v>
      </c>
      <c r="I1540" t="s">
        <v>140</v>
      </c>
      <c r="J1540" t="s">
        <v>141</v>
      </c>
      <c r="K1540" t="s">
        <v>127</v>
      </c>
      <c r="L1540">
        <v>50</v>
      </c>
      <c r="M1540">
        <v>1511259</v>
      </c>
      <c r="N1540">
        <v>10</v>
      </c>
      <c r="O1540">
        <v>6</v>
      </c>
      <c r="P1540" t="s">
        <v>1764</v>
      </c>
      <c r="Q1540" t="s">
        <v>1822</v>
      </c>
      <c r="R1540">
        <v>8</v>
      </c>
      <c r="T1540">
        <v>12</v>
      </c>
      <c r="U1540">
        <v>17</v>
      </c>
      <c r="V1540">
        <v>0</v>
      </c>
      <c r="W1540">
        <v>0</v>
      </c>
      <c r="X1540">
        <v>0</v>
      </c>
      <c r="Y1540">
        <v>29</v>
      </c>
      <c r="Z1540">
        <v>41</v>
      </c>
      <c r="AA1540">
        <v>46</v>
      </c>
      <c r="AB1540">
        <v>50</v>
      </c>
      <c r="AC1540">
        <v>17</v>
      </c>
      <c r="AD1540">
        <v>0</v>
      </c>
      <c r="AE1540">
        <v>29</v>
      </c>
      <c r="AF1540">
        <v>46</v>
      </c>
      <c r="AG1540">
        <v>0</v>
      </c>
      <c r="AH1540">
        <v>33</v>
      </c>
      <c r="AI1540">
        <v>4</v>
      </c>
      <c r="AJ1540">
        <v>4</v>
      </c>
      <c r="AK1540">
        <v>33</v>
      </c>
      <c r="AL1540">
        <v>0</v>
      </c>
      <c r="AM1540">
        <v>0.2</v>
      </c>
      <c r="AN1540">
        <v>0.36363636363636365</v>
      </c>
      <c r="AO1540">
        <v>0</v>
      </c>
      <c r="AP1540" t="s">
        <v>142</v>
      </c>
      <c r="AQ1540" t="s">
        <v>131</v>
      </c>
      <c r="AR1540" t="s">
        <v>1766</v>
      </c>
      <c r="AS1540">
        <v>2297</v>
      </c>
      <c r="AT1540">
        <v>2303</v>
      </c>
      <c r="AU1540">
        <v>0</v>
      </c>
      <c r="AV1540">
        <v>0</v>
      </c>
      <c r="AW1540">
        <v>4.5999999999999996</v>
      </c>
      <c r="AX1540">
        <v>0.27058823529411763</v>
      </c>
      <c r="AY1540">
        <v>12.44705882352941</v>
      </c>
      <c r="AZ1540" t="s">
        <v>135</v>
      </c>
      <c r="BA1540">
        <v>-2.4470588235294102</v>
      </c>
      <c r="BB1540">
        <v>-9.0434782608695592</v>
      </c>
      <c r="BC1540" t="s">
        <v>133</v>
      </c>
      <c r="BD1540">
        <v>0</v>
      </c>
      <c r="BE1540" t="s">
        <v>133</v>
      </c>
      <c r="BF154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4.5999999999999996</v>
      </c>
    </row>
    <row r="1541" spans="1:58" x14ac:dyDescent="0.25">
      <c r="A1541" t="s">
        <v>1851</v>
      </c>
      <c r="B1541" t="s">
        <v>19</v>
      </c>
      <c r="C1541">
        <v>4</v>
      </c>
      <c r="D1541">
        <v>85</v>
      </c>
      <c r="E1541" t="s">
        <v>2112</v>
      </c>
      <c r="F1541" t="s">
        <v>123</v>
      </c>
      <c r="G1541" t="s">
        <v>124</v>
      </c>
      <c r="H1541" t="s">
        <v>125</v>
      </c>
      <c r="I1541" t="s">
        <v>140</v>
      </c>
      <c r="J1541" t="s">
        <v>141</v>
      </c>
      <c r="K1541" t="s">
        <v>127</v>
      </c>
      <c r="L1541">
        <v>50</v>
      </c>
      <c r="M1541">
        <v>1511261</v>
      </c>
      <c r="N1541">
        <v>10</v>
      </c>
      <c r="O1541">
        <v>6</v>
      </c>
      <c r="P1541" t="s">
        <v>1764</v>
      </c>
      <c r="Q1541" t="s">
        <v>1822</v>
      </c>
      <c r="R1541">
        <v>8</v>
      </c>
      <c r="T1541">
        <v>14</v>
      </c>
      <c r="U1541">
        <v>19</v>
      </c>
      <c r="V1541">
        <v>2</v>
      </c>
      <c r="W1541">
        <v>0</v>
      </c>
      <c r="X1541">
        <v>2</v>
      </c>
      <c r="Y1541">
        <v>25</v>
      </c>
      <c r="Z1541">
        <v>41</v>
      </c>
      <c r="AA1541">
        <v>46</v>
      </c>
      <c r="AB1541">
        <v>50</v>
      </c>
      <c r="AC1541">
        <v>19</v>
      </c>
      <c r="AD1541">
        <v>2</v>
      </c>
      <c r="AE1541">
        <v>25</v>
      </c>
      <c r="AF1541">
        <v>46</v>
      </c>
      <c r="AG1541">
        <v>0</v>
      </c>
      <c r="AH1541">
        <v>31</v>
      </c>
      <c r="AI1541">
        <v>4</v>
      </c>
      <c r="AJ1541">
        <v>6</v>
      </c>
      <c r="AK1541">
        <v>31</v>
      </c>
      <c r="AL1541">
        <v>0</v>
      </c>
      <c r="AM1541">
        <v>0.2</v>
      </c>
      <c r="AN1541">
        <v>0.54545454545454541</v>
      </c>
      <c r="AO1541">
        <v>0</v>
      </c>
      <c r="AP1541" t="s">
        <v>142</v>
      </c>
      <c r="AQ1541" t="s">
        <v>131</v>
      </c>
      <c r="AR1541" t="s">
        <v>1766</v>
      </c>
      <c r="AS1541">
        <v>1690</v>
      </c>
      <c r="AT1541">
        <v>2599</v>
      </c>
      <c r="AU1541">
        <v>0</v>
      </c>
      <c r="AV1541">
        <v>0</v>
      </c>
      <c r="AW1541">
        <v>4.2889999999999997</v>
      </c>
      <c r="AX1541">
        <v>0.22573684210526315</v>
      </c>
      <c r="AY1541">
        <v>10.383894736842105</v>
      </c>
      <c r="AZ1541" t="s">
        <v>135</v>
      </c>
      <c r="BA1541">
        <v>-0.38389473684210529</v>
      </c>
      <c r="BB1541">
        <v>-1.7006295173700166</v>
      </c>
      <c r="BC1541" t="s">
        <v>133</v>
      </c>
      <c r="BD1541">
        <v>0</v>
      </c>
      <c r="BE1541" t="s">
        <v>133</v>
      </c>
      <c r="BF154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4.2889999999999997</v>
      </c>
    </row>
    <row r="1542" spans="1:58" x14ac:dyDescent="0.25">
      <c r="A1542" t="s">
        <v>1852</v>
      </c>
      <c r="B1542" t="s">
        <v>19</v>
      </c>
      <c r="C1542">
        <v>4</v>
      </c>
      <c r="D1542">
        <v>86</v>
      </c>
      <c r="E1542" t="s">
        <v>2112</v>
      </c>
      <c r="F1542" t="s">
        <v>123</v>
      </c>
      <c r="G1542" t="s">
        <v>124</v>
      </c>
      <c r="H1542" t="s">
        <v>125</v>
      </c>
      <c r="I1542" t="s">
        <v>140</v>
      </c>
      <c r="J1542" t="s">
        <v>141</v>
      </c>
      <c r="K1542" t="s">
        <v>127</v>
      </c>
      <c r="L1542">
        <v>50</v>
      </c>
      <c r="M1542">
        <v>1511263</v>
      </c>
      <c r="N1542">
        <v>10</v>
      </c>
      <c r="O1542">
        <v>6</v>
      </c>
      <c r="P1542" t="s">
        <v>1764</v>
      </c>
      <c r="Q1542" t="s">
        <v>1822</v>
      </c>
      <c r="R1542">
        <v>8</v>
      </c>
      <c r="T1542">
        <v>7</v>
      </c>
      <c r="U1542">
        <v>12</v>
      </c>
      <c r="V1542">
        <v>1</v>
      </c>
      <c r="W1542">
        <v>0</v>
      </c>
      <c r="X1542">
        <v>1</v>
      </c>
      <c r="Y1542">
        <v>15</v>
      </c>
      <c r="Z1542">
        <v>23</v>
      </c>
      <c r="AA1542">
        <v>28</v>
      </c>
      <c r="AB1542">
        <v>50</v>
      </c>
      <c r="AC1542">
        <v>12</v>
      </c>
      <c r="AD1542">
        <v>1</v>
      </c>
      <c r="AE1542">
        <v>15</v>
      </c>
      <c r="AF1542">
        <v>28</v>
      </c>
      <c r="AG1542">
        <v>0</v>
      </c>
      <c r="AH1542">
        <v>38</v>
      </c>
      <c r="AI1542">
        <v>22</v>
      </c>
      <c r="AJ1542">
        <v>23</v>
      </c>
      <c r="AK1542">
        <v>38</v>
      </c>
      <c r="AL1542">
        <v>0</v>
      </c>
      <c r="AM1542">
        <v>0.2</v>
      </c>
      <c r="AN1542">
        <v>2.0909090909090908</v>
      </c>
      <c r="AO1542">
        <v>0</v>
      </c>
      <c r="AP1542" t="s">
        <v>142</v>
      </c>
      <c r="AQ1542" t="s">
        <v>131</v>
      </c>
      <c r="AR1542" t="s">
        <v>1766</v>
      </c>
      <c r="AS1542">
        <v>1818</v>
      </c>
      <c r="AT1542">
        <v>1775</v>
      </c>
      <c r="AU1542">
        <v>0</v>
      </c>
      <c r="AV1542">
        <v>0</v>
      </c>
      <c r="AW1542">
        <v>3.593</v>
      </c>
      <c r="AX1542">
        <v>0.29941666666666666</v>
      </c>
      <c r="AY1542">
        <v>8.3836666666666666</v>
      </c>
      <c r="AZ1542" t="s">
        <v>135</v>
      </c>
      <c r="BA1542">
        <v>1.6163333333333334</v>
      </c>
      <c r="BB1542">
        <v>5.3982744224881714</v>
      </c>
      <c r="BC1542" t="s">
        <v>133</v>
      </c>
      <c r="BD1542">
        <v>0</v>
      </c>
      <c r="BE1542" t="s">
        <v>133</v>
      </c>
      <c r="BF154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3.593</v>
      </c>
    </row>
    <row r="1543" spans="1:58" x14ac:dyDescent="0.25">
      <c r="A1543" t="s">
        <v>1853</v>
      </c>
      <c r="B1543" t="s">
        <v>19</v>
      </c>
      <c r="C1543">
        <v>4</v>
      </c>
      <c r="D1543">
        <v>87</v>
      </c>
      <c r="E1543" t="s">
        <v>2112</v>
      </c>
      <c r="F1543" t="s">
        <v>123</v>
      </c>
      <c r="G1543" t="s">
        <v>124</v>
      </c>
      <c r="H1543" t="s">
        <v>125</v>
      </c>
      <c r="I1543" t="s">
        <v>140</v>
      </c>
      <c r="J1543" t="s">
        <v>141</v>
      </c>
      <c r="K1543" t="s">
        <v>127</v>
      </c>
      <c r="L1543">
        <v>50</v>
      </c>
      <c r="M1543">
        <v>1511265</v>
      </c>
      <c r="N1543">
        <v>10</v>
      </c>
      <c r="O1543">
        <v>6</v>
      </c>
      <c r="P1543" t="s">
        <v>1764</v>
      </c>
      <c r="Q1543" t="s">
        <v>1822</v>
      </c>
      <c r="R1543">
        <v>8</v>
      </c>
      <c r="T1543">
        <v>38</v>
      </c>
      <c r="U1543">
        <v>43</v>
      </c>
      <c r="V1543">
        <v>0</v>
      </c>
      <c r="W1543">
        <v>0</v>
      </c>
      <c r="X1543">
        <v>0</v>
      </c>
      <c r="Y1543">
        <v>0</v>
      </c>
      <c r="Z1543">
        <v>38</v>
      </c>
      <c r="AA1543">
        <v>43</v>
      </c>
      <c r="AB1543">
        <v>50</v>
      </c>
      <c r="AC1543">
        <v>43</v>
      </c>
      <c r="AD1543">
        <v>0</v>
      </c>
      <c r="AE1543">
        <v>0</v>
      </c>
      <c r="AF1543">
        <v>43</v>
      </c>
      <c r="AG1543">
        <v>0</v>
      </c>
      <c r="AH1543">
        <v>7</v>
      </c>
      <c r="AI1543">
        <v>7</v>
      </c>
      <c r="AJ1543">
        <v>7</v>
      </c>
      <c r="AK1543">
        <v>7</v>
      </c>
      <c r="AL1543">
        <v>0</v>
      </c>
      <c r="AM1543">
        <v>0.2</v>
      </c>
      <c r="AN1543">
        <v>0.63636363636363635</v>
      </c>
      <c r="AO1543">
        <v>0</v>
      </c>
      <c r="AP1543" t="s">
        <v>142</v>
      </c>
      <c r="AQ1543" t="s">
        <v>131</v>
      </c>
      <c r="AR1543" t="s">
        <v>1766</v>
      </c>
      <c r="AS1543">
        <v>3566</v>
      </c>
      <c r="AT1543">
        <v>3686</v>
      </c>
      <c r="AU1543">
        <v>0</v>
      </c>
      <c r="AV1543">
        <v>0</v>
      </c>
      <c r="AW1543">
        <v>7.2519999999999998</v>
      </c>
      <c r="AX1543">
        <v>0.16865116279069767</v>
      </c>
      <c r="AY1543">
        <v>7.2519999999999998</v>
      </c>
      <c r="AZ1543" t="s">
        <v>135</v>
      </c>
      <c r="BA1543">
        <v>2.7480000000000002</v>
      </c>
      <c r="BB1543">
        <v>16.29398786541644</v>
      </c>
      <c r="BC1543" t="s">
        <v>133</v>
      </c>
      <c r="BD1543">
        <v>0</v>
      </c>
      <c r="BE1543" t="s">
        <v>133</v>
      </c>
      <c r="BF154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7.2519999999999998</v>
      </c>
    </row>
    <row r="1544" spans="1:58" x14ac:dyDescent="0.25">
      <c r="A1544" t="s">
        <v>1854</v>
      </c>
      <c r="B1544" t="s">
        <v>19</v>
      </c>
      <c r="C1544">
        <v>4</v>
      </c>
      <c r="D1544">
        <v>88</v>
      </c>
      <c r="E1544" t="s">
        <v>2112</v>
      </c>
      <c r="F1544" t="s">
        <v>123</v>
      </c>
      <c r="G1544" t="s">
        <v>124</v>
      </c>
      <c r="H1544" t="s">
        <v>125</v>
      </c>
      <c r="I1544" t="s">
        <v>140</v>
      </c>
      <c r="J1544" t="s">
        <v>141</v>
      </c>
      <c r="K1544" t="s">
        <v>127</v>
      </c>
      <c r="L1544">
        <v>50</v>
      </c>
      <c r="M1544">
        <v>1511267</v>
      </c>
      <c r="N1544">
        <v>10</v>
      </c>
      <c r="O1544">
        <v>6</v>
      </c>
      <c r="P1544" t="s">
        <v>1764</v>
      </c>
      <c r="Q1544" t="s">
        <v>1822</v>
      </c>
      <c r="R1544">
        <v>8</v>
      </c>
      <c r="T1544">
        <v>38</v>
      </c>
      <c r="U1544">
        <v>43</v>
      </c>
      <c r="V1544">
        <v>0</v>
      </c>
      <c r="W1544">
        <v>0</v>
      </c>
      <c r="X1544">
        <v>0</v>
      </c>
      <c r="Y1544">
        <v>0</v>
      </c>
      <c r="Z1544">
        <v>38</v>
      </c>
      <c r="AA1544">
        <v>43</v>
      </c>
      <c r="AB1544">
        <v>50</v>
      </c>
      <c r="AC1544">
        <v>43</v>
      </c>
      <c r="AD1544">
        <v>0</v>
      </c>
      <c r="AE1544">
        <v>0</v>
      </c>
      <c r="AF1544">
        <v>43</v>
      </c>
      <c r="AG1544">
        <v>0</v>
      </c>
      <c r="AH1544">
        <v>7</v>
      </c>
      <c r="AI1544">
        <v>7</v>
      </c>
      <c r="AJ1544">
        <v>7</v>
      </c>
      <c r="AK1544">
        <v>7</v>
      </c>
      <c r="AL1544">
        <v>0</v>
      </c>
      <c r="AM1544">
        <v>0.2</v>
      </c>
      <c r="AN1544">
        <v>0.63636363636363635</v>
      </c>
      <c r="AO1544">
        <v>0</v>
      </c>
      <c r="AP1544" t="s">
        <v>142</v>
      </c>
      <c r="AQ1544" t="s">
        <v>131</v>
      </c>
      <c r="AR1544" t="s">
        <v>1766</v>
      </c>
      <c r="AS1544">
        <v>3531</v>
      </c>
      <c r="AT1544">
        <v>3668</v>
      </c>
      <c r="AU1544">
        <v>0</v>
      </c>
      <c r="AV1544">
        <v>0</v>
      </c>
      <c r="AW1544">
        <v>7.1989999999999998</v>
      </c>
      <c r="AX1544">
        <v>0.16741860465116279</v>
      </c>
      <c r="AY1544">
        <v>7.1989999999999998</v>
      </c>
      <c r="AZ1544" t="s">
        <v>135</v>
      </c>
      <c r="BA1544">
        <v>2.8010000000000002</v>
      </c>
      <c r="BB1544">
        <v>16.730518127517712</v>
      </c>
      <c r="BC1544" t="s">
        <v>144</v>
      </c>
      <c r="BD1544">
        <v>0</v>
      </c>
      <c r="BE1544" t="s">
        <v>133</v>
      </c>
      <c r="BF154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7.1989999999999998</v>
      </c>
    </row>
    <row r="1545" spans="1:58" x14ac:dyDescent="0.25">
      <c r="A1545" t="s">
        <v>1855</v>
      </c>
      <c r="B1545" t="s">
        <v>19</v>
      </c>
      <c r="C1545">
        <v>4</v>
      </c>
      <c r="D1545">
        <v>90</v>
      </c>
      <c r="E1545" t="s">
        <v>2112</v>
      </c>
      <c r="F1545" t="s">
        <v>1389</v>
      </c>
      <c r="G1545" t="s">
        <v>124</v>
      </c>
      <c r="H1545" t="s">
        <v>125</v>
      </c>
      <c r="I1545" t="s">
        <v>126</v>
      </c>
      <c r="J1545" t="s">
        <v>126</v>
      </c>
      <c r="K1545" t="s">
        <v>166</v>
      </c>
      <c r="L1545">
        <v>50</v>
      </c>
      <c r="M1545">
        <v>1511271</v>
      </c>
      <c r="N1545">
        <v>9</v>
      </c>
      <c r="O1545">
        <v>6</v>
      </c>
      <c r="P1545" t="s">
        <v>1764</v>
      </c>
      <c r="Q1545" t="s">
        <v>1822</v>
      </c>
      <c r="R1545">
        <v>9</v>
      </c>
      <c r="S1545" t="s">
        <v>1390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  <c r="AA1545">
        <v>0</v>
      </c>
      <c r="AB1545">
        <v>50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50</v>
      </c>
      <c r="AI1545">
        <v>50</v>
      </c>
      <c r="AJ1545">
        <v>50</v>
      </c>
      <c r="AK1545">
        <v>50</v>
      </c>
      <c r="AL1545">
        <v>0</v>
      </c>
      <c r="AM1545">
        <v>0.18</v>
      </c>
      <c r="AN1545">
        <v>4.5454545454545459</v>
      </c>
      <c r="AO1545">
        <v>0</v>
      </c>
      <c r="AP1545" t="s">
        <v>179</v>
      </c>
      <c r="AQ1545" t="s">
        <v>155</v>
      </c>
      <c r="AR1545" t="s">
        <v>1766</v>
      </c>
      <c r="AS1545">
        <v>0</v>
      </c>
      <c r="AT1545">
        <v>0</v>
      </c>
      <c r="AU1545">
        <v>0</v>
      </c>
      <c r="AV1545">
        <v>0</v>
      </c>
      <c r="AW1545">
        <v>0</v>
      </c>
      <c r="AX1545">
        <v>0</v>
      </c>
      <c r="AY1545">
        <v>0</v>
      </c>
      <c r="AZ1545" t="s">
        <v>135</v>
      </c>
      <c r="BA1545">
        <v>9</v>
      </c>
      <c r="BB1545">
        <v>0</v>
      </c>
      <c r="BC1545" t="s">
        <v>133</v>
      </c>
      <c r="BD1545">
        <v>1</v>
      </c>
      <c r="BE1545" t="s">
        <v>133</v>
      </c>
      <c r="BF154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46" spans="1:58" x14ac:dyDescent="0.25">
      <c r="A1546" t="s">
        <v>1856</v>
      </c>
      <c r="B1546" t="s">
        <v>19</v>
      </c>
      <c r="C1546">
        <v>4</v>
      </c>
      <c r="D1546">
        <v>91</v>
      </c>
      <c r="E1546" t="s">
        <v>2112</v>
      </c>
      <c r="F1546" t="s">
        <v>1389</v>
      </c>
      <c r="G1546" t="s">
        <v>124</v>
      </c>
      <c r="H1546" t="s">
        <v>125</v>
      </c>
      <c r="I1546" t="s">
        <v>126</v>
      </c>
      <c r="J1546" t="s">
        <v>126</v>
      </c>
      <c r="K1546" t="s">
        <v>166</v>
      </c>
      <c r="L1546">
        <v>50</v>
      </c>
      <c r="M1546">
        <v>1511273</v>
      </c>
      <c r="N1546">
        <v>9</v>
      </c>
      <c r="O1546">
        <v>6</v>
      </c>
      <c r="P1546" t="s">
        <v>1764</v>
      </c>
      <c r="Q1546" t="s">
        <v>1822</v>
      </c>
      <c r="R1546">
        <v>9</v>
      </c>
      <c r="S1546" t="s">
        <v>1390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0</v>
      </c>
      <c r="AA1546">
        <v>0</v>
      </c>
      <c r="AB1546">
        <v>50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50</v>
      </c>
      <c r="AI1546">
        <v>50</v>
      </c>
      <c r="AJ1546">
        <v>50</v>
      </c>
      <c r="AK1546">
        <v>50</v>
      </c>
      <c r="AL1546">
        <v>0</v>
      </c>
      <c r="AM1546">
        <v>0.18</v>
      </c>
      <c r="AN1546">
        <v>4.5454545454545459</v>
      </c>
      <c r="AO1546">
        <v>0</v>
      </c>
      <c r="AP1546" t="s">
        <v>179</v>
      </c>
      <c r="AQ1546" t="s">
        <v>155</v>
      </c>
      <c r="AR1546" t="s">
        <v>1766</v>
      </c>
      <c r="AS1546">
        <v>0</v>
      </c>
      <c r="AT1546">
        <v>0</v>
      </c>
      <c r="AU1546">
        <v>0</v>
      </c>
      <c r="AV1546">
        <v>0</v>
      </c>
      <c r="AW1546">
        <v>0</v>
      </c>
      <c r="AX1546">
        <v>0</v>
      </c>
      <c r="AY1546">
        <v>0</v>
      </c>
      <c r="AZ1546" t="s">
        <v>135</v>
      </c>
      <c r="BA1546">
        <v>9</v>
      </c>
      <c r="BB1546">
        <v>0</v>
      </c>
      <c r="BC1546" t="s">
        <v>133</v>
      </c>
      <c r="BD1546">
        <v>2</v>
      </c>
      <c r="BE1546" t="s">
        <v>133</v>
      </c>
      <c r="BF154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47" spans="1:58" x14ac:dyDescent="0.25">
      <c r="A1547" t="s">
        <v>1857</v>
      </c>
      <c r="B1547" t="s">
        <v>19</v>
      </c>
      <c r="C1547">
        <v>4</v>
      </c>
      <c r="D1547">
        <v>92</v>
      </c>
      <c r="E1547" t="s">
        <v>2112</v>
      </c>
      <c r="F1547" t="s">
        <v>1389</v>
      </c>
      <c r="G1547" t="s">
        <v>124</v>
      </c>
      <c r="H1547" t="s">
        <v>125</v>
      </c>
      <c r="I1547" t="s">
        <v>126</v>
      </c>
      <c r="J1547" t="s">
        <v>126</v>
      </c>
      <c r="K1547" t="s">
        <v>166</v>
      </c>
      <c r="L1547">
        <v>50</v>
      </c>
      <c r="M1547">
        <v>1511275</v>
      </c>
      <c r="N1547">
        <v>9</v>
      </c>
      <c r="O1547">
        <v>6</v>
      </c>
      <c r="P1547" t="s">
        <v>1764</v>
      </c>
      <c r="Q1547" t="s">
        <v>1822</v>
      </c>
      <c r="R1547">
        <v>9</v>
      </c>
      <c r="S1547" t="s">
        <v>1390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50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50</v>
      </c>
      <c r="AI1547">
        <v>50</v>
      </c>
      <c r="AJ1547">
        <v>50</v>
      </c>
      <c r="AK1547">
        <v>50</v>
      </c>
      <c r="AL1547">
        <v>0</v>
      </c>
      <c r="AM1547">
        <v>0.18</v>
      </c>
      <c r="AN1547">
        <v>4.5454545454545459</v>
      </c>
      <c r="AO1547">
        <v>0</v>
      </c>
      <c r="AP1547" t="s">
        <v>179</v>
      </c>
      <c r="AQ1547" t="s">
        <v>155</v>
      </c>
      <c r="AR1547" t="s">
        <v>1766</v>
      </c>
      <c r="AS1547">
        <v>0</v>
      </c>
      <c r="AT1547">
        <v>0</v>
      </c>
      <c r="AU1547">
        <v>0</v>
      </c>
      <c r="AV1547">
        <v>0</v>
      </c>
      <c r="AW1547">
        <v>0</v>
      </c>
      <c r="AX1547">
        <v>0</v>
      </c>
      <c r="AY1547">
        <v>0</v>
      </c>
      <c r="AZ1547" t="s">
        <v>135</v>
      </c>
      <c r="BA1547">
        <v>9</v>
      </c>
      <c r="BB1547">
        <v>0</v>
      </c>
      <c r="BC1547" t="s">
        <v>133</v>
      </c>
      <c r="BD1547">
        <v>3</v>
      </c>
      <c r="BE1547" t="s">
        <v>133</v>
      </c>
      <c r="BF154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48" spans="1:58" x14ac:dyDescent="0.25">
      <c r="A1548" t="s">
        <v>1858</v>
      </c>
      <c r="B1548" t="s">
        <v>19</v>
      </c>
      <c r="C1548">
        <v>4</v>
      </c>
      <c r="D1548">
        <v>93</v>
      </c>
      <c r="E1548" t="s">
        <v>2112</v>
      </c>
      <c r="F1548" t="s">
        <v>1389</v>
      </c>
      <c r="G1548" t="s">
        <v>124</v>
      </c>
      <c r="H1548" t="s">
        <v>125</v>
      </c>
      <c r="I1548" t="s">
        <v>126</v>
      </c>
      <c r="J1548" t="s">
        <v>126</v>
      </c>
      <c r="K1548" t="s">
        <v>166</v>
      </c>
      <c r="L1548">
        <v>50</v>
      </c>
      <c r="M1548">
        <v>1511277</v>
      </c>
      <c r="N1548">
        <v>9</v>
      </c>
      <c r="O1548">
        <v>6</v>
      </c>
      <c r="P1548" t="s">
        <v>1764</v>
      </c>
      <c r="Q1548" t="s">
        <v>1822</v>
      </c>
      <c r="R1548">
        <v>9</v>
      </c>
      <c r="S1548" t="s">
        <v>1390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50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50</v>
      </c>
      <c r="AI1548">
        <v>50</v>
      </c>
      <c r="AJ1548">
        <v>50</v>
      </c>
      <c r="AK1548">
        <v>50</v>
      </c>
      <c r="AL1548">
        <v>0</v>
      </c>
      <c r="AM1548">
        <v>0.18</v>
      </c>
      <c r="AN1548">
        <v>4.5454545454545459</v>
      </c>
      <c r="AO1548">
        <v>0</v>
      </c>
      <c r="AP1548" t="s">
        <v>179</v>
      </c>
      <c r="AQ1548" t="s">
        <v>155</v>
      </c>
      <c r="AR1548" t="s">
        <v>1766</v>
      </c>
      <c r="AS1548">
        <v>0</v>
      </c>
      <c r="AT1548">
        <v>0</v>
      </c>
      <c r="AU1548">
        <v>0</v>
      </c>
      <c r="AV1548">
        <v>0</v>
      </c>
      <c r="AW1548">
        <v>0</v>
      </c>
      <c r="AX1548">
        <v>0</v>
      </c>
      <c r="AY1548">
        <v>0</v>
      </c>
      <c r="AZ1548" t="s">
        <v>135</v>
      </c>
      <c r="BA1548">
        <v>9</v>
      </c>
      <c r="BB1548">
        <v>0</v>
      </c>
      <c r="BC1548" t="s">
        <v>133</v>
      </c>
      <c r="BD1548">
        <v>4</v>
      </c>
      <c r="BE1548" t="s">
        <v>133</v>
      </c>
      <c r="BF154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49" spans="1:58" x14ac:dyDescent="0.25">
      <c r="A1549" t="s">
        <v>1859</v>
      </c>
      <c r="B1549" t="s">
        <v>19</v>
      </c>
      <c r="C1549">
        <v>4</v>
      </c>
      <c r="D1549">
        <v>94</v>
      </c>
      <c r="E1549" t="s">
        <v>2112</v>
      </c>
      <c r="F1549" t="s">
        <v>1389</v>
      </c>
      <c r="G1549" t="s">
        <v>124</v>
      </c>
      <c r="H1549" t="s">
        <v>136</v>
      </c>
      <c r="I1549" t="s">
        <v>137</v>
      </c>
      <c r="J1549" t="s">
        <v>138</v>
      </c>
      <c r="K1549" t="s">
        <v>166</v>
      </c>
      <c r="L1549">
        <v>50</v>
      </c>
      <c r="M1549">
        <v>1511279</v>
      </c>
      <c r="N1549">
        <v>5</v>
      </c>
      <c r="O1549">
        <v>6</v>
      </c>
      <c r="P1549" t="s">
        <v>1764</v>
      </c>
      <c r="Q1549" t="s">
        <v>1822</v>
      </c>
      <c r="R1549">
        <v>9</v>
      </c>
      <c r="S1549" t="s">
        <v>1860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0</v>
      </c>
      <c r="AA1549">
        <v>0</v>
      </c>
      <c r="AB1549">
        <v>50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50</v>
      </c>
      <c r="AI1549">
        <v>50</v>
      </c>
      <c r="AJ1549">
        <v>50</v>
      </c>
      <c r="AK1549">
        <v>50</v>
      </c>
      <c r="AL1549">
        <v>0</v>
      </c>
      <c r="AM1549">
        <v>0.1</v>
      </c>
      <c r="AN1549">
        <v>4.5454545454545459</v>
      </c>
      <c r="AO1549">
        <v>0</v>
      </c>
      <c r="AP1549" t="s">
        <v>175</v>
      </c>
      <c r="AQ1549" t="s">
        <v>155</v>
      </c>
      <c r="AR1549" t="s">
        <v>1766</v>
      </c>
      <c r="AS1549">
        <v>0</v>
      </c>
      <c r="AT1549">
        <v>0</v>
      </c>
      <c r="AU1549">
        <v>0</v>
      </c>
      <c r="AV1549">
        <v>0</v>
      </c>
      <c r="AW1549">
        <v>0</v>
      </c>
      <c r="AX1549">
        <v>0</v>
      </c>
      <c r="AY1549">
        <v>0</v>
      </c>
      <c r="AZ1549" t="s">
        <v>135</v>
      </c>
      <c r="BA1549">
        <v>5</v>
      </c>
      <c r="BB1549">
        <v>0</v>
      </c>
      <c r="BC1549" t="s">
        <v>133</v>
      </c>
      <c r="BD1549">
        <v>5</v>
      </c>
      <c r="BE1549" t="s">
        <v>133</v>
      </c>
      <c r="BF154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50" spans="1:58" x14ac:dyDescent="0.25">
      <c r="A1550" t="s">
        <v>1861</v>
      </c>
      <c r="B1550" t="s">
        <v>19</v>
      </c>
      <c r="C1550">
        <v>4</v>
      </c>
      <c r="D1550">
        <v>95</v>
      </c>
      <c r="E1550" t="s">
        <v>2112</v>
      </c>
      <c r="F1550" t="s">
        <v>1389</v>
      </c>
      <c r="G1550" t="s">
        <v>124</v>
      </c>
      <c r="H1550" t="s">
        <v>125</v>
      </c>
      <c r="I1550" t="s">
        <v>126</v>
      </c>
      <c r="J1550" t="s">
        <v>126</v>
      </c>
      <c r="K1550" t="s">
        <v>166</v>
      </c>
      <c r="L1550">
        <v>50</v>
      </c>
      <c r="M1550">
        <v>1511281</v>
      </c>
      <c r="N1550">
        <v>9</v>
      </c>
      <c r="O1550">
        <v>6</v>
      </c>
      <c r="P1550" t="s">
        <v>1764</v>
      </c>
      <c r="Q1550" t="s">
        <v>1822</v>
      </c>
      <c r="R1550">
        <v>9</v>
      </c>
      <c r="S1550" t="s">
        <v>1390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50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50</v>
      </c>
      <c r="AI1550">
        <v>50</v>
      </c>
      <c r="AJ1550">
        <v>50</v>
      </c>
      <c r="AK1550">
        <v>50</v>
      </c>
      <c r="AL1550">
        <v>0</v>
      </c>
      <c r="AM1550">
        <v>0.18</v>
      </c>
      <c r="AN1550">
        <v>4.5454545454545459</v>
      </c>
      <c r="AO1550">
        <v>0</v>
      </c>
      <c r="AP1550" t="s">
        <v>179</v>
      </c>
      <c r="AQ1550" t="s">
        <v>155</v>
      </c>
      <c r="AR1550" t="s">
        <v>1766</v>
      </c>
      <c r="AS1550">
        <v>0</v>
      </c>
      <c r="AT1550">
        <v>0</v>
      </c>
      <c r="AU1550">
        <v>0</v>
      </c>
      <c r="AV1550">
        <v>0</v>
      </c>
      <c r="AW1550">
        <v>0</v>
      </c>
      <c r="AX1550">
        <v>0</v>
      </c>
      <c r="AY1550">
        <v>0</v>
      </c>
      <c r="AZ1550" t="s">
        <v>135</v>
      </c>
      <c r="BA1550">
        <v>9</v>
      </c>
      <c r="BB1550">
        <v>0</v>
      </c>
      <c r="BC1550" t="s">
        <v>133</v>
      </c>
      <c r="BD1550">
        <v>6</v>
      </c>
      <c r="BE1550" t="s">
        <v>133</v>
      </c>
      <c r="BF155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51" spans="1:58" x14ac:dyDescent="0.25">
      <c r="A1551" t="s">
        <v>1862</v>
      </c>
      <c r="B1551" t="s">
        <v>19</v>
      </c>
      <c r="C1551">
        <v>4</v>
      </c>
      <c r="D1551">
        <v>96</v>
      </c>
      <c r="E1551" t="s">
        <v>2112</v>
      </c>
      <c r="F1551" t="s">
        <v>1389</v>
      </c>
      <c r="G1551" t="s">
        <v>124</v>
      </c>
      <c r="H1551" t="s">
        <v>125</v>
      </c>
      <c r="I1551" t="s">
        <v>126</v>
      </c>
      <c r="J1551" t="s">
        <v>126</v>
      </c>
      <c r="K1551" t="s">
        <v>166</v>
      </c>
      <c r="L1551">
        <v>50</v>
      </c>
      <c r="M1551">
        <v>1511283</v>
      </c>
      <c r="N1551">
        <v>9</v>
      </c>
      <c r="O1551">
        <v>6</v>
      </c>
      <c r="P1551" t="s">
        <v>1764</v>
      </c>
      <c r="Q1551" t="s">
        <v>1822</v>
      </c>
      <c r="R1551">
        <v>9</v>
      </c>
      <c r="S1551" t="s">
        <v>1390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0</v>
      </c>
      <c r="AA1551">
        <v>0</v>
      </c>
      <c r="AB1551">
        <v>50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50</v>
      </c>
      <c r="AI1551">
        <v>50</v>
      </c>
      <c r="AJ1551">
        <v>50</v>
      </c>
      <c r="AK1551">
        <v>50</v>
      </c>
      <c r="AL1551">
        <v>0</v>
      </c>
      <c r="AM1551">
        <v>0.18</v>
      </c>
      <c r="AN1551">
        <v>4.5454545454545459</v>
      </c>
      <c r="AO1551">
        <v>0</v>
      </c>
      <c r="AP1551" t="s">
        <v>179</v>
      </c>
      <c r="AQ1551" t="s">
        <v>155</v>
      </c>
      <c r="AR1551" t="s">
        <v>1766</v>
      </c>
      <c r="AS1551">
        <v>0</v>
      </c>
      <c r="AT1551">
        <v>0</v>
      </c>
      <c r="AU1551">
        <v>0</v>
      </c>
      <c r="AV1551">
        <v>0</v>
      </c>
      <c r="AW1551">
        <v>0</v>
      </c>
      <c r="AX1551">
        <v>0</v>
      </c>
      <c r="AY1551">
        <v>0</v>
      </c>
      <c r="AZ1551" t="s">
        <v>135</v>
      </c>
      <c r="BA1551">
        <v>9</v>
      </c>
      <c r="BB1551">
        <v>0</v>
      </c>
      <c r="BC1551" t="s">
        <v>133</v>
      </c>
      <c r="BD1551">
        <v>7</v>
      </c>
      <c r="BE1551" t="s">
        <v>133</v>
      </c>
      <c r="BF155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52" spans="1:58" x14ac:dyDescent="0.25">
      <c r="A1552" t="s">
        <v>1863</v>
      </c>
      <c r="B1552" t="s">
        <v>19</v>
      </c>
      <c r="C1552">
        <v>4</v>
      </c>
      <c r="D1552">
        <v>97</v>
      </c>
      <c r="E1552" t="s">
        <v>2112</v>
      </c>
      <c r="F1552" t="s">
        <v>1389</v>
      </c>
      <c r="G1552" t="s">
        <v>124</v>
      </c>
      <c r="H1552" t="s">
        <v>125</v>
      </c>
      <c r="I1552" t="s">
        <v>126</v>
      </c>
      <c r="J1552" t="s">
        <v>126</v>
      </c>
      <c r="K1552" t="s">
        <v>166</v>
      </c>
      <c r="L1552">
        <v>50</v>
      </c>
      <c r="M1552">
        <v>1511285</v>
      </c>
      <c r="N1552">
        <v>9</v>
      </c>
      <c r="O1552">
        <v>6</v>
      </c>
      <c r="P1552" t="s">
        <v>1764</v>
      </c>
      <c r="Q1552" t="s">
        <v>1822</v>
      </c>
      <c r="R1552">
        <v>9</v>
      </c>
      <c r="S1552" t="s">
        <v>1390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50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50</v>
      </c>
      <c r="AI1552">
        <v>50</v>
      </c>
      <c r="AJ1552">
        <v>50</v>
      </c>
      <c r="AK1552">
        <v>50</v>
      </c>
      <c r="AL1552">
        <v>0</v>
      </c>
      <c r="AM1552">
        <v>0.18</v>
      </c>
      <c r="AN1552">
        <v>4.5454545454545459</v>
      </c>
      <c r="AO1552">
        <v>0</v>
      </c>
      <c r="AP1552" t="s">
        <v>179</v>
      </c>
      <c r="AQ1552" t="s">
        <v>155</v>
      </c>
      <c r="AR1552" t="s">
        <v>1766</v>
      </c>
      <c r="AS1552">
        <v>0</v>
      </c>
      <c r="AT1552">
        <v>0</v>
      </c>
      <c r="AU1552">
        <v>0</v>
      </c>
      <c r="AV1552">
        <v>0</v>
      </c>
      <c r="AW1552">
        <v>0</v>
      </c>
      <c r="AX1552">
        <v>0</v>
      </c>
      <c r="AY1552">
        <v>0</v>
      </c>
      <c r="AZ1552" t="s">
        <v>135</v>
      </c>
      <c r="BA1552">
        <v>9</v>
      </c>
      <c r="BB1552">
        <v>0</v>
      </c>
      <c r="BC1552" t="s">
        <v>133</v>
      </c>
      <c r="BD1552">
        <v>8</v>
      </c>
      <c r="BE1552" t="s">
        <v>133</v>
      </c>
      <c r="BF155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53" spans="1:58" x14ac:dyDescent="0.25">
      <c r="A1553" t="s">
        <v>1864</v>
      </c>
      <c r="B1553" t="s">
        <v>19</v>
      </c>
      <c r="C1553">
        <v>4</v>
      </c>
      <c r="D1553">
        <v>98</v>
      </c>
      <c r="E1553" t="s">
        <v>2112</v>
      </c>
      <c r="F1553" t="s">
        <v>1389</v>
      </c>
      <c r="G1553" t="s">
        <v>124</v>
      </c>
      <c r="H1553" t="s">
        <v>125</v>
      </c>
      <c r="I1553" t="s">
        <v>126</v>
      </c>
      <c r="J1553" t="s">
        <v>126</v>
      </c>
      <c r="K1553" t="s">
        <v>166</v>
      </c>
      <c r="L1553">
        <v>50</v>
      </c>
      <c r="M1553">
        <v>1511287</v>
      </c>
      <c r="N1553">
        <v>9</v>
      </c>
      <c r="O1553">
        <v>6</v>
      </c>
      <c r="P1553" t="s">
        <v>1764</v>
      </c>
      <c r="Q1553" t="s">
        <v>1822</v>
      </c>
      <c r="R1553">
        <v>9</v>
      </c>
      <c r="S1553" t="s">
        <v>1390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0</v>
      </c>
      <c r="AA1553">
        <v>0</v>
      </c>
      <c r="AB1553">
        <v>50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>
        <v>50</v>
      </c>
      <c r="AI1553">
        <v>50</v>
      </c>
      <c r="AJ1553">
        <v>50</v>
      </c>
      <c r="AK1553">
        <v>50</v>
      </c>
      <c r="AL1553">
        <v>0</v>
      </c>
      <c r="AM1553">
        <v>0.18</v>
      </c>
      <c r="AN1553">
        <v>4.5454545454545459</v>
      </c>
      <c r="AO1553">
        <v>0</v>
      </c>
      <c r="AP1553" t="s">
        <v>179</v>
      </c>
      <c r="AQ1553" t="s">
        <v>155</v>
      </c>
      <c r="AR1553" t="s">
        <v>1766</v>
      </c>
      <c r="AS1553">
        <v>0</v>
      </c>
      <c r="AT1553">
        <v>0</v>
      </c>
      <c r="AU1553">
        <v>0</v>
      </c>
      <c r="AV1553">
        <v>0</v>
      </c>
      <c r="AW1553">
        <v>0</v>
      </c>
      <c r="AX1553">
        <v>0</v>
      </c>
      <c r="AY1553">
        <v>0</v>
      </c>
      <c r="AZ1553" t="s">
        <v>135</v>
      </c>
      <c r="BA1553">
        <v>9</v>
      </c>
      <c r="BB1553">
        <v>0</v>
      </c>
      <c r="BC1553" t="s">
        <v>133</v>
      </c>
      <c r="BD1553">
        <v>9</v>
      </c>
      <c r="BE1553" t="s">
        <v>133</v>
      </c>
      <c r="BF155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54" spans="1:58" x14ac:dyDescent="0.25">
      <c r="A1554" t="s">
        <v>1865</v>
      </c>
      <c r="B1554" t="s">
        <v>19</v>
      </c>
      <c r="C1554">
        <v>4</v>
      </c>
      <c r="D1554">
        <v>99</v>
      </c>
      <c r="E1554" t="s">
        <v>2112</v>
      </c>
      <c r="F1554" t="s">
        <v>1389</v>
      </c>
      <c r="G1554" t="s">
        <v>124</v>
      </c>
      <c r="H1554" t="s">
        <v>125</v>
      </c>
      <c r="I1554" t="s">
        <v>126</v>
      </c>
      <c r="J1554" t="s">
        <v>126</v>
      </c>
      <c r="K1554" t="s">
        <v>166</v>
      </c>
      <c r="L1554">
        <v>50</v>
      </c>
      <c r="M1554">
        <v>1511289</v>
      </c>
      <c r="N1554">
        <v>9</v>
      </c>
      <c r="O1554">
        <v>6</v>
      </c>
      <c r="P1554" t="s">
        <v>1764</v>
      </c>
      <c r="Q1554" t="s">
        <v>1822</v>
      </c>
      <c r="R1554">
        <v>9</v>
      </c>
      <c r="S1554" t="s">
        <v>1390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50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50</v>
      </c>
      <c r="AI1554">
        <v>50</v>
      </c>
      <c r="AJ1554">
        <v>50</v>
      </c>
      <c r="AK1554">
        <v>50</v>
      </c>
      <c r="AL1554">
        <v>0</v>
      </c>
      <c r="AM1554">
        <v>0.18</v>
      </c>
      <c r="AN1554">
        <v>4.5454545454545459</v>
      </c>
      <c r="AO1554">
        <v>0</v>
      </c>
      <c r="AP1554" t="s">
        <v>179</v>
      </c>
      <c r="AQ1554" t="s">
        <v>155</v>
      </c>
      <c r="AR1554" t="s">
        <v>1766</v>
      </c>
      <c r="AS1554">
        <v>0</v>
      </c>
      <c r="AT1554">
        <v>0</v>
      </c>
      <c r="AU1554">
        <v>0</v>
      </c>
      <c r="AV1554">
        <v>0</v>
      </c>
      <c r="AW1554">
        <v>0</v>
      </c>
      <c r="AX1554">
        <v>0</v>
      </c>
      <c r="AY1554">
        <v>0</v>
      </c>
      <c r="AZ1554" t="s">
        <v>135</v>
      </c>
      <c r="BA1554">
        <v>9</v>
      </c>
      <c r="BB1554">
        <v>0</v>
      </c>
      <c r="BC1554" t="s">
        <v>144</v>
      </c>
      <c r="BD1554">
        <v>10</v>
      </c>
      <c r="BE1554" t="s">
        <v>133</v>
      </c>
      <c r="BF155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55" spans="1:58" x14ac:dyDescent="0.25">
      <c r="A1555" t="s">
        <v>1866</v>
      </c>
      <c r="B1555" t="s">
        <v>19</v>
      </c>
      <c r="C1555">
        <v>4</v>
      </c>
      <c r="D1555">
        <v>100</v>
      </c>
      <c r="E1555" t="s">
        <v>2112</v>
      </c>
      <c r="F1555" t="s">
        <v>123</v>
      </c>
      <c r="G1555" t="s">
        <v>124</v>
      </c>
      <c r="H1555" t="s">
        <v>136</v>
      </c>
      <c r="I1555" t="s">
        <v>158</v>
      </c>
      <c r="J1555" t="s">
        <v>156</v>
      </c>
      <c r="K1555" t="s">
        <v>127</v>
      </c>
      <c r="L1555">
        <v>50</v>
      </c>
      <c r="M1555">
        <v>1511291</v>
      </c>
      <c r="N1555">
        <v>4.5999999999999996</v>
      </c>
      <c r="O1555">
        <v>6</v>
      </c>
      <c r="P1555" t="s">
        <v>1764</v>
      </c>
      <c r="Q1555" t="s">
        <v>1822</v>
      </c>
      <c r="R1555">
        <v>10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0</v>
      </c>
      <c r="AA1555">
        <v>0</v>
      </c>
      <c r="AB1555">
        <v>50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50</v>
      </c>
      <c r="AI1555">
        <v>50</v>
      </c>
      <c r="AJ1555">
        <v>50</v>
      </c>
      <c r="AK1555">
        <v>50</v>
      </c>
      <c r="AL1555">
        <v>0</v>
      </c>
      <c r="AM1555">
        <v>9.1999999999999998E-2</v>
      </c>
      <c r="AN1555">
        <v>4.5454545454545459</v>
      </c>
      <c r="AO1555">
        <v>0</v>
      </c>
      <c r="AP1555" t="s">
        <v>160</v>
      </c>
      <c r="AQ1555" t="s">
        <v>155</v>
      </c>
      <c r="AR1555" t="s">
        <v>1766</v>
      </c>
      <c r="AS1555">
        <v>0</v>
      </c>
      <c r="AT1555">
        <v>0</v>
      </c>
      <c r="AU1555">
        <v>0</v>
      </c>
      <c r="AV1555">
        <v>0</v>
      </c>
      <c r="AW1555">
        <v>0</v>
      </c>
      <c r="AX1555">
        <v>0</v>
      </c>
      <c r="AY1555">
        <v>0</v>
      </c>
      <c r="AZ1555" t="s">
        <v>135</v>
      </c>
      <c r="BA1555">
        <v>4.5999999999999996</v>
      </c>
      <c r="BB1555">
        <v>0</v>
      </c>
      <c r="BC1555" t="s">
        <v>132</v>
      </c>
      <c r="BD1555">
        <v>1</v>
      </c>
      <c r="BE1555" t="s">
        <v>133</v>
      </c>
      <c r="BF155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56" spans="1:58" x14ac:dyDescent="0.25">
      <c r="A1556" t="s">
        <v>1867</v>
      </c>
      <c r="B1556" t="s">
        <v>19</v>
      </c>
      <c r="C1556">
        <v>4</v>
      </c>
      <c r="D1556">
        <v>101</v>
      </c>
      <c r="E1556" t="s">
        <v>2112</v>
      </c>
      <c r="F1556" t="s">
        <v>123</v>
      </c>
      <c r="G1556" t="s">
        <v>124</v>
      </c>
      <c r="H1556" t="s">
        <v>136</v>
      </c>
      <c r="I1556" t="s">
        <v>158</v>
      </c>
      <c r="J1556" t="s">
        <v>156</v>
      </c>
      <c r="K1556" t="s">
        <v>127</v>
      </c>
      <c r="L1556">
        <v>50</v>
      </c>
      <c r="M1556">
        <v>1511293</v>
      </c>
      <c r="N1556">
        <v>4.5999999999999996</v>
      </c>
      <c r="O1556">
        <v>6</v>
      </c>
      <c r="P1556" t="s">
        <v>1764</v>
      </c>
      <c r="Q1556" t="s">
        <v>1822</v>
      </c>
      <c r="R1556">
        <v>10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0</v>
      </c>
      <c r="AA1556">
        <v>0</v>
      </c>
      <c r="AB1556">
        <v>50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50</v>
      </c>
      <c r="AI1556">
        <v>50</v>
      </c>
      <c r="AJ1556">
        <v>50</v>
      </c>
      <c r="AK1556">
        <v>50</v>
      </c>
      <c r="AL1556">
        <v>0</v>
      </c>
      <c r="AM1556">
        <v>9.1999999999999998E-2</v>
      </c>
      <c r="AN1556">
        <v>4.5454545454545459</v>
      </c>
      <c r="AO1556">
        <v>0</v>
      </c>
      <c r="AP1556" t="s">
        <v>160</v>
      </c>
      <c r="AQ1556" t="s">
        <v>155</v>
      </c>
      <c r="AR1556" t="s">
        <v>1766</v>
      </c>
      <c r="AS1556">
        <v>0</v>
      </c>
      <c r="AT1556">
        <v>0</v>
      </c>
      <c r="AU1556">
        <v>0</v>
      </c>
      <c r="AV1556">
        <v>0</v>
      </c>
      <c r="AW1556">
        <v>0</v>
      </c>
      <c r="AX1556">
        <v>0</v>
      </c>
      <c r="AY1556">
        <v>0</v>
      </c>
      <c r="AZ1556" t="s">
        <v>135</v>
      </c>
      <c r="BA1556">
        <v>4.5999999999999996</v>
      </c>
      <c r="BB1556">
        <v>0</v>
      </c>
      <c r="BC1556" t="s">
        <v>133</v>
      </c>
      <c r="BD1556">
        <v>2</v>
      </c>
      <c r="BE1556" t="s">
        <v>133</v>
      </c>
      <c r="BF155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57" spans="1:58" x14ac:dyDescent="0.25">
      <c r="A1557" t="s">
        <v>1868</v>
      </c>
      <c r="B1557" t="s">
        <v>19</v>
      </c>
      <c r="C1557">
        <v>4</v>
      </c>
      <c r="D1557">
        <v>102</v>
      </c>
      <c r="E1557" t="s">
        <v>2112</v>
      </c>
      <c r="F1557" t="s">
        <v>123</v>
      </c>
      <c r="G1557" t="s">
        <v>124</v>
      </c>
      <c r="H1557" t="s">
        <v>136</v>
      </c>
      <c r="I1557" t="s">
        <v>158</v>
      </c>
      <c r="J1557" t="s">
        <v>156</v>
      </c>
      <c r="K1557" t="s">
        <v>127</v>
      </c>
      <c r="L1557">
        <v>50</v>
      </c>
      <c r="M1557">
        <v>1511295</v>
      </c>
      <c r="N1557">
        <v>4.5999999999999996</v>
      </c>
      <c r="O1557">
        <v>6</v>
      </c>
      <c r="P1557" t="s">
        <v>1764</v>
      </c>
      <c r="Q1557" t="s">
        <v>1822</v>
      </c>
      <c r="R1557">
        <v>10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50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50</v>
      </c>
      <c r="AI1557">
        <v>50</v>
      </c>
      <c r="AJ1557">
        <v>50</v>
      </c>
      <c r="AK1557">
        <v>50</v>
      </c>
      <c r="AL1557">
        <v>0</v>
      </c>
      <c r="AM1557">
        <v>9.1999999999999998E-2</v>
      </c>
      <c r="AN1557">
        <v>4.5454545454545459</v>
      </c>
      <c r="AO1557">
        <v>0</v>
      </c>
      <c r="AP1557" t="s">
        <v>160</v>
      </c>
      <c r="AQ1557" t="s">
        <v>155</v>
      </c>
      <c r="AR1557" t="s">
        <v>1766</v>
      </c>
      <c r="AS1557">
        <v>0</v>
      </c>
      <c r="AT1557">
        <v>0</v>
      </c>
      <c r="AU1557">
        <v>0</v>
      </c>
      <c r="AV1557">
        <v>0</v>
      </c>
      <c r="AW1557">
        <v>0</v>
      </c>
      <c r="AX1557">
        <v>0</v>
      </c>
      <c r="AY1557">
        <v>0</v>
      </c>
      <c r="AZ1557" t="s">
        <v>135</v>
      </c>
      <c r="BA1557">
        <v>4.5999999999999996</v>
      </c>
      <c r="BB1557">
        <v>0</v>
      </c>
      <c r="BC1557" t="s">
        <v>133</v>
      </c>
      <c r="BD1557">
        <v>3</v>
      </c>
      <c r="BE1557" t="s">
        <v>133</v>
      </c>
      <c r="BF155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58" spans="1:58" x14ac:dyDescent="0.25">
      <c r="A1558" t="s">
        <v>1869</v>
      </c>
      <c r="B1558" t="s">
        <v>19</v>
      </c>
      <c r="C1558">
        <v>4</v>
      </c>
      <c r="D1558">
        <v>103</v>
      </c>
      <c r="E1558" t="s">
        <v>2112</v>
      </c>
      <c r="F1558" t="s">
        <v>123</v>
      </c>
      <c r="G1558" t="s">
        <v>124</v>
      </c>
      <c r="H1558" t="s">
        <v>136</v>
      </c>
      <c r="I1558" t="s">
        <v>158</v>
      </c>
      <c r="J1558" t="s">
        <v>156</v>
      </c>
      <c r="K1558" t="s">
        <v>127</v>
      </c>
      <c r="L1558">
        <v>50</v>
      </c>
      <c r="M1558">
        <v>1511297</v>
      </c>
      <c r="N1558">
        <v>4.5999999999999996</v>
      </c>
      <c r="O1558">
        <v>6</v>
      </c>
      <c r="P1558" t="s">
        <v>1764</v>
      </c>
      <c r="Q1558" t="s">
        <v>1822</v>
      </c>
      <c r="R1558">
        <v>10</v>
      </c>
      <c r="T1558">
        <v>0</v>
      </c>
      <c r="U1558">
        <v>0</v>
      </c>
      <c r="V1558">
        <v>9</v>
      </c>
      <c r="W1558">
        <v>0</v>
      </c>
      <c r="X1558">
        <v>9</v>
      </c>
      <c r="Y1558">
        <v>20</v>
      </c>
      <c r="Z1558">
        <v>0</v>
      </c>
      <c r="AA1558">
        <v>29</v>
      </c>
      <c r="AB1558">
        <v>50</v>
      </c>
      <c r="AC1558">
        <v>0</v>
      </c>
      <c r="AD1558">
        <v>9</v>
      </c>
      <c r="AE1558">
        <v>20</v>
      </c>
      <c r="AF1558">
        <v>29</v>
      </c>
      <c r="AG1558">
        <v>0</v>
      </c>
      <c r="AH1558">
        <v>50</v>
      </c>
      <c r="AI1558">
        <v>21</v>
      </c>
      <c r="AJ1558">
        <v>30</v>
      </c>
      <c r="AK1558">
        <v>50</v>
      </c>
      <c r="AL1558">
        <v>0</v>
      </c>
      <c r="AM1558">
        <v>9.1999999999999998E-2</v>
      </c>
      <c r="AN1558">
        <v>2.7272727272727275</v>
      </c>
      <c r="AO1558">
        <v>0</v>
      </c>
      <c r="AP1558" t="s">
        <v>160</v>
      </c>
      <c r="AQ1558" t="s">
        <v>131</v>
      </c>
      <c r="AR1558" t="s">
        <v>1766</v>
      </c>
      <c r="AS1558">
        <v>0</v>
      </c>
      <c r="AT1558">
        <v>0</v>
      </c>
      <c r="AU1558">
        <v>0</v>
      </c>
      <c r="AV1558">
        <v>0</v>
      </c>
      <c r="AW1558">
        <v>0</v>
      </c>
      <c r="AX1558">
        <v>0</v>
      </c>
      <c r="AY1558">
        <v>0</v>
      </c>
      <c r="AZ1558" t="s">
        <v>135</v>
      </c>
      <c r="BA1558">
        <v>4.5999999999999996</v>
      </c>
      <c r="BB1558">
        <v>0</v>
      </c>
      <c r="BC1558" t="s">
        <v>133</v>
      </c>
      <c r="BD1558">
        <v>4</v>
      </c>
      <c r="BE1558" t="s">
        <v>133</v>
      </c>
      <c r="BF155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59" spans="1:58" x14ac:dyDescent="0.25">
      <c r="A1559" t="s">
        <v>1870</v>
      </c>
      <c r="B1559" t="s">
        <v>19</v>
      </c>
      <c r="C1559">
        <v>4</v>
      </c>
      <c r="D1559">
        <v>104</v>
      </c>
      <c r="E1559" t="s">
        <v>2112</v>
      </c>
      <c r="F1559" t="s">
        <v>123</v>
      </c>
      <c r="G1559" t="s">
        <v>124</v>
      </c>
      <c r="H1559" t="s">
        <v>136</v>
      </c>
      <c r="I1559" t="s">
        <v>158</v>
      </c>
      <c r="J1559" t="s">
        <v>156</v>
      </c>
      <c r="K1559" t="s">
        <v>127</v>
      </c>
      <c r="L1559">
        <v>50</v>
      </c>
      <c r="M1559">
        <v>1511299</v>
      </c>
      <c r="N1559">
        <v>4.5999999999999996</v>
      </c>
      <c r="O1559">
        <v>6</v>
      </c>
      <c r="P1559" t="s">
        <v>1764</v>
      </c>
      <c r="Q1559" t="s">
        <v>1822</v>
      </c>
      <c r="R1559">
        <v>10</v>
      </c>
      <c r="T1559">
        <v>6</v>
      </c>
      <c r="U1559">
        <v>15</v>
      </c>
      <c r="V1559">
        <v>0</v>
      </c>
      <c r="W1559">
        <v>0</v>
      </c>
      <c r="X1559">
        <v>0</v>
      </c>
      <c r="Y1559">
        <v>1</v>
      </c>
      <c r="Z1559">
        <v>7</v>
      </c>
      <c r="AA1559">
        <v>16</v>
      </c>
      <c r="AB1559">
        <v>50</v>
      </c>
      <c r="AC1559">
        <v>27</v>
      </c>
      <c r="AD1559">
        <v>0</v>
      </c>
      <c r="AE1559">
        <v>2</v>
      </c>
      <c r="AF1559">
        <v>29</v>
      </c>
      <c r="AG1559">
        <v>0</v>
      </c>
      <c r="AH1559">
        <v>23</v>
      </c>
      <c r="AI1559">
        <v>21</v>
      </c>
      <c r="AJ1559">
        <v>21</v>
      </c>
      <c r="AK1559">
        <v>23</v>
      </c>
      <c r="AL1559">
        <v>0</v>
      </c>
      <c r="AM1559">
        <v>9.1999999999999998E-2</v>
      </c>
      <c r="AN1559">
        <v>1.9090909090909092</v>
      </c>
      <c r="AO1559">
        <v>0</v>
      </c>
      <c r="AP1559" t="s">
        <v>160</v>
      </c>
      <c r="AQ1559" t="s">
        <v>131</v>
      </c>
      <c r="AR1559" t="s">
        <v>1766</v>
      </c>
      <c r="AS1559">
        <v>0</v>
      </c>
      <c r="AT1559">
        <v>0</v>
      </c>
      <c r="AU1559">
        <v>0</v>
      </c>
      <c r="AV1559">
        <v>0</v>
      </c>
      <c r="AW1559">
        <v>0</v>
      </c>
      <c r="AX1559">
        <v>0</v>
      </c>
      <c r="AY1559">
        <v>0</v>
      </c>
      <c r="AZ1559" t="s">
        <v>135</v>
      </c>
      <c r="BA1559">
        <v>4.5999999999999996</v>
      </c>
      <c r="BB1559">
        <v>0</v>
      </c>
      <c r="BC1559" t="s">
        <v>133</v>
      </c>
      <c r="BD1559">
        <v>0</v>
      </c>
      <c r="BE1559" t="s">
        <v>133</v>
      </c>
      <c r="BF155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60" spans="1:58" x14ac:dyDescent="0.25">
      <c r="A1560" t="s">
        <v>1871</v>
      </c>
      <c r="B1560" t="s">
        <v>19</v>
      </c>
      <c r="C1560">
        <v>4</v>
      </c>
      <c r="D1560">
        <v>105</v>
      </c>
      <c r="E1560" t="s">
        <v>2112</v>
      </c>
      <c r="F1560" t="s">
        <v>123</v>
      </c>
      <c r="G1560" t="s">
        <v>124</v>
      </c>
      <c r="H1560" t="s">
        <v>136</v>
      </c>
      <c r="I1560" t="s">
        <v>137</v>
      </c>
      <c r="J1560" t="s">
        <v>153</v>
      </c>
      <c r="K1560" t="s">
        <v>127</v>
      </c>
      <c r="L1560">
        <v>50</v>
      </c>
      <c r="M1560">
        <v>1511301</v>
      </c>
      <c r="N1560">
        <v>9.1</v>
      </c>
      <c r="O1560">
        <v>6</v>
      </c>
      <c r="P1560" t="s">
        <v>1764</v>
      </c>
      <c r="Q1560" t="s">
        <v>1822</v>
      </c>
      <c r="R1560">
        <v>10</v>
      </c>
      <c r="T1560">
        <v>0</v>
      </c>
      <c r="U1560">
        <v>2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2</v>
      </c>
      <c r="AB1560">
        <v>50</v>
      </c>
      <c r="AC1560">
        <v>23</v>
      </c>
      <c r="AD1560">
        <v>0</v>
      </c>
      <c r="AE1560">
        <v>0</v>
      </c>
      <c r="AF1560">
        <v>23</v>
      </c>
      <c r="AG1560">
        <v>0</v>
      </c>
      <c r="AH1560">
        <v>27</v>
      </c>
      <c r="AI1560">
        <v>27</v>
      </c>
      <c r="AJ1560">
        <v>27</v>
      </c>
      <c r="AK1560">
        <v>27</v>
      </c>
      <c r="AL1560">
        <v>0</v>
      </c>
      <c r="AM1560">
        <v>0.182</v>
      </c>
      <c r="AN1560">
        <v>2.4545454545454546</v>
      </c>
      <c r="AO1560">
        <v>0</v>
      </c>
      <c r="AP1560" t="s">
        <v>139</v>
      </c>
      <c r="AQ1560" t="s">
        <v>131</v>
      </c>
      <c r="AR1560" t="s">
        <v>1766</v>
      </c>
      <c r="AS1560">
        <v>0</v>
      </c>
      <c r="AT1560">
        <v>0</v>
      </c>
      <c r="AU1560">
        <v>0</v>
      </c>
      <c r="AV1560">
        <v>0</v>
      </c>
      <c r="AW1560">
        <v>0</v>
      </c>
      <c r="AX1560">
        <v>0</v>
      </c>
      <c r="AY1560">
        <v>0</v>
      </c>
      <c r="AZ1560" t="s">
        <v>134</v>
      </c>
      <c r="BA1560">
        <v>9.1</v>
      </c>
      <c r="BB1560">
        <v>0</v>
      </c>
      <c r="BC1560" t="s">
        <v>133</v>
      </c>
      <c r="BD1560">
        <v>0</v>
      </c>
      <c r="BE1560" t="s">
        <v>133</v>
      </c>
      <c r="BF156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61" spans="1:58" x14ac:dyDescent="0.25">
      <c r="A1561" t="s">
        <v>1872</v>
      </c>
      <c r="B1561" t="s">
        <v>19</v>
      </c>
      <c r="C1561">
        <v>4</v>
      </c>
      <c r="D1561">
        <v>106</v>
      </c>
      <c r="E1561" t="s">
        <v>2112</v>
      </c>
      <c r="F1561" t="s">
        <v>123</v>
      </c>
      <c r="G1561" t="s">
        <v>124</v>
      </c>
      <c r="H1561" t="s">
        <v>136</v>
      </c>
      <c r="I1561" t="s">
        <v>137</v>
      </c>
      <c r="J1561" t="s">
        <v>153</v>
      </c>
      <c r="K1561" t="s">
        <v>127</v>
      </c>
      <c r="L1561">
        <v>50</v>
      </c>
      <c r="M1561">
        <v>1511303</v>
      </c>
      <c r="N1561">
        <v>9.1</v>
      </c>
      <c r="O1561">
        <v>6</v>
      </c>
      <c r="P1561" t="s">
        <v>1764</v>
      </c>
      <c r="Q1561" t="s">
        <v>1822</v>
      </c>
      <c r="R1561">
        <v>10</v>
      </c>
      <c r="T1561">
        <v>0</v>
      </c>
      <c r="U1561">
        <v>1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1</v>
      </c>
      <c r="AB1561">
        <v>50</v>
      </c>
      <c r="AC1561">
        <v>22</v>
      </c>
      <c r="AD1561">
        <v>0</v>
      </c>
      <c r="AE1561">
        <v>0</v>
      </c>
      <c r="AF1561">
        <v>22</v>
      </c>
      <c r="AG1561">
        <v>0</v>
      </c>
      <c r="AH1561">
        <v>28</v>
      </c>
      <c r="AI1561">
        <v>28</v>
      </c>
      <c r="AJ1561">
        <v>28</v>
      </c>
      <c r="AK1561">
        <v>28</v>
      </c>
      <c r="AL1561">
        <v>0</v>
      </c>
      <c r="AM1561">
        <v>0.182</v>
      </c>
      <c r="AN1561">
        <v>2.5454545454545454</v>
      </c>
      <c r="AO1561">
        <v>0</v>
      </c>
      <c r="AP1561" t="s">
        <v>139</v>
      </c>
      <c r="AQ1561" t="s">
        <v>131</v>
      </c>
      <c r="AR1561" t="s">
        <v>1766</v>
      </c>
      <c r="AS1561">
        <v>0</v>
      </c>
      <c r="AT1561">
        <v>0</v>
      </c>
      <c r="AU1561">
        <v>0</v>
      </c>
      <c r="AV1561">
        <v>0</v>
      </c>
      <c r="AW1561">
        <v>0</v>
      </c>
      <c r="AX1561">
        <v>0</v>
      </c>
      <c r="AY1561">
        <v>0</v>
      </c>
      <c r="AZ1561" t="s">
        <v>134</v>
      </c>
      <c r="BA1561">
        <v>9.1</v>
      </c>
      <c r="BB1561">
        <v>0</v>
      </c>
      <c r="BC1561" t="s">
        <v>133</v>
      </c>
      <c r="BD1561">
        <v>0</v>
      </c>
      <c r="BE1561" t="s">
        <v>133</v>
      </c>
      <c r="BF156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62" spans="1:58" x14ac:dyDescent="0.25">
      <c r="A1562" t="s">
        <v>1873</v>
      </c>
      <c r="B1562" t="s">
        <v>19</v>
      </c>
      <c r="C1562">
        <v>4</v>
      </c>
      <c r="D1562">
        <v>107</v>
      </c>
      <c r="E1562" t="s">
        <v>2112</v>
      </c>
      <c r="F1562" t="s">
        <v>123</v>
      </c>
      <c r="G1562" t="s">
        <v>124</v>
      </c>
      <c r="H1562" t="s">
        <v>136</v>
      </c>
      <c r="I1562" t="s">
        <v>137</v>
      </c>
      <c r="J1562" t="s">
        <v>153</v>
      </c>
      <c r="K1562" t="s">
        <v>127</v>
      </c>
      <c r="L1562">
        <v>50</v>
      </c>
      <c r="M1562">
        <v>1511305</v>
      </c>
      <c r="N1562">
        <v>9.1</v>
      </c>
      <c r="O1562">
        <v>6</v>
      </c>
      <c r="P1562" t="s">
        <v>1764</v>
      </c>
      <c r="Q1562" t="s">
        <v>1822</v>
      </c>
      <c r="R1562">
        <v>10</v>
      </c>
      <c r="T1562">
        <v>0</v>
      </c>
      <c r="U1562">
        <v>1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1</v>
      </c>
      <c r="AB1562">
        <v>50</v>
      </c>
      <c r="AC1562">
        <v>22</v>
      </c>
      <c r="AD1562">
        <v>0</v>
      </c>
      <c r="AE1562">
        <v>0</v>
      </c>
      <c r="AF1562">
        <v>22</v>
      </c>
      <c r="AG1562">
        <v>0</v>
      </c>
      <c r="AH1562">
        <v>28</v>
      </c>
      <c r="AI1562">
        <v>28</v>
      </c>
      <c r="AJ1562">
        <v>28</v>
      </c>
      <c r="AK1562">
        <v>28</v>
      </c>
      <c r="AL1562">
        <v>0</v>
      </c>
      <c r="AM1562">
        <v>0.182</v>
      </c>
      <c r="AN1562">
        <v>2.5454545454545454</v>
      </c>
      <c r="AO1562">
        <v>0</v>
      </c>
      <c r="AP1562" t="s">
        <v>139</v>
      </c>
      <c r="AQ1562" t="s">
        <v>131</v>
      </c>
      <c r="AR1562" t="s">
        <v>1766</v>
      </c>
      <c r="AS1562">
        <v>0</v>
      </c>
      <c r="AT1562">
        <v>0</v>
      </c>
      <c r="AU1562">
        <v>0</v>
      </c>
      <c r="AV1562">
        <v>0</v>
      </c>
      <c r="AW1562">
        <v>0</v>
      </c>
      <c r="AX1562">
        <v>0</v>
      </c>
      <c r="AY1562">
        <v>0</v>
      </c>
      <c r="AZ1562" t="s">
        <v>134</v>
      </c>
      <c r="BA1562">
        <v>9.1</v>
      </c>
      <c r="BB1562">
        <v>0</v>
      </c>
      <c r="BC1562" t="s">
        <v>133</v>
      </c>
      <c r="BD1562">
        <v>0</v>
      </c>
      <c r="BE1562" t="s">
        <v>133</v>
      </c>
      <c r="BF156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63" spans="1:58" x14ac:dyDescent="0.25">
      <c r="A1563" t="s">
        <v>1874</v>
      </c>
      <c r="B1563" t="s">
        <v>19</v>
      </c>
      <c r="C1563">
        <v>4</v>
      </c>
      <c r="D1563">
        <v>108</v>
      </c>
      <c r="E1563" t="s">
        <v>2112</v>
      </c>
      <c r="F1563" t="s">
        <v>123</v>
      </c>
      <c r="G1563" t="s">
        <v>124</v>
      </c>
      <c r="H1563" t="s">
        <v>136</v>
      </c>
      <c r="I1563" t="s">
        <v>137</v>
      </c>
      <c r="J1563" t="s">
        <v>153</v>
      </c>
      <c r="K1563" t="s">
        <v>127</v>
      </c>
      <c r="L1563">
        <v>50</v>
      </c>
      <c r="M1563">
        <v>1511307</v>
      </c>
      <c r="N1563">
        <v>9.1</v>
      </c>
      <c r="O1563">
        <v>6</v>
      </c>
      <c r="P1563" t="s">
        <v>1764</v>
      </c>
      <c r="Q1563" t="s">
        <v>1822</v>
      </c>
      <c r="R1563">
        <v>10</v>
      </c>
      <c r="T1563">
        <v>0</v>
      </c>
      <c r="U1563">
        <v>1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1</v>
      </c>
      <c r="AB1563">
        <v>50</v>
      </c>
      <c r="AC1563">
        <v>22</v>
      </c>
      <c r="AD1563">
        <v>0</v>
      </c>
      <c r="AE1563">
        <v>0</v>
      </c>
      <c r="AF1563">
        <v>22</v>
      </c>
      <c r="AG1563">
        <v>0</v>
      </c>
      <c r="AH1563">
        <v>28</v>
      </c>
      <c r="AI1563">
        <v>28</v>
      </c>
      <c r="AJ1563">
        <v>28</v>
      </c>
      <c r="AK1563">
        <v>28</v>
      </c>
      <c r="AL1563">
        <v>0</v>
      </c>
      <c r="AM1563">
        <v>0.182</v>
      </c>
      <c r="AN1563">
        <v>2.5454545454545454</v>
      </c>
      <c r="AO1563">
        <v>0</v>
      </c>
      <c r="AP1563" t="s">
        <v>139</v>
      </c>
      <c r="AQ1563" t="s">
        <v>131</v>
      </c>
      <c r="AR1563" t="s">
        <v>1766</v>
      </c>
      <c r="AS1563">
        <v>0</v>
      </c>
      <c r="AT1563">
        <v>0</v>
      </c>
      <c r="AU1563">
        <v>0</v>
      </c>
      <c r="AV1563">
        <v>0</v>
      </c>
      <c r="AW1563">
        <v>0</v>
      </c>
      <c r="AX1563">
        <v>0</v>
      </c>
      <c r="AY1563">
        <v>0</v>
      </c>
      <c r="AZ1563" t="s">
        <v>134</v>
      </c>
      <c r="BA1563">
        <v>9.1</v>
      </c>
      <c r="BB1563">
        <v>0</v>
      </c>
      <c r="BC1563" t="s">
        <v>133</v>
      </c>
      <c r="BD1563">
        <v>0</v>
      </c>
      <c r="BE1563" t="s">
        <v>133</v>
      </c>
      <c r="BF156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64" spans="1:58" x14ac:dyDescent="0.25">
      <c r="A1564" t="s">
        <v>1875</v>
      </c>
      <c r="B1564" t="s">
        <v>19</v>
      </c>
      <c r="C1564">
        <v>4</v>
      </c>
      <c r="D1564">
        <v>109</v>
      </c>
      <c r="E1564" t="s">
        <v>2112</v>
      </c>
      <c r="F1564" t="s">
        <v>123</v>
      </c>
      <c r="G1564" t="s">
        <v>124</v>
      </c>
      <c r="H1564" t="s">
        <v>136</v>
      </c>
      <c r="I1564" t="s">
        <v>158</v>
      </c>
      <c r="J1564" t="s">
        <v>156</v>
      </c>
      <c r="K1564" t="s">
        <v>127</v>
      </c>
      <c r="L1564">
        <v>50</v>
      </c>
      <c r="M1564">
        <v>1511309</v>
      </c>
      <c r="N1564">
        <v>4.5999999999999996</v>
      </c>
      <c r="O1564">
        <v>6</v>
      </c>
      <c r="P1564" t="s">
        <v>1764</v>
      </c>
      <c r="Q1564" t="s">
        <v>1822</v>
      </c>
      <c r="R1564">
        <v>10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50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50</v>
      </c>
      <c r="AI1564">
        <v>50</v>
      </c>
      <c r="AJ1564">
        <v>50</v>
      </c>
      <c r="AK1564">
        <v>50</v>
      </c>
      <c r="AL1564">
        <v>0</v>
      </c>
      <c r="AM1564">
        <v>9.1999999999999998E-2</v>
      </c>
      <c r="AN1564">
        <v>4.5454545454545459</v>
      </c>
      <c r="AO1564">
        <v>0</v>
      </c>
      <c r="AP1564" t="s">
        <v>160</v>
      </c>
      <c r="AQ1564" t="s">
        <v>155</v>
      </c>
      <c r="AR1564" t="s">
        <v>1766</v>
      </c>
      <c r="AS1564">
        <v>0</v>
      </c>
      <c r="AT1564">
        <v>0</v>
      </c>
      <c r="AU1564">
        <v>0</v>
      </c>
      <c r="AV1564">
        <v>0</v>
      </c>
      <c r="AW1564">
        <v>0</v>
      </c>
      <c r="AX1564">
        <v>0</v>
      </c>
      <c r="AY1564">
        <v>0</v>
      </c>
      <c r="AZ1564" t="s">
        <v>135</v>
      </c>
      <c r="BA1564">
        <v>4.5999999999999996</v>
      </c>
      <c r="BB1564">
        <v>0</v>
      </c>
      <c r="BC1564" t="s">
        <v>133</v>
      </c>
      <c r="BD1564">
        <v>1</v>
      </c>
      <c r="BE1564" t="s">
        <v>133</v>
      </c>
      <c r="BF156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65" spans="1:58" x14ac:dyDescent="0.25">
      <c r="A1565" t="s">
        <v>1876</v>
      </c>
      <c r="B1565" t="s">
        <v>19</v>
      </c>
      <c r="C1565">
        <v>4</v>
      </c>
      <c r="D1565">
        <v>110</v>
      </c>
      <c r="E1565" t="s">
        <v>2112</v>
      </c>
      <c r="F1565" t="s">
        <v>123</v>
      </c>
      <c r="G1565" t="s">
        <v>124</v>
      </c>
      <c r="H1565" t="s">
        <v>136</v>
      </c>
      <c r="I1565" t="s">
        <v>158</v>
      </c>
      <c r="J1565" t="s">
        <v>156</v>
      </c>
      <c r="K1565" t="s">
        <v>127</v>
      </c>
      <c r="L1565">
        <v>50</v>
      </c>
      <c r="M1565">
        <v>1511311</v>
      </c>
      <c r="N1565">
        <v>4.5999999999999996</v>
      </c>
      <c r="O1565">
        <v>6</v>
      </c>
      <c r="P1565" t="s">
        <v>1764</v>
      </c>
      <c r="Q1565" t="s">
        <v>1822</v>
      </c>
      <c r="R1565">
        <v>10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0</v>
      </c>
      <c r="AB1565">
        <v>50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50</v>
      </c>
      <c r="AI1565">
        <v>50</v>
      </c>
      <c r="AJ1565">
        <v>50</v>
      </c>
      <c r="AK1565">
        <v>50</v>
      </c>
      <c r="AL1565">
        <v>0</v>
      </c>
      <c r="AM1565">
        <v>9.1999999999999998E-2</v>
      </c>
      <c r="AN1565">
        <v>4.5454545454545459</v>
      </c>
      <c r="AO1565">
        <v>0</v>
      </c>
      <c r="AP1565" t="s">
        <v>160</v>
      </c>
      <c r="AQ1565" t="s">
        <v>155</v>
      </c>
      <c r="AR1565" t="s">
        <v>1766</v>
      </c>
      <c r="AS1565">
        <v>0</v>
      </c>
      <c r="AT1565">
        <v>0</v>
      </c>
      <c r="AU1565">
        <v>0</v>
      </c>
      <c r="AV1565">
        <v>0</v>
      </c>
      <c r="AW1565">
        <v>0</v>
      </c>
      <c r="AX1565">
        <v>0</v>
      </c>
      <c r="AY1565">
        <v>0</v>
      </c>
      <c r="AZ1565" t="s">
        <v>135</v>
      </c>
      <c r="BA1565">
        <v>4.5999999999999996</v>
      </c>
      <c r="BB1565">
        <v>0</v>
      </c>
      <c r="BC1565" t="s">
        <v>133</v>
      </c>
      <c r="BD1565">
        <v>2</v>
      </c>
      <c r="BE1565" t="s">
        <v>133</v>
      </c>
      <c r="BF156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66" spans="1:58" x14ac:dyDescent="0.25">
      <c r="A1566" t="s">
        <v>1877</v>
      </c>
      <c r="B1566" t="s">
        <v>19</v>
      </c>
      <c r="C1566">
        <v>4</v>
      </c>
      <c r="D1566">
        <v>111</v>
      </c>
      <c r="E1566" t="s">
        <v>2112</v>
      </c>
      <c r="F1566" t="s">
        <v>123</v>
      </c>
      <c r="G1566" t="s">
        <v>124</v>
      </c>
      <c r="H1566" t="s">
        <v>136</v>
      </c>
      <c r="I1566" t="s">
        <v>137</v>
      </c>
      <c r="J1566" t="s">
        <v>152</v>
      </c>
      <c r="K1566" t="s">
        <v>127</v>
      </c>
      <c r="L1566">
        <v>50</v>
      </c>
      <c r="M1566">
        <v>1511313</v>
      </c>
      <c r="N1566">
        <v>0</v>
      </c>
      <c r="O1566">
        <v>6</v>
      </c>
      <c r="P1566" t="s">
        <v>1764</v>
      </c>
      <c r="Q1566" t="s">
        <v>1822</v>
      </c>
      <c r="R1566">
        <v>10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0</v>
      </c>
      <c r="AB1566">
        <v>50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50</v>
      </c>
      <c r="AI1566">
        <v>50</v>
      </c>
      <c r="AJ1566">
        <v>50</v>
      </c>
      <c r="AK1566">
        <v>50</v>
      </c>
      <c r="AL1566">
        <v>0</v>
      </c>
      <c r="AM1566">
        <v>0</v>
      </c>
      <c r="AN1566">
        <v>4.5454545454545459</v>
      </c>
      <c r="AO1566">
        <v>0</v>
      </c>
      <c r="AP1566" t="s">
        <v>139</v>
      </c>
      <c r="AQ1566" t="s">
        <v>155</v>
      </c>
      <c r="AR1566" t="s">
        <v>1766</v>
      </c>
      <c r="AS1566">
        <v>0</v>
      </c>
      <c r="AT1566">
        <v>0</v>
      </c>
      <c r="AU1566">
        <v>0</v>
      </c>
      <c r="AV1566">
        <v>0</v>
      </c>
      <c r="AW1566">
        <v>0</v>
      </c>
      <c r="AX1566">
        <v>0</v>
      </c>
      <c r="AY1566">
        <v>0</v>
      </c>
      <c r="AZ1566" t="s">
        <v>147</v>
      </c>
      <c r="BA1566">
        <v>0</v>
      </c>
      <c r="BB1566">
        <v>0</v>
      </c>
      <c r="BC1566" t="s">
        <v>144</v>
      </c>
      <c r="BD1566">
        <v>3</v>
      </c>
      <c r="BE1566" t="s">
        <v>133</v>
      </c>
      <c r="BF156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67" spans="1:58" x14ac:dyDescent="0.25">
      <c r="A1567" t="s">
        <v>1878</v>
      </c>
      <c r="B1567" t="s">
        <v>19</v>
      </c>
      <c r="C1567">
        <v>4</v>
      </c>
      <c r="D1567">
        <v>113</v>
      </c>
      <c r="E1567" t="s">
        <v>2112</v>
      </c>
      <c r="F1567" t="s">
        <v>123</v>
      </c>
      <c r="G1567" t="s">
        <v>124</v>
      </c>
      <c r="H1567" t="s">
        <v>125</v>
      </c>
      <c r="I1567" t="s">
        <v>126</v>
      </c>
      <c r="J1567" t="s">
        <v>126</v>
      </c>
      <c r="K1567" t="s">
        <v>127</v>
      </c>
      <c r="L1567">
        <v>50</v>
      </c>
      <c r="M1567">
        <v>1511317</v>
      </c>
      <c r="N1567">
        <v>6</v>
      </c>
      <c r="O1567">
        <v>6</v>
      </c>
      <c r="P1567" t="s">
        <v>1764</v>
      </c>
      <c r="Q1567" t="s">
        <v>1879</v>
      </c>
      <c r="R1567">
        <v>11</v>
      </c>
      <c r="T1567">
        <v>19</v>
      </c>
      <c r="U1567">
        <v>24</v>
      </c>
      <c r="V1567">
        <v>4</v>
      </c>
      <c r="W1567">
        <v>0</v>
      </c>
      <c r="X1567">
        <v>4</v>
      </c>
      <c r="Y1567">
        <v>0</v>
      </c>
      <c r="Z1567">
        <v>23</v>
      </c>
      <c r="AA1567">
        <v>28</v>
      </c>
      <c r="AB1567">
        <v>50</v>
      </c>
      <c r="AC1567">
        <v>26</v>
      </c>
      <c r="AD1567">
        <v>4</v>
      </c>
      <c r="AE1567">
        <v>0</v>
      </c>
      <c r="AF1567">
        <v>30</v>
      </c>
      <c r="AG1567">
        <v>0</v>
      </c>
      <c r="AH1567">
        <v>24</v>
      </c>
      <c r="AI1567">
        <v>20</v>
      </c>
      <c r="AJ1567">
        <v>24</v>
      </c>
      <c r="AK1567">
        <v>24</v>
      </c>
      <c r="AL1567">
        <v>0</v>
      </c>
      <c r="AM1567">
        <v>0.12</v>
      </c>
      <c r="AN1567">
        <v>2.1818181818181817</v>
      </c>
      <c r="AO1567">
        <v>0</v>
      </c>
      <c r="AP1567" t="s">
        <v>130</v>
      </c>
      <c r="AQ1567" t="s">
        <v>131</v>
      </c>
      <c r="AR1567" t="s">
        <v>1766</v>
      </c>
      <c r="AS1567">
        <v>2285</v>
      </c>
      <c r="AT1567">
        <v>2257</v>
      </c>
      <c r="AU1567">
        <v>0</v>
      </c>
      <c r="AV1567">
        <v>0</v>
      </c>
      <c r="AW1567">
        <v>4.5419999999999998</v>
      </c>
      <c r="AX1567">
        <v>0.17469230769230767</v>
      </c>
      <c r="AY1567">
        <v>5.2407692307692306</v>
      </c>
      <c r="AZ1567" t="s">
        <v>135</v>
      </c>
      <c r="BA1567">
        <v>0.75923076923076938</v>
      </c>
      <c r="BB1567">
        <v>4.3461030383091162</v>
      </c>
      <c r="BC1567" t="s">
        <v>133</v>
      </c>
      <c r="BD1567">
        <v>0</v>
      </c>
      <c r="BE1567" t="s">
        <v>133</v>
      </c>
      <c r="BF156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4.5419999999999998</v>
      </c>
    </row>
    <row r="1568" spans="1:58" x14ac:dyDescent="0.25">
      <c r="A1568" t="s">
        <v>1880</v>
      </c>
      <c r="B1568" t="s">
        <v>19</v>
      </c>
      <c r="C1568">
        <v>4</v>
      </c>
      <c r="D1568">
        <v>114</v>
      </c>
      <c r="E1568" t="s">
        <v>2112</v>
      </c>
      <c r="F1568" t="s">
        <v>123</v>
      </c>
      <c r="G1568" t="s">
        <v>124</v>
      </c>
      <c r="H1568" t="s">
        <v>125</v>
      </c>
      <c r="I1568" t="s">
        <v>126</v>
      </c>
      <c r="J1568" t="s">
        <v>126</v>
      </c>
      <c r="K1568" t="s">
        <v>127</v>
      </c>
      <c r="L1568">
        <v>50</v>
      </c>
      <c r="M1568">
        <v>1511319</v>
      </c>
      <c r="N1568">
        <v>6</v>
      </c>
      <c r="O1568">
        <v>6</v>
      </c>
      <c r="P1568" t="s">
        <v>1764</v>
      </c>
      <c r="Q1568" t="s">
        <v>1879</v>
      </c>
      <c r="R1568">
        <v>11</v>
      </c>
      <c r="T1568">
        <v>11</v>
      </c>
      <c r="U1568">
        <v>16</v>
      </c>
      <c r="V1568">
        <v>2</v>
      </c>
      <c r="W1568">
        <v>0</v>
      </c>
      <c r="X1568">
        <v>2</v>
      </c>
      <c r="Y1568">
        <v>11</v>
      </c>
      <c r="Z1568">
        <v>24</v>
      </c>
      <c r="AA1568">
        <v>29</v>
      </c>
      <c r="AB1568">
        <v>50</v>
      </c>
      <c r="AC1568">
        <v>17</v>
      </c>
      <c r="AD1568">
        <v>2</v>
      </c>
      <c r="AE1568">
        <v>11</v>
      </c>
      <c r="AF1568">
        <v>30</v>
      </c>
      <c r="AG1568">
        <v>0</v>
      </c>
      <c r="AH1568">
        <v>33</v>
      </c>
      <c r="AI1568">
        <v>20</v>
      </c>
      <c r="AJ1568">
        <v>22</v>
      </c>
      <c r="AK1568">
        <v>33</v>
      </c>
      <c r="AL1568">
        <v>0</v>
      </c>
      <c r="AM1568">
        <v>0.12</v>
      </c>
      <c r="AN1568">
        <v>2</v>
      </c>
      <c r="AO1568">
        <v>0</v>
      </c>
      <c r="AP1568" t="s">
        <v>130</v>
      </c>
      <c r="AQ1568" t="s">
        <v>131</v>
      </c>
      <c r="AR1568" t="s">
        <v>1766</v>
      </c>
      <c r="AS1568">
        <v>1726</v>
      </c>
      <c r="AT1568">
        <v>1675</v>
      </c>
      <c r="AU1568">
        <v>0</v>
      </c>
      <c r="AV1568">
        <v>0</v>
      </c>
      <c r="AW1568">
        <v>3.4009999999999998</v>
      </c>
      <c r="AX1568">
        <v>0.20005882352941176</v>
      </c>
      <c r="AY1568">
        <v>6.0017647058823531</v>
      </c>
      <c r="AZ1568" t="s">
        <v>135</v>
      </c>
      <c r="BA1568">
        <v>-1.7647058823531125E-3</v>
      </c>
      <c r="BB1568">
        <v>-8.8209350191128834E-3</v>
      </c>
      <c r="BC1568" t="s">
        <v>133</v>
      </c>
      <c r="BD1568">
        <v>0</v>
      </c>
      <c r="BE1568" t="s">
        <v>133</v>
      </c>
      <c r="BF156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3.4009999999999998</v>
      </c>
    </row>
    <row r="1569" spans="1:58" x14ac:dyDescent="0.25">
      <c r="A1569" t="s">
        <v>1881</v>
      </c>
      <c r="B1569" t="s">
        <v>19</v>
      </c>
      <c r="C1569">
        <v>4</v>
      </c>
      <c r="D1569">
        <v>115</v>
      </c>
      <c r="E1569" t="s">
        <v>2112</v>
      </c>
      <c r="F1569" t="s">
        <v>123</v>
      </c>
      <c r="G1569" t="s">
        <v>124</v>
      </c>
      <c r="H1569" t="s">
        <v>125</v>
      </c>
      <c r="I1569" t="s">
        <v>126</v>
      </c>
      <c r="J1569" t="s">
        <v>126</v>
      </c>
      <c r="K1569" t="s">
        <v>127</v>
      </c>
      <c r="L1569">
        <v>50</v>
      </c>
      <c r="M1569">
        <v>1511321</v>
      </c>
      <c r="N1569">
        <v>6</v>
      </c>
      <c r="O1569">
        <v>6</v>
      </c>
      <c r="P1569" t="s">
        <v>1764</v>
      </c>
      <c r="Q1569" t="s">
        <v>1879</v>
      </c>
      <c r="R1569">
        <v>11</v>
      </c>
      <c r="T1569">
        <v>12</v>
      </c>
      <c r="U1569">
        <v>17</v>
      </c>
      <c r="V1569">
        <v>7</v>
      </c>
      <c r="W1569">
        <v>0</v>
      </c>
      <c r="X1569">
        <v>7</v>
      </c>
      <c r="Y1569">
        <v>13</v>
      </c>
      <c r="Z1569">
        <v>32</v>
      </c>
      <c r="AA1569">
        <v>37</v>
      </c>
      <c r="AB1569">
        <v>50</v>
      </c>
      <c r="AC1569">
        <v>26</v>
      </c>
      <c r="AD1569">
        <v>7</v>
      </c>
      <c r="AE1569">
        <v>13</v>
      </c>
      <c r="AF1569">
        <v>46</v>
      </c>
      <c r="AG1569">
        <v>0</v>
      </c>
      <c r="AH1569">
        <v>24</v>
      </c>
      <c r="AI1569">
        <v>4</v>
      </c>
      <c r="AJ1569">
        <v>11</v>
      </c>
      <c r="AK1569">
        <v>24</v>
      </c>
      <c r="AL1569">
        <v>0</v>
      </c>
      <c r="AM1569">
        <v>0.12</v>
      </c>
      <c r="AN1569">
        <v>1</v>
      </c>
      <c r="AO1569">
        <v>0</v>
      </c>
      <c r="AP1569" t="s">
        <v>130</v>
      </c>
      <c r="AQ1569" t="s">
        <v>131</v>
      </c>
      <c r="AR1569" t="s">
        <v>1766</v>
      </c>
      <c r="AS1569">
        <v>2105</v>
      </c>
      <c r="AT1569">
        <v>1978</v>
      </c>
      <c r="AU1569">
        <v>0</v>
      </c>
      <c r="AV1569">
        <v>0</v>
      </c>
      <c r="AW1569">
        <v>4.0830000000000002</v>
      </c>
      <c r="AX1569">
        <v>0.15703846153846154</v>
      </c>
      <c r="AY1569">
        <v>7.2237692307692312</v>
      </c>
      <c r="AZ1569" t="s">
        <v>135</v>
      </c>
      <c r="BA1569">
        <v>-1.2237692307692312</v>
      </c>
      <c r="BB1569">
        <v>-7.7927994121969162</v>
      </c>
      <c r="BC1569" t="s">
        <v>133</v>
      </c>
      <c r="BD1569">
        <v>0</v>
      </c>
      <c r="BE1569" t="s">
        <v>133</v>
      </c>
      <c r="BF156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4.0830000000000002</v>
      </c>
    </row>
    <row r="1570" spans="1:58" x14ac:dyDescent="0.25">
      <c r="A1570" t="s">
        <v>1882</v>
      </c>
      <c r="B1570" t="s">
        <v>19</v>
      </c>
      <c r="C1570">
        <v>4</v>
      </c>
      <c r="D1570">
        <v>116</v>
      </c>
      <c r="E1570" t="s">
        <v>2112</v>
      </c>
      <c r="F1570" t="s">
        <v>123</v>
      </c>
      <c r="G1570" t="s">
        <v>124</v>
      </c>
      <c r="H1570" t="s">
        <v>125</v>
      </c>
      <c r="I1570" t="s">
        <v>126</v>
      </c>
      <c r="J1570" t="s">
        <v>126</v>
      </c>
      <c r="K1570" t="s">
        <v>127</v>
      </c>
      <c r="L1570">
        <v>50</v>
      </c>
      <c r="M1570">
        <v>1511323</v>
      </c>
      <c r="N1570">
        <v>6</v>
      </c>
      <c r="O1570">
        <v>6</v>
      </c>
      <c r="P1570" t="s">
        <v>1764</v>
      </c>
      <c r="Q1570" t="s">
        <v>1879</v>
      </c>
      <c r="R1570">
        <v>11</v>
      </c>
      <c r="T1570">
        <v>14</v>
      </c>
      <c r="U1570">
        <v>19</v>
      </c>
      <c r="V1570">
        <v>13</v>
      </c>
      <c r="W1570">
        <v>0</v>
      </c>
      <c r="X1570">
        <v>13</v>
      </c>
      <c r="Y1570">
        <v>1</v>
      </c>
      <c r="Z1570">
        <v>28</v>
      </c>
      <c r="AA1570">
        <v>33</v>
      </c>
      <c r="AB1570">
        <v>50</v>
      </c>
      <c r="AC1570">
        <v>21</v>
      </c>
      <c r="AD1570">
        <v>19</v>
      </c>
      <c r="AE1570">
        <v>1</v>
      </c>
      <c r="AF1570">
        <v>41</v>
      </c>
      <c r="AG1570">
        <v>0</v>
      </c>
      <c r="AH1570">
        <v>29</v>
      </c>
      <c r="AI1570">
        <v>9</v>
      </c>
      <c r="AJ1570">
        <v>28</v>
      </c>
      <c r="AK1570">
        <v>29</v>
      </c>
      <c r="AL1570">
        <v>0</v>
      </c>
      <c r="AM1570">
        <v>0.12</v>
      </c>
      <c r="AN1570">
        <v>2.5454545454545454</v>
      </c>
      <c r="AO1570">
        <v>0</v>
      </c>
      <c r="AP1570" t="s">
        <v>130</v>
      </c>
      <c r="AQ1570" t="s">
        <v>131</v>
      </c>
      <c r="AR1570" t="s">
        <v>1766</v>
      </c>
      <c r="AS1570">
        <v>2139</v>
      </c>
      <c r="AT1570">
        <v>2058</v>
      </c>
      <c r="AU1570">
        <v>0</v>
      </c>
      <c r="AV1570">
        <v>0</v>
      </c>
      <c r="AW1570">
        <v>4.1970000000000001</v>
      </c>
      <c r="AX1570">
        <v>0.19985714285714287</v>
      </c>
      <c r="AY1570">
        <v>8.1941428571428574</v>
      </c>
      <c r="AZ1570" t="s">
        <v>135</v>
      </c>
      <c r="BA1570">
        <v>-2.1941428571428574</v>
      </c>
      <c r="BB1570">
        <v>-10.978556111508221</v>
      </c>
      <c r="BC1570" t="s">
        <v>133</v>
      </c>
      <c r="BD1570">
        <v>0</v>
      </c>
      <c r="BE1570" t="s">
        <v>133</v>
      </c>
      <c r="BF157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4.1970000000000001</v>
      </c>
    </row>
    <row r="1571" spans="1:58" x14ac:dyDescent="0.25">
      <c r="A1571" t="s">
        <v>1883</v>
      </c>
      <c r="B1571" t="s">
        <v>19</v>
      </c>
      <c r="C1571">
        <v>4</v>
      </c>
      <c r="D1571">
        <v>117</v>
      </c>
      <c r="E1571" t="s">
        <v>2112</v>
      </c>
      <c r="F1571" t="s">
        <v>123</v>
      </c>
      <c r="G1571" t="s">
        <v>124</v>
      </c>
      <c r="H1571" t="s">
        <v>125</v>
      </c>
      <c r="I1571" t="s">
        <v>126</v>
      </c>
      <c r="J1571" t="s">
        <v>126</v>
      </c>
      <c r="K1571" t="s">
        <v>127</v>
      </c>
      <c r="L1571">
        <v>50</v>
      </c>
      <c r="M1571">
        <v>1511325</v>
      </c>
      <c r="N1571">
        <v>6</v>
      </c>
      <c r="O1571">
        <v>6</v>
      </c>
      <c r="P1571" t="s">
        <v>1764</v>
      </c>
      <c r="Q1571" t="s">
        <v>1879</v>
      </c>
      <c r="R1571">
        <v>11</v>
      </c>
      <c r="T1571">
        <v>21</v>
      </c>
      <c r="U1571">
        <v>26</v>
      </c>
      <c r="V1571">
        <v>11</v>
      </c>
      <c r="W1571">
        <v>0</v>
      </c>
      <c r="X1571">
        <v>11</v>
      </c>
      <c r="Y1571">
        <v>4</v>
      </c>
      <c r="Z1571">
        <v>36</v>
      </c>
      <c r="AA1571">
        <v>41</v>
      </c>
      <c r="AB1571">
        <v>50</v>
      </c>
      <c r="AC1571">
        <v>30</v>
      </c>
      <c r="AD1571">
        <v>11</v>
      </c>
      <c r="AE1571">
        <v>4</v>
      </c>
      <c r="AF1571">
        <v>45</v>
      </c>
      <c r="AG1571">
        <v>0</v>
      </c>
      <c r="AH1571">
        <v>20</v>
      </c>
      <c r="AI1571">
        <v>5</v>
      </c>
      <c r="AJ1571">
        <v>16</v>
      </c>
      <c r="AK1571">
        <v>20</v>
      </c>
      <c r="AL1571">
        <v>0</v>
      </c>
      <c r="AM1571">
        <v>0.12</v>
      </c>
      <c r="AN1571">
        <v>1.4545454545454546</v>
      </c>
      <c r="AO1571">
        <v>0</v>
      </c>
      <c r="AP1571" t="s">
        <v>130</v>
      </c>
      <c r="AQ1571" t="s">
        <v>131</v>
      </c>
      <c r="AR1571" t="s">
        <v>1766</v>
      </c>
      <c r="AS1571">
        <v>2515</v>
      </c>
      <c r="AT1571">
        <v>2358</v>
      </c>
      <c r="AU1571">
        <v>0</v>
      </c>
      <c r="AV1571">
        <v>0</v>
      </c>
      <c r="AW1571">
        <v>4.8730000000000002</v>
      </c>
      <c r="AX1571">
        <v>0.16243333333333335</v>
      </c>
      <c r="AY1571">
        <v>7.3095000000000008</v>
      </c>
      <c r="AZ1571" t="s">
        <v>135</v>
      </c>
      <c r="BA1571">
        <v>-1.3095000000000008</v>
      </c>
      <c r="BB1571">
        <v>-8.0617689308434279</v>
      </c>
      <c r="BC1571" t="s">
        <v>133</v>
      </c>
      <c r="BD1571">
        <v>0</v>
      </c>
      <c r="BE1571" t="s">
        <v>133</v>
      </c>
      <c r="BF157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4.8730000000000002</v>
      </c>
    </row>
    <row r="1572" spans="1:58" x14ac:dyDescent="0.25">
      <c r="A1572" t="s">
        <v>1884</v>
      </c>
      <c r="B1572" t="s">
        <v>19</v>
      </c>
      <c r="C1572">
        <v>4</v>
      </c>
      <c r="D1572">
        <v>118</v>
      </c>
      <c r="E1572" t="s">
        <v>2112</v>
      </c>
      <c r="F1572" t="s">
        <v>123</v>
      </c>
      <c r="G1572" t="s">
        <v>124</v>
      </c>
      <c r="H1572" t="s">
        <v>136</v>
      </c>
      <c r="I1572" t="s">
        <v>137</v>
      </c>
      <c r="J1572" t="s">
        <v>138</v>
      </c>
      <c r="K1572" t="s">
        <v>127</v>
      </c>
      <c r="L1572">
        <v>50</v>
      </c>
      <c r="M1572">
        <v>1511327</v>
      </c>
      <c r="N1572">
        <v>5</v>
      </c>
      <c r="O1572">
        <v>6</v>
      </c>
      <c r="P1572" t="s">
        <v>1764</v>
      </c>
      <c r="Q1572" t="s">
        <v>1879</v>
      </c>
      <c r="R1572">
        <v>11</v>
      </c>
      <c r="T1572">
        <v>0</v>
      </c>
      <c r="U1572">
        <v>4</v>
      </c>
      <c r="V1572">
        <v>0</v>
      </c>
      <c r="W1572">
        <v>0</v>
      </c>
      <c r="X1572">
        <v>0</v>
      </c>
      <c r="Y1572">
        <v>0</v>
      </c>
      <c r="Z1572">
        <v>0</v>
      </c>
      <c r="AA1572">
        <v>4</v>
      </c>
      <c r="AB1572">
        <v>50</v>
      </c>
      <c r="AC1572">
        <v>4</v>
      </c>
      <c r="AD1572">
        <v>0</v>
      </c>
      <c r="AE1572">
        <v>0</v>
      </c>
      <c r="AF1572">
        <v>4</v>
      </c>
      <c r="AG1572">
        <v>0</v>
      </c>
      <c r="AH1572">
        <v>46</v>
      </c>
      <c r="AI1572">
        <v>46</v>
      </c>
      <c r="AJ1572">
        <v>46</v>
      </c>
      <c r="AK1572">
        <v>46</v>
      </c>
      <c r="AL1572">
        <v>0</v>
      </c>
      <c r="AM1572">
        <v>0.1</v>
      </c>
      <c r="AN1572">
        <v>4.1818181818181817</v>
      </c>
      <c r="AO1572">
        <v>0</v>
      </c>
      <c r="AP1572" t="s">
        <v>139</v>
      </c>
      <c r="AQ1572" t="s">
        <v>131</v>
      </c>
      <c r="AR1572" t="s">
        <v>1766</v>
      </c>
      <c r="AS1572">
        <v>0</v>
      </c>
      <c r="AT1572">
        <v>0</v>
      </c>
      <c r="AU1572">
        <v>0</v>
      </c>
      <c r="AV1572">
        <v>0</v>
      </c>
      <c r="AW1572">
        <v>0</v>
      </c>
      <c r="AX1572">
        <v>0</v>
      </c>
      <c r="AY1572">
        <v>0</v>
      </c>
      <c r="AZ1572" t="s">
        <v>134</v>
      </c>
      <c r="BA1572">
        <v>5</v>
      </c>
      <c r="BB1572">
        <v>0</v>
      </c>
      <c r="BC1572" t="s">
        <v>133</v>
      </c>
      <c r="BD1572">
        <v>0</v>
      </c>
      <c r="BE1572" t="s">
        <v>133</v>
      </c>
      <c r="BF157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73" spans="1:58" x14ac:dyDescent="0.25">
      <c r="A1573" t="s">
        <v>1885</v>
      </c>
      <c r="B1573" t="s">
        <v>19</v>
      </c>
      <c r="C1573">
        <v>4</v>
      </c>
      <c r="D1573">
        <v>119</v>
      </c>
      <c r="E1573" t="s">
        <v>2112</v>
      </c>
      <c r="F1573" t="s">
        <v>123</v>
      </c>
      <c r="G1573" t="s">
        <v>124</v>
      </c>
      <c r="H1573" t="s">
        <v>125</v>
      </c>
      <c r="I1573" t="s">
        <v>126</v>
      </c>
      <c r="J1573" t="s">
        <v>126</v>
      </c>
      <c r="K1573" t="s">
        <v>127</v>
      </c>
      <c r="L1573">
        <v>50</v>
      </c>
      <c r="M1573">
        <v>1511329</v>
      </c>
      <c r="N1573">
        <v>6</v>
      </c>
      <c r="O1573">
        <v>6</v>
      </c>
      <c r="P1573" t="s">
        <v>1764</v>
      </c>
      <c r="Q1573" t="s">
        <v>1879</v>
      </c>
      <c r="R1573">
        <v>11</v>
      </c>
      <c r="T1573">
        <v>9</v>
      </c>
      <c r="U1573">
        <v>14</v>
      </c>
      <c r="V1573">
        <v>16</v>
      </c>
      <c r="W1573">
        <v>0</v>
      </c>
      <c r="X1573">
        <v>16</v>
      </c>
      <c r="Y1573">
        <v>1</v>
      </c>
      <c r="Z1573">
        <v>26</v>
      </c>
      <c r="AA1573">
        <v>31</v>
      </c>
      <c r="AB1573">
        <v>50</v>
      </c>
      <c r="AC1573">
        <v>14</v>
      </c>
      <c r="AD1573">
        <v>23</v>
      </c>
      <c r="AE1573">
        <v>1</v>
      </c>
      <c r="AF1573">
        <v>38</v>
      </c>
      <c r="AG1573">
        <v>0</v>
      </c>
      <c r="AH1573">
        <v>36</v>
      </c>
      <c r="AI1573">
        <v>12</v>
      </c>
      <c r="AJ1573">
        <v>35</v>
      </c>
      <c r="AK1573">
        <v>36</v>
      </c>
      <c r="AL1573">
        <v>0</v>
      </c>
      <c r="AM1573">
        <v>0.12</v>
      </c>
      <c r="AN1573">
        <v>3.1818181818181821</v>
      </c>
      <c r="AO1573">
        <v>0</v>
      </c>
      <c r="AP1573" t="s">
        <v>130</v>
      </c>
      <c r="AQ1573" t="s">
        <v>131</v>
      </c>
      <c r="AR1573" t="s">
        <v>1766</v>
      </c>
      <c r="AS1573">
        <v>1706</v>
      </c>
      <c r="AT1573">
        <v>1710</v>
      </c>
      <c r="AU1573">
        <v>0</v>
      </c>
      <c r="AV1573">
        <v>0</v>
      </c>
      <c r="AW1573">
        <v>3.4159999999999999</v>
      </c>
      <c r="AX1573">
        <v>0.24399999999999999</v>
      </c>
      <c r="AY1573">
        <v>9.2720000000000002</v>
      </c>
      <c r="AZ1573" t="s">
        <v>135</v>
      </c>
      <c r="BA1573">
        <v>-3.2720000000000002</v>
      </c>
      <c r="BB1573">
        <v>-13.409836065573773</v>
      </c>
      <c r="BC1573" t="s">
        <v>133</v>
      </c>
      <c r="BD1573">
        <v>0</v>
      </c>
      <c r="BE1573" t="s">
        <v>133</v>
      </c>
      <c r="BF157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3.4159999999999999</v>
      </c>
    </row>
    <row r="1574" spans="1:58" x14ac:dyDescent="0.25">
      <c r="A1574" t="s">
        <v>1886</v>
      </c>
      <c r="B1574" t="s">
        <v>19</v>
      </c>
      <c r="C1574">
        <v>4</v>
      </c>
      <c r="D1574">
        <v>120</v>
      </c>
      <c r="E1574" t="s">
        <v>2112</v>
      </c>
      <c r="F1574" t="s">
        <v>123</v>
      </c>
      <c r="G1574" t="s">
        <v>124</v>
      </c>
      <c r="H1574" t="s">
        <v>125</v>
      </c>
      <c r="I1574" t="s">
        <v>126</v>
      </c>
      <c r="J1574" t="s">
        <v>126</v>
      </c>
      <c r="K1574" t="s">
        <v>127</v>
      </c>
      <c r="L1574">
        <v>50</v>
      </c>
      <c r="M1574">
        <v>1511331</v>
      </c>
      <c r="N1574">
        <v>6</v>
      </c>
      <c r="O1574">
        <v>6</v>
      </c>
      <c r="P1574" t="s">
        <v>1764</v>
      </c>
      <c r="Q1574" t="s">
        <v>1879</v>
      </c>
      <c r="R1574">
        <v>11</v>
      </c>
      <c r="T1574">
        <v>8</v>
      </c>
      <c r="U1574">
        <v>13</v>
      </c>
      <c r="V1574">
        <v>18</v>
      </c>
      <c r="W1574">
        <v>0</v>
      </c>
      <c r="X1574">
        <v>18</v>
      </c>
      <c r="Y1574">
        <v>0</v>
      </c>
      <c r="Z1574">
        <v>26</v>
      </c>
      <c r="AA1574">
        <v>31</v>
      </c>
      <c r="AB1574">
        <v>50</v>
      </c>
      <c r="AC1574">
        <v>16</v>
      </c>
      <c r="AD1574">
        <v>31</v>
      </c>
      <c r="AE1574">
        <v>0</v>
      </c>
      <c r="AF1574">
        <v>47</v>
      </c>
      <c r="AG1574">
        <v>0</v>
      </c>
      <c r="AH1574">
        <v>34</v>
      </c>
      <c r="AI1574">
        <v>3</v>
      </c>
      <c r="AJ1574">
        <v>34</v>
      </c>
      <c r="AK1574">
        <v>34</v>
      </c>
      <c r="AL1574">
        <v>0</v>
      </c>
      <c r="AM1574">
        <v>0.12</v>
      </c>
      <c r="AN1574">
        <v>3.0909090909090908</v>
      </c>
      <c r="AO1574">
        <v>0</v>
      </c>
      <c r="AP1574" t="s">
        <v>130</v>
      </c>
      <c r="AQ1574" t="s">
        <v>131</v>
      </c>
      <c r="AR1574" t="s">
        <v>1766</v>
      </c>
      <c r="AS1574">
        <v>979</v>
      </c>
      <c r="AT1574">
        <v>938</v>
      </c>
      <c r="AU1574">
        <v>0</v>
      </c>
      <c r="AV1574">
        <v>0</v>
      </c>
      <c r="AW1574">
        <v>1.917</v>
      </c>
      <c r="AX1574">
        <v>0.1198125</v>
      </c>
      <c r="AY1574">
        <v>5.6311875000000002</v>
      </c>
      <c r="AZ1574" t="s">
        <v>135</v>
      </c>
      <c r="BA1574">
        <v>0.36881249999999977</v>
      </c>
      <c r="BB1574">
        <v>3.0782472613458509</v>
      </c>
      <c r="BC1574" t="s">
        <v>133</v>
      </c>
      <c r="BD1574">
        <v>0</v>
      </c>
      <c r="BE1574" t="s">
        <v>133</v>
      </c>
      <c r="BF157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1.917</v>
      </c>
    </row>
    <row r="1575" spans="1:58" x14ac:dyDescent="0.25">
      <c r="A1575" t="s">
        <v>1887</v>
      </c>
      <c r="B1575" t="s">
        <v>19</v>
      </c>
      <c r="C1575">
        <v>4</v>
      </c>
      <c r="D1575">
        <v>121</v>
      </c>
      <c r="E1575" t="s">
        <v>2112</v>
      </c>
      <c r="F1575" t="s">
        <v>123</v>
      </c>
      <c r="G1575" t="s">
        <v>124</v>
      </c>
      <c r="H1575" t="s">
        <v>125</v>
      </c>
      <c r="I1575" t="s">
        <v>126</v>
      </c>
      <c r="J1575" t="s">
        <v>126</v>
      </c>
      <c r="K1575" t="s">
        <v>127</v>
      </c>
      <c r="L1575">
        <v>50</v>
      </c>
      <c r="M1575">
        <v>1511333</v>
      </c>
      <c r="N1575">
        <v>6</v>
      </c>
      <c r="O1575">
        <v>6</v>
      </c>
      <c r="P1575" t="s">
        <v>1764</v>
      </c>
      <c r="Q1575" t="s">
        <v>1879</v>
      </c>
      <c r="R1575">
        <v>11</v>
      </c>
      <c r="T1575">
        <v>8</v>
      </c>
      <c r="U1575">
        <v>13</v>
      </c>
      <c r="V1575">
        <v>5</v>
      </c>
      <c r="W1575">
        <v>0</v>
      </c>
      <c r="X1575">
        <v>5</v>
      </c>
      <c r="Y1575">
        <v>10</v>
      </c>
      <c r="Z1575">
        <v>23</v>
      </c>
      <c r="AA1575">
        <v>28</v>
      </c>
      <c r="AB1575">
        <v>50</v>
      </c>
      <c r="AC1575">
        <v>19</v>
      </c>
      <c r="AD1575">
        <v>10</v>
      </c>
      <c r="AE1575">
        <v>10</v>
      </c>
      <c r="AF1575">
        <v>39</v>
      </c>
      <c r="AG1575">
        <v>0</v>
      </c>
      <c r="AH1575">
        <v>31</v>
      </c>
      <c r="AI1575">
        <v>11</v>
      </c>
      <c r="AJ1575">
        <v>21</v>
      </c>
      <c r="AK1575">
        <v>31</v>
      </c>
      <c r="AL1575">
        <v>0</v>
      </c>
      <c r="AM1575">
        <v>0.12</v>
      </c>
      <c r="AN1575">
        <v>1.9090909090909092</v>
      </c>
      <c r="AO1575">
        <v>0</v>
      </c>
      <c r="AP1575" t="s">
        <v>130</v>
      </c>
      <c r="AQ1575" t="s">
        <v>131</v>
      </c>
      <c r="AR1575" t="s">
        <v>1766</v>
      </c>
      <c r="AS1575">
        <v>1333</v>
      </c>
      <c r="AT1575">
        <v>1438</v>
      </c>
      <c r="AU1575">
        <v>0</v>
      </c>
      <c r="AV1575">
        <v>0</v>
      </c>
      <c r="AW1575">
        <v>2.7709999999999999</v>
      </c>
      <c r="AX1575">
        <v>0.14584210526315788</v>
      </c>
      <c r="AY1575">
        <v>5.6878421052631571</v>
      </c>
      <c r="AZ1575" t="s">
        <v>135</v>
      </c>
      <c r="BA1575">
        <v>0.31215789473684286</v>
      </c>
      <c r="BB1575">
        <v>2.1403825333814561</v>
      </c>
      <c r="BC1575" t="s">
        <v>133</v>
      </c>
      <c r="BD1575">
        <v>0</v>
      </c>
      <c r="BE1575" t="s">
        <v>133</v>
      </c>
      <c r="BF157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2.7709999999999999</v>
      </c>
    </row>
    <row r="1576" spans="1:58" x14ac:dyDescent="0.25">
      <c r="A1576" t="s">
        <v>1888</v>
      </c>
      <c r="B1576" t="s">
        <v>19</v>
      </c>
      <c r="C1576">
        <v>4</v>
      </c>
      <c r="D1576">
        <v>122</v>
      </c>
      <c r="E1576" t="s">
        <v>2112</v>
      </c>
      <c r="F1576" t="s">
        <v>123</v>
      </c>
      <c r="G1576" t="s">
        <v>124</v>
      </c>
      <c r="H1576" t="s">
        <v>125</v>
      </c>
      <c r="I1576" t="s">
        <v>126</v>
      </c>
      <c r="J1576" t="s">
        <v>126</v>
      </c>
      <c r="K1576" t="s">
        <v>127</v>
      </c>
      <c r="L1576">
        <v>50</v>
      </c>
      <c r="M1576">
        <v>1511335</v>
      </c>
      <c r="N1576">
        <v>6</v>
      </c>
      <c r="O1576">
        <v>6</v>
      </c>
      <c r="P1576" t="s">
        <v>1764</v>
      </c>
      <c r="Q1576" t="s">
        <v>1879</v>
      </c>
      <c r="R1576">
        <v>11</v>
      </c>
      <c r="T1576">
        <v>8</v>
      </c>
      <c r="U1576">
        <v>13</v>
      </c>
      <c r="V1576">
        <v>6</v>
      </c>
      <c r="W1576">
        <v>0</v>
      </c>
      <c r="X1576">
        <v>6</v>
      </c>
      <c r="Y1576">
        <v>15</v>
      </c>
      <c r="Z1576">
        <v>29</v>
      </c>
      <c r="AA1576">
        <v>34</v>
      </c>
      <c r="AB1576">
        <v>50</v>
      </c>
      <c r="AC1576">
        <v>14</v>
      </c>
      <c r="AD1576">
        <v>12</v>
      </c>
      <c r="AE1576">
        <v>20</v>
      </c>
      <c r="AF1576">
        <v>46</v>
      </c>
      <c r="AG1576">
        <v>0</v>
      </c>
      <c r="AH1576">
        <v>36</v>
      </c>
      <c r="AI1576">
        <v>4</v>
      </c>
      <c r="AJ1576">
        <v>16</v>
      </c>
      <c r="AK1576">
        <v>36</v>
      </c>
      <c r="AL1576">
        <v>0</v>
      </c>
      <c r="AM1576">
        <v>0.12</v>
      </c>
      <c r="AN1576">
        <v>1.4545454545454546</v>
      </c>
      <c r="AO1576">
        <v>0</v>
      </c>
      <c r="AP1576" t="s">
        <v>130</v>
      </c>
      <c r="AQ1576" t="s">
        <v>131</v>
      </c>
      <c r="AR1576" t="s">
        <v>1766</v>
      </c>
      <c r="AS1576">
        <v>1957</v>
      </c>
      <c r="AT1576">
        <v>1974</v>
      </c>
      <c r="AU1576">
        <v>0</v>
      </c>
      <c r="AV1576">
        <v>0</v>
      </c>
      <c r="AW1576">
        <v>3.931</v>
      </c>
      <c r="AX1576">
        <v>0.28078571428571431</v>
      </c>
      <c r="AY1576">
        <v>12.916142857142859</v>
      </c>
      <c r="AZ1576" t="s">
        <v>135</v>
      </c>
      <c r="BA1576">
        <v>-6.9161428571428587</v>
      </c>
      <c r="BB1576">
        <v>-24.631391503434244</v>
      </c>
      <c r="BC1576" t="s">
        <v>144</v>
      </c>
      <c r="BD1576">
        <v>0</v>
      </c>
      <c r="BE1576" t="s">
        <v>133</v>
      </c>
      <c r="BF157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3.931</v>
      </c>
    </row>
    <row r="1577" spans="1:58" x14ac:dyDescent="0.25">
      <c r="A1577" t="s">
        <v>1889</v>
      </c>
      <c r="B1577" t="s">
        <v>19</v>
      </c>
      <c r="C1577">
        <v>4</v>
      </c>
      <c r="D1577">
        <v>123</v>
      </c>
      <c r="E1577" t="s">
        <v>2112</v>
      </c>
      <c r="F1577" t="s">
        <v>123</v>
      </c>
      <c r="G1577" t="s">
        <v>124</v>
      </c>
      <c r="H1577" t="s">
        <v>125</v>
      </c>
      <c r="I1577" t="s">
        <v>126</v>
      </c>
      <c r="J1577" t="s">
        <v>126</v>
      </c>
      <c r="K1577" t="s">
        <v>127</v>
      </c>
      <c r="L1577">
        <v>50</v>
      </c>
      <c r="M1577">
        <v>1511337</v>
      </c>
      <c r="N1577">
        <v>6</v>
      </c>
      <c r="O1577">
        <v>6</v>
      </c>
      <c r="P1577" t="s">
        <v>1764</v>
      </c>
      <c r="Q1577" t="s">
        <v>1879</v>
      </c>
      <c r="R1577">
        <v>12</v>
      </c>
      <c r="T1577">
        <v>6</v>
      </c>
      <c r="U1577">
        <v>11</v>
      </c>
      <c r="V1577">
        <v>3</v>
      </c>
      <c r="W1577">
        <v>0</v>
      </c>
      <c r="X1577">
        <v>3</v>
      </c>
      <c r="Y1577">
        <v>18</v>
      </c>
      <c r="Z1577">
        <v>27</v>
      </c>
      <c r="AA1577">
        <v>32</v>
      </c>
      <c r="AB1577">
        <v>50</v>
      </c>
      <c r="AC1577">
        <v>15</v>
      </c>
      <c r="AD1577">
        <v>6</v>
      </c>
      <c r="AE1577">
        <v>26</v>
      </c>
      <c r="AF1577">
        <v>47</v>
      </c>
      <c r="AG1577">
        <v>0</v>
      </c>
      <c r="AH1577">
        <v>35</v>
      </c>
      <c r="AI1577">
        <v>3</v>
      </c>
      <c r="AJ1577">
        <v>9</v>
      </c>
      <c r="AK1577">
        <v>35</v>
      </c>
      <c r="AL1577">
        <v>0</v>
      </c>
      <c r="AM1577">
        <v>0.12</v>
      </c>
      <c r="AN1577">
        <v>0.81818181818181823</v>
      </c>
      <c r="AO1577">
        <v>0</v>
      </c>
      <c r="AP1577" t="s">
        <v>130</v>
      </c>
      <c r="AQ1577" t="s">
        <v>131</v>
      </c>
      <c r="AR1577" t="s">
        <v>1766</v>
      </c>
      <c r="AS1577">
        <v>1482</v>
      </c>
      <c r="AT1577">
        <v>1213</v>
      </c>
      <c r="AU1577">
        <v>0</v>
      </c>
      <c r="AV1577">
        <v>0</v>
      </c>
      <c r="AW1577">
        <v>2.6949999999999998</v>
      </c>
      <c r="AX1577">
        <v>0.17966666666666667</v>
      </c>
      <c r="AY1577">
        <v>8.4443333333333328</v>
      </c>
      <c r="AZ1577" t="s">
        <v>135</v>
      </c>
      <c r="BA1577">
        <v>-2.4443333333333328</v>
      </c>
      <c r="BB1577">
        <v>-13.604823747680888</v>
      </c>
      <c r="BC1577" t="s">
        <v>132</v>
      </c>
      <c r="BD1577">
        <v>0</v>
      </c>
      <c r="BE1577" t="s">
        <v>133</v>
      </c>
      <c r="BF157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2.6949999999999998</v>
      </c>
    </row>
    <row r="1578" spans="1:58" x14ac:dyDescent="0.25">
      <c r="A1578" t="s">
        <v>1890</v>
      </c>
      <c r="B1578" t="s">
        <v>19</v>
      </c>
      <c r="C1578">
        <v>4</v>
      </c>
      <c r="D1578">
        <v>124</v>
      </c>
      <c r="E1578" t="s">
        <v>2112</v>
      </c>
      <c r="F1578" t="s">
        <v>123</v>
      </c>
      <c r="G1578" t="s">
        <v>124</v>
      </c>
      <c r="H1578" t="s">
        <v>125</v>
      </c>
      <c r="I1578" t="s">
        <v>126</v>
      </c>
      <c r="J1578" t="s">
        <v>126</v>
      </c>
      <c r="K1578" t="s">
        <v>127</v>
      </c>
      <c r="L1578">
        <v>50</v>
      </c>
      <c r="M1578">
        <v>1511339</v>
      </c>
      <c r="N1578">
        <v>6</v>
      </c>
      <c r="O1578">
        <v>6</v>
      </c>
      <c r="P1578" t="s">
        <v>1764</v>
      </c>
      <c r="Q1578" t="s">
        <v>1879</v>
      </c>
      <c r="R1578">
        <v>12</v>
      </c>
      <c r="T1578">
        <v>2</v>
      </c>
      <c r="U1578">
        <v>7</v>
      </c>
      <c r="V1578">
        <v>5</v>
      </c>
      <c r="W1578">
        <v>0</v>
      </c>
      <c r="X1578">
        <v>5</v>
      </c>
      <c r="Y1578">
        <v>16</v>
      </c>
      <c r="Z1578">
        <v>23</v>
      </c>
      <c r="AA1578">
        <v>28</v>
      </c>
      <c r="AB1578">
        <v>50</v>
      </c>
      <c r="AC1578">
        <v>8</v>
      </c>
      <c r="AD1578">
        <v>8</v>
      </c>
      <c r="AE1578">
        <v>24</v>
      </c>
      <c r="AF1578">
        <v>40</v>
      </c>
      <c r="AG1578">
        <v>0</v>
      </c>
      <c r="AH1578">
        <v>42</v>
      </c>
      <c r="AI1578">
        <v>10</v>
      </c>
      <c r="AJ1578">
        <v>18</v>
      </c>
      <c r="AK1578">
        <v>42</v>
      </c>
      <c r="AL1578">
        <v>0</v>
      </c>
      <c r="AM1578">
        <v>0.12</v>
      </c>
      <c r="AN1578">
        <v>1.6363636363636365</v>
      </c>
      <c r="AO1578">
        <v>0</v>
      </c>
      <c r="AP1578" t="s">
        <v>130</v>
      </c>
      <c r="AQ1578" t="s">
        <v>131</v>
      </c>
      <c r="AR1578" t="s">
        <v>1766</v>
      </c>
      <c r="AS1578">
        <v>678</v>
      </c>
      <c r="AT1578">
        <v>653</v>
      </c>
      <c r="AU1578">
        <v>0</v>
      </c>
      <c r="AV1578">
        <v>0</v>
      </c>
      <c r="AW1578">
        <v>1.331</v>
      </c>
      <c r="AX1578">
        <v>0.166375</v>
      </c>
      <c r="AY1578">
        <v>6.6549999999999994</v>
      </c>
      <c r="AZ1578" t="s">
        <v>135</v>
      </c>
      <c r="BA1578">
        <v>-0.65499999999999936</v>
      </c>
      <c r="BB1578">
        <v>-3.9368895567242639</v>
      </c>
      <c r="BC1578" t="s">
        <v>133</v>
      </c>
      <c r="BD1578">
        <v>0</v>
      </c>
      <c r="BE1578" t="s">
        <v>133</v>
      </c>
      <c r="BF157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1.331</v>
      </c>
    </row>
    <row r="1579" spans="1:58" x14ac:dyDescent="0.25">
      <c r="A1579" t="s">
        <v>1891</v>
      </c>
      <c r="B1579" t="s">
        <v>19</v>
      </c>
      <c r="C1579">
        <v>4</v>
      </c>
      <c r="D1579">
        <v>125</v>
      </c>
      <c r="E1579" t="s">
        <v>2112</v>
      </c>
      <c r="F1579" t="s">
        <v>123</v>
      </c>
      <c r="G1579" t="s">
        <v>124</v>
      </c>
      <c r="H1579" t="s">
        <v>125</v>
      </c>
      <c r="I1579" t="s">
        <v>126</v>
      </c>
      <c r="J1579" t="s">
        <v>126</v>
      </c>
      <c r="K1579" t="s">
        <v>127</v>
      </c>
      <c r="L1579">
        <v>50</v>
      </c>
      <c r="M1579">
        <v>1511341</v>
      </c>
      <c r="N1579">
        <v>6</v>
      </c>
      <c r="O1579">
        <v>6</v>
      </c>
      <c r="P1579" t="s">
        <v>1764</v>
      </c>
      <c r="Q1579" t="s">
        <v>1879</v>
      </c>
      <c r="R1579">
        <v>12</v>
      </c>
      <c r="T1579">
        <v>9</v>
      </c>
      <c r="U1579">
        <v>14</v>
      </c>
      <c r="V1579">
        <v>5</v>
      </c>
      <c r="W1579">
        <v>0</v>
      </c>
      <c r="X1579">
        <v>5</v>
      </c>
      <c r="Y1579">
        <v>8</v>
      </c>
      <c r="Z1579">
        <v>22</v>
      </c>
      <c r="AA1579">
        <v>27</v>
      </c>
      <c r="AB1579">
        <v>50</v>
      </c>
      <c r="AC1579">
        <v>20</v>
      </c>
      <c r="AD1579">
        <v>10</v>
      </c>
      <c r="AE1579">
        <v>8</v>
      </c>
      <c r="AF1579">
        <v>38</v>
      </c>
      <c r="AG1579">
        <v>0</v>
      </c>
      <c r="AH1579">
        <v>30</v>
      </c>
      <c r="AI1579">
        <v>12</v>
      </c>
      <c r="AJ1579">
        <v>22</v>
      </c>
      <c r="AK1579">
        <v>30</v>
      </c>
      <c r="AL1579">
        <v>0</v>
      </c>
      <c r="AM1579">
        <v>0.12</v>
      </c>
      <c r="AN1579">
        <v>2</v>
      </c>
      <c r="AO1579">
        <v>0</v>
      </c>
      <c r="AP1579" t="s">
        <v>130</v>
      </c>
      <c r="AQ1579" t="s">
        <v>131</v>
      </c>
      <c r="AR1579" t="s">
        <v>1766</v>
      </c>
      <c r="AS1579">
        <v>1480</v>
      </c>
      <c r="AT1579">
        <v>1480</v>
      </c>
      <c r="AU1579">
        <v>0</v>
      </c>
      <c r="AV1579">
        <v>0</v>
      </c>
      <c r="AW1579">
        <v>2.96</v>
      </c>
      <c r="AX1579">
        <v>0.14799999999999999</v>
      </c>
      <c r="AY1579">
        <v>5.6239999999999997</v>
      </c>
      <c r="AZ1579" t="s">
        <v>135</v>
      </c>
      <c r="BA1579">
        <v>0.37600000000000033</v>
      </c>
      <c r="BB1579">
        <v>2.540540540540543</v>
      </c>
      <c r="BC1579" t="s">
        <v>133</v>
      </c>
      <c r="BD1579">
        <v>0</v>
      </c>
      <c r="BE1579" t="s">
        <v>133</v>
      </c>
      <c r="BF157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2.96</v>
      </c>
    </row>
    <row r="1580" spans="1:58" x14ac:dyDescent="0.25">
      <c r="A1580" t="s">
        <v>1892</v>
      </c>
      <c r="B1580" t="s">
        <v>19</v>
      </c>
      <c r="C1580">
        <v>4</v>
      </c>
      <c r="D1580">
        <v>126</v>
      </c>
      <c r="E1580" t="s">
        <v>2112</v>
      </c>
      <c r="F1580" t="s">
        <v>123</v>
      </c>
      <c r="G1580" t="s">
        <v>124</v>
      </c>
      <c r="H1580" t="s">
        <v>125</v>
      </c>
      <c r="I1580" t="s">
        <v>126</v>
      </c>
      <c r="J1580" t="s">
        <v>126</v>
      </c>
      <c r="K1580" t="s">
        <v>127</v>
      </c>
      <c r="L1580">
        <v>50</v>
      </c>
      <c r="M1580">
        <v>1511343</v>
      </c>
      <c r="N1580">
        <v>6</v>
      </c>
      <c r="O1580">
        <v>6</v>
      </c>
      <c r="P1580" t="s">
        <v>1764</v>
      </c>
      <c r="Q1580" t="s">
        <v>1879</v>
      </c>
      <c r="R1580">
        <v>12</v>
      </c>
      <c r="T1580">
        <v>4</v>
      </c>
      <c r="U1580">
        <v>9</v>
      </c>
      <c r="V1580">
        <v>0</v>
      </c>
      <c r="W1580">
        <v>0</v>
      </c>
      <c r="X1580">
        <v>0</v>
      </c>
      <c r="Y1580">
        <v>22</v>
      </c>
      <c r="Z1580">
        <v>26</v>
      </c>
      <c r="AA1580">
        <v>31</v>
      </c>
      <c r="AB1580">
        <v>50</v>
      </c>
      <c r="AC1580">
        <v>11</v>
      </c>
      <c r="AD1580">
        <v>0</v>
      </c>
      <c r="AE1580">
        <v>25</v>
      </c>
      <c r="AF1580">
        <v>36</v>
      </c>
      <c r="AG1580">
        <v>0</v>
      </c>
      <c r="AH1580">
        <v>39</v>
      </c>
      <c r="AI1580">
        <v>14</v>
      </c>
      <c r="AJ1580">
        <v>14</v>
      </c>
      <c r="AK1580">
        <v>39</v>
      </c>
      <c r="AL1580">
        <v>0</v>
      </c>
      <c r="AM1580">
        <v>0.12</v>
      </c>
      <c r="AN1580">
        <v>1.2727272727272727</v>
      </c>
      <c r="AO1580">
        <v>0</v>
      </c>
      <c r="AP1580" t="s">
        <v>130</v>
      </c>
      <c r="AQ1580" t="s">
        <v>131</v>
      </c>
      <c r="AR1580" t="s">
        <v>1766</v>
      </c>
      <c r="AS1580">
        <v>935</v>
      </c>
      <c r="AT1580">
        <v>858</v>
      </c>
      <c r="AU1580">
        <v>0</v>
      </c>
      <c r="AV1580">
        <v>0</v>
      </c>
      <c r="AW1580">
        <v>1.7929999999999999</v>
      </c>
      <c r="AX1580">
        <v>0.16300000000000001</v>
      </c>
      <c r="AY1580">
        <v>5.8680000000000003</v>
      </c>
      <c r="AZ1580" t="s">
        <v>135</v>
      </c>
      <c r="BA1580">
        <v>0.13199999999999967</v>
      </c>
      <c r="BB1580">
        <v>0.80981595092024339</v>
      </c>
      <c r="BC1580" t="s">
        <v>133</v>
      </c>
      <c r="BD1580">
        <v>0</v>
      </c>
      <c r="BE1580" t="s">
        <v>133</v>
      </c>
      <c r="BF158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1.7929999999999999</v>
      </c>
    </row>
    <row r="1581" spans="1:58" x14ac:dyDescent="0.25">
      <c r="A1581" t="s">
        <v>1893</v>
      </c>
      <c r="B1581" t="s">
        <v>19</v>
      </c>
      <c r="C1581">
        <v>4</v>
      </c>
      <c r="D1581">
        <v>127</v>
      </c>
      <c r="E1581" t="s">
        <v>2112</v>
      </c>
      <c r="F1581" t="s">
        <v>123</v>
      </c>
      <c r="G1581" t="s">
        <v>124</v>
      </c>
      <c r="H1581" t="s">
        <v>125</v>
      </c>
      <c r="I1581" t="s">
        <v>126</v>
      </c>
      <c r="J1581" t="s">
        <v>126</v>
      </c>
      <c r="K1581" t="s">
        <v>127</v>
      </c>
      <c r="L1581">
        <v>50</v>
      </c>
      <c r="M1581">
        <v>1511345</v>
      </c>
      <c r="N1581">
        <v>6</v>
      </c>
      <c r="O1581">
        <v>6</v>
      </c>
      <c r="P1581" t="s">
        <v>1764</v>
      </c>
      <c r="Q1581" t="s">
        <v>1879</v>
      </c>
      <c r="R1581">
        <v>12</v>
      </c>
      <c r="T1581">
        <v>2</v>
      </c>
      <c r="U1581">
        <v>7</v>
      </c>
      <c r="V1581">
        <v>8</v>
      </c>
      <c r="W1581">
        <v>0</v>
      </c>
      <c r="X1581">
        <v>8</v>
      </c>
      <c r="Y1581">
        <v>15</v>
      </c>
      <c r="Z1581">
        <v>25</v>
      </c>
      <c r="AA1581">
        <v>30</v>
      </c>
      <c r="AB1581">
        <v>50</v>
      </c>
      <c r="AC1581">
        <v>7</v>
      </c>
      <c r="AD1581">
        <v>15</v>
      </c>
      <c r="AE1581">
        <v>16</v>
      </c>
      <c r="AF1581">
        <v>38</v>
      </c>
      <c r="AG1581">
        <v>0</v>
      </c>
      <c r="AH1581">
        <v>43</v>
      </c>
      <c r="AI1581">
        <v>12</v>
      </c>
      <c r="AJ1581">
        <v>27</v>
      </c>
      <c r="AK1581">
        <v>43</v>
      </c>
      <c r="AL1581">
        <v>0</v>
      </c>
      <c r="AM1581">
        <v>0.12</v>
      </c>
      <c r="AN1581">
        <v>2.4545454545454546</v>
      </c>
      <c r="AO1581">
        <v>0</v>
      </c>
      <c r="AP1581" t="s">
        <v>130</v>
      </c>
      <c r="AQ1581" t="s">
        <v>131</v>
      </c>
      <c r="AR1581" t="s">
        <v>1766</v>
      </c>
      <c r="AS1581">
        <v>715</v>
      </c>
      <c r="AT1581">
        <v>645</v>
      </c>
      <c r="AU1581">
        <v>0</v>
      </c>
      <c r="AV1581">
        <v>0</v>
      </c>
      <c r="AW1581">
        <v>1.36</v>
      </c>
      <c r="AX1581">
        <v>0.19428571428571431</v>
      </c>
      <c r="AY1581">
        <v>7.3828571428571435</v>
      </c>
      <c r="AZ1581" t="s">
        <v>135</v>
      </c>
      <c r="BA1581">
        <v>-1.3828571428571435</v>
      </c>
      <c r="BB1581">
        <v>-7.1176470588235317</v>
      </c>
      <c r="BC1581" t="s">
        <v>133</v>
      </c>
      <c r="BD1581">
        <v>0</v>
      </c>
      <c r="BE1581" t="s">
        <v>133</v>
      </c>
      <c r="BF158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1.36</v>
      </c>
    </row>
    <row r="1582" spans="1:58" x14ac:dyDescent="0.25">
      <c r="A1582" t="s">
        <v>1894</v>
      </c>
      <c r="B1582" t="s">
        <v>19</v>
      </c>
      <c r="C1582">
        <v>4</v>
      </c>
      <c r="D1582">
        <v>128</v>
      </c>
      <c r="E1582" t="s">
        <v>2112</v>
      </c>
      <c r="F1582" t="s">
        <v>123</v>
      </c>
      <c r="G1582" t="s">
        <v>124</v>
      </c>
      <c r="H1582" t="s">
        <v>125</v>
      </c>
      <c r="I1582" t="s">
        <v>126</v>
      </c>
      <c r="J1582" t="s">
        <v>126</v>
      </c>
      <c r="K1582" t="s">
        <v>127</v>
      </c>
      <c r="L1582">
        <v>50</v>
      </c>
      <c r="M1582">
        <v>1511347</v>
      </c>
      <c r="N1582">
        <v>6</v>
      </c>
      <c r="O1582">
        <v>6</v>
      </c>
      <c r="P1582" t="s">
        <v>1764</v>
      </c>
      <c r="Q1582" t="s">
        <v>1879</v>
      </c>
      <c r="R1582">
        <v>12</v>
      </c>
      <c r="T1582">
        <v>12</v>
      </c>
      <c r="U1582">
        <v>17</v>
      </c>
      <c r="V1582">
        <v>1</v>
      </c>
      <c r="W1582">
        <v>0</v>
      </c>
      <c r="X1582">
        <v>1</v>
      </c>
      <c r="Y1582">
        <v>12</v>
      </c>
      <c r="Z1582">
        <v>25</v>
      </c>
      <c r="AA1582">
        <v>30</v>
      </c>
      <c r="AB1582">
        <v>50</v>
      </c>
      <c r="AC1582">
        <v>24</v>
      </c>
      <c r="AD1582">
        <v>2</v>
      </c>
      <c r="AE1582">
        <v>16</v>
      </c>
      <c r="AF1582">
        <v>42</v>
      </c>
      <c r="AG1582">
        <v>0</v>
      </c>
      <c r="AH1582">
        <v>26</v>
      </c>
      <c r="AI1582">
        <v>8</v>
      </c>
      <c r="AJ1582">
        <v>10</v>
      </c>
      <c r="AK1582">
        <v>26</v>
      </c>
      <c r="AL1582">
        <v>0</v>
      </c>
      <c r="AM1582">
        <v>0.12</v>
      </c>
      <c r="AN1582">
        <v>0.90909090909090917</v>
      </c>
      <c r="AO1582">
        <v>0</v>
      </c>
      <c r="AP1582" t="s">
        <v>130</v>
      </c>
      <c r="AQ1582" t="s">
        <v>131</v>
      </c>
      <c r="AR1582" t="s">
        <v>1766</v>
      </c>
      <c r="AS1582">
        <v>2001</v>
      </c>
      <c r="AT1582">
        <v>2440</v>
      </c>
      <c r="AU1582">
        <v>0</v>
      </c>
      <c r="AV1582">
        <v>0</v>
      </c>
      <c r="AW1582">
        <v>4.4409999999999998</v>
      </c>
      <c r="AX1582">
        <v>0.18504166666666666</v>
      </c>
      <c r="AY1582">
        <v>7.7717499999999999</v>
      </c>
      <c r="AZ1582" t="s">
        <v>135</v>
      </c>
      <c r="BA1582">
        <v>-1.7717499999999999</v>
      </c>
      <c r="BB1582">
        <v>-9.5748705246566086</v>
      </c>
      <c r="BC1582" t="s">
        <v>133</v>
      </c>
      <c r="BD1582">
        <v>0</v>
      </c>
      <c r="BE1582" t="s">
        <v>133</v>
      </c>
      <c r="BF158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4.4409999999999998</v>
      </c>
    </row>
    <row r="1583" spans="1:58" x14ac:dyDescent="0.25">
      <c r="A1583" t="s">
        <v>1895</v>
      </c>
      <c r="B1583" t="s">
        <v>19</v>
      </c>
      <c r="C1583">
        <v>4</v>
      </c>
      <c r="D1583">
        <v>129</v>
      </c>
      <c r="E1583" t="s">
        <v>2112</v>
      </c>
      <c r="F1583" t="s">
        <v>123</v>
      </c>
      <c r="G1583" t="s">
        <v>124</v>
      </c>
      <c r="H1583" t="s">
        <v>136</v>
      </c>
      <c r="I1583" t="s">
        <v>137</v>
      </c>
      <c r="J1583" t="s">
        <v>138</v>
      </c>
      <c r="K1583" t="s">
        <v>127</v>
      </c>
      <c r="L1583">
        <v>50</v>
      </c>
      <c r="M1583">
        <v>1511349</v>
      </c>
      <c r="N1583">
        <v>5</v>
      </c>
      <c r="O1583">
        <v>6</v>
      </c>
      <c r="P1583" t="s">
        <v>1764</v>
      </c>
      <c r="Q1583" t="s">
        <v>1879</v>
      </c>
      <c r="R1583">
        <v>12</v>
      </c>
      <c r="T1583">
        <v>0</v>
      </c>
      <c r="U1583">
        <v>4</v>
      </c>
      <c r="V1583">
        <v>0</v>
      </c>
      <c r="W1583">
        <v>0</v>
      </c>
      <c r="X1583">
        <v>0</v>
      </c>
      <c r="Y1583">
        <v>0</v>
      </c>
      <c r="Z1583">
        <v>0</v>
      </c>
      <c r="AA1583">
        <v>4</v>
      </c>
      <c r="AB1583">
        <v>50</v>
      </c>
      <c r="AC1583">
        <v>4</v>
      </c>
      <c r="AD1583">
        <v>0</v>
      </c>
      <c r="AE1583">
        <v>0</v>
      </c>
      <c r="AF1583">
        <v>4</v>
      </c>
      <c r="AG1583">
        <v>0</v>
      </c>
      <c r="AH1583">
        <v>46</v>
      </c>
      <c r="AI1583">
        <v>46</v>
      </c>
      <c r="AJ1583">
        <v>46</v>
      </c>
      <c r="AK1583">
        <v>46</v>
      </c>
      <c r="AL1583">
        <v>0</v>
      </c>
      <c r="AM1583">
        <v>0.1</v>
      </c>
      <c r="AN1583">
        <v>4.1818181818181817</v>
      </c>
      <c r="AO1583">
        <v>0</v>
      </c>
      <c r="AP1583" t="s">
        <v>139</v>
      </c>
      <c r="AQ1583" t="s">
        <v>131</v>
      </c>
      <c r="AR1583" t="s">
        <v>1766</v>
      </c>
      <c r="AS1583">
        <v>0</v>
      </c>
      <c r="AT1583">
        <v>0</v>
      </c>
      <c r="AU1583">
        <v>0</v>
      </c>
      <c r="AV1583">
        <v>0</v>
      </c>
      <c r="AW1583">
        <v>0</v>
      </c>
      <c r="AX1583">
        <v>0</v>
      </c>
      <c r="AY1583">
        <v>0</v>
      </c>
      <c r="AZ1583" t="s">
        <v>134</v>
      </c>
      <c r="BA1583">
        <v>5</v>
      </c>
      <c r="BB1583">
        <v>0</v>
      </c>
      <c r="BC1583" t="s">
        <v>133</v>
      </c>
      <c r="BD1583">
        <v>0</v>
      </c>
      <c r="BE1583" t="s">
        <v>133</v>
      </c>
      <c r="BF158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84" spans="1:58" x14ac:dyDescent="0.25">
      <c r="A1584" t="s">
        <v>1896</v>
      </c>
      <c r="B1584" t="s">
        <v>19</v>
      </c>
      <c r="C1584">
        <v>4</v>
      </c>
      <c r="D1584">
        <v>130</v>
      </c>
      <c r="E1584" t="s">
        <v>2112</v>
      </c>
      <c r="F1584" t="s">
        <v>123</v>
      </c>
      <c r="G1584" t="s">
        <v>124</v>
      </c>
      <c r="H1584" t="s">
        <v>125</v>
      </c>
      <c r="I1584" t="s">
        <v>126</v>
      </c>
      <c r="J1584" t="s">
        <v>126</v>
      </c>
      <c r="K1584" t="s">
        <v>127</v>
      </c>
      <c r="L1584">
        <v>50</v>
      </c>
      <c r="M1584">
        <v>1511351</v>
      </c>
      <c r="N1584">
        <v>6</v>
      </c>
      <c r="O1584">
        <v>6</v>
      </c>
      <c r="P1584" t="s">
        <v>1764</v>
      </c>
      <c r="Q1584" t="s">
        <v>1879</v>
      </c>
      <c r="R1584">
        <v>12</v>
      </c>
      <c r="T1584">
        <v>1</v>
      </c>
      <c r="U1584">
        <v>6</v>
      </c>
      <c r="V1584">
        <v>3</v>
      </c>
      <c r="W1584">
        <v>0</v>
      </c>
      <c r="X1584">
        <v>3</v>
      </c>
      <c r="Y1584">
        <v>13</v>
      </c>
      <c r="Z1584">
        <v>17</v>
      </c>
      <c r="AA1584">
        <v>22</v>
      </c>
      <c r="AB1584">
        <v>50</v>
      </c>
      <c r="AC1584">
        <v>7</v>
      </c>
      <c r="AD1584">
        <v>5</v>
      </c>
      <c r="AE1584">
        <v>18</v>
      </c>
      <c r="AF1584">
        <v>30</v>
      </c>
      <c r="AG1584">
        <v>0</v>
      </c>
      <c r="AH1584">
        <v>43</v>
      </c>
      <c r="AI1584">
        <v>20</v>
      </c>
      <c r="AJ1584">
        <v>25</v>
      </c>
      <c r="AK1584">
        <v>43</v>
      </c>
      <c r="AL1584">
        <v>0</v>
      </c>
      <c r="AM1584">
        <v>0.12</v>
      </c>
      <c r="AN1584">
        <v>2.2727272727272729</v>
      </c>
      <c r="AO1584">
        <v>0</v>
      </c>
      <c r="AP1584" t="s">
        <v>130</v>
      </c>
      <c r="AQ1584" t="s">
        <v>131</v>
      </c>
      <c r="AR1584" t="s">
        <v>1766</v>
      </c>
      <c r="AS1584">
        <v>821</v>
      </c>
      <c r="AT1584">
        <v>720</v>
      </c>
      <c r="AU1584">
        <v>0</v>
      </c>
      <c r="AV1584">
        <v>0</v>
      </c>
      <c r="AW1584">
        <v>1.5409999999999999</v>
      </c>
      <c r="AX1584">
        <v>0.22014285714285714</v>
      </c>
      <c r="AY1584">
        <v>6.6042857142857141</v>
      </c>
      <c r="AZ1584" t="s">
        <v>135</v>
      </c>
      <c r="BA1584">
        <v>-0.60428571428571409</v>
      </c>
      <c r="BB1584">
        <v>-2.7449707981829974</v>
      </c>
      <c r="BC1584" t="s">
        <v>133</v>
      </c>
      <c r="BD1584">
        <v>0</v>
      </c>
      <c r="BE1584" t="s">
        <v>133</v>
      </c>
      <c r="BF158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1.5409999999999999</v>
      </c>
    </row>
    <row r="1585" spans="1:58" x14ac:dyDescent="0.25">
      <c r="A1585" t="s">
        <v>1897</v>
      </c>
      <c r="B1585" t="s">
        <v>19</v>
      </c>
      <c r="C1585">
        <v>4</v>
      </c>
      <c r="D1585">
        <v>131</v>
      </c>
      <c r="E1585" t="s">
        <v>2112</v>
      </c>
      <c r="F1585" t="s">
        <v>123</v>
      </c>
      <c r="G1585" t="s">
        <v>124</v>
      </c>
      <c r="H1585" t="s">
        <v>125</v>
      </c>
      <c r="I1585" t="s">
        <v>126</v>
      </c>
      <c r="J1585" t="s">
        <v>126</v>
      </c>
      <c r="K1585" t="s">
        <v>127</v>
      </c>
      <c r="L1585">
        <v>50</v>
      </c>
      <c r="M1585">
        <v>1511353</v>
      </c>
      <c r="N1585">
        <v>6</v>
      </c>
      <c r="O1585">
        <v>6</v>
      </c>
      <c r="P1585" t="s">
        <v>1764</v>
      </c>
      <c r="Q1585" t="s">
        <v>1879</v>
      </c>
      <c r="R1585">
        <v>12</v>
      </c>
      <c r="T1585">
        <v>5</v>
      </c>
      <c r="U1585">
        <v>10</v>
      </c>
      <c r="V1585">
        <v>0</v>
      </c>
      <c r="W1585">
        <v>0</v>
      </c>
      <c r="X1585">
        <v>0</v>
      </c>
      <c r="Y1585">
        <v>17</v>
      </c>
      <c r="Z1585">
        <v>22</v>
      </c>
      <c r="AA1585">
        <v>27</v>
      </c>
      <c r="AB1585">
        <v>50</v>
      </c>
      <c r="AC1585">
        <v>13</v>
      </c>
      <c r="AD1585">
        <v>0</v>
      </c>
      <c r="AE1585">
        <v>26</v>
      </c>
      <c r="AF1585">
        <v>39</v>
      </c>
      <c r="AG1585">
        <v>0</v>
      </c>
      <c r="AH1585">
        <v>37</v>
      </c>
      <c r="AI1585">
        <v>11</v>
      </c>
      <c r="AJ1585">
        <v>11</v>
      </c>
      <c r="AK1585">
        <v>37</v>
      </c>
      <c r="AL1585">
        <v>0</v>
      </c>
      <c r="AM1585">
        <v>0.12</v>
      </c>
      <c r="AN1585">
        <v>1</v>
      </c>
      <c r="AO1585">
        <v>0</v>
      </c>
      <c r="AP1585" t="s">
        <v>130</v>
      </c>
      <c r="AQ1585" t="s">
        <v>131</v>
      </c>
      <c r="AR1585" t="s">
        <v>1766</v>
      </c>
      <c r="AS1585">
        <v>1374</v>
      </c>
      <c r="AT1585">
        <v>1375</v>
      </c>
      <c r="AU1585">
        <v>0</v>
      </c>
      <c r="AV1585">
        <v>0</v>
      </c>
      <c r="AW1585">
        <v>2.7490000000000001</v>
      </c>
      <c r="AX1585">
        <v>0.21146153846153848</v>
      </c>
      <c r="AY1585">
        <v>8.2469999999999999</v>
      </c>
      <c r="AZ1585" t="s">
        <v>135</v>
      </c>
      <c r="BA1585">
        <v>-2.2469999999999999</v>
      </c>
      <c r="BB1585">
        <v>-10.626045834849034</v>
      </c>
      <c r="BC1585" t="s">
        <v>133</v>
      </c>
      <c r="BD1585">
        <v>0</v>
      </c>
      <c r="BE1585" t="s">
        <v>133</v>
      </c>
      <c r="BF158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2.7490000000000001</v>
      </c>
    </row>
    <row r="1586" spans="1:58" x14ac:dyDescent="0.25">
      <c r="A1586" t="s">
        <v>1898</v>
      </c>
      <c r="B1586" t="s">
        <v>19</v>
      </c>
      <c r="C1586">
        <v>4</v>
      </c>
      <c r="D1586">
        <v>132</v>
      </c>
      <c r="E1586" t="s">
        <v>2112</v>
      </c>
      <c r="F1586" t="s">
        <v>123</v>
      </c>
      <c r="G1586" t="s">
        <v>124</v>
      </c>
      <c r="H1586" t="s">
        <v>125</v>
      </c>
      <c r="I1586" t="s">
        <v>126</v>
      </c>
      <c r="J1586" t="s">
        <v>126</v>
      </c>
      <c r="K1586" t="s">
        <v>127</v>
      </c>
      <c r="L1586">
        <v>50</v>
      </c>
      <c r="M1586">
        <v>1511355</v>
      </c>
      <c r="N1586">
        <v>6</v>
      </c>
      <c r="O1586">
        <v>6</v>
      </c>
      <c r="P1586" t="s">
        <v>1764</v>
      </c>
      <c r="Q1586" t="s">
        <v>1879</v>
      </c>
      <c r="R1586">
        <v>12</v>
      </c>
      <c r="T1586">
        <v>7</v>
      </c>
      <c r="U1586">
        <v>12</v>
      </c>
      <c r="V1586">
        <v>0</v>
      </c>
      <c r="W1586">
        <v>0</v>
      </c>
      <c r="X1586">
        <v>0</v>
      </c>
      <c r="Y1586">
        <v>13</v>
      </c>
      <c r="Z1586">
        <v>20</v>
      </c>
      <c r="AA1586">
        <v>25</v>
      </c>
      <c r="AB1586">
        <v>50</v>
      </c>
      <c r="AC1586">
        <v>18</v>
      </c>
      <c r="AD1586">
        <v>0</v>
      </c>
      <c r="AE1586">
        <v>19</v>
      </c>
      <c r="AF1586">
        <v>37</v>
      </c>
      <c r="AG1586">
        <v>0</v>
      </c>
      <c r="AH1586">
        <v>32</v>
      </c>
      <c r="AI1586">
        <v>13</v>
      </c>
      <c r="AJ1586">
        <v>13</v>
      </c>
      <c r="AK1586">
        <v>32</v>
      </c>
      <c r="AL1586">
        <v>0</v>
      </c>
      <c r="AM1586">
        <v>0.12</v>
      </c>
      <c r="AN1586">
        <v>1.1818181818181819</v>
      </c>
      <c r="AO1586">
        <v>0</v>
      </c>
      <c r="AP1586" t="s">
        <v>130</v>
      </c>
      <c r="AQ1586" t="s">
        <v>131</v>
      </c>
      <c r="AR1586" t="s">
        <v>1766</v>
      </c>
      <c r="AS1586">
        <v>1685</v>
      </c>
      <c r="AT1586">
        <v>1643</v>
      </c>
      <c r="AU1586">
        <v>0</v>
      </c>
      <c r="AV1586">
        <v>0</v>
      </c>
      <c r="AW1586">
        <v>3.3279999999999998</v>
      </c>
      <c r="AX1586">
        <v>0.18488888888888888</v>
      </c>
      <c r="AY1586">
        <v>6.8408888888888884</v>
      </c>
      <c r="AZ1586" t="s">
        <v>135</v>
      </c>
      <c r="BA1586">
        <v>-0.84088888888888835</v>
      </c>
      <c r="BB1586">
        <v>-4.5480769230769207</v>
      </c>
      <c r="BC1586" t="s">
        <v>133</v>
      </c>
      <c r="BD1586">
        <v>0</v>
      </c>
      <c r="BE1586" t="s">
        <v>133</v>
      </c>
      <c r="BF158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3.3279999999999998</v>
      </c>
    </row>
    <row r="1587" spans="1:58" x14ac:dyDescent="0.25">
      <c r="A1587" t="s">
        <v>1899</v>
      </c>
      <c r="B1587" t="s">
        <v>19</v>
      </c>
      <c r="C1587">
        <v>4</v>
      </c>
      <c r="D1587">
        <v>133</v>
      </c>
      <c r="E1587" t="s">
        <v>2112</v>
      </c>
      <c r="F1587" t="s">
        <v>123</v>
      </c>
      <c r="G1587" t="s">
        <v>124</v>
      </c>
      <c r="H1587" t="s">
        <v>125</v>
      </c>
      <c r="I1587" t="s">
        <v>126</v>
      </c>
      <c r="J1587" t="s">
        <v>126</v>
      </c>
      <c r="K1587" t="s">
        <v>127</v>
      </c>
      <c r="L1587">
        <v>50</v>
      </c>
      <c r="M1587">
        <v>1511357</v>
      </c>
      <c r="N1587">
        <v>6</v>
      </c>
      <c r="O1587">
        <v>6</v>
      </c>
      <c r="P1587" t="s">
        <v>1764</v>
      </c>
      <c r="Q1587" t="s">
        <v>1879</v>
      </c>
      <c r="R1587">
        <v>12</v>
      </c>
      <c r="T1587">
        <v>11</v>
      </c>
      <c r="U1587">
        <v>16</v>
      </c>
      <c r="V1587">
        <v>2</v>
      </c>
      <c r="W1587">
        <v>0</v>
      </c>
      <c r="X1587">
        <v>2</v>
      </c>
      <c r="Y1587">
        <v>9</v>
      </c>
      <c r="Z1587">
        <v>22</v>
      </c>
      <c r="AA1587">
        <v>27</v>
      </c>
      <c r="AB1587">
        <v>50</v>
      </c>
      <c r="AC1587">
        <v>22</v>
      </c>
      <c r="AD1587">
        <v>3</v>
      </c>
      <c r="AE1587">
        <v>15</v>
      </c>
      <c r="AF1587">
        <v>40</v>
      </c>
      <c r="AG1587">
        <v>0</v>
      </c>
      <c r="AH1587">
        <v>28</v>
      </c>
      <c r="AI1587">
        <v>10</v>
      </c>
      <c r="AJ1587">
        <v>13</v>
      </c>
      <c r="AK1587">
        <v>28</v>
      </c>
      <c r="AL1587">
        <v>0</v>
      </c>
      <c r="AM1587">
        <v>0.12</v>
      </c>
      <c r="AN1587">
        <v>1.1818181818181819</v>
      </c>
      <c r="AO1587">
        <v>0</v>
      </c>
      <c r="AP1587" t="s">
        <v>130</v>
      </c>
      <c r="AQ1587" t="s">
        <v>131</v>
      </c>
      <c r="AR1587" t="s">
        <v>1766</v>
      </c>
      <c r="AS1587">
        <v>982</v>
      </c>
      <c r="AT1587">
        <v>2155</v>
      </c>
      <c r="AU1587">
        <v>0</v>
      </c>
      <c r="AV1587">
        <v>0</v>
      </c>
      <c r="AW1587">
        <v>3.137</v>
      </c>
      <c r="AX1587">
        <v>0.1425909090909091</v>
      </c>
      <c r="AY1587">
        <v>5.7036363636363641</v>
      </c>
      <c r="AZ1587" t="s">
        <v>135</v>
      </c>
      <c r="BA1587">
        <v>0.29636363636363594</v>
      </c>
      <c r="BB1587">
        <v>2.0784188715333092</v>
      </c>
      <c r="BC1587" t="s">
        <v>133</v>
      </c>
      <c r="BD1587">
        <v>0</v>
      </c>
      <c r="BE1587" t="s">
        <v>133</v>
      </c>
      <c r="BF158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3.137</v>
      </c>
    </row>
    <row r="1588" spans="1:58" x14ac:dyDescent="0.25">
      <c r="A1588" t="s">
        <v>1900</v>
      </c>
      <c r="B1588" t="s">
        <v>19</v>
      </c>
      <c r="C1588">
        <v>4</v>
      </c>
      <c r="D1588">
        <v>134</v>
      </c>
      <c r="E1588" t="s">
        <v>2112</v>
      </c>
      <c r="F1588" t="s">
        <v>123</v>
      </c>
      <c r="G1588" t="s">
        <v>124</v>
      </c>
      <c r="H1588" t="s">
        <v>125</v>
      </c>
      <c r="I1588" t="s">
        <v>126</v>
      </c>
      <c r="J1588" t="s">
        <v>126</v>
      </c>
      <c r="K1588" t="s">
        <v>127</v>
      </c>
      <c r="L1588">
        <v>50</v>
      </c>
      <c r="M1588">
        <v>1511359</v>
      </c>
      <c r="N1588">
        <v>6</v>
      </c>
      <c r="O1588">
        <v>6</v>
      </c>
      <c r="P1588" t="s">
        <v>1764</v>
      </c>
      <c r="Q1588" t="s">
        <v>1879</v>
      </c>
      <c r="R1588">
        <v>12</v>
      </c>
      <c r="T1588">
        <v>4</v>
      </c>
      <c r="U1588">
        <v>9</v>
      </c>
      <c r="V1588">
        <v>4</v>
      </c>
      <c r="W1588">
        <v>0</v>
      </c>
      <c r="X1588">
        <v>4</v>
      </c>
      <c r="Y1588">
        <v>12</v>
      </c>
      <c r="Z1588">
        <v>20</v>
      </c>
      <c r="AA1588">
        <v>25</v>
      </c>
      <c r="AB1588">
        <v>50</v>
      </c>
      <c r="AC1588">
        <v>11</v>
      </c>
      <c r="AD1588">
        <v>6</v>
      </c>
      <c r="AE1588">
        <v>16</v>
      </c>
      <c r="AF1588">
        <v>33</v>
      </c>
      <c r="AG1588">
        <v>0</v>
      </c>
      <c r="AH1588">
        <v>39</v>
      </c>
      <c r="AI1588">
        <v>17</v>
      </c>
      <c r="AJ1588">
        <v>23</v>
      </c>
      <c r="AK1588">
        <v>39</v>
      </c>
      <c r="AL1588">
        <v>0</v>
      </c>
      <c r="AM1588">
        <v>0.12</v>
      </c>
      <c r="AN1588">
        <v>2.0909090909090908</v>
      </c>
      <c r="AO1588">
        <v>0</v>
      </c>
      <c r="AP1588" t="s">
        <v>130</v>
      </c>
      <c r="AQ1588" t="s">
        <v>131</v>
      </c>
      <c r="AR1588" t="s">
        <v>1766</v>
      </c>
      <c r="AS1588">
        <v>2484</v>
      </c>
      <c r="AT1588">
        <v>1419</v>
      </c>
      <c r="AU1588">
        <v>0</v>
      </c>
      <c r="AV1588">
        <v>0</v>
      </c>
      <c r="AW1588">
        <v>3.903</v>
      </c>
      <c r="AX1588">
        <v>0.35481818181818181</v>
      </c>
      <c r="AY1588">
        <v>11.709</v>
      </c>
      <c r="AZ1588" t="s">
        <v>135</v>
      </c>
      <c r="BA1588">
        <v>-5.7089999999999996</v>
      </c>
      <c r="BB1588">
        <v>-16.089930822444273</v>
      </c>
      <c r="BC1588" t="s">
        <v>144</v>
      </c>
      <c r="BD1588">
        <v>0</v>
      </c>
      <c r="BE1588" t="s">
        <v>133</v>
      </c>
      <c r="BF158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3.903</v>
      </c>
    </row>
    <row r="1589" spans="1:58" x14ac:dyDescent="0.25">
      <c r="A1589" t="s">
        <v>1901</v>
      </c>
      <c r="B1589" t="s">
        <v>19</v>
      </c>
      <c r="C1589">
        <v>5</v>
      </c>
      <c r="D1589">
        <v>1</v>
      </c>
      <c r="E1589" t="s">
        <v>2112</v>
      </c>
      <c r="F1589" t="s">
        <v>123</v>
      </c>
      <c r="G1589" t="s">
        <v>124</v>
      </c>
      <c r="H1589" t="s">
        <v>125</v>
      </c>
      <c r="I1589" t="s">
        <v>154</v>
      </c>
      <c r="J1589" t="s">
        <v>154</v>
      </c>
      <c r="K1589" t="s">
        <v>151</v>
      </c>
      <c r="L1589">
        <v>50</v>
      </c>
      <c r="M1589">
        <v>3504089</v>
      </c>
      <c r="N1589">
        <v>0</v>
      </c>
      <c r="O1589">
        <v>7</v>
      </c>
      <c r="P1589" t="s">
        <v>182</v>
      </c>
      <c r="Q1589" t="s">
        <v>1902</v>
      </c>
      <c r="R1589">
        <v>1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50</v>
      </c>
      <c r="AC1589">
        <v>0</v>
      </c>
      <c r="AD1589">
        <v>0</v>
      </c>
      <c r="AE1589">
        <v>0</v>
      </c>
      <c r="AF1589">
        <v>0</v>
      </c>
      <c r="AG1589">
        <v>0</v>
      </c>
      <c r="AH1589">
        <v>0</v>
      </c>
      <c r="AI1589">
        <v>50</v>
      </c>
      <c r="AJ1589">
        <v>50</v>
      </c>
      <c r="AK1589">
        <v>50</v>
      </c>
      <c r="AL1589">
        <v>50</v>
      </c>
      <c r="AM1589">
        <v>0</v>
      </c>
      <c r="AN1589">
        <v>4.5454545454545459</v>
      </c>
      <c r="AO1589">
        <v>0</v>
      </c>
      <c r="AP1589" t="s">
        <v>172</v>
      </c>
      <c r="AQ1589" t="s">
        <v>155</v>
      </c>
      <c r="AR1589" t="s">
        <v>1766</v>
      </c>
      <c r="AS1589">
        <v>0</v>
      </c>
      <c r="AT1589">
        <v>0</v>
      </c>
      <c r="AU1589">
        <v>0</v>
      </c>
      <c r="AV1589">
        <v>0</v>
      </c>
      <c r="AW1589">
        <v>0</v>
      </c>
      <c r="AX1589">
        <v>0</v>
      </c>
      <c r="AY1589">
        <v>0</v>
      </c>
      <c r="AZ1589" t="s">
        <v>147</v>
      </c>
      <c r="BA1589">
        <v>0</v>
      </c>
      <c r="BB1589">
        <v>0</v>
      </c>
      <c r="BC1589" t="s">
        <v>132</v>
      </c>
      <c r="BD1589">
        <v>1</v>
      </c>
      <c r="BE1589" t="s">
        <v>133</v>
      </c>
      <c r="BF158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90" spans="1:58" x14ac:dyDescent="0.25">
      <c r="A1590" t="s">
        <v>1903</v>
      </c>
      <c r="B1590" t="s">
        <v>19</v>
      </c>
      <c r="C1590">
        <v>5</v>
      </c>
      <c r="D1590">
        <v>2</v>
      </c>
      <c r="E1590" t="s">
        <v>2112</v>
      </c>
      <c r="F1590" t="s">
        <v>123</v>
      </c>
      <c r="G1590" t="s">
        <v>124</v>
      </c>
      <c r="H1590" t="s">
        <v>125</v>
      </c>
      <c r="I1590" t="s">
        <v>154</v>
      </c>
      <c r="J1590" t="s">
        <v>154</v>
      </c>
      <c r="K1590" t="s">
        <v>151</v>
      </c>
      <c r="L1590">
        <v>50</v>
      </c>
      <c r="M1590">
        <v>3504091</v>
      </c>
      <c r="N1590">
        <v>0</v>
      </c>
      <c r="O1590">
        <v>7</v>
      </c>
      <c r="P1590" t="s">
        <v>182</v>
      </c>
      <c r="Q1590" t="s">
        <v>1902</v>
      </c>
      <c r="R1590">
        <v>1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>
        <v>50</v>
      </c>
      <c r="AC1590">
        <v>0</v>
      </c>
      <c r="AD1590">
        <v>0</v>
      </c>
      <c r="AE1590">
        <v>0</v>
      </c>
      <c r="AF1590">
        <v>0</v>
      </c>
      <c r="AG1590">
        <v>0</v>
      </c>
      <c r="AH1590">
        <v>0</v>
      </c>
      <c r="AI1590">
        <v>50</v>
      </c>
      <c r="AJ1590">
        <v>50</v>
      </c>
      <c r="AK1590">
        <v>50</v>
      </c>
      <c r="AL1590">
        <v>50</v>
      </c>
      <c r="AM1590">
        <v>0</v>
      </c>
      <c r="AN1590">
        <v>4.5454545454545459</v>
      </c>
      <c r="AO1590">
        <v>0</v>
      </c>
      <c r="AP1590" t="s">
        <v>172</v>
      </c>
      <c r="AQ1590" t="s">
        <v>155</v>
      </c>
      <c r="AR1590" t="s">
        <v>1766</v>
      </c>
      <c r="AS1590">
        <v>0</v>
      </c>
      <c r="AT1590">
        <v>0</v>
      </c>
      <c r="AU1590">
        <v>0</v>
      </c>
      <c r="AV1590">
        <v>0</v>
      </c>
      <c r="AW1590">
        <v>0</v>
      </c>
      <c r="AX1590">
        <v>0</v>
      </c>
      <c r="AY1590">
        <v>0</v>
      </c>
      <c r="AZ1590" t="s">
        <v>147</v>
      </c>
      <c r="BA1590">
        <v>0</v>
      </c>
      <c r="BB1590">
        <v>0</v>
      </c>
      <c r="BC1590" t="s">
        <v>133</v>
      </c>
      <c r="BD1590">
        <v>2</v>
      </c>
      <c r="BE1590" t="s">
        <v>133</v>
      </c>
      <c r="BF159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91" spans="1:58" x14ac:dyDescent="0.25">
      <c r="A1591" t="s">
        <v>1904</v>
      </c>
      <c r="B1591" t="s">
        <v>19</v>
      </c>
      <c r="C1591">
        <v>5</v>
      </c>
      <c r="D1591">
        <v>3</v>
      </c>
      <c r="E1591" t="s">
        <v>2112</v>
      </c>
      <c r="F1591" t="s">
        <v>123</v>
      </c>
      <c r="G1591" t="s">
        <v>124</v>
      </c>
      <c r="H1591" t="s">
        <v>125</v>
      </c>
      <c r="I1591" t="s">
        <v>154</v>
      </c>
      <c r="J1591" t="s">
        <v>154</v>
      </c>
      <c r="K1591" t="s">
        <v>151</v>
      </c>
      <c r="L1591">
        <v>50</v>
      </c>
      <c r="M1591">
        <v>3504093</v>
      </c>
      <c r="N1591">
        <v>0</v>
      </c>
      <c r="O1591">
        <v>7</v>
      </c>
      <c r="P1591" t="s">
        <v>182</v>
      </c>
      <c r="Q1591" t="s">
        <v>1902</v>
      </c>
      <c r="R1591">
        <v>1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0</v>
      </c>
      <c r="AA1591">
        <v>0</v>
      </c>
      <c r="AB1591">
        <v>50</v>
      </c>
      <c r="AC1591">
        <v>0</v>
      </c>
      <c r="AD1591">
        <v>0</v>
      </c>
      <c r="AE1591">
        <v>0</v>
      </c>
      <c r="AF1591">
        <v>0</v>
      </c>
      <c r="AG1591">
        <v>0</v>
      </c>
      <c r="AH1591">
        <v>0</v>
      </c>
      <c r="AI1591">
        <v>50</v>
      </c>
      <c r="AJ1591">
        <v>50</v>
      </c>
      <c r="AK1591">
        <v>50</v>
      </c>
      <c r="AL1591">
        <v>50</v>
      </c>
      <c r="AM1591">
        <v>0</v>
      </c>
      <c r="AN1591">
        <v>4.5454545454545459</v>
      </c>
      <c r="AO1591">
        <v>0</v>
      </c>
      <c r="AP1591" t="s">
        <v>172</v>
      </c>
      <c r="AQ1591" t="s">
        <v>155</v>
      </c>
      <c r="AR1591" t="s">
        <v>1766</v>
      </c>
      <c r="AS1591">
        <v>0</v>
      </c>
      <c r="AT1591">
        <v>0</v>
      </c>
      <c r="AU1591">
        <v>0</v>
      </c>
      <c r="AV1591">
        <v>0</v>
      </c>
      <c r="AW1591">
        <v>0</v>
      </c>
      <c r="AX1591">
        <v>0</v>
      </c>
      <c r="AY1591">
        <v>0</v>
      </c>
      <c r="AZ1591" t="s">
        <v>147</v>
      </c>
      <c r="BA1591">
        <v>0</v>
      </c>
      <c r="BB1591">
        <v>0</v>
      </c>
      <c r="BC1591" t="s">
        <v>133</v>
      </c>
      <c r="BD1591">
        <v>3</v>
      </c>
      <c r="BE1591" t="s">
        <v>133</v>
      </c>
      <c r="BF159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92" spans="1:58" x14ac:dyDescent="0.25">
      <c r="A1592" t="s">
        <v>1905</v>
      </c>
      <c r="B1592" t="s">
        <v>19</v>
      </c>
      <c r="C1592">
        <v>5</v>
      </c>
      <c r="D1592">
        <v>4</v>
      </c>
      <c r="E1592" t="s">
        <v>2112</v>
      </c>
      <c r="F1592" t="s">
        <v>123</v>
      </c>
      <c r="G1592" t="s">
        <v>124</v>
      </c>
      <c r="H1592" t="s">
        <v>125</v>
      </c>
      <c r="I1592" t="s">
        <v>154</v>
      </c>
      <c r="J1592" t="s">
        <v>154</v>
      </c>
      <c r="K1592" t="s">
        <v>151</v>
      </c>
      <c r="L1592">
        <v>50</v>
      </c>
      <c r="M1592">
        <v>3504095</v>
      </c>
      <c r="N1592">
        <v>0</v>
      </c>
      <c r="O1592">
        <v>7</v>
      </c>
      <c r="P1592" t="s">
        <v>182</v>
      </c>
      <c r="Q1592" t="s">
        <v>1902</v>
      </c>
      <c r="R1592">
        <v>1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>
        <v>50</v>
      </c>
      <c r="AC1592">
        <v>0</v>
      </c>
      <c r="AD1592">
        <v>0</v>
      </c>
      <c r="AE1592">
        <v>0</v>
      </c>
      <c r="AF1592">
        <v>0</v>
      </c>
      <c r="AG1592">
        <v>0</v>
      </c>
      <c r="AH1592">
        <v>0</v>
      </c>
      <c r="AI1592">
        <v>50</v>
      </c>
      <c r="AJ1592">
        <v>50</v>
      </c>
      <c r="AK1592">
        <v>50</v>
      </c>
      <c r="AL1592">
        <v>50</v>
      </c>
      <c r="AM1592">
        <v>0</v>
      </c>
      <c r="AN1592">
        <v>4.5454545454545459</v>
      </c>
      <c r="AO1592">
        <v>0</v>
      </c>
      <c r="AP1592" t="s">
        <v>172</v>
      </c>
      <c r="AQ1592" t="s">
        <v>155</v>
      </c>
      <c r="AR1592" t="s">
        <v>1766</v>
      </c>
      <c r="AS1592">
        <v>0</v>
      </c>
      <c r="AT1592">
        <v>0</v>
      </c>
      <c r="AU1592">
        <v>0</v>
      </c>
      <c r="AV1592">
        <v>0</v>
      </c>
      <c r="AW1592">
        <v>0</v>
      </c>
      <c r="AX1592">
        <v>0</v>
      </c>
      <c r="AY1592">
        <v>0</v>
      </c>
      <c r="AZ1592" t="s">
        <v>147</v>
      </c>
      <c r="BA1592">
        <v>0</v>
      </c>
      <c r="BB1592">
        <v>0</v>
      </c>
      <c r="BC1592" t="s">
        <v>133</v>
      </c>
      <c r="BD1592">
        <v>4</v>
      </c>
      <c r="BE1592" t="s">
        <v>133</v>
      </c>
      <c r="BF159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93" spans="1:58" x14ac:dyDescent="0.25">
      <c r="A1593" t="s">
        <v>1906</v>
      </c>
      <c r="B1593" t="s">
        <v>19</v>
      </c>
      <c r="C1593">
        <v>5</v>
      </c>
      <c r="D1593">
        <v>5</v>
      </c>
      <c r="E1593" t="s">
        <v>2112</v>
      </c>
      <c r="F1593" t="s">
        <v>123</v>
      </c>
      <c r="G1593" t="s">
        <v>124</v>
      </c>
      <c r="H1593" t="s">
        <v>125</v>
      </c>
      <c r="I1593" t="s">
        <v>154</v>
      </c>
      <c r="J1593" t="s">
        <v>154</v>
      </c>
      <c r="K1593" t="s">
        <v>151</v>
      </c>
      <c r="L1593">
        <v>50</v>
      </c>
      <c r="M1593">
        <v>3504097</v>
      </c>
      <c r="N1593">
        <v>0</v>
      </c>
      <c r="O1593">
        <v>7</v>
      </c>
      <c r="P1593" t="s">
        <v>182</v>
      </c>
      <c r="Q1593" t="s">
        <v>1902</v>
      </c>
      <c r="R1593">
        <v>1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  <c r="AA1593">
        <v>0</v>
      </c>
      <c r="AB1593">
        <v>50</v>
      </c>
      <c r="AC1593">
        <v>0</v>
      </c>
      <c r="AD1593">
        <v>0</v>
      </c>
      <c r="AE1593">
        <v>0</v>
      </c>
      <c r="AF1593">
        <v>0</v>
      </c>
      <c r="AG1593">
        <v>0</v>
      </c>
      <c r="AH1593">
        <v>0</v>
      </c>
      <c r="AI1593">
        <v>50</v>
      </c>
      <c r="AJ1593">
        <v>50</v>
      </c>
      <c r="AK1593">
        <v>50</v>
      </c>
      <c r="AL1593">
        <v>50</v>
      </c>
      <c r="AM1593">
        <v>0</v>
      </c>
      <c r="AN1593">
        <v>4.5454545454545459</v>
      </c>
      <c r="AO1593">
        <v>0</v>
      </c>
      <c r="AP1593" t="s">
        <v>172</v>
      </c>
      <c r="AQ1593" t="s">
        <v>155</v>
      </c>
      <c r="AR1593" t="s">
        <v>1766</v>
      </c>
      <c r="AS1593">
        <v>0</v>
      </c>
      <c r="AT1593">
        <v>0</v>
      </c>
      <c r="AU1593">
        <v>0</v>
      </c>
      <c r="AV1593">
        <v>0</v>
      </c>
      <c r="AW1593">
        <v>0</v>
      </c>
      <c r="AX1593">
        <v>0</v>
      </c>
      <c r="AY1593">
        <v>0</v>
      </c>
      <c r="AZ1593" t="s">
        <v>147</v>
      </c>
      <c r="BA1593">
        <v>0</v>
      </c>
      <c r="BB1593">
        <v>0</v>
      </c>
      <c r="BC1593" t="s">
        <v>133</v>
      </c>
      <c r="BD1593">
        <v>5</v>
      </c>
      <c r="BE1593" t="s">
        <v>133</v>
      </c>
      <c r="BF159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94" spans="1:58" x14ac:dyDescent="0.25">
      <c r="A1594" t="s">
        <v>1907</v>
      </c>
      <c r="B1594" t="s">
        <v>19</v>
      </c>
      <c r="C1594">
        <v>5</v>
      </c>
      <c r="D1594">
        <v>6</v>
      </c>
      <c r="E1594" t="s">
        <v>2109</v>
      </c>
      <c r="F1594" t="s">
        <v>123</v>
      </c>
      <c r="G1594" t="s">
        <v>124</v>
      </c>
      <c r="H1594" t="s">
        <v>125</v>
      </c>
      <c r="I1594" t="s">
        <v>183</v>
      </c>
      <c r="J1594" t="s">
        <v>140</v>
      </c>
      <c r="K1594" t="s">
        <v>166</v>
      </c>
      <c r="L1594">
        <v>50</v>
      </c>
      <c r="M1594">
        <v>3504099</v>
      </c>
      <c r="N1594">
        <v>20</v>
      </c>
      <c r="O1594">
        <v>7</v>
      </c>
      <c r="P1594" t="s">
        <v>182</v>
      </c>
      <c r="Q1594" t="s">
        <v>1902</v>
      </c>
      <c r="R1594">
        <v>1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50</v>
      </c>
      <c r="AC1594">
        <v>0</v>
      </c>
      <c r="AD1594">
        <v>0</v>
      </c>
      <c r="AE1594">
        <v>0</v>
      </c>
      <c r="AF1594">
        <v>0</v>
      </c>
      <c r="AG1594">
        <v>0</v>
      </c>
      <c r="AH1594">
        <v>50</v>
      </c>
      <c r="AI1594">
        <v>50</v>
      </c>
      <c r="AJ1594">
        <v>50</v>
      </c>
      <c r="AK1594">
        <v>50</v>
      </c>
      <c r="AL1594">
        <v>0</v>
      </c>
      <c r="AM1594">
        <v>0.4</v>
      </c>
      <c r="AN1594">
        <v>4.5454545454545459</v>
      </c>
      <c r="AO1594">
        <v>0</v>
      </c>
      <c r="AP1594" t="s">
        <v>184</v>
      </c>
      <c r="AQ1594" t="s">
        <v>155</v>
      </c>
      <c r="AR1594" t="s">
        <v>229</v>
      </c>
      <c r="AS1594">
        <v>0</v>
      </c>
      <c r="AT1594">
        <v>0</v>
      </c>
      <c r="AU1594">
        <v>0</v>
      </c>
      <c r="AV1594">
        <v>0</v>
      </c>
      <c r="AW1594">
        <v>0</v>
      </c>
      <c r="AX1594">
        <v>0</v>
      </c>
      <c r="AY1594">
        <v>0</v>
      </c>
      <c r="AZ1594" t="s">
        <v>135</v>
      </c>
      <c r="BA1594">
        <v>20</v>
      </c>
      <c r="BB1594">
        <v>0</v>
      </c>
      <c r="BC1594" t="s">
        <v>133</v>
      </c>
      <c r="BD1594">
        <v>0</v>
      </c>
      <c r="BE1594" t="s">
        <v>133</v>
      </c>
      <c r="BF159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95" spans="1:58" x14ac:dyDescent="0.25">
      <c r="A1595" t="s">
        <v>1908</v>
      </c>
      <c r="B1595" t="s">
        <v>19</v>
      </c>
      <c r="C1595">
        <v>5</v>
      </c>
      <c r="D1595">
        <v>7</v>
      </c>
      <c r="E1595" t="s">
        <v>2109</v>
      </c>
      <c r="F1595" t="s">
        <v>123</v>
      </c>
      <c r="G1595" t="s">
        <v>124</v>
      </c>
      <c r="H1595" t="s">
        <v>125</v>
      </c>
      <c r="I1595" t="s">
        <v>183</v>
      </c>
      <c r="J1595" t="s">
        <v>140</v>
      </c>
      <c r="K1595" t="s">
        <v>166</v>
      </c>
      <c r="L1595">
        <v>50</v>
      </c>
      <c r="M1595">
        <v>3504101</v>
      </c>
      <c r="N1595">
        <v>20</v>
      </c>
      <c r="O1595">
        <v>7</v>
      </c>
      <c r="P1595" t="s">
        <v>182</v>
      </c>
      <c r="Q1595" t="s">
        <v>1902</v>
      </c>
      <c r="R1595">
        <v>1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50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>
        <v>50</v>
      </c>
      <c r="AI1595">
        <v>50</v>
      </c>
      <c r="AJ1595">
        <v>50</v>
      </c>
      <c r="AK1595">
        <v>50</v>
      </c>
      <c r="AL1595">
        <v>0</v>
      </c>
      <c r="AM1595">
        <v>0.4</v>
      </c>
      <c r="AN1595">
        <v>4.5454545454545459</v>
      </c>
      <c r="AO1595">
        <v>0</v>
      </c>
      <c r="AP1595" t="s">
        <v>184</v>
      </c>
      <c r="AQ1595" t="s">
        <v>155</v>
      </c>
      <c r="AR1595" t="s">
        <v>229</v>
      </c>
      <c r="AS1595">
        <v>0</v>
      </c>
      <c r="AT1595">
        <v>0</v>
      </c>
      <c r="AU1595">
        <v>0</v>
      </c>
      <c r="AV1595">
        <v>0</v>
      </c>
      <c r="AW1595">
        <v>0</v>
      </c>
      <c r="AX1595">
        <v>0</v>
      </c>
      <c r="AY1595">
        <v>0</v>
      </c>
      <c r="AZ1595" t="s">
        <v>135</v>
      </c>
      <c r="BA1595">
        <v>20</v>
      </c>
      <c r="BB1595">
        <v>0</v>
      </c>
      <c r="BC1595" t="s">
        <v>133</v>
      </c>
      <c r="BD1595">
        <v>0</v>
      </c>
      <c r="BE1595" t="s">
        <v>133</v>
      </c>
      <c r="BF159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96" spans="1:58" x14ac:dyDescent="0.25">
      <c r="A1596" t="s">
        <v>1909</v>
      </c>
      <c r="B1596" t="s">
        <v>19</v>
      </c>
      <c r="C1596">
        <v>5</v>
      </c>
      <c r="D1596">
        <v>8</v>
      </c>
      <c r="E1596" t="s">
        <v>2109</v>
      </c>
      <c r="F1596" t="s">
        <v>123</v>
      </c>
      <c r="G1596" t="s">
        <v>124</v>
      </c>
      <c r="H1596" t="s">
        <v>125</v>
      </c>
      <c r="I1596" t="s">
        <v>183</v>
      </c>
      <c r="J1596" t="s">
        <v>140</v>
      </c>
      <c r="K1596" t="s">
        <v>166</v>
      </c>
      <c r="L1596">
        <v>50</v>
      </c>
      <c r="M1596">
        <v>3504103</v>
      </c>
      <c r="N1596">
        <v>20</v>
      </c>
      <c r="O1596">
        <v>7</v>
      </c>
      <c r="P1596" t="s">
        <v>182</v>
      </c>
      <c r="Q1596" t="s">
        <v>1902</v>
      </c>
      <c r="R1596">
        <v>1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0</v>
      </c>
      <c r="AA1596">
        <v>0</v>
      </c>
      <c r="AB1596">
        <v>50</v>
      </c>
      <c r="AC1596">
        <v>0</v>
      </c>
      <c r="AD1596">
        <v>0</v>
      </c>
      <c r="AE1596">
        <v>0</v>
      </c>
      <c r="AF1596">
        <v>0</v>
      </c>
      <c r="AG1596">
        <v>0</v>
      </c>
      <c r="AH1596">
        <v>50</v>
      </c>
      <c r="AI1596">
        <v>50</v>
      </c>
      <c r="AJ1596">
        <v>50</v>
      </c>
      <c r="AK1596">
        <v>50</v>
      </c>
      <c r="AL1596">
        <v>0</v>
      </c>
      <c r="AM1596">
        <v>0.4</v>
      </c>
      <c r="AN1596">
        <v>4.5454545454545459</v>
      </c>
      <c r="AO1596">
        <v>0</v>
      </c>
      <c r="AP1596" t="s">
        <v>184</v>
      </c>
      <c r="AQ1596" t="s">
        <v>155</v>
      </c>
      <c r="AR1596" t="s">
        <v>229</v>
      </c>
      <c r="AS1596">
        <v>0</v>
      </c>
      <c r="AT1596">
        <v>0</v>
      </c>
      <c r="AU1596">
        <v>0</v>
      </c>
      <c r="AV1596">
        <v>0</v>
      </c>
      <c r="AW1596">
        <v>0</v>
      </c>
      <c r="AX1596">
        <v>0</v>
      </c>
      <c r="AY1596">
        <v>0</v>
      </c>
      <c r="AZ1596" t="s">
        <v>135</v>
      </c>
      <c r="BA1596">
        <v>20</v>
      </c>
      <c r="BB1596">
        <v>0</v>
      </c>
      <c r="BC1596" t="s">
        <v>133</v>
      </c>
      <c r="BD1596">
        <v>0</v>
      </c>
      <c r="BE1596" t="s">
        <v>133</v>
      </c>
      <c r="BF159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97" spans="1:58" x14ac:dyDescent="0.25">
      <c r="A1597" t="s">
        <v>1910</v>
      </c>
      <c r="B1597" t="s">
        <v>19</v>
      </c>
      <c r="C1597">
        <v>5</v>
      </c>
      <c r="D1597">
        <v>9</v>
      </c>
      <c r="E1597" t="s">
        <v>2109</v>
      </c>
      <c r="F1597" t="s">
        <v>123</v>
      </c>
      <c r="G1597" t="s">
        <v>124</v>
      </c>
      <c r="H1597" t="s">
        <v>125</v>
      </c>
      <c r="I1597" t="s">
        <v>183</v>
      </c>
      <c r="J1597" t="s">
        <v>140</v>
      </c>
      <c r="K1597" t="s">
        <v>166</v>
      </c>
      <c r="L1597">
        <v>50</v>
      </c>
      <c r="M1597">
        <v>3504105</v>
      </c>
      <c r="N1597">
        <v>20</v>
      </c>
      <c r="O1597">
        <v>7</v>
      </c>
      <c r="P1597" t="s">
        <v>182</v>
      </c>
      <c r="Q1597" t="s">
        <v>1902</v>
      </c>
      <c r="R1597">
        <v>1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0</v>
      </c>
      <c r="AA1597">
        <v>0</v>
      </c>
      <c r="AB1597">
        <v>50</v>
      </c>
      <c r="AC1597">
        <v>0</v>
      </c>
      <c r="AD1597">
        <v>0</v>
      </c>
      <c r="AE1597">
        <v>0</v>
      </c>
      <c r="AF1597">
        <v>0</v>
      </c>
      <c r="AG1597">
        <v>0</v>
      </c>
      <c r="AH1597">
        <v>50</v>
      </c>
      <c r="AI1597">
        <v>50</v>
      </c>
      <c r="AJ1597">
        <v>50</v>
      </c>
      <c r="AK1597">
        <v>50</v>
      </c>
      <c r="AL1597">
        <v>0</v>
      </c>
      <c r="AM1597">
        <v>0.4</v>
      </c>
      <c r="AN1597">
        <v>4.5454545454545459</v>
      </c>
      <c r="AO1597">
        <v>0</v>
      </c>
      <c r="AP1597" t="s">
        <v>184</v>
      </c>
      <c r="AQ1597" t="s">
        <v>155</v>
      </c>
      <c r="AR1597" t="s">
        <v>229</v>
      </c>
      <c r="AS1597">
        <v>0</v>
      </c>
      <c r="AT1597">
        <v>0</v>
      </c>
      <c r="AU1597">
        <v>0</v>
      </c>
      <c r="AV1597">
        <v>0</v>
      </c>
      <c r="AW1597">
        <v>0</v>
      </c>
      <c r="AX1597">
        <v>0</v>
      </c>
      <c r="AY1597">
        <v>0</v>
      </c>
      <c r="AZ1597" t="s">
        <v>135</v>
      </c>
      <c r="BA1597">
        <v>20</v>
      </c>
      <c r="BB1597">
        <v>0</v>
      </c>
      <c r="BC1597" t="s">
        <v>133</v>
      </c>
      <c r="BD1597">
        <v>0</v>
      </c>
      <c r="BE1597" t="s">
        <v>133</v>
      </c>
      <c r="BF159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98" spans="1:58" x14ac:dyDescent="0.25">
      <c r="A1598" t="s">
        <v>1911</v>
      </c>
      <c r="B1598" t="s">
        <v>19</v>
      </c>
      <c r="C1598">
        <v>5</v>
      </c>
      <c r="D1598">
        <v>10</v>
      </c>
      <c r="E1598" t="s">
        <v>2109</v>
      </c>
      <c r="F1598" t="s">
        <v>123</v>
      </c>
      <c r="G1598" t="s">
        <v>124</v>
      </c>
      <c r="H1598" t="s">
        <v>125</v>
      </c>
      <c r="I1598" t="s">
        <v>183</v>
      </c>
      <c r="J1598" t="s">
        <v>140</v>
      </c>
      <c r="K1598" t="s">
        <v>166</v>
      </c>
      <c r="L1598">
        <v>50</v>
      </c>
      <c r="M1598">
        <v>3504107</v>
      </c>
      <c r="N1598">
        <v>20</v>
      </c>
      <c r="O1598">
        <v>7</v>
      </c>
      <c r="P1598" t="s">
        <v>182</v>
      </c>
      <c r="Q1598" t="s">
        <v>1902</v>
      </c>
      <c r="R1598">
        <v>1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0</v>
      </c>
      <c r="AA1598">
        <v>0</v>
      </c>
      <c r="AB1598">
        <v>50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>
        <v>50</v>
      </c>
      <c r="AI1598">
        <v>50</v>
      </c>
      <c r="AJ1598">
        <v>50</v>
      </c>
      <c r="AK1598">
        <v>50</v>
      </c>
      <c r="AL1598">
        <v>0</v>
      </c>
      <c r="AM1598">
        <v>0.4</v>
      </c>
      <c r="AN1598">
        <v>4.5454545454545459</v>
      </c>
      <c r="AO1598">
        <v>0</v>
      </c>
      <c r="AP1598" t="s">
        <v>184</v>
      </c>
      <c r="AQ1598" t="s">
        <v>155</v>
      </c>
      <c r="AR1598" t="s">
        <v>229</v>
      </c>
      <c r="AS1598">
        <v>0</v>
      </c>
      <c r="AT1598">
        <v>0</v>
      </c>
      <c r="AU1598">
        <v>0</v>
      </c>
      <c r="AV1598">
        <v>0</v>
      </c>
      <c r="AW1598">
        <v>0</v>
      </c>
      <c r="AX1598">
        <v>0</v>
      </c>
      <c r="AY1598">
        <v>0</v>
      </c>
      <c r="AZ1598" t="s">
        <v>135</v>
      </c>
      <c r="BA1598">
        <v>20</v>
      </c>
      <c r="BB1598">
        <v>0</v>
      </c>
      <c r="BC1598" t="s">
        <v>133</v>
      </c>
      <c r="BD1598">
        <v>0</v>
      </c>
      <c r="BE1598" t="s">
        <v>133</v>
      </c>
      <c r="BF159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599" spans="1:58" x14ac:dyDescent="0.25">
      <c r="A1599" t="s">
        <v>1912</v>
      </c>
      <c r="B1599" t="s">
        <v>19</v>
      </c>
      <c r="C1599">
        <v>5</v>
      </c>
      <c r="D1599">
        <v>11</v>
      </c>
      <c r="E1599" t="s">
        <v>2109</v>
      </c>
      <c r="F1599" t="s">
        <v>123</v>
      </c>
      <c r="G1599" t="s">
        <v>124</v>
      </c>
      <c r="H1599" t="s">
        <v>125</v>
      </c>
      <c r="I1599" t="s">
        <v>183</v>
      </c>
      <c r="J1599" t="s">
        <v>140</v>
      </c>
      <c r="K1599" t="s">
        <v>166</v>
      </c>
      <c r="L1599">
        <v>50</v>
      </c>
      <c r="M1599">
        <v>3504331</v>
      </c>
      <c r="N1599">
        <v>20</v>
      </c>
      <c r="O1599">
        <v>7</v>
      </c>
      <c r="P1599" t="s">
        <v>182</v>
      </c>
      <c r="Q1599" t="s">
        <v>1902</v>
      </c>
      <c r="R1599">
        <v>1</v>
      </c>
      <c r="T1599">
        <v>0</v>
      </c>
      <c r="U1599">
        <v>0</v>
      </c>
      <c r="V1599">
        <v>23</v>
      </c>
      <c r="W1599">
        <v>0</v>
      </c>
      <c r="X1599">
        <v>23</v>
      </c>
      <c r="Y1599">
        <v>2</v>
      </c>
      <c r="Z1599">
        <v>22</v>
      </c>
      <c r="AA1599">
        <v>25</v>
      </c>
      <c r="AB1599">
        <v>50</v>
      </c>
      <c r="AC1599">
        <v>0</v>
      </c>
      <c r="AD1599">
        <v>45</v>
      </c>
      <c r="AE1599">
        <v>4</v>
      </c>
      <c r="AF1599">
        <v>49</v>
      </c>
      <c r="AG1599">
        <v>0</v>
      </c>
      <c r="AH1599">
        <v>50</v>
      </c>
      <c r="AI1599">
        <v>1</v>
      </c>
      <c r="AJ1599">
        <v>46</v>
      </c>
      <c r="AK1599">
        <v>50</v>
      </c>
      <c r="AL1599">
        <v>0</v>
      </c>
      <c r="AM1599">
        <v>0.4</v>
      </c>
      <c r="AN1599">
        <v>4.1818181818181817</v>
      </c>
      <c r="AO1599">
        <v>0</v>
      </c>
      <c r="AP1599" t="s">
        <v>184</v>
      </c>
      <c r="AQ1599" t="s">
        <v>131</v>
      </c>
      <c r="AR1599" t="s">
        <v>229</v>
      </c>
      <c r="AS1599">
        <v>0</v>
      </c>
      <c r="AT1599">
        <v>0</v>
      </c>
      <c r="AU1599">
        <v>0</v>
      </c>
      <c r="AV1599">
        <v>0</v>
      </c>
      <c r="AW1599">
        <v>0</v>
      </c>
      <c r="AX1599">
        <v>0</v>
      </c>
      <c r="AY1599">
        <v>0</v>
      </c>
      <c r="AZ1599" t="s">
        <v>135</v>
      </c>
      <c r="BA1599">
        <v>20</v>
      </c>
      <c r="BB1599">
        <v>0</v>
      </c>
      <c r="BC1599" t="s">
        <v>133</v>
      </c>
      <c r="BD1599">
        <v>0</v>
      </c>
      <c r="BE1599" t="s">
        <v>133</v>
      </c>
      <c r="BF159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00" spans="1:58" x14ac:dyDescent="0.25">
      <c r="A1600" t="s">
        <v>1913</v>
      </c>
      <c r="B1600" t="s">
        <v>19</v>
      </c>
      <c r="C1600">
        <v>5</v>
      </c>
      <c r="D1600">
        <v>12</v>
      </c>
      <c r="E1600" t="s">
        <v>2109</v>
      </c>
      <c r="F1600" t="s">
        <v>123</v>
      </c>
      <c r="G1600" t="s">
        <v>124</v>
      </c>
      <c r="H1600" t="s">
        <v>125</v>
      </c>
      <c r="I1600" t="s">
        <v>183</v>
      </c>
      <c r="J1600" t="s">
        <v>140</v>
      </c>
      <c r="K1600" t="s">
        <v>166</v>
      </c>
      <c r="L1600">
        <v>50</v>
      </c>
      <c r="M1600">
        <v>3504141</v>
      </c>
      <c r="N1600">
        <v>20</v>
      </c>
      <c r="O1600">
        <v>7</v>
      </c>
      <c r="P1600" t="s">
        <v>182</v>
      </c>
      <c r="Q1600" t="s">
        <v>1902</v>
      </c>
      <c r="R1600">
        <v>1</v>
      </c>
      <c r="T1600">
        <v>0</v>
      </c>
      <c r="U1600">
        <v>0</v>
      </c>
      <c r="V1600">
        <v>25</v>
      </c>
      <c r="W1600">
        <v>0</v>
      </c>
      <c r="X1600">
        <v>25</v>
      </c>
      <c r="Y1600">
        <v>0</v>
      </c>
      <c r="Z1600">
        <v>22</v>
      </c>
      <c r="AA1600">
        <v>25</v>
      </c>
      <c r="AB1600">
        <v>50</v>
      </c>
      <c r="AC1600">
        <v>0</v>
      </c>
      <c r="AD1600">
        <v>49</v>
      </c>
      <c r="AE1600">
        <v>0</v>
      </c>
      <c r="AF1600">
        <v>49</v>
      </c>
      <c r="AG1600">
        <v>0</v>
      </c>
      <c r="AH1600">
        <v>50</v>
      </c>
      <c r="AI1600">
        <v>1</v>
      </c>
      <c r="AJ1600">
        <v>50</v>
      </c>
      <c r="AK1600">
        <v>50</v>
      </c>
      <c r="AL1600">
        <v>0</v>
      </c>
      <c r="AM1600">
        <v>0.4</v>
      </c>
      <c r="AN1600">
        <v>4.5454545454545459</v>
      </c>
      <c r="AO1600">
        <v>0</v>
      </c>
      <c r="AP1600" t="s">
        <v>184</v>
      </c>
      <c r="AQ1600" t="s">
        <v>131</v>
      </c>
      <c r="AR1600" t="s">
        <v>229</v>
      </c>
      <c r="AS1600">
        <v>0</v>
      </c>
      <c r="AT1600">
        <v>0</v>
      </c>
      <c r="AU1600">
        <v>0</v>
      </c>
      <c r="AV1600">
        <v>0</v>
      </c>
      <c r="AW1600">
        <v>0</v>
      </c>
      <c r="AX1600">
        <v>0</v>
      </c>
      <c r="AY1600">
        <v>0</v>
      </c>
      <c r="AZ1600" t="s">
        <v>135</v>
      </c>
      <c r="BA1600">
        <v>20</v>
      </c>
      <c r="BB1600">
        <v>0</v>
      </c>
      <c r="BC1600" t="s">
        <v>144</v>
      </c>
      <c r="BD1600">
        <v>0</v>
      </c>
      <c r="BE1600" t="s">
        <v>133</v>
      </c>
      <c r="BF160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01" spans="1:58" x14ac:dyDescent="0.25">
      <c r="A1601" t="s">
        <v>1914</v>
      </c>
      <c r="B1601" t="s">
        <v>19</v>
      </c>
      <c r="C1601">
        <v>5</v>
      </c>
      <c r="D1601">
        <v>13</v>
      </c>
      <c r="E1601" t="s">
        <v>2109</v>
      </c>
      <c r="F1601" t="s">
        <v>123</v>
      </c>
      <c r="G1601" t="s">
        <v>124</v>
      </c>
      <c r="H1601" t="s">
        <v>136</v>
      </c>
      <c r="I1601" t="s">
        <v>137</v>
      </c>
      <c r="J1601" t="s">
        <v>152</v>
      </c>
      <c r="K1601" t="s">
        <v>127</v>
      </c>
      <c r="L1601">
        <v>50</v>
      </c>
      <c r="M1601">
        <v>3503485</v>
      </c>
      <c r="N1601">
        <v>0</v>
      </c>
      <c r="O1601">
        <v>7</v>
      </c>
      <c r="P1601" t="s">
        <v>182</v>
      </c>
      <c r="Q1601" t="s">
        <v>1915</v>
      </c>
      <c r="R1601">
        <v>2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0</v>
      </c>
      <c r="AA1601">
        <v>0</v>
      </c>
      <c r="AB1601">
        <v>50</v>
      </c>
      <c r="AC1601">
        <v>0</v>
      </c>
      <c r="AD1601">
        <v>0</v>
      </c>
      <c r="AE1601">
        <v>0</v>
      </c>
      <c r="AF1601">
        <v>0</v>
      </c>
      <c r="AG1601">
        <v>0</v>
      </c>
      <c r="AH1601">
        <v>50</v>
      </c>
      <c r="AI1601">
        <v>50</v>
      </c>
      <c r="AJ1601">
        <v>50</v>
      </c>
      <c r="AK1601">
        <v>50</v>
      </c>
      <c r="AL1601">
        <v>0</v>
      </c>
      <c r="AM1601">
        <v>0</v>
      </c>
      <c r="AN1601">
        <v>4.5454545454545459</v>
      </c>
      <c r="AO1601">
        <v>0</v>
      </c>
      <c r="AP1601" t="s">
        <v>139</v>
      </c>
      <c r="AQ1601" t="s">
        <v>155</v>
      </c>
      <c r="AR1601" t="s">
        <v>229</v>
      </c>
      <c r="AS1601">
        <v>0</v>
      </c>
      <c r="AT1601">
        <v>0</v>
      </c>
      <c r="AU1601">
        <v>0</v>
      </c>
      <c r="AV1601">
        <v>0</v>
      </c>
      <c r="AW1601">
        <v>0</v>
      </c>
      <c r="AX1601">
        <v>0</v>
      </c>
      <c r="AY1601">
        <v>0</v>
      </c>
      <c r="AZ1601" t="s">
        <v>147</v>
      </c>
      <c r="BA1601">
        <v>0</v>
      </c>
      <c r="BB1601">
        <v>0</v>
      </c>
      <c r="BC1601" t="s">
        <v>132</v>
      </c>
      <c r="BD1601">
        <v>1</v>
      </c>
      <c r="BE1601" t="s">
        <v>133</v>
      </c>
      <c r="BF160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02" spans="1:58" x14ac:dyDescent="0.25">
      <c r="A1602" t="s">
        <v>1916</v>
      </c>
      <c r="B1602" t="s">
        <v>19</v>
      </c>
      <c r="C1602">
        <v>5</v>
      </c>
      <c r="D1602">
        <v>14</v>
      </c>
      <c r="E1602" t="s">
        <v>2109</v>
      </c>
      <c r="F1602" t="s">
        <v>123</v>
      </c>
      <c r="G1602" t="s">
        <v>124</v>
      </c>
      <c r="H1602" t="s">
        <v>125</v>
      </c>
      <c r="I1602" t="s">
        <v>154</v>
      </c>
      <c r="J1602" t="s">
        <v>154</v>
      </c>
      <c r="K1602" t="s">
        <v>166</v>
      </c>
      <c r="L1602">
        <v>50</v>
      </c>
      <c r="M1602">
        <v>3503487</v>
      </c>
      <c r="N1602">
        <v>10</v>
      </c>
      <c r="O1602">
        <v>7</v>
      </c>
      <c r="P1602" t="s">
        <v>182</v>
      </c>
      <c r="Q1602" t="s">
        <v>1915</v>
      </c>
      <c r="R1602">
        <v>2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0</v>
      </c>
      <c r="AA1602">
        <v>0</v>
      </c>
      <c r="AB1602">
        <v>50</v>
      </c>
      <c r="AC1602">
        <v>0</v>
      </c>
      <c r="AD1602">
        <v>0</v>
      </c>
      <c r="AE1602">
        <v>0</v>
      </c>
      <c r="AF1602">
        <v>0</v>
      </c>
      <c r="AG1602">
        <v>0</v>
      </c>
      <c r="AH1602">
        <v>50</v>
      </c>
      <c r="AI1602">
        <v>50</v>
      </c>
      <c r="AJ1602">
        <v>50</v>
      </c>
      <c r="AK1602">
        <v>50</v>
      </c>
      <c r="AL1602">
        <v>0</v>
      </c>
      <c r="AM1602">
        <v>0.2</v>
      </c>
      <c r="AN1602">
        <v>4.5454545454545459</v>
      </c>
      <c r="AO1602">
        <v>0</v>
      </c>
      <c r="AP1602" t="s">
        <v>167</v>
      </c>
      <c r="AQ1602" t="s">
        <v>155</v>
      </c>
      <c r="AR1602" t="s">
        <v>229</v>
      </c>
      <c r="AS1602">
        <v>0</v>
      </c>
      <c r="AT1602">
        <v>0</v>
      </c>
      <c r="AU1602">
        <v>0</v>
      </c>
      <c r="AV1602">
        <v>0</v>
      </c>
      <c r="AW1602">
        <v>0</v>
      </c>
      <c r="AX1602">
        <v>0</v>
      </c>
      <c r="AY1602">
        <v>0</v>
      </c>
      <c r="AZ1602" t="s">
        <v>135</v>
      </c>
      <c r="BA1602">
        <v>10</v>
      </c>
      <c r="BB1602">
        <v>0</v>
      </c>
      <c r="BC1602" t="s">
        <v>133</v>
      </c>
      <c r="BD1602">
        <v>2</v>
      </c>
      <c r="BE1602" t="s">
        <v>133</v>
      </c>
      <c r="BF160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03" spans="1:58" x14ac:dyDescent="0.25">
      <c r="A1603" t="s">
        <v>1917</v>
      </c>
      <c r="B1603" t="s">
        <v>19</v>
      </c>
      <c r="C1603">
        <v>5</v>
      </c>
      <c r="D1603">
        <v>15</v>
      </c>
      <c r="E1603" t="s">
        <v>2109</v>
      </c>
      <c r="F1603" t="s">
        <v>123</v>
      </c>
      <c r="G1603" t="s">
        <v>124</v>
      </c>
      <c r="H1603" t="s">
        <v>125</v>
      </c>
      <c r="I1603" t="s">
        <v>154</v>
      </c>
      <c r="J1603" t="s">
        <v>154</v>
      </c>
      <c r="K1603" t="s">
        <v>166</v>
      </c>
      <c r="L1603">
        <v>50</v>
      </c>
      <c r="M1603">
        <v>3503489</v>
      </c>
      <c r="N1603">
        <v>10</v>
      </c>
      <c r="O1603">
        <v>7</v>
      </c>
      <c r="P1603" t="s">
        <v>182</v>
      </c>
      <c r="Q1603" t="s">
        <v>1915</v>
      </c>
      <c r="R1603">
        <v>2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50</v>
      </c>
      <c r="AC1603">
        <v>0</v>
      </c>
      <c r="AD1603">
        <v>0</v>
      </c>
      <c r="AE1603">
        <v>0</v>
      </c>
      <c r="AF1603">
        <v>0</v>
      </c>
      <c r="AG1603">
        <v>0</v>
      </c>
      <c r="AH1603">
        <v>50</v>
      </c>
      <c r="AI1603">
        <v>50</v>
      </c>
      <c r="AJ1603">
        <v>50</v>
      </c>
      <c r="AK1603">
        <v>50</v>
      </c>
      <c r="AL1603">
        <v>0</v>
      </c>
      <c r="AM1603">
        <v>0.2</v>
      </c>
      <c r="AN1603">
        <v>4.5454545454545459</v>
      </c>
      <c r="AO1603">
        <v>0</v>
      </c>
      <c r="AP1603" t="s">
        <v>167</v>
      </c>
      <c r="AQ1603" t="s">
        <v>155</v>
      </c>
      <c r="AR1603" t="s">
        <v>229</v>
      </c>
      <c r="AS1603">
        <v>0</v>
      </c>
      <c r="AT1603">
        <v>0</v>
      </c>
      <c r="AU1603">
        <v>0</v>
      </c>
      <c r="AV1603">
        <v>0</v>
      </c>
      <c r="AW1603">
        <v>0</v>
      </c>
      <c r="AX1603">
        <v>0</v>
      </c>
      <c r="AY1603">
        <v>0</v>
      </c>
      <c r="AZ1603" t="s">
        <v>135</v>
      </c>
      <c r="BA1603">
        <v>10</v>
      </c>
      <c r="BB1603">
        <v>0</v>
      </c>
      <c r="BC1603" t="s">
        <v>133</v>
      </c>
      <c r="BD1603">
        <v>3</v>
      </c>
      <c r="BE1603" t="s">
        <v>133</v>
      </c>
      <c r="BF160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04" spans="1:58" x14ac:dyDescent="0.25">
      <c r="A1604" t="s">
        <v>1918</v>
      </c>
      <c r="B1604" t="s">
        <v>19</v>
      </c>
      <c r="C1604">
        <v>5</v>
      </c>
      <c r="D1604">
        <v>16</v>
      </c>
      <c r="E1604" t="s">
        <v>2109</v>
      </c>
      <c r="F1604" t="s">
        <v>123</v>
      </c>
      <c r="G1604" t="s">
        <v>124</v>
      </c>
      <c r="H1604" t="s">
        <v>136</v>
      </c>
      <c r="I1604" t="s">
        <v>1553</v>
      </c>
      <c r="J1604" t="s">
        <v>137</v>
      </c>
      <c r="K1604" t="s">
        <v>151</v>
      </c>
      <c r="L1604">
        <v>50</v>
      </c>
      <c r="M1604">
        <v>3503491</v>
      </c>
      <c r="N1604">
        <v>0</v>
      </c>
      <c r="O1604">
        <v>7</v>
      </c>
      <c r="P1604" t="s">
        <v>182</v>
      </c>
      <c r="Q1604" t="s">
        <v>1915</v>
      </c>
      <c r="R1604">
        <v>2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0</v>
      </c>
      <c r="AA1604">
        <v>0</v>
      </c>
      <c r="AB1604">
        <v>50</v>
      </c>
      <c r="AC1604">
        <v>0</v>
      </c>
      <c r="AD1604">
        <v>0</v>
      </c>
      <c r="AE1604">
        <v>0</v>
      </c>
      <c r="AF1604">
        <v>0</v>
      </c>
      <c r="AG1604">
        <v>0</v>
      </c>
      <c r="AH1604">
        <v>0</v>
      </c>
      <c r="AI1604">
        <v>50</v>
      </c>
      <c r="AJ1604">
        <v>50</v>
      </c>
      <c r="AK1604">
        <v>50</v>
      </c>
      <c r="AL1604">
        <v>50</v>
      </c>
      <c r="AM1604">
        <v>0</v>
      </c>
      <c r="AN1604">
        <v>4.5454545454545459</v>
      </c>
      <c r="AO1604">
        <v>0</v>
      </c>
      <c r="AP1604" t="s">
        <v>1919</v>
      </c>
      <c r="AQ1604" t="s">
        <v>155</v>
      </c>
      <c r="AR1604" t="s">
        <v>229</v>
      </c>
      <c r="AS1604">
        <v>0</v>
      </c>
      <c r="AT1604">
        <v>0</v>
      </c>
      <c r="AU1604">
        <v>0</v>
      </c>
      <c r="AV1604">
        <v>0</v>
      </c>
      <c r="AW1604">
        <v>0</v>
      </c>
      <c r="AX1604">
        <v>0</v>
      </c>
      <c r="AY1604">
        <v>0</v>
      </c>
      <c r="AZ1604" t="s">
        <v>147</v>
      </c>
      <c r="BA1604">
        <v>0</v>
      </c>
      <c r="BB1604">
        <v>0</v>
      </c>
      <c r="BC1604" t="s">
        <v>133</v>
      </c>
      <c r="BD1604">
        <v>0</v>
      </c>
      <c r="BE1604" t="s">
        <v>133</v>
      </c>
      <c r="BF160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05" spans="1:58" x14ac:dyDescent="0.25">
      <c r="A1605" t="s">
        <v>1920</v>
      </c>
      <c r="B1605" t="s">
        <v>19</v>
      </c>
      <c r="C1605">
        <v>5</v>
      </c>
      <c r="D1605">
        <v>17</v>
      </c>
      <c r="E1605" t="s">
        <v>2109</v>
      </c>
      <c r="F1605" t="s">
        <v>123</v>
      </c>
      <c r="G1605" t="s">
        <v>124</v>
      </c>
      <c r="H1605" t="s">
        <v>136</v>
      </c>
      <c r="I1605" t="s">
        <v>1553</v>
      </c>
      <c r="J1605" t="s">
        <v>137</v>
      </c>
      <c r="K1605" t="s">
        <v>166</v>
      </c>
      <c r="L1605">
        <v>50</v>
      </c>
      <c r="M1605">
        <v>3503493</v>
      </c>
      <c r="N1605">
        <v>15</v>
      </c>
      <c r="O1605">
        <v>7</v>
      </c>
      <c r="P1605" t="s">
        <v>182</v>
      </c>
      <c r="Q1605" t="s">
        <v>1915</v>
      </c>
      <c r="R1605">
        <v>2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50</v>
      </c>
      <c r="AC1605">
        <v>0</v>
      </c>
      <c r="AD1605">
        <v>0</v>
      </c>
      <c r="AE1605">
        <v>0</v>
      </c>
      <c r="AF1605">
        <v>0</v>
      </c>
      <c r="AG1605">
        <v>0</v>
      </c>
      <c r="AH1605">
        <v>50</v>
      </c>
      <c r="AI1605">
        <v>50</v>
      </c>
      <c r="AJ1605">
        <v>50</v>
      </c>
      <c r="AK1605">
        <v>50</v>
      </c>
      <c r="AL1605">
        <v>0</v>
      </c>
      <c r="AM1605">
        <v>0.3</v>
      </c>
      <c r="AN1605">
        <v>4.5454545454545459</v>
      </c>
      <c r="AO1605">
        <v>0</v>
      </c>
      <c r="AP1605" t="s">
        <v>1921</v>
      </c>
      <c r="AQ1605" t="s">
        <v>155</v>
      </c>
      <c r="AR1605" t="s">
        <v>229</v>
      </c>
      <c r="AS1605">
        <v>0</v>
      </c>
      <c r="AT1605">
        <v>0</v>
      </c>
      <c r="AU1605">
        <v>0</v>
      </c>
      <c r="AV1605">
        <v>0</v>
      </c>
      <c r="AW1605">
        <v>0</v>
      </c>
      <c r="AX1605">
        <v>0</v>
      </c>
      <c r="AY1605">
        <v>0</v>
      </c>
      <c r="AZ1605" t="s">
        <v>135</v>
      </c>
      <c r="BA1605">
        <v>15</v>
      </c>
      <c r="BB1605">
        <v>0</v>
      </c>
      <c r="BC1605" t="s">
        <v>133</v>
      </c>
      <c r="BD1605">
        <v>0</v>
      </c>
      <c r="BE1605" t="s">
        <v>133</v>
      </c>
      <c r="BF160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06" spans="1:58" x14ac:dyDescent="0.25">
      <c r="A1606" t="s">
        <v>1922</v>
      </c>
      <c r="B1606" t="s">
        <v>19</v>
      </c>
      <c r="C1606">
        <v>5</v>
      </c>
      <c r="D1606">
        <v>18</v>
      </c>
      <c r="E1606" t="s">
        <v>2109</v>
      </c>
      <c r="F1606" t="s">
        <v>123</v>
      </c>
      <c r="G1606" t="s">
        <v>124</v>
      </c>
      <c r="H1606" t="s">
        <v>136</v>
      </c>
      <c r="I1606" t="s">
        <v>1553</v>
      </c>
      <c r="J1606" t="s">
        <v>137</v>
      </c>
      <c r="K1606" t="s">
        <v>166</v>
      </c>
      <c r="L1606">
        <v>50</v>
      </c>
      <c r="M1606">
        <v>3503495</v>
      </c>
      <c r="N1606">
        <v>15</v>
      </c>
      <c r="O1606">
        <v>7</v>
      </c>
      <c r="P1606" t="s">
        <v>182</v>
      </c>
      <c r="Q1606" t="s">
        <v>1915</v>
      </c>
      <c r="R1606">
        <v>2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50</v>
      </c>
      <c r="AC1606">
        <v>0</v>
      </c>
      <c r="AD1606">
        <v>0</v>
      </c>
      <c r="AE1606">
        <v>0</v>
      </c>
      <c r="AF1606">
        <v>0</v>
      </c>
      <c r="AG1606">
        <v>0</v>
      </c>
      <c r="AH1606">
        <v>50</v>
      </c>
      <c r="AI1606">
        <v>50</v>
      </c>
      <c r="AJ1606">
        <v>50</v>
      </c>
      <c r="AK1606">
        <v>50</v>
      </c>
      <c r="AL1606">
        <v>0</v>
      </c>
      <c r="AM1606">
        <v>0.3</v>
      </c>
      <c r="AN1606">
        <v>4.5454545454545459</v>
      </c>
      <c r="AO1606">
        <v>0</v>
      </c>
      <c r="AP1606" t="s">
        <v>1921</v>
      </c>
      <c r="AQ1606" t="s">
        <v>155</v>
      </c>
      <c r="AR1606" t="s">
        <v>229</v>
      </c>
      <c r="AS1606">
        <v>0</v>
      </c>
      <c r="AT1606">
        <v>0</v>
      </c>
      <c r="AU1606">
        <v>0</v>
      </c>
      <c r="AV1606">
        <v>0</v>
      </c>
      <c r="AW1606">
        <v>0</v>
      </c>
      <c r="AX1606">
        <v>0</v>
      </c>
      <c r="AY1606">
        <v>0</v>
      </c>
      <c r="AZ1606" t="s">
        <v>135</v>
      </c>
      <c r="BA1606">
        <v>15</v>
      </c>
      <c r="BB1606">
        <v>0</v>
      </c>
      <c r="BC1606" t="s">
        <v>133</v>
      </c>
      <c r="BD1606">
        <v>0</v>
      </c>
      <c r="BE1606" t="s">
        <v>133</v>
      </c>
      <c r="BF160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07" spans="1:58" x14ac:dyDescent="0.25">
      <c r="A1607" t="s">
        <v>1923</v>
      </c>
      <c r="B1607" t="s">
        <v>19</v>
      </c>
      <c r="C1607">
        <v>5</v>
      </c>
      <c r="D1607">
        <v>19</v>
      </c>
      <c r="E1607" t="s">
        <v>2109</v>
      </c>
      <c r="F1607" t="s">
        <v>123</v>
      </c>
      <c r="G1607" t="s">
        <v>124</v>
      </c>
      <c r="H1607" t="s">
        <v>136</v>
      </c>
      <c r="I1607" t="s">
        <v>1553</v>
      </c>
      <c r="J1607" t="s">
        <v>137</v>
      </c>
      <c r="K1607" t="s">
        <v>166</v>
      </c>
      <c r="L1607">
        <v>50</v>
      </c>
      <c r="M1607">
        <v>3503497</v>
      </c>
      <c r="N1607">
        <v>15</v>
      </c>
      <c r="O1607">
        <v>7</v>
      </c>
      <c r="P1607" t="s">
        <v>182</v>
      </c>
      <c r="Q1607" t="s">
        <v>1915</v>
      </c>
      <c r="R1607">
        <v>2</v>
      </c>
      <c r="T1607">
        <v>0</v>
      </c>
      <c r="U1607">
        <v>0</v>
      </c>
      <c r="V1607">
        <v>0</v>
      </c>
      <c r="W1607">
        <v>0</v>
      </c>
      <c r="X1607">
        <v>0</v>
      </c>
      <c r="Y1607">
        <v>0</v>
      </c>
      <c r="Z1607">
        <v>0</v>
      </c>
      <c r="AA1607">
        <v>0</v>
      </c>
      <c r="AB1607">
        <v>50</v>
      </c>
      <c r="AC1607">
        <v>0</v>
      </c>
      <c r="AD1607">
        <v>0</v>
      </c>
      <c r="AE1607">
        <v>0</v>
      </c>
      <c r="AF1607">
        <v>0</v>
      </c>
      <c r="AG1607">
        <v>0</v>
      </c>
      <c r="AH1607">
        <v>50</v>
      </c>
      <c r="AI1607">
        <v>50</v>
      </c>
      <c r="AJ1607">
        <v>50</v>
      </c>
      <c r="AK1607">
        <v>50</v>
      </c>
      <c r="AL1607">
        <v>0</v>
      </c>
      <c r="AM1607">
        <v>0.3</v>
      </c>
      <c r="AN1607">
        <v>4.5454545454545459</v>
      </c>
      <c r="AO1607">
        <v>0</v>
      </c>
      <c r="AP1607" t="s">
        <v>1921</v>
      </c>
      <c r="AQ1607" t="s">
        <v>155</v>
      </c>
      <c r="AR1607" t="s">
        <v>229</v>
      </c>
      <c r="AS1607">
        <v>0</v>
      </c>
      <c r="AT1607">
        <v>0</v>
      </c>
      <c r="AU1607">
        <v>0</v>
      </c>
      <c r="AV1607">
        <v>0</v>
      </c>
      <c r="AW1607">
        <v>0</v>
      </c>
      <c r="AX1607">
        <v>0</v>
      </c>
      <c r="AY1607">
        <v>0</v>
      </c>
      <c r="AZ1607" t="s">
        <v>135</v>
      </c>
      <c r="BA1607">
        <v>15</v>
      </c>
      <c r="BB1607">
        <v>0</v>
      </c>
      <c r="BC1607" t="s">
        <v>133</v>
      </c>
      <c r="BD1607">
        <v>0</v>
      </c>
      <c r="BE1607" t="s">
        <v>133</v>
      </c>
      <c r="BF160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08" spans="1:58" x14ac:dyDescent="0.25">
      <c r="A1608" t="s">
        <v>1924</v>
      </c>
      <c r="B1608" t="s">
        <v>19</v>
      </c>
      <c r="C1608">
        <v>5</v>
      </c>
      <c r="D1608">
        <v>20</v>
      </c>
      <c r="E1608" t="s">
        <v>2109</v>
      </c>
      <c r="F1608" t="s">
        <v>123</v>
      </c>
      <c r="G1608" t="s">
        <v>124</v>
      </c>
      <c r="H1608" t="s">
        <v>136</v>
      </c>
      <c r="I1608" t="s">
        <v>1553</v>
      </c>
      <c r="J1608" t="s">
        <v>137</v>
      </c>
      <c r="K1608" t="s">
        <v>166</v>
      </c>
      <c r="L1608">
        <v>50</v>
      </c>
      <c r="M1608">
        <v>3503499</v>
      </c>
      <c r="N1608">
        <v>15</v>
      </c>
      <c r="O1608">
        <v>7</v>
      </c>
      <c r="P1608" t="s">
        <v>182</v>
      </c>
      <c r="Q1608" t="s">
        <v>1915</v>
      </c>
      <c r="R1608">
        <v>2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0</v>
      </c>
      <c r="AB1608">
        <v>50</v>
      </c>
      <c r="AC1608">
        <v>0</v>
      </c>
      <c r="AD1608">
        <v>0</v>
      </c>
      <c r="AE1608">
        <v>0</v>
      </c>
      <c r="AF1608">
        <v>0</v>
      </c>
      <c r="AG1608">
        <v>0</v>
      </c>
      <c r="AH1608">
        <v>50</v>
      </c>
      <c r="AI1608">
        <v>50</v>
      </c>
      <c r="AJ1608">
        <v>50</v>
      </c>
      <c r="AK1608">
        <v>50</v>
      </c>
      <c r="AL1608">
        <v>0</v>
      </c>
      <c r="AM1608">
        <v>0.3</v>
      </c>
      <c r="AN1608">
        <v>4.5454545454545459</v>
      </c>
      <c r="AO1608">
        <v>0</v>
      </c>
      <c r="AP1608" t="s">
        <v>1921</v>
      </c>
      <c r="AQ1608" t="s">
        <v>155</v>
      </c>
      <c r="AR1608" t="s">
        <v>229</v>
      </c>
      <c r="AS1608">
        <v>0</v>
      </c>
      <c r="AT1608">
        <v>0</v>
      </c>
      <c r="AU1608">
        <v>0</v>
      </c>
      <c r="AV1608">
        <v>0</v>
      </c>
      <c r="AW1608">
        <v>0</v>
      </c>
      <c r="AX1608">
        <v>0</v>
      </c>
      <c r="AY1608">
        <v>0</v>
      </c>
      <c r="AZ1608" t="s">
        <v>135</v>
      </c>
      <c r="BA1608">
        <v>15</v>
      </c>
      <c r="BB1608">
        <v>0</v>
      </c>
      <c r="BC1608" t="s">
        <v>133</v>
      </c>
      <c r="BD1608">
        <v>0</v>
      </c>
      <c r="BE1608" t="s">
        <v>133</v>
      </c>
      <c r="BF160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09" spans="1:58" x14ac:dyDescent="0.25">
      <c r="A1609" t="s">
        <v>1925</v>
      </c>
      <c r="B1609" t="s">
        <v>19</v>
      </c>
      <c r="C1609">
        <v>5</v>
      </c>
      <c r="D1609">
        <v>21</v>
      </c>
      <c r="E1609" t="s">
        <v>2109</v>
      </c>
      <c r="F1609" t="s">
        <v>123</v>
      </c>
      <c r="G1609" t="s">
        <v>124</v>
      </c>
      <c r="H1609" t="s">
        <v>136</v>
      </c>
      <c r="I1609" t="s">
        <v>1553</v>
      </c>
      <c r="J1609" t="s">
        <v>137</v>
      </c>
      <c r="K1609" t="s">
        <v>166</v>
      </c>
      <c r="L1609">
        <v>50</v>
      </c>
      <c r="M1609">
        <v>3503501</v>
      </c>
      <c r="N1609">
        <v>15</v>
      </c>
      <c r="O1609">
        <v>7</v>
      </c>
      <c r="P1609" t="s">
        <v>182</v>
      </c>
      <c r="Q1609" t="s">
        <v>1915</v>
      </c>
      <c r="R1609">
        <v>2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0</v>
      </c>
      <c r="AA1609">
        <v>0</v>
      </c>
      <c r="AB1609">
        <v>50</v>
      </c>
      <c r="AC1609">
        <v>0</v>
      </c>
      <c r="AD1609">
        <v>0</v>
      </c>
      <c r="AE1609">
        <v>0</v>
      </c>
      <c r="AF1609">
        <v>0</v>
      </c>
      <c r="AG1609">
        <v>0</v>
      </c>
      <c r="AH1609">
        <v>50</v>
      </c>
      <c r="AI1609">
        <v>50</v>
      </c>
      <c r="AJ1609">
        <v>50</v>
      </c>
      <c r="AK1609">
        <v>50</v>
      </c>
      <c r="AL1609">
        <v>0</v>
      </c>
      <c r="AM1609">
        <v>0.3</v>
      </c>
      <c r="AN1609">
        <v>4.5454545454545459</v>
      </c>
      <c r="AO1609">
        <v>0</v>
      </c>
      <c r="AP1609" t="s">
        <v>1921</v>
      </c>
      <c r="AQ1609" t="s">
        <v>155</v>
      </c>
      <c r="AR1609" t="s">
        <v>229</v>
      </c>
      <c r="AS1609">
        <v>0</v>
      </c>
      <c r="AT1609">
        <v>0</v>
      </c>
      <c r="AU1609">
        <v>0</v>
      </c>
      <c r="AV1609">
        <v>0</v>
      </c>
      <c r="AW1609">
        <v>0</v>
      </c>
      <c r="AX1609">
        <v>0</v>
      </c>
      <c r="AY1609">
        <v>0</v>
      </c>
      <c r="AZ1609" t="s">
        <v>135</v>
      </c>
      <c r="BA1609">
        <v>15</v>
      </c>
      <c r="BB1609">
        <v>0</v>
      </c>
      <c r="BC1609" t="s">
        <v>133</v>
      </c>
      <c r="BD1609">
        <v>0</v>
      </c>
      <c r="BE1609" t="s">
        <v>133</v>
      </c>
      <c r="BF160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10" spans="1:58" x14ac:dyDescent="0.25">
      <c r="A1610" t="s">
        <v>1926</v>
      </c>
      <c r="B1610" t="s">
        <v>19</v>
      </c>
      <c r="C1610">
        <v>5</v>
      </c>
      <c r="D1610">
        <v>22</v>
      </c>
      <c r="E1610" t="s">
        <v>2109</v>
      </c>
      <c r="F1610" t="s">
        <v>123</v>
      </c>
      <c r="G1610" t="s">
        <v>124</v>
      </c>
      <c r="H1610" t="s">
        <v>136</v>
      </c>
      <c r="I1610" t="s">
        <v>1553</v>
      </c>
      <c r="J1610" t="s">
        <v>137</v>
      </c>
      <c r="K1610" t="s">
        <v>166</v>
      </c>
      <c r="L1610">
        <v>50</v>
      </c>
      <c r="M1610">
        <v>3503503</v>
      </c>
      <c r="N1610">
        <v>15</v>
      </c>
      <c r="O1610">
        <v>7</v>
      </c>
      <c r="P1610" t="s">
        <v>182</v>
      </c>
      <c r="Q1610" t="s">
        <v>1915</v>
      </c>
      <c r="R1610">
        <v>2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0</v>
      </c>
      <c r="AA1610">
        <v>0</v>
      </c>
      <c r="AB1610">
        <v>50</v>
      </c>
      <c r="AC1610">
        <v>0</v>
      </c>
      <c r="AD1610">
        <v>0</v>
      </c>
      <c r="AE1610">
        <v>0</v>
      </c>
      <c r="AF1610">
        <v>0</v>
      </c>
      <c r="AG1610">
        <v>0</v>
      </c>
      <c r="AH1610">
        <v>50</v>
      </c>
      <c r="AI1610">
        <v>50</v>
      </c>
      <c r="AJ1610">
        <v>50</v>
      </c>
      <c r="AK1610">
        <v>50</v>
      </c>
      <c r="AL1610">
        <v>0</v>
      </c>
      <c r="AM1610">
        <v>0.3</v>
      </c>
      <c r="AN1610">
        <v>4.5454545454545459</v>
      </c>
      <c r="AO1610">
        <v>0</v>
      </c>
      <c r="AP1610" t="s">
        <v>1921</v>
      </c>
      <c r="AQ1610" t="s">
        <v>155</v>
      </c>
      <c r="AR1610" t="s">
        <v>229</v>
      </c>
      <c r="AS1610">
        <v>0</v>
      </c>
      <c r="AT1610">
        <v>0</v>
      </c>
      <c r="AU1610">
        <v>0</v>
      </c>
      <c r="AV1610">
        <v>0</v>
      </c>
      <c r="AW1610">
        <v>0</v>
      </c>
      <c r="AX1610">
        <v>0</v>
      </c>
      <c r="AY1610">
        <v>0</v>
      </c>
      <c r="AZ1610" t="s">
        <v>135</v>
      </c>
      <c r="BA1610">
        <v>15</v>
      </c>
      <c r="BB1610">
        <v>0</v>
      </c>
      <c r="BC1610" t="s">
        <v>133</v>
      </c>
      <c r="BD1610">
        <v>0</v>
      </c>
      <c r="BE1610" t="s">
        <v>133</v>
      </c>
      <c r="BF161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11" spans="1:58" x14ac:dyDescent="0.25">
      <c r="A1611" t="s">
        <v>1927</v>
      </c>
      <c r="B1611" t="s">
        <v>19</v>
      </c>
      <c r="C1611">
        <v>5</v>
      </c>
      <c r="D1611">
        <v>23</v>
      </c>
      <c r="E1611" t="s">
        <v>2109</v>
      </c>
      <c r="F1611" t="s">
        <v>123</v>
      </c>
      <c r="G1611" t="s">
        <v>124</v>
      </c>
      <c r="H1611" t="s">
        <v>136</v>
      </c>
      <c r="I1611" t="s">
        <v>1553</v>
      </c>
      <c r="J1611" t="s">
        <v>137</v>
      </c>
      <c r="K1611" t="s">
        <v>166</v>
      </c>
      <c r="L1611">
        <v>50</v>
      </c>
      <c r="M1611">
        <v>3503505</v>
      </c>
      <c r="N1611">
        <v>15</v>
      </c>
      <c r="O1611">
        <v>7</v>
      </c>
      <c r="P1611" t="s">
        <v>182</v>
      </c>
      <c r="Q1611" t="s">
        <v>1915</v>
      </c>
      <c r="R1611">
        <v>2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0</v>
      </c>
      <c r="AB1611">
        <v>50</v>
      </c>
      <c r="AC1611">
        <v>0</v>
      </c>
      <c r="AD1611">
        <v>0</v>
      </c>
      <c r="AE1611">
        <v>0</v>
      </c>
      <c r="AF1611">
        <v>0</v>
      </c>
      <c r="AG1611">
        <v>0</v>
      </c>
      <c r="AH1611">
        <v>50</v>
      </c>
      <c r="AI1611">
        <v>50</v>
      </c>
      <c r="AJ1611">
        <v>50</v>
      </c>
      <c r="AK1611">
        <v>50</v>
      </c>
      <c r="AL1611">
        <v>0</v>
      </c>
      <c r="AM1611">
        <v>0.3</v>
      </c>
      <c r="AN1611">
        <v>4.5454545454545459</v>
      </c>
      <c r="AO1611">
        <v>0</v>
      </c>
      <c r="AP1611" t="s">
        <v>1921</v>
      </c>
      <c r="AQ1611" t="s">
        <v>155</v>
      </c>
      <c r="AR1611" t="s">
        <v>229</v>
      </c>
      <c r="AS1611">
        <v>0</v>
      </c>
      <c r="AT1611">
        <v>0</v>
      </c>
      <c r="AU1611">
        <v>0</v>
      </c>
      <c r="AV1611">
        <v>0</v>
      </c>
      <c r="AW1611">
        <v>0</v>
      </c>
      <c r="AX1611">
        <v>0</v>
      </c>
      <c r="AY1611">
        <v>0</v>
      </c>
      <c r="AZ1611" t="s">
        <v>135</v>
      </c>
      <c r="BA1611">
        <v>15</v>
      </c>
      <c r="BB1611">
        <v>0</v>
      </c>
      <c r="BC1611" t="s">
        <v>133</v>
      </c>
      <c r="BD1611">
        <v>0</v>
      </c>
      <c r="BE1611" t="s">
        <v>133</v>
      </c>
      <c r="BF161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12" spans="1:58" x14ac:dyDescent="0.25">
      <c r="A1612" t="s">
        <v>1928</v>
      </c>
      <c r="B1612" t="s">
        <v>19</v>
      </c>
      <c r="C1612">
        <v>5</v>
      </c>
      <c r="D1612">
        <v>24</v>
      </c>
      <c r="E1612" t="s">
        <v>2109</v>
      </c>
      <c r="F1612" t="s">
        <v>123</v>
      </c>
      <c r="G1612" t="s">
        <v>124</v>
      </c>
      <c r="H1612" t="s">
        <v>136</v>
      </c>
      <c r="I1612" t="s">
        <v>1553</v>
      </c>
      <c r="J1612" t="s">
        <v>137</v>
      </c>
      <c r="K1612" t="s">
        <v>166</v>
      </c>
      <c r="L1612">
        <v>50</v>
      </c>
      <c r="M1612">
        <v>3503507</v>
      </c>
      <c r="N1612">
        <v>15</v>
      </c>
      <c r="O1612">
        <v>7</v>
      </c>
      <c r="P1612" t="s">
        <v>182</v>
      </c>
      <c r="Q1612" t="s">
        <v>1915</v>
      </c>
      <c r="R1612">
        <v>2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0</v>
      </c>
      <c r="AA1612">
        <v>0</v>
      </c>
      <c r="AB1612">
        <v>50</v>
      </c>
      <c r="AC1612">
        <v>0</v>
      </c>
      <c r="AD1612">
        <v>0</v>
      </c>
      <c r="AE1612">
        <v>0</v>
      </c>
      <c r="AF1612">
        <v>0</v>
      </c>
      <c r="AG1612">
        <v>0</v>
      </c>
      <c r="AH1612">
        <v>50</v>
      </c>
      <c r="AI1612">
        <v>50</v>
      </c>
      <c r="AJ1612">
        <v>50</v>
      </c>
      <c r="AK1612">
        <v>50</v>
      </c>
      <c r="AL1612">
        <v>0</v>
      </c>
      <c r="AM1612">
        <v>0.3</v>
      </c>
      <c r="AN1612">
        <v>4.5454545454545459</v>
      </c>
      <c r="AO1612">
        <v>0</v>
      </c>
      <c r="AP1612" t="s">
        <v>1921</v>
      </c>
      <c r="AQ1612" t="s">
        <v>155</v>
      </c>
      <c r="AR1612" t="s">
        <v>229</v>
      </c>
      <c r="AS1612">
        <v>0</v>
      </c>
      <c r="AT1612">
        <v>0</v>
      </c>
      <c r="AU1612">
        <v>0</v>
      </c>
      <c r="AV1612">
        <v>0</v>
      </c>
      <c r="AW1612">
        <v>0</v>
      </c>
      <c r="AX1612">
        <v>0</v>
      </c>
      <c r="AY1612">
        <v>0</v>
      </c>
      <c r="AZ1612" t="s">
        <v>135</v>
      </c>
      <c r="BA1612">
        <v>15</v>
      </c>
      <c r="BB1612">
        <v>0</v>
      </c>
      <c r="BC1612" t="s">
        <v>144</v>
      </c>
      <c r="BD1612">
        <v>0</v>
      </c>
      <c r="BE1612" t="s">
        <v>133</v>
      </c>
      <c r="BF161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13" spans="1:58" x14ac:dyDescent="0.25">
      <c r="A1613" t="s">
        <v>1929</v>
      </c>
      <c r="B1613" t="s">
        <v>19</v>
      </c>
      <c r="C1613">
        <v>5</v>
      </c>
      <c r="D1613">
        <v>25</v>
      </c>
      <c r="E1613" t="s">
        <v>2109</v>
      </c>
      <c r="F1613" t="s">
        <v>123</v>
      </c>
      <c r="G1613" t="s">
        <v>124</v>
      </c>
      <c r="H1613" t="s">
        <v>136</v>
      </c>
      <c r="I1613" t="s">
        <v>1553</v>
      </c>
      <c r="J1613" t="s">
        <v>187</v>
      </c>
      <c r="K1613" t="s">
        <v>166</v>
      </c>
      <c r="L1613">
        <v>50</v>
      </c>
      <c r="M1613">
        <v>3503509</v>
      </c>
      <c r="N1613">
        <v>15</v>
      </c>
      <c r="O1613">
        <v>7</v>
      </c>
      <c r="P1613" t="s">
        <v>182</v>
      </c>
      <c r="Q1613" t="s">
        <v>1930</v>
      </c>
      <c r="R1613">
        <v>3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0</v>
      </c>
      <c r="AA1613">
        <v>0</v>
      </c>
      <c r="AB1613">
        <v>50</v>
      </c>
      <c r="AC1613">
        <v>0</v>
      </c>
      <c r="AD1613">
        <v>0</v>
      </c>
      <c r="AE1613">
        <v>0</v>
      </c>
      <c r="AF1613">
        <v>0</v>
      </c>
      <c r="AG1613">
        <v>0</v>
      </c>
      <c r="AH1613">
        <v>50</v>
      </c>
      <c r="AI1613">
        <v>50</v>
      </c>
      <c r="AJ1613">
        <v>50</v>
      </c>
      <c r="AK1613">
        <v>50</v>
      </c>
      <c r="AL1613">
        <v>0</v>
      </c>
      <c r="AM1613">
        <v>0.3</v>
      </c>
      <c r="AN1613">
        <v>4.5454545454545459</v>
      </c>
      <c r="AO1613">
        <v>0</v>
      </c>
      <c r="AP1613" t="s">
        <v>1921</v>
      </c>
      <c r="AQ1613" t="s">
        <v>155</v>
      </c>
      <c r="AR1613" t="s">
        <v>229</v>
      </c>
      <c r="AS1613">
        <v>0</v>
      </c>
      <c r="AT1613">
        <v>0</v>
      </c>
      <c r="AU1613">
        <v>0</v>
      </c>
      <c r="AV1613">
        <v>0</v>
      </c>
      <c r="AW1613">
        <v>0</v>
      </c>
      <c r="AX1613">
        <v>0</v>
      </c>
      <c r="AY1613">
        <v>0</v>
      </c>
      <c r="AZ1613" t="s">
        <v>135</v>
      </c>
      <c r="BA1613">
        <v>15</v>
      </c>
      <c r="BB1613">
        <v>0</v>
      </c>
      <c r="BC1613" t="s">
        <v>132</v>
      </c>
      <c r="BD1613">
        <v>0</v>
      </c>
      <c r="BE1613" t="s">
        <v>133</v>
      </c>
      <c r="BF161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14" spans="1:58" x14ac:dyDescent="0.25">
      <c r="A1614" t="s">
        <v>1931</v>
      </c>
      <c r="B1614" t="s">
        <v>19</v>
      </c>
      <c r="C1614">
        <v>5</v>
      </c>
      <c r="D1614">
        <v>26</v>
      </c>
      <c r="E1614" t="s">
        <v>2109</v>
      </c>
      <c r="F1614" t="s">
        <v>123</v>
      </c>
      <c r="G1614" t="s">
        <v>124</v>
      </c>
      <c r="H1614" t="s">
        <v>136</v>
      </c>
      <c r="I1614" t="s">
        <v>1553</v>
      </c>
      <c r="J1614" t="s">
        <v>187</v>
      </c>
      <c r="K1614" t="s">
        <v>166</v>
      </c>
      <c r="L1614">
        <v>50</v>
      </c>
      <c r="M1614">
        <v>3503511</v>
      </c>
      <c r="N1614">
        <v>15</v>
      </c>
      <c r="O1614">
        <v>7</v>
      </c>
      <c r="P1614" t="s">
        <v>182</v>
      </c>
      <c r="Q1614" t="s">
        <v>1930</v>
      </c>
      <c r="R1614">
        <v>3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50</v>
      </c>
      <c r="AC1614">
        <v>0</v>
      </c>
      <c r="AD1614">
        <v>0</v>
      </c>
      <c r="AE1614">
        <v>0</v>
      </c>
      <c r="AF1614">
        <v>0</v>
      </c>
      <c r="AG1614">
        <v>0</v>
      </c>
      <c r="AH1614">
        <v>50</v>
      </c>
      <c r="AI1614">
        <v>50</v>
      </c>
      <c r="AJ1614">
        <v>50</v>
      </c>
      <c r="AK1614">
        <v>50</v>
      </c>
      <c r="AL1614">
        <v>0</v>
      </c>
      <c r="AM1614">
        <v>0.3</v>
      </c>
      <c r="AN1614">
        <v>4.5454545454545459</v>
      </c>
      <c r="AO1614">
        <v>0</v>
      </c>
      <c r="AP1614" t="s">
        <v>1921</v>
      </c>
      <c r="AQ1614" t="s">
        <v>155</v>
      </c>
      <c r="AR1614" t="s">
        <v>229</v>
      </c>
      <c r="AS1614">
        <v>0</v>
      </c>
      <c r="AT1614">
        <v>0</v>
      </c>
      <c r="AU1614">
        <v>0</v>
      </c>
      <c r="AV1614">
        <v>0</v>
      </c>
      <c r="AW1614">
        <v>0</v>
      </c>
      <c r="AX1614">
        <v>0</v>
      </c>
      <c r="AY1614">
        <v>0</v>
      </c>
      <c r="AZ1614" t="s">
        <v>135</v>
      </c>
      <c r="BA1614">
        <v>15</v>
      </c>
      <c r="BB1614">
        <v>0</v>
      </c>
      <c r="BC1614" t="s">
        <v>133</v>
      </c>
      <c r="BD1614">
        <v>0</v>
      </c>
      <c r="BE1614" t="s">
        <v>133</v>
      </c>
      <c r="BF161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15" spans="1:58" x14ac:dyDescent="0.25">
      <c r="A1615" t="s">
        <v>1932</v>
      </c>
      <c r="B1615" t="s">
        <v>19</v>
      </c>
      <c r="C1615">
        <v>5</v>
      </c>
      <c r="D1615">
        <v>27</v>
      </c>
      <c r="E1615" t="s">
        <v>2109</v>
      </c>
      <c r="F1615" t="s">
        <v>123</v>
      </c>
      <c r="G1615" t="s">
        <v>124</v>
      </c>
      <c r="H1615" t="s">
        <v>136</v>
      </c>
      <c r="I1615" t="s">
        <v>1553</v>
      </c>
      <c r="J1615" t="s">
        <v>187</v>
      </c>
      <c r="K1615" t="s">
        <v>166</v>
      </c>
      <c r="L1615">
        <v>50</v>
      </c>
      <c r="M1615">
        <v>3503513</v>
      </c>
      <c r="N1615">
        <v>15</v>
      </c>
      <c r="O1615">
        <v>7</v>
      </c>
      <c r="P1615" t="s">
        <v>182</v>
      </c>
      <c r="Q1615" t="s">
        <v>1930</v>
      </c>
      <c r="R1615">
        <v>3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50</v>
      </c>
      <c r="AC1615">
        <v>0</v>
      </c>
      <c r="AD1615">
        <v>0</v>
      </c>
      <c r="AE1615">
        <v>0</v>
      </c>
      <c r="AF1615">
        <v>0</v>
      </c>
      <c r="AG1615">
        <v>0</v>
      </c>
      <c r="AH1615">
        <v>50</v>
      </c>
      <c r="AI1615">
        <v>50</v>
      </c>
      <c r="AJ1615">
        <v>50</v>
      </c>
      <c r="AK1615">
        <v>50</v>
      </c>
      <c r="AL1615">
        <v>0</v>
      </c>
      <c r="AM1615">
        <v>0.3</v>
      </c>
      <c r="AN1615">
        <v>4.5454545454545459</v>
      </c>
      <c r="AO1615">
        <v>0</v>
      </c>
      <c r="AP1615" t="s">
        <v>1921</v>
      </c>
      <c r="AQ1615" t="s">
        <v>155</v>
      </c>
      <c r="AR1615" t="s">
        <v>229</v>
      </c>
      <c r="AS1615">
        <v>0</v>
      </c>
      <c r="AT1615">
        <v>0</v>
      </c>
      <c r="AU1615">
        <v>0</v>
      </c>
      <c r="AV1615">
        <v>0</v>
      </c>
      <c r="AW1615">
        <v>0</v>
      </c>
      <c r="AX1615">
        <v>0</v>
      </c>
      <c r="AY1615">
        <v>0</v>
      </c>
      <c r="AZ1615" t="s">
        <v>135</v>
      </c>
      <c r="BA1615">
        <v>15</v>
      </c>
      <c r="BB1615">
        <v>0</v>
      </c>
      <c r="BC1615" t="s">
        <v>133</v>
      </c>
      <c r="BD1615">
        <v>0</v>
      </c>
      <c r="BE1615" t="s">
        <v>133</v>
      </c>
      <c r="BF161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16" spans="1:58" x14ac:dyDescent="0.25">
      <c r="A1616" t="s">
        <v>1933</v>
      </c>
      <c r="B1616" t="s">
        <v>19</v>
      </c>
      <c r="C1616">
        <v>5</v>
      </c>
      <c r="D1616">
        <v>28</v>
      </c>
      <c r="E1616" t="s">
        <v>2109</v>
      </c>
      <c r="F1616" t="s">
        <v>123</v>
      </c>
      <c r="G1616" t="s">
        <v>124</v>
      </c>
      <c r="H1616" t="s">
        <v>136</v>
      </c>
      <c r="I1616" t="s">
        <v>1553</v>
      </c>
      <c r="J1616" t="s">
        <v>187</v>
      </c>
      <c r="K1616" t="s">
        <v>166</v>
      </c>
      <c r="L1616">
        <v>50</v>
      </c>
      <c r="M1616">
        <v>3503515</v>
      </c>
      <c r="N1616">
        <v>15</v>
      </c>
      <c r="O1616">
        <v>7</v>
      </c>
      <c r="P1616" t="s">
        <v>182</v>
      </c>
      <c r="Q1616" t="s">
        <v>1930</v>
      </c>
      <c r="R1616">
        <v>3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0</v>
      </c>
      <c r="AA1616">
        <v>0</v>
      </c>
      <c r="AB1616">
        <v>50</v>
      </c>
      <c r="AC1616">
        <v>0</v>
      </c>
      <c r="AD1616">
        <v>0</v>
      </c>
      <c r="AE1616">
        <v>0</v>
      </c>
      <c r="AF1616">
        <v>0</v>
      </c>
      <c r="AG1616">
        <v>0</v>
      </c>
      <c r="AH1616">
        <v>50</v>
      </c>
      <c r="AI1616">
        <v>50</v>
      </c>
      <c r="AJ1616">
        <v>50</v>
      </c>
      <c r="AK1616">
        <v>50</v>
      </c>
      <c r="AL1616">
        <v>0</v>
      </c>
      <c r="AM1616">
        <v>0.3</v>
      </c>
      <c r="AN1616">
        <v>4.5454545454545459</v>
      </c>
      <c r="AO1616">
        <v>0</v>
      </c>
      <c r="AP1616" t="s">
        <v>1921</v>
      </c>
      <c r="AQ1616" t="s">
        <v>155</v>
      </c>
      <c r="AR1616" t="s">
        <v>229</v>
      </c>
      <c r="AS1616">
        <v>0</v>
      </c>
      <c r="AT1616">
        <v>0</v>
      </c>
      <c r="AU1616">
        <v>0</v>
      </c>
      <c r="AV1616">
        <v>0</v>
      </c>
      <c r="AW1616">
        <v>0</v>
      </c>
      <c r="AX1616">
        <v>0</v>
      </c>
      <c r="AY1616">
        <v>0</v>
      </c>
      <c r="AZ1616" t="s">
        <v>135</v>
      </c>
      <c r="BA1616">
        <v>15</v>
      </c>
      <c r="BB1616">
        <v>0</v>
      </c>
      <c r="BC1616" t="s">
        <v>133</v>
      </c>
      <c r="BD1616">
        <v>0</v>
      </c>
      <c r="BE1616" t="s">
        <v>133</v>
      </c>
      <c r="BF161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17" spans="1:58" x14ac:dyDescent="0.25">
      <c r="A1617" t="s">
        <v>1934</v>
      </c>
      <c r="B1617" t="s">
        <v>19</v>
      </c>
      <c r="C1617">
        <v>5</v>
      </c>
      <c r="D1617">
        <v>29</v>
      </c>
      <c r="E1617" t="s">
        <v>2109</v>
      </c>
      <c r="F1617" t="s">
        <v>123</v>
      </c>
      <c r="G1617" t="s">
        <v>124</v>
      </c>
      <c r="H1617" t="s">
        <v>125</v>
      </c>
      <c r="I1617" t="s">
        <v>1553</v>
      </c>
      <c r="J1617" t="s">
        <v>140</v>
      </c>
      <c r="K1617" t="s">
        <v>166</v>
      </c>
      <c r="L1617">
        <v>50</v>
      </c>
      <c r="M1617">
        <v>3503517</v>
      </c>
      <c r="N1617">
        <v>20</v>
      </c>
      <c r="O1617">
        <v>7</v>
      </c>
      <c r="P1617" t="s">
        <v>182</v>
      </c>
      <c r="Q1617" t="s">
        <v>1930</v>
      </c>
      <c r="R1617">
        <v>3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0</v>
      </c>
      <c r="AA1617">
        <v>0</v>
      </c>
      <c r="AB1617">
        <v>50</v>
      </c>
      <c r="AC1617">
        <v>0</v>
      </c>
      <c r="AD1617">
        <v>0</v>
      </c>
      <c r="AE1617">
        <v>0</v>
      </c>
      <c r="AF1617">
        <v>0</v>
      </c>
      <c r="AG1617">
        <v>0</v>
      </c>
      <c r="AH1617">
        <v>50</v>
      </c>
      <c r="AI1617">
        <v>50</v>
      </c>
      <c r="AJ1617">
        <v>50</v>
      </c>
      <c r="AK1617">
        <v>50</v>
      </c>
      <c r="AL1617">
        <v>0</v>
      </c>
      <c r="AM1617">
        <v>0.4</v>
      </c>
      <c r="AN1617">
        <v>4.5454545454545459</v>
      </c>
      <c r="AO1617">
        <v>0</v>
      </c>
      <c r="AP1617" t="s">
        <v>1921</v>
      </c>
      <c r="AQ1617" t="s">
        <v>155</v>
      </c>
      <c r="AR1617" t="s">
        <v>229</v>
      </c>
      <c r="AS1617">
        <v>0</v>
      </c>
      <c r="AT1617">
        <v>0</v>
      </c>
      <c r="AU1617">
        <v>0</v>
      </c>
      <c r="AV1617">
        <v>0</v>
      </c>
      <c r="AW1617">
        <v>0</v>
      </c>
      <c r="AX1617">
        <v>0</v>
      </c>
      <c r="AY1617">
        <v>0</v>
      </c>
      <c r="AZ1617" t="s">
        <v>135</v>
      </c>
      <c r="BA1617">
        <v>20</v>
      </c>
      <c r="BB1617">
        <v>0</v>
      </c>
      <c r="BC1617" t="s">
        <v>133</v>
      </c>
      <c r="BD1617">
        <v>0</v>
      </c>
      <c r="BE1617" t="s">
        <v>133</v>
      </c>
      <c r="BF161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18" spans="1:58" x14ac:dyDescent="0.25">
      <c r="A1618" t="s">
        <v>1935</v>
      </c>
      <c r="B1618" t="s">
        <v>19</v>
      </c>
      <c r="C1618">
        <v>5</v>
      </c>
      <c r="D1618">
        <v>30</v>
      </c>
      <c r="E1618" t="s">
        <v>2109</v>
      </c>
      <c r="F1618" t="s">
        <v>123</v>
      </c>
      <c r="G1618" t="s">
        <v>124</v>
      </c>
      <c r="H1618" t="s">
        <v>125</v>
      </c>
      <c r="I1618" t="s">
        <v>1553</v>
      </c>
      <c r="J1618" t="s">
        <v>140</v>
      </c>
      <c r="K1618" t="s">
        <v>166</v>
      </c>
      <c r="L1618">
        <v>50</v>
      </c>
      <c r="M1618">
        <v>3503519</v>
      </c>
      <c r="N1618">
        <v>20</v>
      </c>
      <c r="O1618">
        <v>7</v>
      </c>
      <c r="P1618" t="s">
        <v>182</v>
      </c>
      <c r="Q1618" t="s">
        <v>1930</v>
      </c>
      <c r="R1618">
        <v>3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  <c r="AA1618">
        <v>0</v>
      </c>
      <c r="AB1618">
        <v>50</v>
      </c>
      <c r="AC1618">
        <v>0</v>
      </c>
      <c r="AD1618">
        <v>0</v>
      </c>
      <c r="AE1618">
        <v>0</v>
      </c>
      <c r="AF1618">
        <v>0</v>
      </c>
      <c r="AG1618">
        <v>0</v>
      </c>
      <c r="AH1618">
        <v>50</v>
      </c>
      <c r="AI1618">
        <v>50</v>
      </c>
      <c r="AJ1618">
        <v>50</v>
      </c>
      <c r="AK1618">
        <v>50</v>
      </c>
      <c r="AL1618">
        <v>0</v>
      </c>
      <c r="AM1618">
        <v>0.4</v>
      </c>
      <c r="AN1618">
        <v>4.5454545454545459</v>
      </c>
      <c r="AO1618">
        <v>0</v>
      </c>
      <c r="AP1618" t="s">
        <v>1921</v>
      </c>
      <c r="AQ1618" t="s">
        <v>155</v>
      </c>
      <c r="AR1618" t="s">
        <v>229</v>
      </c>
      <c r="AS1618">
        <v>0</v>
      </c>
      <c r="AT1618">
        <v>0</v>
      </c>
      <c r="AU1618">
        <v>0</v>
      </c>
      <c r="AV1618">
        <v>0</v>
      </c>
      <c r="AW1618">
        <v>0</v>
      </c>
      <c r="AX1618">
        <v>0</v>
      </c>
      <c r="AY1618">
        <v>0</v>
      </c>
      <c r="AZ1618" t="s">
        <v>135</v>
      </c>
      <c r="BA1618">
        <v>20</v>
      </c>
      <c r="BB1618">
        <v>0</v>
      </c>
      <c r="BC1618" t="s">
        <v>133</v>
      </c>
      <c r="BD1618">
        <v>0</v>
      </c>
      <c r="BE1618" t="s">
        <v>133</v>
      </c>
      <c r="BF161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19" spans="1:58" x14ac:dyDescent="0.25">
      <c r="A1619" t="s">
        <v>1936</v>
      </c>
      <c r="B1619" t="s">
        <v>19</v>
      </c>
      <c r="C1619">
        <v>5</v>
      </c>
      <c r="D1619">
        <v>31</v>
      </c>
      <c r="E1619" t="s">
        <v>2109</v>
      </c>
      <c r="F1619" t="s">
        <v>123</v>
      </c>
      <c r="G1619" t="s">
        <v>124</v>
      </c>
      <c r="H1619" t="s">
        <v>125</v>
      </c>
      <c r="I1619" t="s">
        <v>1553</v>
      </c>
      <c r="J1619" t="s">
        <v>140</v>
      </c>
      <c r="K1619" t="s">
        <v>166</v>
      </c>
      <c r="L1619">
        <v>50</v>
      </c>
      <c r="M1619">
        <v>3503521</v>
      </c>
      <c r="N1619">
        <v>20</v>
      </c>
      <c r="O1619">
        <v>7</v>
      </c>
      <c r="P1619" t="s">
        <v>182</v>
      </c>
      <c r="Q1619" t="s">
        <v>1930</v>
      </c>
      <c r="R1619">
        <v>3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0</v>
      </c>
      <c r="AA1619">
        <v>0</v>
      </c>
      <c r="AB1619">
        <v>50</v>
      </c>
      <c r="AC1619">
        <v>0</v>
      </c>
      <c r="AD1619">
        <v>0</v>
      </c>
      <c r="AE1619">
        <v>0</v>
      </c>
      <c r="AF1619">
        <v>0</v>
      </c>
      <c r="AG1619">
        <v>0</v>
      </c>
      <c r="AH1619">
        <v>50</v>
      </c>
      <c r="AI1619">
        <v>50</v>
      </c>
      <c r="AJ1619">
        <v>50</v>
      </c>
      <c r="AK1619">
        <v>50</v>
      </c>
      <c r="AL1619">
        <v>0</v>
      </c>
      <c r="AM1619">
        <v>0.4</v>
      </c>
      <c r="AN1619">
        <v>4.5454545454545459</v>
      </c>
      <c r="AO1619">
        <v>0</v>
      </c>
      <c r="AP1619" t="s">
        <v>1921</v>
      </c>
      <c r="AQ1619" t="s">
        <v>155</v>
      </c>
      <c r="AR1619" t="s">
        <v>229</v>
      </c>
      <c r="AS1619">
        <v>0</v>
      </c>
      <c r="AT1619">
        <v>0</v>
      </c>
      <c r="AU1619">
        <v>0</v>
      </c>
      <c r="AV1619">
        <v>0</v>
      </c>
      <c r="AW1619">
        <v>0</v>
      </c>
      <c r="AX1619">
        <v>0</v>
      </c>
      <c r="AY1619">
        <v>0</v>
      </c>
      <c r="AZ1619" t="s">
        <v>135</v>
      </c>
      <c r="BA1619">
        <v>20</v>
      </c>
      <c r="BB1619">
        <v>0</v>
      </c>
      <c r="BC1619" t="s">
        <v>133</v>
      </c>
      <c r="BD1619">
        <v>0</v>
      </c>
      <c r="BE1619" t="s">
        <v>133</v>
      </c>
      <c r="BF161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20" spans="1:58" x14ac:dyDescent="0.25">
      <c r="A1620" t="s">
        <v>1937</v>
      </c>
      <c r="B1620" t="s">
        <v>19</v>
      </c>
      <c r="C1620">
        <v>5</v>
      </c>
      <c r="D1620">
        <v>32</v>
      </c>
      <c r="E1620" t="s">
        <v>2109</v>
      </c>
      <c r="F1620" t="s">
        <v>123</v>
      </c>
      <c r="G1620" t="s">
        <v>124</v>
      </c>
      <c r="H1620" t="s">
        <v>125</v>
      </c>
      <c r="I1620" t="s">
        <v>1553</v>
      </c>
      <c r="J1620" t="s">
        <v>140</v>
      </c>
      <c r="K1620" t="s">
        <v>166</v>
      </c>
      <c r="L1620">
        <v>50</v>
      </c>
      <c r="M1620">
        <v>3503523</v>
      </c>
      <c r="N1620">
        <v>20</v>
      </c>
      <c r="O1620">
        <v>7</v>
      </c>
      <c r="P1620" t="s">
        <v>182</v>
      </c>
      <c r="Q1620" t="s">
        <v>1930</v>
      </c>
      <c r="R1620">
        <v>3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0</v>
      </c>
      <c r="AA1620">
        <v>0</v>
      </c>
      <c r="AB1620">
        <v>50</v>
      </c>
      <c r="AC1620">
        <v>0</v>
      </c>
      <c r="AD1620">
        <v>0</v>
      </c>
      <c r="AE1620">
        <v>0</v>
      </c>
      <c r="AF1620">
        <v>0</v>
      </c>
      <c r="AG1620">
        <v>0</v>
      </c>
      <c r="AH1620">
        <v>50</v>
      </c>
      <c r="AI1620">
        <v>50</v>
      </c>
      <c r="AJ1620">
        <v>50</v>
      </c>
      <c r="AK1620">
        <v>50</v>
      </c>
      <c r="AL1620">
        <v>0</v>
      </c>
      <c r="AM1620">
        <v>0.4</v>
      </c>
      <c r="AN1620">
        <v>4.5454545454545459</v>
      </c>
      <c r="AO1620">
        <v>0</v>
      </c>
      <c r="AP1620" t="s">
        <v>1921</v>
      </c>
      <c r="AQ1620" t="s">
        <v>155</v>
      </c>
      <c r="AR1620" t="s">
        <v>229</v>
      </c>
      <c r="AS1620">
        <v>0</v>
      </c>
      <c r="AT1620">
        <v>0</v>
      </c>
      <c r="AU1620">
        <v>0</v>
      </c>
      <c r="AV1620">
        <v>0</v>
      </c>
      <c r="AW1620">
        <v>0</v>
      </c>
      <c r="AX1620">
        <v>0</v>
      </c>
      <c r="AY1620">
        <v>0</v>
      </c>
      <c r="AZ1620" t="s">
        <v>135</v>
      </c>
      <c r="BA1620">
        <v>20</v>
      </c>
      <c r="BB1620">
        <v>0</v>
      </c>
      <c r="BC1620" t="s">
        <v>133</v>
      </c>
      <c r="BD1620">
        <v>0</v>
      </c>
      <c r="BE1620" t="s">
        <v>133</v>
      </c>
      <c r="BF162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21" spans="1:58" x14ac:dyDescent="0.25">
      <c r="A1621" t="s">
        <v>1938</v>
      </c>
      <c r="B1621" t="s">
        <v>19</v>
      </c>
      <c r="C1621">
        <v>5</v>
      </c>
      <c r="D1621">
        <v>33</v>
      </c>
      <c r="E1621" t="s">
        <v>2109</v>
      </c>
      <c r="F1621" t="s">
        <v>123</v>
      </c>
      <c r="G1621" t="s">
        <v>124</v>
      </c>
      <c r="H1621" t="s">
        <v>125</v>
      </c>
      <c r="I1621" t="s">
        <v>1553</v>
      </c>
      <c r="J1621" t="s">
        <v>140</v>
      </c>
      <c r="K1621" t="s">
        <v>151</v>
      </c>
      <c r="L1621">
        <v>50</v>
      </c>
      <c r="M1621">
        <v>3504225</v>
      </c>
      <c r="N1621">
        <v>0</v>
      </c>
      <c r="O1621">
        <v>7</v>
      </c>
      <c r="P1621" t="s">
        <v>182</v>
      </c>
      <c r="Q1621" t="s">
        <v>1930</v>
      </c>
      <c r="R1621">
        <v>3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0</v>
      </c>
      <c r="AA1621">
        <v>0</v>
      </c>
      <c r="AB1621">
        <v>50</v>
      </c>
      <c r="AC1621">
        <v>0</v>
      </c>
      <c r="AD1621">
        <v>0</v>
      </c>
      <c r="AE1621">
        <v>0</v>
      </c>
      <c r="AF1621">
        <v>0</v>
      </c>
      <c r="AG1621">
        <v>0</v>
      </c>
      <c r="AH1621">
        <v>0</v>
      </c>
      <c r="AI1621">
        <v>50</v>
      </c>
      <c r="AJ1621">
        <v>50</v>
      </c>
      <c r="AK1621">
        <v>50</v>
      </c>
      <c r="AL1621">
        <v>50</v>
      </c>
      <c r="AM1621">
        <v>0</v>
      </c>
      <c r="AN1621">
        <v>4.5454545454545459</v>
      </c>
      <c r="AO1621">
        <v>0</v>
      </c>
      <c r="AP1621" t="s">
        <v>1919</v>
      </c>
      <c r="AQ1621" t="s">
        <v>155</v>
      </c>
      <c r="AR1621" t="s">
        <v>229</v>
      </c>
      <c r="AS1621">
        <v>0</v>
      </c>
      <c r="AT1621">
        <v>0</v>
      </c>
      <c r="AU1621">
        <v>0</v>
      </c>
      <c r="AV1621">
        <v>0</v>
      </c>
      <c r="AW1621">
        <v>0</v>
      </c>
      <c r="AX1621">
        <v>0</v>
      </c>
      <c r="AY1621">
        <v>0</v>
      </c>
      <c r="AZ1621" t="s">
        <v>147</v>
      </c>
      <c r="BA1621">
        <v>0</v>
      </c>
      <c r="BB1621">
        <v>0</v>
      </c>
      <c r="BC1621" t="s">
        <v>133</v>
      </c>
      <c r="BD1621">
        <v>0</v>
      </c>
      <c r="BE1621" t="s">
        <v>133</v>
      </c>
      <c r="BF162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22" spans="1:58" x14ac:dyDescent="0.25">
      <c r="A1622" t="s">
        <v>1939</v>
      </c>
      <c r="B1622" t="s">
        <v>19</v>
      </c>
      <c r="C1622">
        <v>5</v>
      </c>
      <c r="D1622">
        <v>34</v>
      </c>
      <c r="E1622" t="s">
        <v>2109</v>
      </c>
      <c r="F1622" t="s">
        <v>123</v>
      </c>
      <c r="G1622" t="s">
        <v>124</v>
      </c>
      <c r="H1622" t="s">
        <v>125</v>
      </c>
      <c r="I1622" t="s">
        <v>1553</v>
      </c>
      <c r="J1622" t="s">
        <v>140</v>
      </c>
      <c r="K1622" t="s">
        <v>151</v>
      </c>
      <c r="L1622">
        <v>50</v>
      </c>
      <c r="M1622">
        <v>3504227</v>
      </c>
      <c r="N1622">
        <v>0</v>
      </c>
      <c r="O1622">
        <v>7</v>
      </c>
      <c r="P1622" t="s">
        <v>182</v>
      </c>
      <c r="Q1622" t="s">
        <v>1930</v>
      </c>
      <c r="R1622">
        <v>3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50</v>
      </c>
      <c r="AC1622">
        <v>0</v>
      </c>
      <c r="AD1622">
        <v>0</v>
      </c>
      <c r="AE1622">
        <v>0</v>
      </c>
      <c r="AF1622">
        <v>0</v>
      </c>
      <c r="AG1622">
        <v>0</v>
      </c>
      <c r="AH1622">
        <v>0</v>
      </c>
      <c r="AI1622">
        <v>50</v>
      </c>
      <c r="AJ1622">
        <v>50</v>
      </c>
      <c r="AK1622">
        <v>50</v>
      </c>
      <c r="AL1622">
        <v>50</v>
      </c>
      <c r="AM1622">
        <v>0</v>
      </c>
      <c r="AN1622">
        <v>4.5454545454545459</v>
      </c>
      <c r="AO1622">
        <v>0</v>
      </c>
      <c r="AP1622" t="s">
        <v>1919</v>
      </c>
      <c r="AQ1622" t="s">
        <v>155</v>
      </c>
      <c r="AR1622" t="s">
        <v>229</v>
      </c>
      <c r="AS1622">
        <v>0</v>
      </c>
      <c r="AT1622">
        <v>0</v>
      </c>
      <c r="AU1622">
        <v>0</v>
      </c>
      <c r="AV1622">
        <v>0</v>
      </c>
      <c r="AW1622">
        <v>0</v>
      </c>
      <c r="AX1622">
        <v>0</v>
      </c>
      <c r="AY1622">
        <v>0</v>
      </c>
      <c r="AZ1622" t="s">
        <v>147</v>
      </c>
      <c r="BA1622">
        <v>0</v>
      </c>
      <c r="BB1622">
        <v>0</v>
      </c>
      <c r="BC1622" t="s">
        <v>133</v>
      </c>
      <c r="BD1622">
        <v>0</v>
      </c>
      <c r="BE1622" t="s">
        <v>133</v>
      </c>
      <c r="BF162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23" spans="1:58" x14ac:dyDescent="0.25">
      <c r="A1623" t="s">
        <v>1940</v>
      </c>
      <c r="B1623" t="s">
        <v>19</v>
      </c>
      <c r="C1623">
        <v>5</v>
      </c>
      <c r="D1623">
        <v>35</v>
      </c>
      <c r="E1623" t="s">
        <v>2109</v>
      </c>
      <c r="F1623" t="s">
        <v>123</v>
      </c>
      <c r="G1623" t="s">
        <v>124</v>
      </c>
      <c r="H1623" t="s">
        <v>125</v>
      </c>
      <c r="I1623" t="s">
        <v>1553</v>
      </c>
      <c r="J1623" t="s">
        <v>140</v>
      </c>
      <c r="K1623" t="s">
        <v>151</v>
      </c>
      <c r="L1623">
        <v>50</v>
      </c>
      <c r="M1623">
        <v>3504229</v>
      </c>
      <c r="N1623">
        <v>0</v>
      </c>
      <c r="O1623">
        <v>7</v>
      </c>
      <c r="P1623" t="s">
        <v>182</v>
      </c>
      <c r="Q1623" t="s">
        <v>1930</v>
      </c>
      <c r="R1623">
        <v>3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0</v>
      </c>
      <c r="AA1623">
        <v>0</v>
      </c>
      <c r="AB1623">
        <v>50</v>
      </c>
      <c r="AC1623">
        <v>0</v>
      </c>
      <c r="AD1623">
        <v>0</v>
      </c>
      <c r="AE1623">
        <v>0</v>
      </c>
      <c r="AF1623">
        <v>0</v>
      </c>
      <c r="AG1623">
        <v>0</v>
      </c>
      <c r="AH1623">
        <v>0</v>
      </c>
      <c r="AI1623">
        <v>50</v>
      </c>
      <c r="AJ1623">
        <v>50</v>
      </c>
      <c r="AK1623">
        <v>50</v>
      </c>
      <c r="AL1623">
        <v>50</v>
      </c>
      <c r="AM1623">
        <v>0</v>
      </c>
      <c r="AN1623">
        <v>4.5454545454545459</v>
      </c>
      <c r="AO1623">
        <v>0</v>
      </c>
      <c r="AP1623" t="s">
        <v>1919</v>
      </c>
      <c r="AQ1623" t="s">
        <v>155</v>
      </c>
      <c r="AR1623" t="s">
        <v>229</v>
      </c>
      <c r="AS1623">
        <v>0</v>
      </c>
      <c r="AT1623">
        <v>0</v>
      </c>
      <c r="AU1623">
        <v>0</v>
      </c>
      <c r="AV1623">
        <v>0</v>
      </c>
      <c r="AW1623">
        <v>0</v>
      </c>
      <c r="AX1623">
        <v>0</v>
      </c>
      <c r="AY1623">
        <v>0</v>
      </c>
      <c r="AZ1623" t="s">
        <v>147</v>
      </c>
      <c r="BA1623">
        <v>0</v>
      </c>
      <c r="BB1623">
        <v>0</v>
      </c>
      <c r="BC1623" t="s">
        <v>133</v>
      </c>
      <c r="BD1623">
        <v>0</v>
      </c>
      <c r="BE1623" t="s">
        <v>133</v>
      </c>
      <c r="BF162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24" spans="1:58" x14ac:dyDescent="0.25">
      <c r="A1624" t="s">
        <v>1941</v>
      </c>
      <c r="B1624" t="s">
        <v>19</v>
      </c>
      <c r="C1624">
        <v>5</v>
      </c>
      <c r="D1624">
        <v>36</v>
      </c>
      <c r="E1624" t="s">
        <v>2109</v>
      </c>
      <c r="F1624" t="s">
        <v>123</v>
      </c>
      <c r="G1624" t="s">
        <v>124</v>
      </c>
      <c r="H1624" t="s">
        <v>125</v>
      </c>
      <c r="I1624" t="s">
        <v>1553</v>
      </c>
      <c r="J1624" t="s">
        <v>140</v>
      </c>
      <c r="K1624" t="s">
        <v>151</v>
      </c>
      <c r="L1624">
        <v>50</v>
      </c>
      <c r="M1624">
        <v>3504231</v>
      </c>
      <c r="N1624">
        <v>0</v>
      </c>
      <c r="O1624">
        <v>7</v>
      </c>
      <c r="P1624" t="s">
        <v>182</v>
      </c>
      <c r="Q1624" t="s">
        <v>1930</v>
      </c>
      <c r="R1624">
        <v>3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0</v>
      </c>
      <c r="AB1624">
        <v>50</v>
      </c>
      <c r="AC1624">
        <v>0</v>
      </c>
      <c r="AD1624">
        <v>0</v>
      </c>
      <c r="AE1624">
        <v>0</v>
      </c>
      <c r="AF1624">
        <v>0</v>
      </c>
      <c r="AG1624">
        <v>0</v>
      </c>
      <c r="AH1624">
        <v>0</v>
      </c>
      <c r="AI1624">
        <v>50</v>
      </c>
      <c r="AJ1624">
        <v>50</v>
      </c>
      <c r="AK1624">
        <v>50</v>
      </c>
      <c r="AL1624">
        <v>50</v>
      </c>
      <c r="AM1624">
        <v>0</v>
      </c>
      <c r="AN1624">
        <v>4.5454545454545459</v>
      </c>
      <c r="AO1624">
        <v>0</v>
      </c>
      <c r="AP1624" t="s">
        <v>1919</v>
      </c>
      <c r="AQ1624" t="s">
        <v>155</v>
      </c>
      <c r="AR1624" t="s">
        <v>229</v>
      </c>
      <c r="AS1624">
        <v>0</v>
      </c>
      <c r="AT1624">
        <v>0</v>
      </c>
      <c r="AU1624">
        <v>0</v>
      </c>
      <c r="AV1624">
        <v>0</v>
      </c>
      <c r="AW1624">
        <v>0</v>
      </c>
      <c r="AX1624">
        <v>0</v>
      </c>
      <c r="AY1624">
        <v>0</v>
      </c>
      <c r="AZ1624" t="s">
        <v>147</v>
      </c>
      <c r="BA1624">
        <v>0</v>
      </c>
      <c r="BB1624">
        <v>0</v>
      </c>
      <c r="BC1624" t="s">
        <v>144</v>
      </c>
      <c r="BD1624">
        <v>0</v>
      </c>
      <c r="BE1624" t="s">
        <v>133</v>
      </c>
      <c r="BF162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25" spans="1:58" x14ac:dyDescent="0.25">
      <c r="A1625" t="s">
        <v>1942</v>
      </c>
      <c r="B1625" t="s">
        <v>19</v>
      </c>
      <c r="C1625">
        <v>5</v>
      </c>
      <c r="D1625">
        <v>37</v>
      </c>
      <c r="E1625" t="s">
        <v>2109</v>
      </c>
      <c r="F1625" t="s">
        <v>123</v>
      </c>
      <c r="G1625" t="s">
        <v>124</v>
      </c>
      <c r="H1625" t="s">
        <v>125</v>
      </c>
      <c r="I1625" t="s">
        <v>183</v>
      </c>
      <c r="J1625" t="s">
        <v>140</v>
      </c>
      <c r="K1625" t="s">
        <v>166</v>
      </c>
      <c r="L1625">
        <v>50</v>
      </c>
      <c r="M1625">
        <v>3504109</v>
      </c>
      <c r="N1625">
        <v>20</v>
      </c>
      <c r="O1625">
        <v>7</v>
      </c>
      <c r="P1625" t="s">
        <v>182</v>
      </c>
      <c r="Q1625" t="s">
        <v>1902</v>
      </c>
      <c r="R1625">
        <v>4</v>
      </c>
      <c r="T1625">
        <v>0</v>
      </c>
      <c r="U1625">
        <v>0</v>
      </c>
      <c r="V1625">
        <v>25</v>
      </c>
      <c r="W1625">
        <v>0</v>
      </c>
      <c r="X1625">
        <v>25</v>
      </c>
      <c r="Y1625">
        <v>0</v>
      </c>
      <c r="Z1625">
        <v>22</v>
      </c>
      <c r="AA1625">
        <v>25</v>
      </c>
      <c r="AB1625">
        <v>50</v>
      </c>
      <c r="AC1625">
        <v>0</v>
      </c>
      <c r="AD1625">
        <v>49</v>
      </c>
      <c r="AE1625">
        <v>0</v>
      </c>
      <c r="AF1625">
        <v>49</v>
      </c>
      <c r="AG1625">
        <v>0</v>
      </c>
      <c r="AH1625">
        <v>50</v>
      </c>
      <c r="AI1625">
        <v>1</v>
      </c>
      <c r="AJ1625">
        <v>50</v>
      </c>
      <c r="AK1625">
        <v>50</v>
      </c>
      <c r="AL1625">
        <v>0</v>
      </c>
      <c r="AM1625">
        <v>0.4</v>
      </c>
      <c r="AN1625">
        <v>4.5454545454545459</v>
      </c>
      <c r="AO1625">
        <v>0</v>
      </c>
      <c r="AP1625" t="s">
        <v>184</v>
      </c>
      <c r="AQ1625" t="s">
        <v>131</v>
      </c>
      <c r="AR1625" t="s">
        <v>229</v>
      </c>
      <c r="AS1625">
        <v>0</v>
      </c>
      <c r="AT1625">
        <v>0</v>
      </c>
      <c r="AU1625">
        <v>0</v>
      </c>
      <c r="AV1625">
        <v>0</v>
      </c>
      <c r="AW1625">
        <v>0</v>
      </c>
      <c r="AX1625">
        <v>0</v>
      </c>
      <c r="AY1625">
        <v>0</v>
      </c>
      <c r="AZ1625" t="s">
        <v>135</v>
      </c>
      <c r="BA1625">
        <v>20</v>
      </c>
      <c r="BB1625">
        <v>0</v>
      </c>
      <c r="BC1625" t="s">
        <v>132</v>
      </c>
      <c r="BD1625">
        <v>0</v>
      </c>
      <c r="BE1625" t="s">
        <v>133</v>
      </c>
      <c r="BF162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26" spans="1:58" x14ac:dyDescent="0.25">
      <c r="A1626" t="s">
        <v>1943</v>
      </c>
      <c r="B1626" t="s">
        <v>19</v>
      </c>
      <c r="C1626">
        <v>5</v>
      </c>
      <c r="D1626">
        <v>38</v>
      </c>
      <c r="E1626" t="s">
        <v>2109</v>
      </c>
      <c r="F1626" t="s">
        <v>123</v>
      </c>
      <c r="G1626" t="s">
        <v>124</v>
      </c>
      <c r="H1626" t="s">
        <v>125</v>
      </c>
      <c r="I1626" t="s">
        <v>183</v>
      </c>
      <c r="J1626" t="s">
        <v>140</v>
      </c>
      <c r="K1626" t="s">
        <v>166</v>
      </c>
      <c r="L1626">
        <v>50</v>
      </c>
      <c r="M1626">
        <v>3503867</v>
      </c>
      <c r="N1626">
        <v>20</v>
      </c>
      <c r="O1626">
        <v>7</v>
      </c>
      <c r="P1626" t="s">
        <v>182</v>
      </c>
      <c r="Q1626" t="s">
        <v>1902</v>
      </c>
      <c r="R1626">
        <v>4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0</v>
      </c>
      <c r="AA1626">
        <v>0</v>
      </c>
      <c r="AB1626">
        <v>50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>
        <v>50</v>
      </c>
      <c r="AI1626">
        <v>50</v>
      </c>
      <c r="AJ1626">
        <v>50</v>
      </c>
      <c r="AK1626">
        <v>50</v>
      </c>
      <c r="AL1626">
        <v>0</v>
      </c>
      <c r="AM1626">
        <v>0.4</v>
      </c>
      <c r="AN1626">
        <v>4.5454545454545459</v>
      </c>
      <c r="AO1626">
        <v>0</v>
      </c>
      <c r="AP1626" t="s">
        <v>184</v>
      </c>
      <c r="AQ1626" t="s">
        <v>155</v>
      </c>
      <c r="AR1626" t="s">
        <v>229</v>
      </c>
      <c r="AS1626">
        <v>0</v>
      </c>
      <c r="AT1626">
        <v>0</v>
      </c>
      <c r="AU1626">
        <v>0</v>
      </c>
      <c r="AV1626">
        <v>0</v>
      </c>
      <c r="AW1626">
        <v>0</v>
      </c>
      <c r="AX1626">
        <v>0</v>
      </c>
      <c r="AY1626">
        <v>0</v>
      </c>
      <c r="AZ1626" t="s">
        <v>135</v>
      </c>
      <c r="BA1626">
        <v>20</v>
      </c>
      <c r="BB1626">
        <v>0</v>
      </c>
      <c r="BC1626" t="s">
        <v>133</v>
      </c>
      <c r="BD1626">
        <v>0</v>
      </c>
      <c r="BE1626" t="s">
        <v>133</v>
      </c>
      <c r="BF162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27" spans="1:58" x14ac:dyDescent="0.25">
      <c r="A1627" t="s">
        <v>1944</v>
      </c>
      <c r="B1627" t="s">
        <v>19</v>
      </c>
      <c r="C1627">
        <v>5</v>
      </c>
      <c r="D1627">
        <v>39</v>
      </c>
      <c r="E1627" t="s">
        <v>2109</v>
      </c>
      <c r="F1627" t="s">
        <v>123</v>
      </c>
      <c r="G1627" t="s">
        <v>124</v>
      </c>
      <c r="H1627" t="s">
        <v>125</v>
      </c>
      <c r="I1627" t="s">
        <v>183</v>
      </c>
      <c r="J1627" t="s">
        <v>140</v>
      </c>
      <c r="K1627" t="s">
        <v>166</v>
      </c>
      <c r="L1627">
        <v>50</v>
      </c>
      <c r="M1627">
        <v>3503869</v>
      </c>
      <c r="N1627">
        <v>20</v>
      </c>
      <c r="O1627">
        <v>7</v>
      </c>
      <c r="P1627" t="s">
        <v>182</v>
      </c>
      <c r="Q1627" t="s">
        <v>1902</v>
      </c>
      <c r="R1627">
        <v>4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50</v>
      </c>
      <c r="AC1627">
        <v>0</v>
      </c>
      <c r="AD1627">
        <v>0</v>
      </c>
      <c r="AE1627">
        <v>0</v>
      </c>
      <c r="AF1627">
        <v>0</v>
      </c>
      <c r="AG1627">
        <v>0</v>
      </c>
      <c r="AH1627">
        <v>50</v>
      </c>
      <c r="AI1627">
        <v>50</v>
      </c>
      <c r="AJ1627">
        <v>50</v>
      </c>
      <c r="AK1627">
        <v>50</v>
      </c>
      <c r="AL1627">
        <v>0</v>
      </c>
      <c r="AM1627">
        <v>0.4</v>
      </c>
      <c r="AN1627">
        <v>4.5454545454545459</v>
      </c>
      <c r="AO1627">
        <v>0</v>
      </c>
      <c r="AP1627" t="s">
        <v>184</v>
      </c>
      <c r="AQ1627" t="s">
        <v>155</v>
      </c>
      <c r="AR1627" t="s">
        <v>229</v>
      </c>
      <c r="AS1627">
        <v>0</v>
      </c>
      <c r="AT1627">
        <v>0</v>
      </c>
      <c r="AU1627">
        <v>0</v>
      </c>
      <c r="AV1627">
        <v>0</v>
      </c>
      <c r="AW1627">
        <v>0</v>
      </c>
      <c r="AX1627">
        <v>0</v>
      </c>
      <c r="AY1627">
        <v>0</v>
      </c>
      <c r="AZ1627" t="s">
        <v>135</v>
      </c>
      <c r="BA1627">
        <v>20</v>
      </c>
      <c r="BB1627">
        <v>0</v>
      </c>
      <c r="BC1627" t="s">
        <v>133</v>
      </c>
      <c r="BD1627">
        <v>0</v>
      </c>
      <c r="BE1627" t="s">
        <v>133</v>
      </c>
      <c r="BF162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28" spans="1:58" x14ac:dyDescent="0.25">
      <c r="A1628" t="s">
        <v>1945</v>
      </c>
      <c r="B1628" t="s">
        <v>19</v>
      </c>
      <c r="C1628">
        <v>5</v>
      </c>
      <c r="D1628">
        <v>40</v>
      </c>
      <c r="E1628" t="s">
        <v>2109</v>
      </c>
      <c r="F1628" t="s">
        <v>123</v>
      </c>
      <c r="G1628" t="s">
        <v>124</v>
      </c>
      <c r="H1628" t="s">
        <v>125</v>
      </c>
      <c r="I1628" t="s">
        <v>183</v>
      </c>
      <c r="J1628" t="s">
        <v>140</v>
      </c>
      <c r="K1628" t="s">
        <v>166</v>
      </c>
      <c r="L1628">
        <v>50</v>
      </c>
      <c r="M1628">
        <v>3503871</v>
      </c>
      <c r="N1628">
        <v>20</v>
      </c>
      <c r="O1628">
        <v>7</v>
      </c>
      <c r="P1628" t="s">
        <v>182</v>
      </c>
      <c r="Q1628" t="s">
        <v>1902</v>
      </c>
      <c r="R1628">
        <v>4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0</v>
      </c>
      <c r="AA1628">
        <v>0</v>
      </c>
      <c r="AB1628">
        <v>50</v>
      </c>
      <c r="AC1628">
        <v>0</v>
      </c>
      <c r="AD1628">
        <v>0</v>
      </c>
      <c r="AE1628">
        <v>0</v>
      </c>
      <c r="AF1628">
        <v>0</v>
      </c>
      <c r="AG1628">
        <v>0</v>
      </c>
      <c r="AH1628">
        <v>50</v>
      </c>
      <c r="AI1628">
        <v>50</v>
      </c>
      <c r="AJ1628">
        <v>50</v>
      </c>
      <c r="AK1628">
        <v>50</v>
      </c>
      <c r="AL1628">
        <v>0</v>
      </c>
      <c r="AM1628">
        <v>0.4</v>
      </c>
      <c r="AN1628">
        <v>4.5454545454545459</v>
      </c>
      <c r="AO1628">
        <v>0</v>
      </c>
      <c r="AP1628" t="s">
        <v>184</v>
      </c>
      <c r="AQ1628" t="s">
        <v>155</v>
      </c>
      <c r="AR1628" t="s">
        <v>229</v>
      </c>
      <c r="AS1628">
        <v>0</v>
      </c>
      <c r="AT1628">
        <v>0</v>
      </c>
      <c r="AU1628">
        <v>0</v>
      </c>
      <c r="AV1628">
        <v>0</v>
      </c>
      <c r="AW1628">
        <v>0</v>
      </c>
      <c r="AX1628">
        <v>0</v>
      </c>
      <c r="AY1628">
        <v>0</v>
      </c>
      <c r="AZ1628" t="s">
        <v>135</v>
      </c>
      <c r="BA1628">
        <v>20</v>
      </c>
      <c r="BB1628">
        <v>0</v>
      </c>
      <c r="BC1628" t="s">
        <v>133</v>
      </c>
      <c r="BD1628">
        <v>0</v>
      </c>
      <c r="BE1628" t="s">
        <v>133</v>
      </c>
      <c r="BF162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29" spans="1:58" x14ac:dyDescent="0.25">
      <c r="A1629" t="s">
        <v>1946</v>
      </c>
      <c r="B1629" t="s">
        <v>19</v>
      </c>
      <c r="C1629">
        <v>5</v>
      </c>
      <c r="D1629">
        <v>41</v>
      </c>
      <c r="E1629" t="s">
        <v>2109</v>
      </c>
      <c r="F1629" t="s">
        <v>123</v>
      </c>
      <c r="G1629" t="s">
        <v>124</v>
      </c>
      <c r="H1629" t="s">
        <v>125</v>
      </c>
      <c r="I1629" t="s">
        <v>183</v>
      </c>
      <c r="J1629" t="s">
        <v>140</v>
      </c>
      <c r="K1629" t="s">
        <v>166</v>
      </c>
      <c r="L1629">
        <v>50</v>
      </c>
      <c r="M1629">
        <v>3504111</v>
      </c>
      <c r="N1629">
        <v>20</v>
      </c>
      <c r="O1629">
        <v>7</v>
      </c>
      <c r="P1629" t="s">
        <v>182</v>
      </c>
      <c r="Q1629" t="s">
        <v>1902</v>
      </c>
      <c r="R1629">
        <v>4</v>
      </c>
      <c r="T1629">
        <v>0</v>
      </c>
      <c r="U1629">
        <v>0</v>
      </c>
      <c r="V1629">
        <v>25</v>
      </c>
      <c r="W1629">
        <v>0</v>
      </c>
      <c r="X1629">
        <v>25</v>
      </c>
      <c r="Y1629">
        <v>0</v>
      </c>
      <c r="Z1629">
        <v>22</v>
      </c>
      <c r="AA1629">
        <v>25</v>
      </c>
      <c r="AB1629">
        <v>50</v>
      </c>
      <c r="AC1629">
        <v>0</v>
      </c>
      <c r="AD1629">
        <v>49</v>
      </c>
      <c r="AE1629">
        <v>0</v>
      </c>
      <c r="AF1629">
        <v>49</v>
      </c>
      <c r="AG1629">
        <v>0</v>
      </c>
      <c r="AH1629">
        <v>50</v>
      </c>
      <c r="AI1629">
        <v>1</v>
      </c>
      <c r="AJ1629">
        <v>50</v>
      </c>
      <c r="AK1629">
        <v>50</v>
      </c>
      <c r="AL1629">
        <v>0</v>
      </c>
      <c r="AM1629">
        <v>0.4</v>
      </c>
      <c r="AN1629">
        <v>4.5454545454545459</v>
      </c>
      <c r="AO1629">
        <v>0</v>
      </c>
      <c r="AP1629" t="s">
        <v>184</v>
      </c>
      <c r="AQ1629" t="s">
        <v>131</v>
      </c>
      <c r="AR1629" t="s">
        <v>229</v>
      </c>
      <c r="AS1629">
        <v>0</v>
      </c>
      <c r="AT1629">
        <v>0</v>
      </c>
      <c r="AU1629">
        <v>0</v>
      </c>
      <c r="AV1629">
        <v>0</v>
      </c>
      <c r="AW1629">
        <v>0</v>
      </c>
      <c r="AX1629">
        <v>0</v>
      </c>
      <c r="AY1629">
        <v>0</v>
      </c>
      <c r="AZ1629" t="s">
        <v>135</v>
      </c>
      <c r="BA1629">
        <v>20</v>
      </c>
      <c r="BB1629">
        <v>0</v>
      </c>
      <c r="BC1629" t="s">
        <v>133</v>
      </c>
      <c r="BD1629">
        <v>0</v>
      </c>
      <c r="BE1629" t="s">
        <v>133</v>
      </c>
      <c r="BF162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30" spans="1:58" x14ac:dyDescent="0.25">
      <c r="A1630" t="s">
        <v>1947</v>
      </c>
      <c r="B1630" t="s">
        <v>19</v>
      </c>
      <c r="C1630">
        <v>5</v>
      </c>
      <c r="D1630">
        <v>42</v>
      </c>
      <c r="E1630" t="s">
        <v>2109</v>
      </c>
      <c r="F1630" t="s">
        <v>123</v>
      </c>
      <c r="G1630" t="s">
        <v>124</v>
      </c>
      <c r="H1630" t="s">
        <v>125</v>
      </c>
      <c r="I1630" t="s">
        <v>183</v>
      </c>
      <c r="J1630" t="s">
        <v>140</v>
      </c>
      <c r="K1630" t="s">
        <v>166</v>
      </c>
      <c r="L1630">
        <v>50</v>
      </c>
      <c r="M1630">
        <v>3504113</v>
      </c>
      <c r="N1630">
        <v>20</v>
      </c>
      <c r="O1630">
        <v>7</v>
      </c>
      <c r="P1630" t="s">
        <v>182</v>
      </c>
      <c r="Q1630" t="s">
        <v>1902</v>
      </c>
      <c r="R1630">
        <v>4</v>
      </c>
      <c r="T1630">
        <v>0</v>
      </c>
      <c r="U1630">
        <v>0</v>
      </c>
      <c r="V1630">
        <v>25</v>
      </c>
      <c r="W1630">
        <v>0</v>
      </c>
      <c r="X1630">
        <v>25</v>
      </c>
      <c r="Y1630">
        <v>0</v>
      </c>
      <c r="Z1630">
        <v>22</v>
      </c>
      <c r="AA1630">
        <v>25</v>
      </c>
      <c r="AB1630">
        <v>50</v>
      </c>
      <c r="AC1630">
        <v>0</v>
      </c>
      <c r="AD1630">
        <v>49</v>
      </c>
      <c r="AE1630">
        <v>0</v>
      </c>
      <c r="AF1630">
        <v>49</v>
      </c>
      <c r="AG1630">
        <v>0</v>
      </c>
      <c r="AH1630">
        <v>50</v>
      </c>
      <c r="AI1630">
        <v>1</v>
      </c>
      <c r="AJ1630">
        <v>50</v>
      </c>
      <c r="AK1630">
        <v>50</v>
      </c>
      <c r="AL1630">
        <v>0</v>
      </c>
      <c r="AM1630">
        <v>0.4</v>
      </c>
      <c r="AN1630">
        <v>4.5454545454545459</v>
      </c>
      <c r="AO1630">
        <v>0</v>
      </c>
      <c r="AP1630" t="s">
        <v>184</v>
      </c>
      <c r="AQ1630" t="s">
        <v>131</v>
      </c>
      <c r="AR1630" t="s">
        <v>229</v>
      </c>
      <c r="AS1630">
        <v>0</v>
      </c>
      <c r="AT1630">
        <v>0</v>
      </c>
      <c r="AU1630">
        <v>0</v>
      </c>
      <c r="AV1630">
        <v>0</v>
      </c>
      <c r="AW1630">
        <v>0</v>
      </c>
      <c r="AX1630">
        <v>0</v>
      </c>
      <c r="AY1630">
        <v>0</v>
      </c>
      <c r="AZ1630" t="s">
        <v>135</v>
      </c>
      <c r="BA1630">
        <v>20</v>
      </c>
      <c r="BB1630">
        <v>0</v>
      </c>
      <c r="BC1630" t="s">
        <v>133</v>
      </c>
      <c r="BD1630">
        <v>0</v>
      </c>
      <c r="BE1630" t="s">
        <v>133</v>
      </c>
      <c r="BF163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31" spans="1:58" x14ac:dyDescent="0.25">
      <c r="A1631" t="s">
        <v>1948</v>
      </c>
      <c r="B1631" t="s">
        <v>19</v>
      </c>
      <c r="C1631">
        <v>5</v>
      </c>
      <c r="D1631">
        <v>43</v>
      </c>
      <c r="E1631" t="s">
        <v>2109</v>
      </c>
      <c r="F1631" t="s">
        <v>123</v>
      </c>
      <c r="G1631" t="s">
        <v>124</v>
      </c>
      <c r="H1631" t="s">
        <v>125</v>
      </c>
      <c r="I1631" t="s">
        <v>183</v>
      </c>
      <c r="J1631" t="s">
        <v>140</v>
      </c>
      <c r="K1631" t="s">
        <v>166</v>
      </c>
      <c r="L1631">
        <v>50</v>
      </c>
      <c r="M1631">
        <v>3504115</v>
      </c>
      <c r="N1631">
        <v>20</v>
      </c>
      <c r="O1631">
        <v>7</v>
      </c>
      <c r="P1631" t="s">
        <v>182</v>
      </c>
      <c r="Q1631" t="s">
        <v>1902</v>
      </c>
      <c r="R1631">
        <v>4</v>
      </c>
      <c r="T1631">
        <v>0</v>
      </c>
      <c r="U1631">
        <v>0</v>
      </c>
      <c r="V1631">
        <v>25</v>
      </c>
      <c r="W1631">
        <v>0</v>
      </c>
      <c r="X1631">
        <v>25</v>
      </c>
      <c r="Y1631">
        <v>0</v>
      </c>
      <c r="Z1631">
        <v>22</v>
      </c>
      <c r="AA1631">
        <v>25</v>
      </c>
      <c r="AB1631">
        <v>50</v>
      </c>
      <c r="AC1631">
        <v>0</v>
      </c>
      <c r="AD1631">
        <v>49</v>
      </c>
      <c r="AE1631">
        <v>0</v>
      </c>
      <c r="AF1631">
        <v>49</v>
      </c>
      <c r="AG1631">
        <v>0</v>
      </c>
      <c r="AH1631">
        <v>50</v>
      </c>
      <c r="AI1631">
        <v>1</v>
      </c>
      <c r="AJ1631">
        <v>50</v>
      </c>
      <c r="AK1631">
        <v>50</v>
      </c>
      <c r="AL1631">
        <v>0</v>
      </c>
      <c r="AM1631">
        <v>0.4</v>
      </c>
      <c r="AN1631">
        <v>4.5454545454545459</v>
      </c>
      <c r="AO1631">
        <v>0</v>
      </c>
      <c r="AP1631" t="s">
        <v>184</v>
      </c>
      <c r="AQ1631" t="s">
        <v>131</v>
      </c>
      <c r="AR1631" t="s">
        <v>229</v>
      </c>
      <c r="AS1631">
        <v>0</v>
      </c>
      <c r="AT1631">
        <v>0</v>
      </c>
      <c r="AU1631">
        <v>0</v>
      </c>
      <c r="AV1631">
        <v>0</v>
      </c>
      <c r="AW1631">
        <v>0</v>
      </c>
      <c r="AX1631">
        <v>0</v>
      </c>
      <c r="AY1631">
        <v>0</v>
      </c>
      <c r="AZ1631" t="s">
        <v>135</v>
      </c>
      <c r="BA1631">
        <v>20</v>
      </c>
      <c r="BB1631">
        <v>0</v>
      </c>
      <c r="BC1631" t="s">
        <v>133</v>
      </c>
      <c r="BD1631">
        <v>0</v>
      </c>
      <c r="BE1631" t="s">
        <v>133</v>
      </c>
      <c r="BF163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32" spans="1:58" x14ac:dyDescent="0.25">
      <c r="A1632" t="s">
        <v>1949</v>
      </c>
      <c r="B1632" t="s">
        <v>19</v>
      </c>
      <c r="C1632">
        <v>5</v>
      </c>
      <c r="D1632">
        <v>44</v>
      </c>
      <c r="E1632" t="s">
        <v>2112</v>
      </c>
      <c r="F1632" t="s">
        <v>123</v>
      </c>
      <c r="G1632" t="s">
        <v>124</v>
      </c>
      <c r="H1632" t="s">
        <v>125</v>
      </c>
      <c r="I1632" t="s">
        <v>154</v>
      </c>
      <c r="J1632" t="s">
        <v>154</v>
      </c>
      <c r="K1632" t="s">
        <v>151</v>
      </c>
      <c r="L1632">
        <v>50</v>
      </c>
      <c r="M1632">
        <v>3503873</v>
      </c>
      <c r="N1632">
        <v>0</v>
      </c>
      <c r="O1632">
        <v>7</v>
      </c>
      <c r="P1632" t="s">
        <v>182</v>
      </c>
      <c r="Q1632" t="s">
        <v>1902</v>
      </c>
      <c r="R1632">
        <v>4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50</v>
      </c>
      <c r="AC1632">
        <v>0</v>
      </c>
      <c r="AD1632">
        <v>0</v>
      </c>
      <c r="AE1632">
        <v>0</v>
      </c>
      <c r="AF1632">
        <v>0</v>
      </c>
      <c r="AG1632">
        <v>0</v>
      </c>
      <c r="AH1632">
        <v>0</v>
      </c>
      <c r="AI1632">
        <v>50</v>
      </c>
      <c r="AJ1632">
        <v>50</v>
      </c>
      <c r="AK1632">
        <v>50</v>
      </c>
      <c r="AL1632">
        <v>50</v>
      </c>
      <c r="AM1632">
        <v>0</v>
      </c>
      <c r="AN1632">
        <v>4.5454545454545459</v>
      </c>
      <c r="AO1632">
        <v>0</v>
      </c>
      <c r="AP1632" t="s">
        <v>172</v>
      </c>
      <c r="AQ1632" t="s">
        <v>155</v>
      </c>
      <c r="AR1632" t="s">
        <v>1766</v>
      </c>
      <c r="AS1632">
        <v>0</v>
      </c>
      <c r="AT1632">
        <v>0</v>
      </c>
      <c r="AU1632">
        <v>0</v>
      </c>
      <c r="AV1632">
        <v>0</v>
      </c>
      <c r="AW1632">
        <v>0</v>
      </c>
      <c r="AX1632">
        <v>0</v>
      </c>
      <c r="AY1632">
        <v>0</v>
      </c>
      <c r="AZ1632" t="s">
        <v>147</v>
      </c>
      <c r="BA1632">
        <v>0</v>
      </c>
      <c r="BB1632">
        <v>0</v>
      </c>
      <c r="BC1632" t="s">
        <v>133</v>
      </c>
      <c r="BD1632">
        <v>1</v>
      </c>
      <c r="BE1632" t="s">
        <v>133</v>
      </c>
      <c r="BF163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33" spans="1:58" x14ac:dyDescent="0.25">
      <c r="A1633" t="s">
        <v>1950</v>
      </c>
      <c r="B1633" t="s">
        <v>19</v>
      </c>
      <c r="C1633">
        <v>5</v>
      </c>
      <c r="D1633">
        <v>45</v>
      </c>
      <c r="E1633" t="s">
        <v>2112</v>
      </c>
      <c r="F1633" t="s">
        <v>123</v>
      </c>
      <c r="G1633" t="s">
        <v>124</v>
      </c>
      <c r="H1633" t="s">
        <v>125</v>
      </c>
      <c r="I1633" t="s">
        <v>154</v>
      </c>
      <c r="J1633" t="s">
        <v>154</v>
      </c>
      <c r="K1633" t="s">
        <v>151</v>
      </c>
      <c r="L1633">
        <v>50</v>
      </c>
      <c r="M1633">
        <v>3503875</v>
      </c>
      <c r="N1633">
        <v>0</v>
      </c>
      <c r="O1633">
        <v>7</v>
      </c>
      <c r="P1633" t="s">
        <v>182</v>
      </c>
      <c r="Q1633" t="s">
        <v>1902</v>
      </c>
      <c r="R1633">
        <v>4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50</v>
      </c>
      <c r="AC1633">
        <v>0</v>
      </c>
      <c r="AD1633">
        <v>0</v>
      </c>
      <c r="AE1633">
        <v>0</v>
      </c>
      <c r="AF1633">
        <v>0</v>
      </c>
      <c r="AG1633">
        <v>0</v>
      </c>
      <c r="AH1633">
        <v>0</v>
      </c>
      <c r="AI1633">
        <v>50</v>
      </c>
      <c r="AJ1633">
        <v>50</v>
      </c>
      <c r="AK1633">
        <v>50</v>
      </c>
      <c r="AL1633">
        <v>50</v>
      </c>
      <c r="AM1633">
        <v>0</v>
      </c>
      <c r="AN1633">
        <v>4.5454545454545459</v>
      </c>
      <c r="AO1633">
        <v>0</v>
      </c>
      <c r="AP1633" t="s">
        <v>172</v>
      </c>
      <c r="AQ1633" t="s">
        <v>155</v>
      </c>
      <c r="AR1633" t="s">
        <v>1766</v>
      </c>
      <c r="AS1633">
        <v>0</v>
      </c>
      <c r="AT1633">
        <v>0</v>
      </c>
      <c r="AU1633">
        <v>0</v>
      </c>
      <c r="AV1633">
        <v>0</v>
      </c>
      <c r="AW1633">
        <v>0</v>
      </c>
      <c r="AX1633">
        <v>0</v>
      </c>
      <c r="AY1633">
        <v>0</v>
      </c>
      <c r="AZ1633" t="s">
        <v>147</v>
      </c>
      <c r="BA1633">
        <v>0</v>
      </c>
      <c r="BB1633">
        <v>0</v>
      </c>
      <c r="BC1633" t="s">
        <v>133</v>
      </c>
      <c r="BD1633">
        <v>2</v>
      </c>
      <c r="BE1633" t="s">
        <v>133</v>
      </c>
      <c r="BF163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34" spans="1:58" x14ac:dyDescent="0.25">
      <c r="A1634" t="s">
        <v>1951</v>
      </c>
      <c r="B1634" t="s">
        <v>19</v>
      </c>
      <c r="C1634">
        <v>5</v>
      </c>
      <c r="D1634">
        <v>46</v>
      </c>
      <c r="E1634" t="s">
        <v>2112</v>
      </c>
      <c r="F1634" t="s">
        <v>123</v>
      </c>
      <c r="G1634" t="s">
        <v>124</v>
      </c>
      <c r="H1634" t="s">
        <v>125</v>
      </c>
      <c r="I1634" t="s">
        <v>154</v>
      </c>
      <c r="J1634" t="s">
        <v>154</v>
      </c>
      <c r="K1634" t="s">
        <v>151</v>
      </c>
      <c r="L1634">
        <v>50</v>
      </c>
      <c r="M1634">
        <v>3503877</v>
      </c>
      <c r="N1634">
        <v>0</v>
      </c>
      <c r="O1634">
        <v>7</v>
      </c>
      <c r="P1634" t="s">
        <v>182</v>
      </c>
      <c r="Q1634" t="s">
        <v>1902</v>
      </c>
      <c r="R1634">
        <v>4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50</v>
      </c>
      <c r="AC1634">
        <v>0</v>
      </c>
      <c r="AD1634">
        <v>0</v>
      </c>
      <c r="AE1634">
        <v>0</v>
      </c>
      <c r="AF1634">
        <v>0</v>
      </c>
      <c r="AG1634">
        <v>0</v>
      </c>
      <c r="AH1634">
        <v>0</v>
      </c>
      <c r="AI1634">
        <v>50</v>
      </c>
      <c r="AJ1634">
        <v>50</v>
      </c>
      <c r="AK1634">
        <v>50</v>
      </c>
      <c r="AL1634">
        <v>50</v>
      </c>
      <c r="AM1634">
        <v>0</v>
      </c>
      <c r="AN1634">
        <v>4.5454545454545459</v>
      </c>
      <c r="AO1634">
        <v>0</v>
      </c>
      <c r="AP1634" t="s">
        <v>172</v>
      </c>
      <c r="AQ1634" t="s">
        <v>155</v>
      </c>
      <c r="AR1634" t="s">
        <v>1766</v>
      </c>
      <c r="AS1634">
        <v>0</v>
      </c>
      <c r="AT1634">
        <v>0</v>
      </c>
      <c r="AU1634">
        <v>0</v>
      </c>
      <c r="AV1634">
        <v>0</v>
      </c>
      <c r="AW1634">
        <v>0</v>
      </c>
      <c r="AX1634">
        <v>0</v>
      </c>
      <c r="AY1634">
        <v>0</v>
      </c>
      <c r="AZ1634" t="s">
        <v>147</v>
      </c>
      <c r="BA1634">
        <v>0</v>
      </c>
      <c r="BB1634">
        <v>0</v>
      </c>
      <c r="BC1634" t="s">
        <v>133</v>
      </c>
      <c r="BD1634">
        <v>3</v>
      </c>
      <c r="BE1634" t="s">
        <v>133</v>
      </c>
      <c r="BF163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35" spans="1:58" x14ac:dyDescent="0.25">
      <c r="A1635" t="s">
        <v>1952</v>
      </c>
      <c r="B1635" t="s">
        <v>19</v>
      </c>
      <c r="C1635">
        <v>5</v>
      </c>
      <c r="D1635">
        <v>47</v>
      </c>
      <c r="E1635" t="s">
        <v>2112</v>
      </c>
      <c r="F1635" t="s">
        <v>123</v>
      </c>
      <c r="G1635" t="s">
        <v>124</v>
      </c>
      <c r="H1635" t="s">
        <v>125</v>
      </c>
      <c r="I1635" t="s">
        <v>154</v>
      </c>
      <c r="J1635" t="s">
        <v>154</v>
      </c>
      <c r="K1635" t="s">
        <v>151</v>
      </c>
      <c r="L1635">
        <v>50</v>
      </c>
      <c r="M1635">
        <v>3503879</v>
      </c>
      <c r="N1635">
        <v>0</v>
      </c>
      <c r="O1635">
        <v>7</v>
      </c>
      <c r="P1635" t="s">
        <v>182</v>
      </c>
      <c r="Q1635" t="s">
        <v>1902</v>
      </c>
      <c r="R1635">
        <v>4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  <c r="AB1635">
        <v>50</v>
      </c>
      <c r="AC1635">
        <v>0</v>
      </c>
      <c r="AD1635">
        <v>0</v>
      </c>
      <c r="AE1635">
        <v>0</v>
      </c>
      <c r="AF1635">
        <v>0</v>
      </c>
      <c r="AG1635">
        <v>0</v>
      </c>
      <c r="AH1635">
        <v>0</v>
      </c>
      <c r="AI1635">
        <v>50</v>
      </c>
      <c r="AJ1635">
        <v>50</v>
      </c>
      <c r="AK1635">
        <v>50</v>
      </c>
      <c r="AL1635">
        <v>50</v>
      </c>
      <c r="AM1635">
        <v>0</v>
      </c>
      <c r="AN1635">
        <v>4.5454545454545459</v>
      </c>
      <c r="AO1635">
        <v>0</v>
      </c>
      <c r="AP1635" t="s">
        <v>172</v>
      </c>
      <c r="AQ1635" t="s">
        <v>155</v>
      </c>
      <c r="AR1635" t="s">
        <v>1766</v>
      </c>
      <c r="AS1635">
        <v>0</v>
      </c>
      <c r="AT1635">
        <v>0</v>
      </c>
      <c r="AU1635">
        <v>0</v>
      </c>
      <c r="AV1635">
        <v>0</v>
      </c>
      <c r="AW1635">
        <v>0</v>
      </c>
      <c r="AX1635">
        <v>0</v>
      </c>
      <c r="AY1635">
        <v>0</v>
      </c>
      <c r="AZ1635" t="s">
        <v>147</v>
      </c>
      <c r="BA1635">
        <v>0</v>
      </c>
      <c r="BB1635">
        <v>0</v>
      </c>
      <c r="BC1635" t="s">
        <v>133</v>
      </c>
      <c r="BD1635">
        <v>4</v>
      </c>
      <c r="BE1635" t="s">
        <v>133</v>
      </c>
      <c r="BF163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36" spans="1:58" x14ac:dyDescent="0.25">
      <c r="A1636" t="s">
        <v>1953</v>
      </c>
      <c r="B1636" t="s">
        <v>19</v>
      </c>
      <c r="C1636">
        <v>5</v>
      </c>
      <c r="D1636">
        <v>48</v>
      </c>
      <c r="E1636" t="s">
        <v>2112</v>
      </c>
      <c r="F1636" t="s">
        <v>123</v>
      </c>
      <c r="G1636" t="s">
        <v>124</v>
      </c>
      <c r="H1636" t="s">
        <v>125</v>
      </c>
      <c r="I1636" t="s">
        <v>154</v>
      </c>
      <c r="J1636" t="s">
        <v>154</v>
      </c>
      <c r="K1636" t="s">
        <v>151</v>
      </c>
      <c r="L1636">
        <v>50</v>
      </c>
      <c r="M1636">
        <v>3503881</v>
      </c>
      <c r="N1636">
        <v>0</v>
      </c>
      <c r="O1636">
        <v>7</v>
      </c>
      <c r="P1636" t="s">
        <v>182</v>
      </c>
      <c r="Q1636" t="s">
        <v>1902</v>
      </c>
      <c r="R1636">
        <v>4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0</v>
      </c>
      <c r="AA1636">
        <v>0</v>
      </c>
      <c r="AB1636">
        <v>50</v>
      </c>
      <c r="AC1636">
        <v>0</v>
      </c>
      <c r="AD1636">
        <v>0</v>
      </c>
      <c r="AE1636">
        <v>0</v>
      </c>
      <c r="AF1636">
        <v>0</v>
      </c>
      <c r="AG1636">
        <v>0</v>
      </c>
      <c r="AH1636">
        <v>0</v>
      </c>
      <c r="AI1636">
        <v>50</v>
      </c>
      <c r="AJ1636">
        <v>50</v>
      </c>
      <c r="AK1636">
        <v>50</v>
      </c>
      <c r="AL1636">
        <v>50</v>
      </c>
      <c r="AM1636">
        <v>0</v>
      </c>
      <c r="AN1636">
        <v>4.5454545454545459</v>
      </c>
      <c r="AO1636">
        <v>0</v>
      </c>
      <c r="AP1636" t="s">
        <v>172</v>
      </c>
      <c r="AQ1636" t="s">
        <v>155</v>
      </c>
      <c r="AR1636" t="s">
        <v>1766</v>
      </c>
      <c r="AS1636">
        <v>0</v>
      </c>
      <c r="AT1636">
        <v>0</v>
      </c>
      <c r="AU1636">
        <v>0</v>
      </c>
      <c r="AV1636">
        <v>0</v>
      </c>
      <c r="AW1636">
        <v>0</v>
      </c>
      <c r="AX1636">
        <v>0</v>
      </c>
      <c r="AY1636">
        <v>0</v>
      </c>
      <c r="AZ1636" t="s">
        <v>147</v>
      </c>
      <c r="BA1636">
        <v>0</v>
      </c>
      <c r="BB1636">
        <v>0</v>
      </c>
      <c r="BC1636" t="s">
        <v>144</v>
      </c>
      <c r="BD1636">
        <v>5</v>
      </c>
      <c r="BE1636" t="s">
        <v>133</v>
      </c>
      <c r="BF163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37" spans="1:58" x14ac:dyDescent="0.25">
      <c r="A1637" t="s">
        <v>1954</v>
      </c>
      <c r="B1637" t="s">
        <v>19</v>
      </c>
      <c r="C1637">
        <v>5</v>
      </c>
      <c r="D1637">
        <v>49</v>
      </c>
      <c r="E1637" t="s">
        <v>2109</v>
      </c>
      <c r="F1637" t="s">
        <v>123</v>
      </c>
      <c r="G1637" t="s">
        <v>124</v>
      </c>
      <c r="H1637" t="s">
        <v>125</v>
      </c>
      <c r="I1637" t="s">
        <v>1553</v>
      </c>
      <c r="J1637" t="s">
        <v>149</v>
      </c>
      <c r="K1637" t="s">
        <v>166</v>
      </c>
      <c r="L1637">
        <v>50</v>
      </c>
      <c r="M1637">
        <v>3503883</v>
      </c>
      <c r="N1637">
        <v>14</v>
      </c>
      <c r="O1637">
        <v>7</v>
      </c>
      <c r="P1637" t="s">
        <v>182</v>
      </c>
      <c r="Q1637" t="s">
        <v>1915</v>
      </c>
      <c r="R1637">
        <v>5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0</v>
      </c>
      <c r="AA1637">
        <v>0</v>
      </c>
      <c r="AB1637">
        <v>50</v>
      </c>
      <c r="AC1637">
        <v>0</v>
      </c>
      <c r="AD1637">
        <v>0</v>
      </c>
      <c r="AE1637">
        <v>0</v>
      </c>
      <c r="AF1637">
        <v>0</v>
      </c>
      <c r="AG1637">
        <v>0</v>
      </c>
      <c r="AH1637">
        <v>50</v>
      </c>
      <c r="AI1637">
        <v>50</v>
      </c>
      <c r="AJ1637">
        <v>50</v>
      </c>
      <c r="AK1637">
        <v>50</v>
      </c>
      <c r="AL1637">
        <v>0</v>
      </c>
      <c r="AM1637">
        <v>0.28000000000000003</v>
      </c>
      <c r="AN1637">
        <v>4.5454545454545459</v>
      </c>
      <c r="AO1637">
        <v>0</v>
      </c>
      <c r="AP1637" t="s">
        <v>1921</v>
      </c>
      <c r="AQ1637" t="s">
        <v>155</v>
      </c>
      <c r="AR1637" t="s">
        <v>229</v>
      </c>
      <c r="AS1637">
        <v>0</v>
      </c>
      <c r="AT1637">
        <v>0</v>
      </c>
      <c r="AU1637">
        <v>0</v>
      </c>
      <c r="AV1637">
        <v>0</v>
      </c>
      <c r="AW1637">
        <v>0</v>
      </c>
      <c r="AX1637">
        <v>0</v>
      </c>
      <c r="AY1637">
        <v>0</v>
      </c>
      <c r="AZ1637" t="s">
        <v>135</v>
      </c>
      <c r="BA1637">
        <v>14</v>
      </c>
      <c r="BB1637">
        <v>0</v>
      </c>
      <c r="BC1637" t="s">
        <v>132</v>
      </c>
      <c r="BD1637">
        <v>0</v>
      </c>
      <c r="BE1637" t="s">
        <v>133</v>
      </c>
      <c r="BF163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38" spans="1:58" x14ac:dyDescent="0.25">
      <c r="A1638" t="s">
        <v>1955</v>
      </c>
      <c r="B1638" t="s">
        <v>19</v>
      </c>
      <c r="C1638">
        <v>5</v>
      </c>
      <c r="D1638">
        <v>50</v>
      </c>
      <c r="E1638" t="s">
        <v>2109</v>
      </c>
      <c r="F1638" t="s">
        <v>123</v>
      </c>
      <c r="G1638" t="s">
        <v>124</v>
      </c>
      <c r="H1638" t="s">
        <v>125</v>
      </c>
      <c r="I1638" t="s">
        <v>1553</v>
      </c>
      <c r="J1638" t="s">
        <v>149</v>
      </c>
      <c r="K1638" t="s">
        <v>166</v>
      </c>
      <c r="L1638">
        <v>50</v>
      </c>
      <c r="M1638">
        <v>3503885</v>
      </c>
      <c r="N1638">
        <v>14</v>
      </c>
      <c r="O1638">
        <v>7</v>
      </c>
      <c r="P1638" t="s">
        <v>182</v>
      </c>
      <c r="Q1638" t="s">
        <v>1915</v>
      </c>
      <c r="R1638">
        <v>5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0</v>
      </c>
      <c r="AB1638">
        <v>50</v>
      </c>
      <c r="AC1638">
        <v>0</v>
      </c>
      <c r="AD1638">
        <v>0</v>
      </c>
      <c r="AE1638">
        <v>0</v>
      </c>
      <c r="AF1638">
        <v>0</v>
      </c>
      <c r="AG1638">
        <v>0</v>
      </c>
      <c r="AH1638">
        <v>50</v>
      </c>
      <c r="AI1638">
        <v>50</v>
      </c>
      <c r="AJ1638">
        <v>50</v>
      </c>
      <c r="AK1638">
        <v>50</v>
      </c>
      <c r="AL1638">
        <v>0</v>
      </c>
      <c r="AM1638">
        <v>0.28000000000000003</v>
      </c>
      <c r="AN1638">
        <v>4.5454545454545459</v>
      </c>
      <c r="AO1638">
        <v>0</v>
      </c>
      <c r="AP1638" t="s">
        <v>1921</v>
      </c>
      <c r="AQ1638" t="s">
        <v>155</v>
      </c>
      <c r="AR1638" t="s">
        <v>229</v>
      </c>
      <c r="AS1638">
        <v>0</v>
      </c>
      <c r="AT1638">
        <v>0</v>
      </c>
      <c r="AU1638">
        <v>0</v>
      </c>
      <c r="AV1638">
        <v>0</v>
      </c>
      <c r="AW1638">
        <v>0</v>
      </c>
      <c r="AX1638">
        <v>0</v>
      </c>
      <c r="AY1638">
        <v>0</v>
      </c>
      <c r="AZ1638" t="s">
        <v>135</v>
      </c>
      <c r="BA1638">
        <v>14</v>
      </c>
      <c r="BB1638">
        <v>0</v>
      </c>
      <c r="BC1638" t="s">
        <v>133</v>
      </c>
      <c r="BD1638">
        <v>0</v>
      </c>
      <c r="BE1638" t="s">
        <v>133</v>
      </c>
      <c r="BF163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39" spans="1:58" x14ac:dyDescent="0.25">
      <c r="A1639" t="s">
        <v>1956</v>
      </c>
      <c r="B1639" t="s">
        <v>19</v>
      </c>
      <c r="C1639">
        <v>5</v>
      </c>
      <c r="D1639">
        <v>51</v>
      </c>
      <c r="E1639" t="s">
        <v>2109</v>
      </c>
      <c r="F1639" t="s">
        <v>123</v>
      </c>
      <c r="G1639" t="s">
        <v>124</v>
      </c>
      <c r="H1639" t="s">
        <v>125</v>
      </c>
      <c r="I1639" t="s">
        <v>1553</v>
      </c>
      <c r="J1639" t="s">
        <v>149</v>
      </c>
      <c r="K1639" t="s">
        <v>166</v>
      </c>
      <c r="L1639">
        <v>50</v>
      </c>
      <c r="M1639">
        <v>3503887</v>
      </c>
      <c r="N1639">
        <v>14</v>
      </c>
      <c r="O1639">
        <v>7</v>
      </c>
      <c r="P1639" t="s">
        <v>182</v>
      </c>
      <c r="Q1639" t="s">
        <v>1915</v>
      </c>
      <c r="R1639">
        <v>5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50</v>
      </c>
      <c r="AC1639">
        <v>0</v>
      </c>
      <c r="AD1639">
        <v>0</v>
      </c>
      <c r="AE1639">
        <v>0</v>
      </c>
      <c r="AF1639">
        <v>0</v>
      </c>
      <c r="AG1639">
        <v>0</v>
      </c>
      <c r="AH1639">
        <v>50</v>
      </c>
      <c r="AI1639">
        <v>50</v>
      </c>
      <c r="AJ1639">
        <v>50</v>
      </c>
      <c r="AK1639">
        <v>50</v>
      </c>
      <c r="AL1639">
        <v>0</v>
      </c>
      <c r="AM1639">
        <v>0.28000000000000003</v>
      </c>
      <c r="AN1639">
        <v>4.5454545454545459</v>
      </c>
      <c r="AO1639">
        <v>0</v>
      </c>
      <c r="AP1639" t="s">
        <v>1921</v>
      </c>
      <c r="AQ1639" t="s">
        <v>155</v>
      </c>
      <c r="AR1639" t="s">
        <v>229</v>
      </c>
      <c r="AS1639">
        <v>0</v>
      </c>
      <c r="AT1639">
        <v>0</v>
      </c>
      <c r="AU1639">
        <v>0</v>
      </c>
      <c r="AV1639">
        <v>0</v>
      </c>
      <c r="AW1639">
        <v>0</v>
      </c>
      <c r="AX1639">
        <v>0</v>
      </c>
      <c r="AY1639">
        <v>0</v>
      </c>
      <c r="AZ1639" t="s">
        <v>135</v>
      </c>
      <c r="BA1639">
        <v>14</v>
      </c>
      <c r="BB1639">
        <v>0</v>
      </c>
      <c r="BC1639" t="s">
        <v>133</v>
      </c>
      <c r="BD1639">
        <v>0</v>
      </c>
      <c r="BE1639" t="s">
        <v>133</v>
      </c>
      <c r="BF163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40" spans="1:58" x14ac:dyDescent="0.25">
      <c r="A1640" t="s">
        <v>1957</v>
      </c>
      <c r="B1640" t="s">
        <v>19</v>
      </c>
      <c r="C1640">
        <v>5</v>
      </c>
      <c r="D1640">
        <v>52</v>
      </c>
      <c r="E1640" t="s">
        <v>2109</v>
      </c>
      <c r="F1640" t="s">
        <v>123</v>
      </c>
      <c r="G1640" t="s">
        <v>124</v>
      </c>
      <c r="H1640" t="s">
        <v>125</v>
      </c>
      <c r="I1640" t="s">
        <v>1553</v>
      </c>
      <c r="J1640" t="s">
        <v>149</v>
      </c>
      <c r="K1640" t="s">
        <v>166</v>
      </c>
      <c r="L1640">
        <v>50</v>
      </c>
      <c r="M1640">
        <v>3503889</v>
      </c>
      <c r="N1640">
        <v>14</v>
      </c>
      <c r="O1640">
        <v>7</v>
      </c>
      <c r="P1640" t="s">
        <v>182</v>
      </c>
      <c r="Q1640" t="s">
        <v>1915</v>
      </c>
      <c r="R1640">
        <v>5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50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>
        <v>50</v>
      </c>
      <c r="AI1640">
        <v>50</v>
      </c>
      <c r="AJ1640">
        <v>50</v>
      </c>
      <c r="AK1640">
        <v>50</v>
      </c>
      <c r="AL1640">
        <v>0</v>
      </c>
      <c r="AM1640">
        <v>0.28000000000000003</v>
      </c>
      <c r="AN1640">
        <v>4.5454545454545459</v>
      </c>
      <c r="AO1640">
        <v>0</v>
      </c>
      <c r="AP1640" t="s">
        <v>1921</v>
      </c>
      <c r="AQ1640" t="s">
        <v>155</v>
      </c>
      <c r="AR1640" t="s">
        <v>229</v>
      </c>
      <c r="AS1640">
        <v>0</v>
      </c>
      <c r="AT1640">
        <v>0</v>
      </c>
      <c r="AU1640">
        <v>0</v>
      </c>
      <c r="AV1640">
        <v>0</v>
      </c>
      <c r="AW1640">
        <v>0</v>
      </c>
      <c r="AX1640">
        <v>0</v>
      </c>
      <c r="AY1640">
        <v>0</v>
      </c>
      <c r="AZ1640" t="s">
        <v>135</v>
      </c>
      <c r="BA1640">
        <v>14</v>
      </c>
      <c r="BB1640">
        <v>0</v>
      </c>
      <c r="BC1640" t="s">
        <v>133</v>
      </c>
      <c r="BD1640">
        <v>0</v>
      </c>
      <c r="BE1640" t="s">
        <v>133</v>
      </c>
      <c r="BF164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41" spans="1:58" x14ac:dyDescent="0.25">
      <c r="A1641" t="s">
        <v>1958</v>
      </c>
      <c r="B1641" t="s">
        <v>19</v>
      </c>
      <c r="C1641">
        <v>5</v>
      </c>
      <c r="D1641">
        <v>53</v>
      </c>
      <c r="E1641" t="s">
        <v>2109</v>
      </c>
      <c r="F1641" t="s">
        <v>123</v>
      </c>
      <c r="G1641" t="s">
        <v>124</v>
      </c>
      <c r="H1641" t="s">
        <v>125</v>
      </c>
      <c r="I1641" t="s">
        <v>1553</v>
      </c>
      <c r="J1641" t="s">
        <v>157</v>
      </c>
      <c r="K1641" t="s">
        <v>166</v>
      </c>
      <c r="L1641">
        <v>50</v>
      </c>
      <c r="M1641">
        <v>3503891</v>
      </c>
      <c r="N1641">
        <v>6</v>
      </c>
      <c r="O1641">
        <v>7</v>
      </c>
      <c r="P1641" t="s">
        <v>182</v>
      </c>
      <c r="Q1641" t="s">
        <v>1915</v>
      </c>
      <c r="R1641">
        <v>5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50</v>
      </c>
      <c r="AC1641">
        <v>0</v>
      </c>
      <c r="AD1641">
        <v>0</v>
      </c>
      <c r="AE1641">
        <v>0</v>
      </c>
      <c r="AF1641">
        <v>0</v>
      </c>
      <c r="AG1641">
        <v>0</v>
      </c>
      <c r="AH1641">
        <v>50</v>
      </c>
      <c r="AI1641">
        <v>50</v>
      </c>
      <c r="AJ1641">
        <v>50</v>
      </c>
      <c r="AK1641">
        <v>50</v>
      </c>
      <c r="AL1641">
        <v>0</v>
      </c>
      <c r="AM1641">
        <v>0.12</v>
      </c>
      <c r="AN1641">
        <v>4.5454545454545459</v>
      </c>
      <c r="AO1641">
        <v>0</v>
      </c>
      <c r="AP1641" t="s">
        <v>1921</v>
      </c>
      <c r="AQ1641" t="s">
        <v>155</v>
      </c>
      <c r="AR1641" t="s">
        <v>229</v>
      </c>
      <c r="AS1641">
        <v>0</v>
      </c>
      <c r="AT1641">
        <v>0</v>
      </c>
      <c r="AU1641">
        <v>0</v>
      </c>
      <c r="AV1641">
        <v>0</v>
      </c>
      <c r="AW1641">
        <v>0</v>
      </c>
      <c r="AX1641">
        <v>0</v>
      </c>
      <c r="AY1641">
        <v>0</v>
      </c>
      <c r="AZ1641" t="s">
        <v>135</v>
      </c>
      <c r="BA1641">
        <v>6</v>
      </c>
      <c r="BB1641">
        <v>0</v>
      </c>
      <c r="BC1641" t="s">
        <v>133</v>
      </c>
      <c r="BD1641">
        <v>0</v>
      </c>
      <c r="BE1641" t="s">
        <v>133</v>
      </c>
      <c r="BF164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42" spans="1:58" x14ac:dyDescent="0.25">
      <c r="A1642" t="s">
        <v>1959</v>
      </c>
      <c r="B1642" t="s">
        <v>19</v>
      </c>
      <c r="C1642">
        <v>5</v>
      </c>
      <c r="D1642">
        <v>54</v>
      </c>
      <c r="E1642" t="s">
        <v>2109</v>
      </c>
      <c r="F1642" t="s">
        <v>123</v>
      </c>
      <c r="G1642" t="s">
        <v>124</v>
      </c>
      <c r="H1642" t="s">
        <v>125</v>
      </c>
      <c r="I1642" t="s">
        <v>1553</v>
      </c>
      <c r="J1642" t="s">
        <v>157</v>
      </c>
      <c r="K1642" t="s">
        <v>166</v>
      </c>
      <c r="L1642">
        <v>50</v>
      </c>
      <c r="M1642">
        <v>3503893</v>
      </c>
      <c r="N1642">
        <v>6</v>
      </c>
      <c r="O1642">
        <v>7</v>
      </c>
      <c r="P1642" t="s">
        <v>182</v>
      </c>
      <c r="Q1642" t="s">
        <v>1915</v>
      </c>
      <c r="R1642">
        <v>5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50</v>
      </c>
      <c r="AC1642">
        <v>0</v>
      </c>
      <c r="AD1642">
        <v>0</v>
      </c>
      <c r="AE1642">
        <v>0</v>
      </c>
      <c r="AF1642">
        <v>0</v>
      </c>
      <c r="AG1642">
        <v>0</v>
      </c>
      <c r="AH1642">
        <v>50</v>
      </c>
      <c r="AI1642">
        <v>50</v>
      </c>
      <c r="AJ1642">
        <v>50</v>
      </c>
      <c r="AK1642">
        <v>50</v>
      </c>
      <c r="AL1642">
        <v>0</v>
      </c>
      <c r="AM1642">
        <v>0.12</v>
      </c>
      <c r="AN1642">
        <v>4.5454545454545459</v>
      </c>
      <c r="AO1642">
        <v>0</v>
      </c>
      <c r="AP1642" t="s">
        <v>1921</v>
      </c>
      <c r="AQ1642" t="s">
        <v>155</v>
      </c>
      <c r="AR1642" t="s">
        <v>229</v>
      </c>
      <c r="AS1642">
        <v>0</v>
      </c>
      <c r="AT1642">
        <v>0</v>
      </c>
      <c r="AU1642">
        <v>0</v>
      </c>
      <c r="AV1642">
        <v>0</v>
      </c>
      <c r="AW1642">
        <v>0</v>
      </c>
      <c r="AX1642">
        <v>0</v>
      </c>
      <c r="AY1642">
        <v>0</v>
      </c>
      <c r="AZ1642" t="s">
        <v>135</v>
      </c>
      <c r="BA1642">
        <v>6</v>
      </c>
      <c r="BB1642">
        <v>0</v>
      </c>
      <c r="BC1642" t="s">
        <v>133</v>
      </c>
      <c r="BD1642">
        <v>0</v>
      </c>
      <c r="BE1642" t="s">
        <v>133</v>
      </c>
      <c r="BF164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43" spans="1:58" x14ac:dyDescent="0.25">
      <c r="A1643" t="s">
        <v>1960</v>
      </c>
      <c r="B1643" t="s">
        <v>19</v>
      </c>
      <c r="C1643">
        <v>5</v>
      </c>
      <c r="D1643">
        <v>55</v>
      </c>
      <c r="E1643" t="s">
        <v>2109</v>
      </c>
      <c r="F1643" t="s">
        <v>123</v>
      </c>
      <c r="G1643" t="s">
        <v>124</v>
      </c>
      <c r="H1643" t="s">
        <v>125</v>
      </c>
      <c r="I1643" t="s">
        <v>1553</v>
      </c>
      <c r="J1643" t="s">
        <v>157</v>
      </c>
      <c r="K1643" t="s">
        <v>166</v>
      </c>
      <c r="L1643">
        <v>50</v>
      </c>
      <c r="M1643">
        <v>3503895</v>
      </c>
      <c r="N1643">
        <v>6</v>
      </c>
      <c r="O1643">
        <v>7</v>
      </c>
      <c r="P1643" t="s">
        <v>182</v>
      </c>
      <c r="Q1643" t="s">
        <v>1915</v>
      </c>
      <c r="R1643">
        <v>5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  <c r="AA1643">
        <v>0</v>
      </c>
      <c r="AB1643">
        <v>50</v>
      </c>
      <c r="AC1643">
        <v>0</v>
      </c>
      <c r="AD1643">
        <v>0</v>
      </c>
      <c r="AE1643">
        <v>0</v>
      </c>
      <c r="AF1643">
        <v>0</v>
      </c>
      <c r="AG1643">
        <v>0</v>
      </c>
      <c r="AH1643">
        <v>50</v>
      </c>
      <c r="AI1643">
        <v>50</v>
      </c>
      <c r="AJ1643">
        <v>50</v>
      </c>
      <c r="AK1643">
        <v>50</v>
      </c>
      <c r="AL1643">
        <v>0</v>
      </c>
      <c r="AM1643">
        <v>0.12</v>
      </c>
      <c r="AN1643">
        <v>4.5454545454545459</v>
      </c>
      <c r="AO1643">
        <v>0</v>
      </c>
      <c r="AP1643" t="s">
        <v>1921</v>
      </c>
      <c r="AQ1643" t="s">
        <v>155</v>
      </c>
      <c r="AR1643" t="s">
        <v>229</v>
      </c>
      <c r="AS1643">
        <v>0</v>
      </c>
      <c r="AT1643">
        <v>0</v>
      </c>
      <c r="AU1643">
        <v>0</v>
      </c>
      <c r="AV1643">
        <v>0</v>
      </c>
      <c r="AW1643">
        <v>0</v>
      </c>
      <c r="AX1643">
        <v>0</v>
      </c>
      <c r="AY1643">
        <v>0</v>
      </c>
      <c r="AZ1643" t="s">
        <v>135</v>
      </c>
      <c r="BA1643">
        <v>6</v>
      </c>
      <c r="BB1643">
        <v>0</v>
      </c>
      <c r="BC1643" t="s">
        <v>133</v>
      </c>
      <c r="BD1643">
        <v>0</v>
      </c>
      <c r="BE1643" t="s">
        <v>133</v>
      </c>
      <c r="BF164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44" spans="1:58" x14ac:dyDescent="0.25">
      <c r="A1644" t="s">
        <v>1961</v>
      </c>
      <c r="B1644" t="s">
        <v>19</v>
      </c>
      <c r="C1644">
        <v>5</v>
      </c>
      <c r="D1644">
        <v>56</v>
      </c>
      <c r="E1644" t="s">
        <v>2109</v>
      </c>
      <c r="F1644" t="s">
        <v>123</v>
      </c>
      <c r="G1644" t="s">
        <v>124</v>
      </c>
      <c r="H1644" t="s">
        <v>125</v>
      </c>
      <c r="I1644" t="s">
        <v>1553</v>
      </c>
      <c r="J1644" t="s">
        <v>157</v>
      </c>
      <c r="K1644" t="s">
        <v>166</v>
      </c>
      <c r="L1644">
        <v>50</v>
      </c>
      <c r="M1644">
        <v>3503897</v>
      </c>
      <c r="N1644">
        <v>6</v>
      </c>
      <c r="O1644">
        <v>7</v>
      </c>
      <c r="P1644" t="s">
        <v>182</v>
      </c>
      <c r="Q1644" t="s">
        <v>1915</v>
      </c>
      <c r="R1644">
        <v>5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50</v>
      </c>
      <c r="AC1644">
        <v>0</v>
      </c>
      <c r="AD1644">
        <v>0</v>
      </c>
      <c r="AE1644">
        <v>0</v>
      </c>
      <c r="AF1644">
        <v>0</v>
      </c>
      <c r="AG1644">
        <v>0</v>
      </c>
      <c r="AH1644">
        <v>50</v>
      </c>
      <c r="AI1644">
        <v>50</v>
      </c>
      <c r="AJ1644">
        <v>50</v>
      </c>
      <c r="AK1644">
        <v>50</v>
      </c>
      <c r="AL1644">
        <v>0</v>
      </c>
      <c r="AM1644">
        <v>0.12</v>
      </c>
      <c r="AN1644">
        <v>4.5454545454545459</v>
      </c>
      <c r="AO1644">
        <v>0</v>
      </c>
      <c r="AP1644" t="s">
        <v>1921</v>
      </c>
      <c r="AQ1644" t="s">
        <v>155</v>
      </c>
      <c r="AR1644" t="s">
        <v>229</v>
      </c>
      <c r="AS1644">
        <v>0</v>
      </c>
      <c r="AT1644">
        <v>0</v>
      </c>
      <c r="AU1644">
        <v>0</v>
      </c>
      <c r="AV1644">
        <v>0</v>
      </c>
      <c r="AW1644">
        <v>0</v>
      </c>
      <c r="AX1644">
        <v>0</v>
      </c>
      <c r="AY1644">
        <v>0</v>
      </c>
      <c r="AZ1644" t="s">
        <v>135</v>
      </c>
      <c r="BA1644">
        <v>6</v>
      </c>
      <c r="BB1644">
        <v>0</v>
      </c>
      <c r="BC1644" t="s">
        <v>133</v>
      </c>
      <c r="BD1644">
        <v>0</v>
      </c>
      <c r="BE1644" t="s">
        <v>133</v>
      </c>
      <c r="BF164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45" spans="1:58" x14ac:dyDescent="0.25">
      <c r="A1645" t="s">
        <v>1962</v>
      </c>
      <c r="B1645" t="s">
        <v>19</v>
      </c>
      <c r="C1645">
        <v>5</v>
      </c>
      <c r="D1645">
        <v>57</v>
      </c>
      <c r="E1645" t="s">
        <v>2109</v>
      </c>
      <c r="F1645" t="s">
        <v>123</v>
      </c>
      <c r="G1645" t="s">
        <v>124</v>
      </c>
      <c r="H1645" t="s">
        <v>125</v>
      </c>
      <c r="I1645" t="s">
        <v>1553</v>
      </c>
      <c r="J1645" t="s">
        <v>157</v>
      </c>
      <c r="K1645" t="s">
        <v>166</v>
      </c>
      <c r="L1645">
        <v>50</v>
      </c>
      <c r="M1645">
        <v>3503899</v>
      </c>
      <c r="N1645">
        <v>6</v>
      </c>
      <c r="O1645">
        <v>7</v>
      </c>
      <c r="P1645" t="s">
        <v>182</v>
      </c>
      <c r="Q1645" t="s">
        <v>1915</v>
      </c>
      <c r="R1645">
        <v>5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0</v>
      </c>
      <c r="AA1645">
        <v>0</v>
      </c>
      <c r="AB1645">
        <v>50</v>
      </c>
      <c r="AC1645">
        <v>0</v>
      </c>
      <c r="AD1645">
        <v>0</v>
      </c>
      <c r="AE1645">
        <v>0</v>
      </c>
      <c r="AF1645">
        <v>0</v>
      </c>
      <c r="AG1645">
        <v>0</v>
      </c>
      <c r="AH1645">
        <v>50</v>
      </c>
      <c r="AI1645">
        <v>50</v>
      </c>
      <c r="AJ1645">
        <v>50</v>
      </c>
      <c r="AK1645">
        <v>50</v>
      </c>
      <c r="AL1645">
        <v>0</v>
      </c>
      <c r="AM1645">
        <v>0.12</v>
      </c>
      <c r="AN1645">
        <v>4.5454545454545459</v>
      </c>
      <c r="AO1645">
        <v>0</v>
      </c>
      <c r="AP1645" t="s">
        <v>1921</v>
      </c>
      <c r="AQ1645" t="s">
        <v>155</v>
      </c>
      <c r="AR1645" t="s">
        <v>229</v>
      </c>
      <c r="AS1645">
        <v>0</v>
      </c>
      <c r="AT1645">
        <v>0</v>
      </c>
      <c r="AU1645">
        <v>0</v>
      </c>
      <c r="AV1645">
        <v>0</v>
      </c>
      <c r="AW1645">
        <v>0</v>
      </c>
      <c r="AX1645">
        <v>0</v>
      </c>
      <c r="AY1645">
        <v>0</v>
      </c>
      <c r="AZ1645" t="s">
        <v>135</v>
      </c>
      <c r="BA1645">
        <v>6</v>
      </c>
      <c r="BB1645">
        <v>0</v>
      </c>
      <c r="BC1645" t="s">
        <v>133</v>
      </c>
      <c r="BD1645">
        <v>0</v>
      </c>
      <c r="BE1645" t="s">
        <v>133</v>
      </c>
      <c r="BF164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46" spans="1:58" x14ac:dyDescent="0.25">
      <c r="A1646" t="s">
        <v>1963</v>
      </c>
      <c r="B1646" t="s">
        <v>19</v>
      </c>
      <c r="C1646">
        <v>5</v>
      </c>
      <c r="D1646">
        <v>58</v>
      </c>
      <c r="E1646" t="s">
        <v>2109</v>
      </c>
      <c r="F1646" t="s">
        <v>123</v>
      </c>
      <c r="G1646" t="s">
        <v>124</v>
      </c>
      <c r="H1646" t="s">
        <v>125</v>
      </c>
      <c r="I1646" t="s">
        <v>1553</v>
      </c>
      <c r="J1646" t="s">
        <v>157</v>
      </c>
      <c r="K1646" t="s">
        <v>166</v>
      </c>
      <c r="L1646">
        <v>50</v>
      </c>
      <c r="M1646">
        <v>3503901</v>
      </c>
      <c r="N1646">
        <v>6</v>
      </c>
      <c r="O1646">
        <v>7</v>
      </c>
      <c r="P1646" t="s">
        <v>182</v>
      </c>
      <c r="Q1646" t="s">
        <v>1915</v>
      </c>
      <c r="R1646">
        <v>5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0</v>
      </c>
      <c r="AA1646">
        <v>0</v>
      </c>
      <c r="AB1646">
        <v>50</v>
      </c>
      <c r="AC1646">
        <v>0</v>
      </c>
      <c r="AD1646">
        <v>0</v>
      </c>
      <c r="AE1646">
        <v>0</v>
      </c>
      <c r="AF1646">
        <v>0</v>
      </c>
      <c r="AG1646">
        <v>0</v>
      </c>
      <c r="AH1646">
        <v>50</v>
      </c>
      <c r="AI1646">
        <v>50</v>
      </c>
      <c r="AJ1646">
        <v>50</v>
      </c>
      <c r="AK1646">
        <v>50</v>
      </c>
      <c r="AL1646">
        <v>0</v>
      </c>
      <c r="AM1646">
        <v>0.12</v>
      </c>
      <c r="AN1646">
        <v>4.5454545454545459</v>
      </c>
      <c r="AO1646">
        <v>0</v>
      </c>
      <c r="AP1646" t="s">
        <v>1921</v>
      </c>
      <c r="AQ1646" t="s">
        <v>155</v>
      </c>
      <c r="AR1646" t="s">
        <v>229</v>
      </c>
      <c r="AS1646">
        <v>0</v>
      </c>
      <c r="AT1646">
        <v>0</v>
      </c>
      <c r="AU1646">
        <v>0</v>
      </c>
      <c r="AV1646">
        <v>0</v>
      </c>
      <c r="AW1646">
        <v>0</v>
      </c>
      <c r="AX1646">
        <v>0</v>
      </c>
      <c r="AY1646">
        <v>0</v>
      </c>
      <c r="AZ1646" t="s">
        <v>135</v>
      </c>
      <c r="BA1646">
        <v>6</v>
      </c>
      <c r="BB1646">
        <v>0</v>
      </c>
      <c r="BC1646" t="s">
        <v>133</v>
      </c>
      <c r="BD1646">
        <v>0</v>
      </c>
      <c r="BE1646" t="s">
        <v>133</v>
      </c>
      <c r="BF164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47" spans="1:58" x14ac:dyDescent="0.25">
      <c r="A1647" t="s">
        <v>1964</v>
      </c>
      <c r="B1647" t="s">
        <v>19</v>
      </c>
      <c r="C1647">
        <v>5</v>
      </c>
      <c r="D1647">
        <v>59</v>
      </c>
      <c r="E1647" t="s">
        <v>2109</v>
      </c>
      <c r="F1647" t="s">
        <v>123</v>
      </c>
      <c r="G1647" t="s">
        <v>124</v>
      </c>
      <c r="H1647" t="s">
        <v>125</v>
      </c>
      <c r="I1647" t="s">
        <v>1553</v>
      </c>
      <c r="J1647" t="s">
        <v>1554</v>
      </c>
      <c r="K1647" t="s">
        <v>166</v>
      </c>
      <c r="L1647">
        <v>50</v>
      </c>
      <c r="M1647">
        <v>3503903</v>
      </c>
      <c r="N1647">
        <v>10</v>
      </c>
      <c r="O1647">
        <v>7</v>
      </c>
      <c r="P1647" t="s">
        <v>182</v>
      </c>
      <c r="Q1647" t="s">
        <v>1915</v>
      </c>
      <c r="R1647">
        <v>5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50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>
        <v>50</v>
      </c>
      <c r="AI1647">
        <v>50</v>
      </c>
      <c r="AJ1647">
        <v>50</v>
      </c>
      <c r="AK1647">
        <v>50</v>
      </c>
      <c r="AL1647">
        <v>0</v>
      </c>
      <c r="AM1647">
        <v>0.2</v>
      </c>
      <c r="AN1647">
        <v>4.5454545454545459</v>
      </c>
      <c r="AO1647">
        <v>0</v>
      </c>
      <c r="AP1647" t="s">
        <v>1921</v>
      </c>
      <c r="AQ1647" t="s">
        <v>155</v>
      </c>
      <c r="AR1647" t="s">
        <v>229</v>
      </c>
      <c r="AS1647">
        <v>0</v>
      </c>
      <c r="AT1647">
        <v>0</v>
      </c>
      <c r="AU1647">
        <v>0</v>
      </c>
      <c r="AV1647">
        <v>0</v>
      </c>
      <c r="AW1647">
        <v>0</v>
      </c>
      <c r="AX1647">
        <v>0</v>
      </c>
      <c r="AY1647">
        <v>0</v>
      </c>
      <c r="AZ1647" t="s">
        <v>135</v>
      </c>
      <c r="BA1647">
        <v>10</v>
      </c>
      <c r="BB1647">
        <v>0</v>
      </c>
      <c r="BC1647" t="s">
        <v>133</v>
      </c>
      <c r="BD1647">
        <v>0</v>
      </c>
      <c r="BE1647" t="s">
        <v>133</v>
      </c>
      <c r="BF164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48" spans="1:58" x14ac:dyDescent="0.25">
      <c r="A1648" t="s">
        <v>1965</v>
      </c>
      <c r="B1648" t="s">
        <v>19</v>
      </c>
      <c r="C1648">
        <v>5</v>
      </c>
      <c r="D1648">
        <v>60</v>
      </c>
      <c r="E1648" t="s">
        <v>2109</v>
      </c>
      <c r="F1648" t="s">
        <v>123</v>
      </c>
      <c r="G1648" t="s">
        <v>124</v>
      </c>
      <c r="H1648" t="s">
        <v>125</v>
      </c>
      <c r="I1648" t="s">
        <v>1553</v>
      </c>
      <c r="J1648" t="s">
        <v>1554</v>
      </c>
      <c r="K1648" t="s">
        <v>166</v>
      </c>
      <c r="L1648">
        <v>50</v>
      </c>
      <c r="M1648">
        <v>3503905</v>
      </c>
      <c r="N1648">
        <v>10</v>
      </c>
      <c r="O1648">
        <v>7</v>
      </c>
      <c r="P1648" t="s">
        <v>182</v>
      </c>
      <c r="Q1648" t="s">
        <v>1915</v>
      </c>
      <c r="R1648">
        <v>5</v>
      </c>
      <c r="T1648">
        <v>0</v>
      </c>
      <c r="U1648">
        <v>0</v>
      </c>
      <c r="V1648">
        <v>0</v>
      </c>
      <c r="W1648">
        <v>0</v>
      </c>
      <c r="X1648">
        <v>0</v>
      </c>
      <c r="Y1648">
        <v>0</v>
      </c>
      <c r="Z1648">
        <v>0</v>
      </c>
      <c r="AA1648">
        <v>0</v>
      </c>
      <c r="AB1648">
        <v>50</v>
      </c>
      <c r="AC1648">
        <v>0</v>
      </c>
      <c r="AD1648">
        <v>0</v>
      </c>
      <c r="AE1648">
        <v>0</v>
      </c>
      <c r="AF1648">
        <v>0</v>
      </c>
      <c r="AG1648">
        <v>0</v>
      </c>
      <c r="AH1648">
        <v>50</v>
      </c>
      <c r="AI1648">
        <v>50</v>
      </c>
      <c r="AJ1648">
        <v>50</v>
      </c>
      <c r="AK1648">
        <v>50</v>
      </c>
      <c r="AL1648">
        <v>0</v>
      </c>
      <c r="AM1648">
        <v>0.2</v>
      </c>
      <c r="AN1648">
        <v>4.5454545454545459</v>
      </c>
      <c r="AO1648">
        <v>0</v>
      </c>
      <c r="AP1648" t="s">
        <v>1921</v>
      </c>
      <c r="AQ1648" t="s">
        <v>155</v>
      </c>
      <c r="AR1648" t="s">
        <v>229</v>
      </c>
      <c r="AS1648">
        <v>0</v>
      </c>
      <c r="AT1648">
        <v>0</v>
      </c>
      <c r="AU1648">
        <v>0</v>
      </c>
      <c r="AV1648">
        <v>0</v>
      </c>
      <c r="AW1648">
        <v>0</v>
      </c>
      <c r="AX1648">
        <v>0</v>
      </c>
      <c r="AY1648">
        <v>0</v>
      </c>
      <c r="AZ1648" t="s">
        <v>135</v>
      </c>
      <c r="BA1648">
        <v>10</v>
      </c>
      <c r="BB1648">
        <v>0</v>
      </c>
      <c r="BC1648" t="s">
        <v>144</v>
      </c>
      <c r="BD1648">
        <v>0</v>
      </c>
      <c r="BE1648" t="s">
        <v>133</v>
      </c>
      <c r="BF164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49" spans="1:58" x14ac:dyDescent="0.25">
      <c r="A1649" t="s">
        <v>1966</v>
      </c>
      <c r="B1649" t="s">
        <v>19</v>
      </c>
      <c r="C1649">
        <v>5</v>
      </c>
      <c r="D1649">
        <v>61</v>
      </c>
      <c r="E1649" t="s">
        <v>2109</v>
      </c>
      <c r="F1649" t="s">
        <v>123</v>
      </c>
      <c r="G1649" t="s">
        <v>124</v>
      </c>
      <c r="H1649" t="s">
        <v>125</v>
      </c>
      <c r="I1649" t="s">
        <v>1553</v>
      </c>
      <c r="J1649" t="s">
        <v>140</v>
      </c>
      <c r="K1649" t="s">
        <v>166</v>
      </c>
      <c r="L1649">
        <v>50</v>
      </c>
      <c r="M1649">
        <v>3503907</v>
      </c>
      <c r="N1649">
        <v>20</v>
      </c>
      <c r="O1649">
        <v>7</v>
      </c>
      <c r="P1649" t="s">
        <v>182</v>
      </c>
      <c r="Q1649" t="s">
        <v>1930</v>
      </c>
      <c r="R1649">
        <v>6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50</v>
      </c>
      <c r="AC1649">
        <v>0</v>
      </c>
      <c r="AD1649">
        <v>0</v>
      </c>
      <c r="AE1649">
        <v>0</v>
      </c>
      <c r="AF1649">
        <v>0</v>
      </c>
      <c r="AG1649">
        <v>0</v>
      </c>
      <c r="AH1649">
        <v>50</v>
      </c>
      <c r="AI1649">
        <v>50</v>
      </c>
      <c r="AJ1649">
        <v>50</v>
      </c>
      <c r="AK1649">
        <v>50</v>
      </c>
      <c r="AL1649">
        <v>0</v>
      </c>
      <c r="AM1649">
        <v>0.4</v>
      </c>
      <c r="AN1649">
        <v>4.5454545454545459</v>
      </c>
      <c r="AO1649">
        <v>0</v>
      </c>
      <c r="AP1649" t="s">
        <v>1921</v>
      </c>
      <c r="AQ1649" t="s">
        <v>155</v>
      </c>
      <c r="AR1649" t="s">
        <v>229</v>
      </c>
      <c r="AS1649">
        <v>0</v>
      </c>
      <c r="AT1649">
        <v>0</v>
      </c>
      <c r="AU1649">
        <v>0</v>
      </c>
      <c r="AV1649">
        <v>0</v>
      </c>
      <c r="AW1649">
        <v>0</v>
      </c>
      <c r="AX1649">
        <v>0</v>
      </c>
      <c r="AY1649">
        <v>0</v>
      </c>
      <c r="AZ1649" t="s">
        <v>135</v>
      </c>
      <c r="BA1649">
        <v>20</v>
      </c>
      <c r="BB1649">
        <v>0</v>
      </c>
      <c r="BC1649" t="s">
        <v>132</v>
      </c>
      <c r="BD1649">
        <v>0</v>
      </c>
      <c r="BE1649" t="s">
        <v>133</v>
      </c>
      <c r="BF164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50" spans="1:58" x14ac:dyDescent="0.25">
      <c r="A1650" t="s">
        <v>1967</v>
      </c>
      <c r="B1650" t="s">
        <v>19</v>
      </c>
      <c r="C1650">
        <v>5</v>
      </c>
      <c r="D1650">
        <v>62</v>
      </c>
      <c r="E1650" t="s">
        <v>2109</v>
      </c>
      <c r="F1650" t="s">
        <v>123</v>
      </c>
      <c r="G1650" t="s">
        <v>124</v>
      </c>
      <c r="H1650" t="s">
        <v>125</v>
      </c>
      <c r="I1650" t="s">
        <v>1553</v>
      </c>
      <c r="J1650" t="s">
        <v>140</v>
      </c>
      <c r="K1650" t="s">
        <v>166</v>
      </c>
      <c r="L1650">
        <v>50</v>
      </c>
      <c r="M1650">
        <v>3503909</v>
      </c>
      <c r="N1650">
        <v>20</v>
      </c>
      <c r="O1650">
        <v>7</v>
      </c>
      <c r="P1650" t="s">
        <v>182</v>
      </c>
      <c r="Q1650" t="s">
        <v>1930</v>
      </c>
      <c r="R1650">
        <v>6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50</v>
      </c>
      <c r="AC1650">
        <v>0</v>
      </c>
      <c r="AD1650">
        <v>0</v>
      </c>
      <c r="AE1650">
        <v>0</v>
      </c>
      <c r="AF1650">
        <v>0</v>
      </c>
      <c r="AG1650">
        <v>0</v>
      </c>
      <c r="AH1650">
        <v>50</v>
      </c>
      <c r="AI1650">
        <v>50</v>
      </c>
      <c r="AJ1650">
        <v>50</v>
      </c>
      <c r="AK1650">
        <v>50</v>
      </c>
      <c r="AL1650">
        <v>0</v>
      </c>
      <c r="AM1650">
        <v>0.4</v>
      </c>
      <c r="AN1650">
        <v>4.5454545454545459</v>
      </c>
      <c r="AO1650">
        <v>0</v>
      </c>
      <c r="AP1650" t="s">
        <v>1921</v>
      </c>
      <c r="AQ1650" t="s">
        <v>155</v>
      </c>
      <c r="AR1650" t="s">
        <v>229</v>
      </c>
      <c r="AS1650">
        <v>0</v>
      </c>
      <c r="AT1650">
        <v>0</v>
      </c>
      <c r="AU1650">
        <v>0</v>
      </c>
      <c r="AV1650">
        <v>0</v>
      </c>
      <c r="AW1650">
        <v>0</v>
      </c>
      <c r="AX1650">
        <v>0</v>
      </c>
      <c r="AY1650">
        <v>0</v>
      </c>
      <c r="AZ1650" t="s">
        <v>135</v>
      </c>
      <c r="BA1650">
        <v>20</v>
      </c>
      <c r="BB1650">
        <v>0</v>
      </c>
      <c r="BC1650" t="s">
        <v>133</v>
      </c>
      <c r="BD1650">
        <v>0</v>
      </c>
      <c r="BE1650" t="s">
        <v>133</v>
      </c>
      <c r="BF165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51" spans="1:58" x14ac:dyDescent="0.25">
      <c r="A1651" t="s">
        <v>1968</v>
      </c>
      <c r="B1651" t="s">
        <v>19</v>
      </c>
      <c r="C1651">
        <v>5</v>
      </c>
      <c r="D1651">
        <v>63</v>
      </c>
      <c r="E1651" t="s">
        <v>2109</v>
      </c>
      <c r="F1651" t="s">
        <v>123</v>
      </c>
      <c r="G1651" t="s">
        <v>124</v>
      </c>
      <c r="H1651" t="s">
        <v>125</v>
      </c>
      <c r="I1651" t="s">
        <v>1553</v>
      </c>
      <c r="J1651" t="s">
        <v>140</v>
      </c>
      <c r="K1651" t="s">
        <v>166</v>
      </c>
      <c r="L1651">
        <v>50</v>
      </c>
      <c r="M1651">
        <v>3503911</v>
      </c>
      <c r="N1651">
        <v>20</v>
      </c>
      <c r="O1651">
        <v>7</v>
      </c>
      <c r="P1651" t="s">
        <v>182</v>
      </c>
      <c r="Q1651" t="s">
        <v>1930</v>
      </c>
      <c r="R1651">
        <v>6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50</v>
      </c>
      <c r="AC1651">
        <v>0</v>
      </c>
      <c r="AD1651">
        <v>0</v>
      </c>
      <c r="AE1651">
        <v>0</v>
      </c>
      <c r="AF1651">
        <v>0</v>
      </c>
      <c r="AG1651">
        <v>0</v>
      </c>
      <c r="AH1651">
        <v>50</v>
      </c>
      <c r="AI1651">
        <v>50</v>
      </c>
      <c r="AJ1651">
        <v>50</v>
      </c>
      <c r="AK1651">
        <v>50</v>
      </c>
      <c r="AL1651">
        <v>0</v>
      </c>
      <c r="AM1651">
        <v>0.4</v>
      </c>
      <c r="AN1651">
        <v>4.5454545454545459</v>
      </c>
      <c r="AO1651">
        <v>0</v>
      </c>
      <c r="AP1651" t="s">
        <v>1921</v>
      </c>
      <c r="AQ1651" t="s">
        <v>155</v>
      </c>
      <c r="AR1651" t="s">
        <v>229</v>
      </c>
      <c r="AS1651">
        <v>0</v>
      </c>
      <c r="AT1651">
        <v>0</v>
      </c>
      <c r="AU1651">
        <v>0</v>
      </c>
      <c r="AV1651">
        <v>0</v>
      </c>
      <c r="AW1651">
        <v>0</v>
      </c>
      <c r="AX1651">
        <v>0</v>
      </c>
      <c r="AY1651">
        <v>0</v>
      </c>
      <c r="AZ1651" t="s">
        <v>135</v>
      </c>
      <c r="BA1651">
        <v>20</v>
      </c>
      <c r="BB1651">
        <v>0</v>
      </c>
      <c r="BC1651" t="s">
        <v>133</v>
      </c>
      <c r="BD1651">
        <v>0</v>
      </c>
      <c r="BE1651" t="s">
        <v>133</v>
      </c>
      <c r="BF165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52" spans="1:58" x14ac:dyDescent="0.25">
      <c r="A1652" t="s">
        <v>1969</v>
      </c>
      <c r="B1652" t="s">
        <v>19</v>
      </c>
      <c r="C1652">
        <v>5</v>
      </c>
      <c r="D1652">
        <v>64</v>
      </c>
      <c r="E1652" t="s">
        <v>2109</v>
      </c>
      <c r="F1652" t="s">
        <v>123</v>
      </c>
      <c r="G1652" t="s">
        <v>124</v>
      </c>
      <c r="H1652" t="s">
        <v>125</v>
      </c>
      <c r="I1652" t="s">
        <v>183</v>
      </c>
      <c r="J1652" t="s">
        <v>140</v>
      </c>
      <c r="K1652" t="s">
        <v>166</v>
      </c>
      <c r="L1652">
        <v>50</v>
      </c>
      <c r="M1652">
        <v>3503913</v>
      </c>
      <c r="N1652">
        <v>20</v>
      </c>
      <c r="O1652">
        <v>7</v>
      </c>
      <c r="P1652" t="s">
        <v>182</v>
      </c>
      <c r="Q1652" t="s">
        <v>1930</v>
      </c>
      <c r="R1652">
        <v>6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0</v>
      </c>
      <c r="AA1652">
        <v>0</v>
      </c>
      <c r="AB1652">
        <v>50</v>
      </c>
      <c r="AC1652">
        <v>0</v>
      </c>
      <c r="AD1652">
        <v>0</v>
      </c>
      <c r="AE1652">
        <v>0</v>
      </c>
      <c r="AF1652">
        <v>0</v>
      </c>
      <c r="AG1652">
        <v>0</v>
      </c>
      <c r="AH1652">
        <v>50</v>
      </c>
      <c r="AI1652">
        <v>50</v>
      </c>
      <c r="AJ1652">
        <v>50</v>
      </c>
      <c r="AK1652">
        <v>50</v>
      </c>
      <c r="AL1652">
        <v>0</v>
      </c>
      <c r="AM1652">
        <v>0.4</v>
      </c>
      <c r="AN1652">
        <v>4.5454545454545459</v>
      </c>
      <c r="AO1652">
        <v>0</v>
      </c>
      <c r="AP1652" t="s">
        <v>184</v>
      </c>
      <c r="AQ1652" t="s">
        <v>155</v>
      </c>
      <c r="AR1652" t="s">
        <v>229</v>
      </c>
      <c r="AS1652">
        <v>0</v>
      </c>
      <c r="AT1652">
        <v>0</v>
      </c>
      <c r="AU1652">
        <v>0</v>
      </c>
      <c r="AV1652">
        <v>0</v>
      </c>
      <c r="AW1652">
        <v>0</v>
      </c>
      <c r="AX1652">
        <v>0</v>
      </c>
      <c r="AY1652">
        <v>0</v>
      </c>
      <c r="AZ1652" t="s">
        <v>135</v>
      </c>
      <c r="BA1652">
        <v>20</v>
      </c>
      <c r="BB1652">
        <v>0</v>
      </c>
      <c r="BC1652" t="s">
        <v>133</v>
      </c>
      <c r="BD1652">
        <v>0</v>
      </c>
      <c r="BE1652" t="s">
        <v>133</v>
      </c>
      <c r="BF165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53" spans="1:58" x14ac:dyDescent="0.25">
      <c r="A1653" t="s">
        <v>1970</v>
      </c>
      <c r="B1653" t="s">
        <v>19</v>
      </c>
      <c r="C1653">
        <v>5</v>
      </c>
      <c r="D1653">
        <v>65</v>
      </c>
      <c r="E1653" t="s">
        <v>2109</v>
      </c>
      <c r="F1653" t="s">
        <v>123</v>
      </c>
      <c r="G1653" t="s">
        <v>124</v>
      </c>
      <c r="H1653" t="s">
        <v>125</v>
      </c>
      <c r="I1653" t="s">
        <v>183</v>
      </c>
      <c r="J1653" t="s">
        <v>140</v>
      </c>
      <c r="K1653" t="s">
        <v>166</v>
      </c>
      <c r="L1653">
        <v>50</v>
      </c>
      <c r="M1653">
        <v>3503915</v>
      </c>
      <c r="N1653">
        <v>20</v>
      </c>
      <c r="O1653">
        <v>7</v>
      </c>
      <c r="P1653" t="s">
        <v>182</v>
      </c>
      <c r="Q1653" t="s">
        <v>1930</v>
      </c>
      <c r="R1653">
        <v>6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50</v>
      </c>
      <c r="AC1653">
        <v>0</v>
      </c>
      <c r="AD1653">
        <v>0</v>
      </c>
      <c r="AE1653">
        <v>0</v>
      </c>
      <c r="AF1653">
        <v>0</v>
      </c>
      <c r="AG1653">
        <v>0</v>
      </c>
      <c r="AH1653">
        <v>50</v>
      </c>
      <c r="AI1653">
        <v>50</v>
      </c>
      <c r="AJ1653">
        <v>50</v>
      </c>
      <c r="AK1653">
        <v>50</v>
      </c>
      <c r="AL1653">
        <v>0</v>
      </c>
      <c r="AM1653">
        <v>0.4</v>
      </c>
      <c r="AN1653">
        <v>4.5454545454545459</v>
      </c>
      <c r="AO1653">
        <v>0</v>
      </c>
      <c r="AP1653" t="s">
        <v>184</v>
      </c>
      <c r="AQ1653" t="s">
        <v>155</v>
      </c>
      <c r="AR1653" t="s">
        <v>229</v>
      </c>
      <c r="AS1653">
        <v>0</v>
      </c>
      <c r="AT1653">
        <v>0</v>
      </c>
      <c r="AU1653">
        <v>0</v>
      </c>
      <c r="AV1653">
        <v>0</v>
      </c>
      <c r="AW1653">
        <v>0</v>
      </c>
      <c r="AX1653">
        <v>0</v>
      </c>
      <c r="AY1653">
        <v>0</v>
      </c>
      <c r="AZ1653" t="s">
        <v>135</v>
      </c>
      <c r="BA1653">
        <v>20</v>
      </c>
      <c r="BB1653">
        <v>0</v>
      </c>
      <c r="BC1653" t="s">
        <v>133</v>
      </c>
      <c r="BD1653">
        <v>0</v>
      </c>
      <c r="BE1653" t="s">
        <v>133</v>
      </c>
      <c r="BF165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54" spans="1:58" x14ac:dyDescent="0.25">
      <c r="A1654" t="s">
        <v>1971</v>
      </c>
      <c r="B1654" t="s">
        <v>19</v>
      </c>
      <c r="C1654">
        <v>5</v>
      </c>
      <c r="D1654">
        <v>66</v>
      </c>
      <c r="E1654" t="s">
        <v>2109</v>
      </c>
      <c r="F1654" t="s">
        <v>123</v>
      </c>
      <c r="G1654" t="s">
        <v>124</v>
      </c>
      <c r="H1654" t="s">
        <v>125</v>
      </c>
      <c r="I1654" t="s">
        <v>183</v>
      </c>
      <c r="J1654" t="s">
        <v>140</v>
      </c>
      <c r="K1654" t="s">
        <v>166</v>
      </c>
      <c r="L1654">
        <v>50</v>
      </c>
      <c r="M1654">
        <v>3503917</v>
      </c>
      <c r="N1654">
        <v>20</v>
      </c>
      <c r="O1654">
        <v>7</v>
      </c>
      <c r="P1654" t="s">
        <v>182</v>
      </c>
      <c r="Q1654" t="s">
        <v>1930</v>
      </c>
      <c r="R1654">
        <v>6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50</v>
      </c>
      <c r="AC1654">
        <v>0</v>
      </c>
      <c r="AD1654">
        <v>0</v>
      </c>
      <c r="AE1654">
        <v>0</v>
      </c>
      <c r="AF1654">
        <v>0</v>
      </c>
      <c r="AG1654">
        <v>0</v>
      </c>
      <c r="AH1654">
        <v>50</v>
      </c>
      <c r="AI1654">
        <v>50</v>
      </c>
      <c r="AJ1654">
        <v>50</v>
      </c>
      <c r="AK1654">
        <v>50</v>
      </c>
      <c r="AL1654">
        <v>0</v>
      </c>
      <c r="AM1654">
        <v>0.4</v>
      </c>
      <c r="AN1654">
        <v>4.5454545454545459</v>
      </c>
      <c r="AO1654">
        <v>0</v>
      </c>
      <c r="AP1654" t="s">
        <v>184</v>
      </c>
      <c r="AQ1654" t="s">
        <v>155</v>
      </c>
      <c r="AR1654" t="s">
        <v>229</v>
      </c>
      <c r="AS1654">
        <v>0</v>
      </c>
      <c r="AT1654">
        <v>0</v>
      </c>
      <c r="AU1654">
        <v>0</v>
      </c>
      <c r="AV1654">
        <v>0</v>
      </c>
      <c r="AW1654">
        <v>0</v>
      </c>
      <c r="AX1654">
        <v>0</v>
      </c>
      <c r="AY1654">
        <v>0</v>
      </c>
      <c r="AZ1654" t="s">
        <v>135</v>
      </c>
      <c r="BA1654">
        <v>20</v>
      </c>
      <c r="BB1654">
        <v>0</v>
      </c>
      <c r="BC1654" t="s">
        <v>133</v>
      </c>
      <c r="BD1654">
        <v>0</v>
      </c>
      <c r="BE1654" t="s">
        <v>133</v>
      </c>
      <c r="BF165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55" spans="1:58" x14ac:dyDescent="0.25">
      <c r="A1655" t="s">
        <v>1972</v>
      </c>
      <c r="B1655" t="s">
        <v>19</v>
      </c>
      <c r="C1655">
        <v>5</v>
      </c>
      <c r="D1655">
        <v>67</v>
      </c>
      <c r="E1655" t="s">
        <v>2109</v>
      </c>
      <c r="F1655" t="s">
        <v>123</v>
      </c>
      <c r="G1655" t="s">
        <v>124</v>
      </c>
      <c r="H1655" t="s">
        <v>125</v>
      </c>
      <c r="I1655" t="s">
        <v>183</v>
      </c>
      <c r="J1655" t="s">
        <v>140</v>
      </c>
      <c r="K1655" t="s">
        <v>166</v>
      </c>
      <c r="L1655">
        <v>50</v>
      </c>
      <c r="M1655">
        <v>3503919</v>
      </c>
      <c r="N1655">
        <v>20</v>
      </c>
      <c r="O1655">
        <v>7</v>
      </c>
      <c r="P1655" t="s">
        <v>182</v>
      </c>
      <c r="Q1655" t="s">
        <v>1930</v>
      </c>
      <c r="R1655">
        <v>6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50</v>
      </c>
      <c r="AC1655">
        <v>0</v>
      </c>
      <c r="AD1655">
        <v>0</v>
      </c>
      <c r="AE1655">
        <v>0</v>
      </c>
      <c r="AF1655">
        <v>0</v>
      </c>
      <c r="AG1655">
        <v>0</v>
      </c>
      <c r="AH1655">
        <v>50</v>
      </c>
      <c r="AI1655">
        <v>50</v>
      </c>
      <c r="AJ1655">
        <v>50</v>
      </c>
      <c r="AK1655">
        <v>50</v>
      </c>
      <c r="AL1655">
        <v>0</v>
      </c>
      <c r="AM1655">
        <v>0.4</v>
      </c>
      <c r="AN1655">
        <v>4.5454545454545459</v>
      </c>
      <c r="AO1655">
        <v>0</v>
      </c>
      <c r="AP1655" t="s">
        <v>184</v>
      </c>
      <c r="AQ1655" t="s">
        <v>155</v>
      </c>
      <c r="AR1655" t="s">
        <v>229</v>
      </c>
      <c r="AS1655">
        <v>0</v>
      </c>
      <c r="AT1655">
        <v>0</v>
      </c>
      <c r="AU1655">
        <v>0</v>
      </c>
      <c r="AV1655">
        <v>0</v>
      </c>
      <c r="AW1655">
        <v>0</v>
      </c>
      <c r="AX1655">
        <v>0</v>
      </c>
      <c r="AY1655">
        <v>0</v>
      </c>
      <c r="AZ1655" t="s">
        <v>135</v>
      </c>
      <c r="BA1655">
        <v>20</v>
      </c>
      <c r="BB1655">
        <v>0</v>
      </c>
      <c r="BC1655" t="s">
        <v>133</v>
      </c>
      <c r="BD1655">
        <v>0</v>
      </c>
      <c r="BE1655" t="s">
        <v>133</v>
      </c>
      <c r="BF165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56" spans="1:58" x14ac:dyDescent="0.25">
      <c r="A1656" t="s">
        <v>1973</v>
      </c>
      <c r="B1656" t="s">
        <v>19</v>
      </c>
      <c r="C1656">
        <v>5</v>
      </c>
      <c r="D1656">
        <v>68</v>
      </c>
      <c r="E1656" t="s">
        <v>2112</v>
      </c>
      <c r="F1656" t="s">
        <v>123</v>
      </c>
      <c r="G1656" t="s">
        <v>124</v>
      </c>
      <c r="H1656" t="s">
        <v>125</v>
      </c>
      <c r="I1656" t="s">
        <v>154</v>
      </c>
      <c r="J1656" t="s">
        <v>154</v>
      </c>
      <c r="K1656" t="s">
        <v>151</v>
      </c>
      <c r="L1656">
        <v>50</v>
      </c>
      <c r="M1656">
        <v>3503921</v>
      </c>
      <c r="N1656">
        <v>0</v>
      </c>
      <c r="O1656">
        <v>7</v>
      </c>
      <c r="P1656" t="s">
        <v>182</v>
      </c>
      <c r="Q1656" t="s">
        <v>1930</v>
      </c>
      <c r="R1656">
        <v>6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0</v>
      </c>
      <c r="AA1656">
        <v>0</v>
      </c>
      <c r="AB1656">
        <v>50</v>
      </c>
      <c r="AC1656">
        <v>0</v>
      </c>
      <c r="AD1656">
        <v>0</v>
      </c>
      <c r="AE1656">
        <v>0</v>
      </c>
      <c r="AF1656">
        <v>0</v>
      </c>
      <c r="AG1656">
        <v>0</v>
      </c>
      <c r="AH1656">
        <v>0</v>
      </c>
      <c r="AI1656">
        <v>50</v>
      </c>
      <c r="AJ1656">
        <v>50</v>
      </c>
      <c r="AK1656">
        <v>50</v>
      </c>
      <c r="AL1656">
        <v>50</v>
      </c>
      <c r="AM1656">
        <v>0</v>
      </c>
      <c r="AN1656">
        <v>4.5454545454545459</v>
      </c>
      <c r="AO1656">
        <v>0</v>
      </c>
      <c r="AP1656" t="s">
        <v>172</v>
      </c>
      <c r="AQ1656" t="s">
        <v>155</v>
      </c>
      <c r="AR1656" t="s">
        <v>1766</v>
      </c>
      <c r="AS1656">
        <v>0</v>
      </c>
      <c r="AT1656">
        <v>0</v>
      </c>
      <c r="AU1656">
        <v>0</v>
      </c>
      <c r="AV1656">
        <v>0</v>
      </c>
      <c r="AW1656">
        <v>0</v>
      </c>
      <c r="AX1656">
        <v>0</v>
      </c>
      <c r="AY1656">
        <v>0</v>
      </c>
      <c r="AZ1656" t="s">
        <v>147</v>
      </c>
      <c r="BA1656">
        <v>0</v>
      </c>
      <c r="BB1656">
        <v>0</v>
      </c>
      <c r="BC1656" t="s">
        <v>133</v>
      </c>
      <c r="BD1656">
        <v>1</v>
      </c>
      <c r="BE1656" t="s">
        <v>133</v>
      </c>
      <c r="BF165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57" spans="1:58" x14ac:dyDescent="0.25">
      <c r="A1657" t="s">
        <v>1974</v>
      </c>
      <c r="B1657" t="s">
        <v>19</v>
      </c>
      <c r="C1657">
        <v>5</v>
      </c>
      <c r="D1657">
        <v>69</v>
      </c>
      <c r="E1657" t="s">
        <v>2112</v>
      </c>
      <c r="F1657" t="s">
        <v>123</v>
      </c>
      <c r="G1657" t="s">
        <v>124</v>
      </c>
      <c r="H1657" t="s">
        <v>125</v>
      </c>
      <c r="I1657" t="s">
        <v>154</v>
      </c>
      <c r="J1657" t="s">
        <v>154</v>
      </c>
      <c r="K1657" t="s">
        <v>151</v>
      </c>
      <c r="L1657">
        <v>50</v>
      </c>
      <c r="M1657">
        <v>3503923</v>
      </c>
      <c r="N1657">
        <v>0</v>
      </c>
      <c r="O1657">
        <v>7</v>
      </c>
      <c r="P1657" t="s">
        <v>182</v>
      </c>
      <c r="Q1657" t="s">
        <v>1930</v>
      </c>
      <c r="R1657">
        <v>6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50</v>
      </c>
      <c r="AC1657">
        <v>0</v>
      </c>
      <c r="AD1657">
        <v>0</v>
      </c>
      <c r="AE1657">
        <v>0</v>
      </c>
      <c r="AF1657">
        <v>0</v>
      </c>
      <c r="AG1657">
        <v>0</v>
      </c>
      <c r="AH1657">
        <v>0</v>
      </c>
      <c r="AI1657">
        <v>50</v>
      </c>
      <c r="AJ1657">
        <v>50</v>
      </c>
      <c r="AK1657">
        <v>50</v>
      </c>
      <c r="AL1657">
        <v>50</v>
      </c>
      <c r="AM1657">
        <v>0</v>
      </c>
      <c r="AN1657">
        <v>4.5454545454545459</v>
      </c>
      <c r="AO1657">
        <v>0</v>
      </c>
      <c r="AP1657" t="s">
        <v>172</v>
      </c>
      <c r="AQ1657" t="s">
        <v>155</v>
      </c>
      <c r="AR1657" t="s">
        <v>1766</v>
      </c>
      <c r="AS1657">
        <v>0</v>
      </c>
      <c r="AT1657">
        <v>0</v>
      </c>
      <c r="AU1657">
        <v>0</v>
      </c>
      <c r="AV1657">
        <v>0</v>
      </c>
      <c r="AW1657">
        <v>0</v>
      </c>
      <c r="AX1657">
        <v>0</v>
      </c>
      <c r="AY1657">
        <v>0</v>
      </c>
      <c r="AZ1657" t="s">
        <v>147</v>
      </c>
      <c r="BA1657">
        <v>0</v>
      </c>
      <c r="BB1657">
        <v>0</v>
      </c>
      <c r="BC1657" t="s">
        <v>133</v>
      </c>
      <c r="BD1657">
        <v>2</v>
      </c>
      <c r="BE1657" t="s">
        <v>133</v>
      </c>
      <c r="BF165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58" spans="1:58" x14ac:dyDescent="0.25">
      <c r="A1658" t="s">
        <v>1975</v>
      </c>
      <c r="B1658" t="s">
        <v>19</v>
      </c>
      <c r="C1658">
        <v>5</v>
      </c>
      <c r="D1658">
        <v>70</v>
      </c>
      <c r="E1658" t="s">
        <v>2112</v>
      </c>
      <c r="F1658" t="s">
        <v>123</v>
      </c>
      <c r="G1658" t="s">
        <v>124</v>
      </c>
      <c r="H1658" t="s">
        <v>125</v>
      </c>
      <c r="I1658" t="s">
        <v>154</v>
      </c>
      <c r="J1658" t="s">
        <v>154</v>
      </c>
      <c r="K1658" t="s">
        <v>151</v>
      </c>
      <c r="L1658">
        <v>50</v>
      </c>
      <c r="M1658">
        <v>3504325</v>
      </c>
      <c r="N1658">
        <v>0</v>
      </c>
      <c r="O1658">
        <v>7</v>
      </c>
      <c r="P1658" t="s">
        <v>182</v>
      </c>
      <c r="Q1658" t="s">
        <v>1930</v>
      </c>
      <c r="R1658">
        <v>6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0</v>
      </c>
      <c r="AA1658">
        <v>0</v>
      </c>
      <c r="AB1658">
        <v>50</v>
      </c>
      <c r="AC1658">
        <v>0</v>
      </c>
      <c r="AD1658">
        <v>0</v>
      </c>
      <c r="AE1658">
        <v>0</v>
      </c>
      <c r="AF1658">
        <v>0</v>
      </c>
      <c r="AG1658">
        <v>0</v>
      </c>
      <c r="AH1658">
        <v>0</v>
      </c>
      <c r="AI1658">
        <v>50</v>
      </c>
      <c r="AJ1658">
        <v>50</v>
      </c>
      <c r="AK1658">
        <v>50</v>
      </c>
      <c r="AL1658">
        <v>50</v>
      </c>
      <c r="AM1658">
        <v>0</v>
      </c>
      <c r="AN1658">
        <v>4.5454545454545459</v>
      </c>
      <c r="AO1658">
        <v>0</v>
      </c>
      <c r="AP1658" t="s">
        <v>172</v>
      </c>
      <c r="AQ1658" t="s">
        <v>155</v>
      </c>
      <c r="AR1658" t="s">
        <v>1766</v>
      </c>
      <c r="AS1658">
        <v>0</v>
      </c>
      <c r="AT1658">
        <v>0</v>
      </c>
      <c r="AU1658">
        <v>0</v>
      </c>
      <c r="AV1658">
        <v>0</v>
      </c>
      <c r="AW1658">
        <v>0</v>
      </c>
      <c r="AX1658">
        <v>0</v>
      </c>
      <c r="AY1658">
        <v>0</v>
      </c>
      <c r="AZ1658" t="s">
        <v>147</v>
      </c>
      <c r="BA1658">
        <v>0</v>
      </c>
      <c r="BB1658">
        <v>0</v>
      </c>
      <c r="BC1658" t="s">
        <v>133</v>
      </c>
      <c r="BD1658">
        <v>3</v>
      </c>
      <c r="BE1658" t="s">
        <v>133</v>
      </c>
      <c r="BF165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59" spans="1:58" x14ac:dyDescent="0.25">
      <c r="A1659" t="s">
        <v>1976</v>
      </c>
      <c r="B1659" t="s">
        <v>19</v>
      </c>
      <c r="C1659">
        <v>5</v>
      </c>
      <c r="D1659">
        <v>71</v>
      </c>
      <c r="E1659" t="s">
        <v>2112</v>
      </c>
      <c r="F1659" t="s">
        <v>123</v>
      </c>
      <c r="G1659" t="s">
        <v>124</v>
      </c>
      <c r="H1659" t="s">
        <v>125</v>
      </c>
      <c r="I1659" t="s">
        <v>154</v>
      </c>
      <c r="J1659" t="s">
        <v>154</v>
      </c>
      <c r="K1659" t="s">
        <v>151</v>
      </c>
      <c r="L1659">
        <v>50</v>
      </c>
      <c r="M1659">
        <v>3504327</v>
      </c>
      <c r="N1659">
        <v>0</v>
      </c>
      <c r="O1659">
        <v>7</v>
      </c>
      <c r="P1659" t="s">
        <v>182</v>
      </c>
      <c r="Q1659" t="s">
        <v>1930</v>
      </c>
      <c r="R1659">
        <v>6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0</v>
      </c>
      <c r="AB1659">
        <v>50</v>
      </c>
      <c r="AC1659">
        <v>0</v>
      </c>
      <c r="AD1659">
        <v>0</v>
      </c>
      <c r="AE1659">
        <v>0</v>
      </c>
      <c r="AF1659">
        <v>0</v>
      </c>
      <c r="AG1659">
        <v>0</v>
      </c>
      <c r="AH1659">
        <v>0</v>
      </c>
      <c r="AI1659">
        <v>50</v>
      </c>
      <c r="AJ1659">
        <v>50</v>
      </c>
      <c r="AK1659">
        <v>50</v>
      </c>
      <c r="AL1659">
        <v>50</v>
      </c>
      <c r="AM1659">
        <v>0</v>
      </c>
      <c r="AN1659">
        <v>4.5454545454545459</v>
      </c>
      <c r="AO1659">
        <v>0</v>
      </c>
      <c r="AP1659" t="s">
        <v>172</v>
      </c>
      <c r="AQ1659" t="s">
        <v>155</v>
      </c>
      <c r="AR1659" t="s">
        <v>1766</v>
      </c>
      <c r="AS1659">
        <v>0</v>
      </c>
      <c r="AT1659">
        <v>0</v>
      </c>
      <c r="AU1659">
        <v>0</v>
      </c>
      <c r="AV1659">
        <v>0</v>
      </c>
      <c r="AW1659">
        <v>0</v>
      </c>
      <c r="AX1659">
        <v>0</v>
      </c>
      <c r="AY1659">
        <v>0</v>
      </c>
      <c r="AZ1659" t="s">
        <v>147</v>
      </c>
      <c r="BA1659">
        <v>0</v>
      </c>
      <c r="BB1659">
        <v>0</v>
      </c>
      <c r="BC1659" t="s">
        <v>133</v>
      </c>
      <c r="BD1659">
        <v>4</v>
      </c>
      <c r="BE1659" t="s">
        <v>133</v>
      </c>
      <c r="BF165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60" spans="1:58" x14ac:dyDescent="0.25">
      <c r="A1660" t="s">
        <v>1977</v>
      </c>
      <c r="B1660" t="s">
        <v>19</v>
      </c>
      <c r="C1660">
        <v>5</v>
      </c>
      <c r="D1660">
        <v>72</v>
      </c>
      <c r="E1660" t="s">
        <v>2112</v>
      </c>
      <c r="F1660" t="s">
        <v>123</v>
      </c>
      <c r="G1660" t="s">
        <v>124</v>
      </c>
      <c r="H1660" t="s">
        <v>125</v>
      </c>
      <c r="I1660" t="s">
        <v>154</v>
      </c>
      <c r="J1660" t="s">
        <v>154</v>
      </c>
      <c r="K1660" t="s">
        <v>151</v>
      </c>
      <c r="L1660">
        <v>50</v>
      </c>
      <c r="M1660">
        <v>3504329</v>
      </c>
      <c r="N1660">
        <v>0</v>
      </c>
      <c r="O1660">
        <v>7</v>
      </c>
      <c r="P1660" t="s">
        <v>182</v>
      </c>
      <c r="Q1660" t="s">
        <v>1930</v>
      </c>
      <c r="R1660">
        <v>6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50</v>
      </c>
      <c r="AC1660">
        <v>0</v>
      </c>
      <c r="AD1660">
        <v>0</v>
      </c>
      <c r="AE1660">
        <v>0</v>
      </c>
      <c r="AF1660">
        <v>0</v>
      </c>
      <c r="AG1660">
        <v>0</v>
      </c>
      <c r="AH1660">
        <v>0</v>
      </c>
      <c r="AI1660">
        <v>50</v>
      </c>
      <c r="AJ1660">
        <v>50</v>
      </c>
      <c r="AK1660">
        <v>50</v>
      </c>
      <c r="AL1660">
        <v>50</v>
      </c>
      <c r="AM1660">
        <v>0</v>
      </c>
      <c r="AN1660">
        <v>4.5454545454545459</v>
      </c>
      <c r="AO1660">
        <v>0</v>
      </c>
      <c r="AP1660" t="s">
        <v>172</v>
      </c>
      <c r="AQ1660" t="s">
        <v>155</v>
      </c>
      <c r="AR1660" t="s">
        <v>1766</v>
      </c>
      <c r="AS1660">
        <v>0</v>
      </c>
      <c r="AT1660">
        <v>0</v>
      </c>
      <c r="AU1660">
        <v>0</v>
      </c>
      <c r="AV1660">
        <v>0</v>
      </c>
      <c r="AW1660">
        <v>0</v>
      </c>
      <c r="AX1660">
        <v>0</v>
      </c>
      <c r="AY1660">
        <v>0</v>
      </c>
      <c r="AZ1660" t="s">
        <v>147</v>
      </c>
      <c r="BA1660">
        <v>0</v>
      </c>
      <c r="BB1660">
        <v>0</v>
      </c>
      <c r="BC1660" t="s">
        <v>144</v>
      </c>
      <c r="BD1660">
        <v>5</v>
      </c>
      <c r="BE1660" t="s">
        <v>133</v>
      </c>
      <c r="BF166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61" spans="1:58" x14ac:dyDescent="0.25">
      <c r="A1661" t="s">
        <v>1978</v>
      </c>
      <c r="B1661" t="s">
        <v>19</v>
      </c>
      <c r="C1661">
        <v>6</v>
      </c>
      <c r="D1661">
        <v>1</v>
      </c>
      <c r="E1661" t="s">
        <v>2109</v>
      </c>
      <c r="F1661" t="s">
        <v>123</v>
      </c>
      <c r="G1661" t="s">
        <v>124</v>
      </c>
      <c r="H1661" t="s">
        <v>125</v>
      </c>
      <c r="I1661" t="s">
        <v>183</v>
      </c>
      <c r="J1661" t="s">
        <v>140</v>
      </c>
      <c r="K1661" t="s">
        <v>166</v>
      </c>
      <c r="L1661">
        <v>50</v>
      </c>
      <c r="M1661">
        <v>3504143</v>
      </c>
      <c r="N1661">
        <v>20</v>
      </c>
      <c r="O1661">
        <v>8</v>
      </c>
      <c r="P1661" t="s">
        <v>186</v>
      </c>
      <c r="Q1661" t="s">
        <v>129</v>
      </c>
      <c r="R1661">
        <v>1</v>
      </c>
      <c r="S1661" t="s">
        <v>1979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0</v>
      </c>
      <c r="AA1661">
        <v>0</v>
      </c>
      <c r="AB1661">
        <v>50</v>
      </c>
      <c r="AC1661">
        <v>0</v>
      </c>
      <c r="AD1661">
        <v>0</v>
      </c>
      <c r="AE1661">
        <v>0</v>
      </c>
      <c r="AF1661">
        <v>0</v>
      </c>
      <c r="AG1661">
        <v>0</v>
      </c>
      <c r="AH1661">
        <v>50</v>
      </c>
      <c r="AI1661">
        <v>50</v>
      </c>
      <c r="AJ1661">
        <v>50</v>
      </c>
      <c r="AK1661">
        <v>50</v>
      </c>
      <c r="AL1661">
        <v>0</v>
      </c>
      <c r="AM1661">
        <v>0.4</v>
      </c>
      <c r="AN1661">
        <v>4.5454545454545459</v>
      </c>
      <c r="AO1661">
        <v>0</v>
      </c>
      <c r="AP1661" t="s">
        <v>184</v>
      </c>
      <c r="AQ1661" t="s">
        <v>155</v>
      </c>
      <c r="AR1661" t="s">
        <v>229</v>
      </c>
      <c r="AS1661">
        <v>0</v>
      </c>
      <c r="AT1661">
        <v>0</v>
      </c>
      <c r="AU1661">
        <v>0</v>
      </c>
      <c r="AV1661">
        <v>0</v>
      </c>
      <c r="AW1661">
        <v>0</v>
      </c>
      <c r="AX1661">
        <v>0</v>
      </c>
      <c r="AY1661">
        <v>0</v>
      </c>
      <c r="AZ1661" t="s">
        <v>135</v>
      </c>
      <c r="BA1661">
        <v>20</v>
      </c>
      <c r="BB1661">
        <v>0</v>
      </c>
      <c r="BC1661" t="s">
        <v>132</v>
      </c>
      <c r="BD1661">
        <v>0</v>
      </c>
      <c r="BE1661" t="s">
        <v>133</v>
      </c>
      <c r="BF166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62" spans="1:58" x14ac:dyDescent="0.25">
      <c r="A1662" t="s">
        <v>1980</v>
      </c>
      <c r="B1662" t="s">
        <v>19</v>
      </c>
      <c r="C1662">
        <v>6</v>
      </c>
      <c r="D1662">
        <v>2</v>
      </c>
      <c r="E1662" t="s">
        <v>2109</v>
      </c>
      <c r="F1662" t="s">
        <v>123</v>
      </c>
      <c r="G1662" t="s">
        <v>124</v>
      </c>
      <c r="H1662" t="s">
        <v>136</v>
      </c>
      <c r="I1662" t="s">
        <v>1553</v>
      </c>
      <c r="J1662" t="s">
        <v>137</v>
      </c>
      <c r="K1662" t="s">
        <v>166</v>
      </c>
      <c r="L1662">
        <v>50</v>
      </c>
      <c r="M1662">
        <v>3504145</v>
      </c>
      <c r="N1662">
        <v>10</v>
      </c>
      <c r="O1662">
        <v>8</v>
      </c>
      <c r="P1662" t="s">
        <v>186</v>
      </c>
      <c r="Q1662" t="s">
        <v>129</v>
      </c>
      <c r="R1662">
        <v>1</v>
      </c>
      <c r="S1662" t="s">
        <v>1981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50</v>
      </c>
      <c r="AC1662">
        <v>0</v>
      </c>
      <c r="AD1662">
        <v>0</v>
      </c>
      <c r="AE1662">
        <v>0</v>
      </c>
      <c r="AF1662">
        <v>0</v>
      </c>
      <c r="AG1662">
        <v>0</v>
      </c>
      <c r="AH1662">
        <v>50</v>
      </c>
      <c r="AI1662">
        <v>50</v>
      </c>
      <c r="AJ1662">
        <v>50</v>
      </c>
      <c r="AK1662">
        <v>50</v>
      </c>
      <c r="AL1662">
        <v>0</v>
      </c>
      <c r="AM1662">
        <v>0.2</v>
      </c>
      <c r="AN1662">
        <v>4.5454545454545459</v>
      </c>
      <c r="AO1662">
        <v>0</v>
      </c>
      <c r="AP1662" t="s">
        <v>1921</v>
      </c>
      <c r="AQ1662" t="s">
        <v>155</v>
      </c>
      <c r="AR1662" t="s">
        <v>229</v>
      </c>
      <c r="AS1662">
        <v>0</v>
      </c>
      <c r="AT1662">
        <v>0</v>
      </c>
      <c r="AU1662">
        <v>0</v>
      </c>
      <c r="AV1662">
        <v>0</v>
      </c>
      <c r="AW1662">
        <v>0</v>
      </c>
      <c r="AX1662">
        <v>0</v>
      </c>
      <c r="AY1662">
        <v>0</v>
      </c>
      <c r="AZ1662" t="s">
        <v>135</v>
      </c>
      <c r="BA1662">
        <v>10</v>
      </c>
      <c r="BB1662">
        <v>0</v>
      </c>
      <c r="BC1662" t="s">
        <v>133</v>
      </c>
      <c r="BD1662">
        <v>0</v>
      </c>
      <c r="BE1662" t="s">
        <v>133</v>
      </c>
      <c r="BF166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63" spans="1:58" x14ac:dyDescent="0.25">
      <c r="A1663" t="s">
        <v>1982</v>
      </c>
      <c r="B1663" t="s">
        <v>19</v>
      </c>
      <c r="C1663">
        <v>6</v>
      </c>
      <c r="D1663">
        <v>3</v>
      </c>
      <c r="E1663" t="s">
        <v>2109</v>
      </c>
      <c r="F1663" t="s">
        <v>123</v>
      </c>
      <c r="G1663" t="s">
        <v>124</v>
      </c>
      <c r="H1663" t="s">
        <v>136</v>
      </c>
      <c r="I1663" t="s">
        <v>1553</v>
      </c>
      <c r="J1663" t="s">
        <v>137</v>
      </c>
      <c r="K1663" t="s">
        <v>166</v>
      </c>
      <c r="L1663">
        <v>50</v>
      </c>
      <c r="M1663">
        <v>3504147</v>
      </c>
      <c r="N1663">
        <v>10</v>
      </c>
      <c r="O1663">
        <v>8</v>
      </c>
      <c r="P1663" t="s">
        <v>186</v>
      </c>
      <c r="Q1663" t="s">
        <v>129</v>
      </c>
      <c r="R1663">
        <v>1</v>
      </c>
      <c r="S1663" t="s">
        <v>1981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>
        <v>50</v>
      </c>
      <c r="AC1663">
        <v>0</v>
      </c>
      <c r="AD1663">
        <v>0</v>
      </c>
      <c r="AE1663">
        <v>0</v>
      </c>
      <c r="AF1663">
        <v>0</v>
      </c>
      <c r="AG1663">
        <v>0</v>
      </c>
      <c r="AH1663">
        <v>50</v>
      </c>
      <c r="AI1663">
        <v>50</v>
      </c>
      <c r="AJ1663">
        <v>50</v>
      </c>
      <c r="AK1663">
        <v>50</v>
      </c>
      <c r="AL1663">
        <v>0</v>
      </c>
      <c r="AM1663">
        <v>0.2</v>
      </c>
      <c r="AN1663">
        <v>4.5454545454545459</v>
      </c>
      <c r="AO1663">
        <v>0</v>
      </c>
      <c r="AP1663" t="s">
        <v>1921</v>
      </c>
      <c r="AQ1663" t="s">
        <v>155</v>
      </c>
      <c r="AR1663" t="s">
        <v>229</v>
      </c>
      <c r="AS1663">
        <v>0</v>
      </c>
      <c r="AT1663">
        <v>0</v>
      </c>
      <c r="AU1663">
        <v>0</v>
      </c>
      <c r="AV1663">
        <v>0</v>
      </c>
      <c r="AW1663">
        <v>0</v>
      </c>
      <c r="AX1663">
        <v>0</v>
      </c>
      <c r="AY1663">
        <v>0</v>
      </c>
      <c r="AZ1663" t="s">
        <v>135</v>
      </c>
      <c r="BA1663">
        <v>10</v>
      </c>
      <c r="BB1663">
        <v>0</v>
      </c>
      <c r="BC1663" t="s">
        <v>133</v>
      </c>
      <c r="BD1663">
        <v>0</v>
      </c>
      <c r="BE1663" t="s">
        <v>133</v>
      </c>
      <c r="BF166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64" spans="1:58" x14ac:dyDescent="0.25">
      <c r="A1664" t="s">
        <v>1983</v>
      </c>
      <c r="B1664" t="s">
        <v>19</v>
      </c>
      <c r="C1664">
        <v>6</v>
      </c>
      <c r="D1664">
        <v>4</v>
      </c>
      <c r="E1664" t="s">
        <v>2109</v>
      </c>
      <c r="F1664" t="s">
        <v>123</v>
      </c>
      <c r="G1664" t="s">
        <v>124</v>
      </c>
      <c r="H1664" t="s">
        <v>136</v>
      </c>
      <c r="I1664" t="s">
        <v>1553</v>
      </c>
      <c r="J1664" t="s">
        <v>137</v>
      </c>
      <c r="K1664" t="s">
        <v>166</v>
      </c>
      <c r="L1664">
        <v>50</v>
      </c>
      <c r="M1664">
        <v>3504149</v>
      </c>
      <c r="N1664">
        <v>10</v>
      </c>
      <c r="O1664">
        <v>8</v>
      </c>
      <c r="P1664" t="s">
        <v>186</v>
      </c>
      <c r="Q1664" t="s">
        <v>129</v>
      </c>
      <c r="R1664">
        <v>1</v>
      </c>
      <c r="S1664" t="s">
        <v>1981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50</v>
      </c>
      <c r="AC1664">
        <v>0</v>
      </c>
      <c r="AD1664">
        <v>0</v>
      </c>
      <c r="AE1664">
        <v>0</v>
      </c>
      <c r="AF1664">
        <v>0</v>
      </c>
      <c r="AG1664">
        <v>0</v>
      </c>
      <c r="AH1664">
        <v>50</v>
      </c>
      <c r="AI1664">
        <v>50</v>
      </c>
      <c r="AJ1664">
        <v>50</v>
      </c>
      <c r="AK1664">
        <v>50</v>
      </c>
      <c r="AL1664">
        <v>0</v>
      </c>
      <c r="AM1664">
        <v>0.2</v>
      </c>
      <c r="AN1664">
        <v>4.5454545454545459</v>
      </c>
      <c r="AO1664">
        <v>0</v>
      </c>
      <c r="AP1664" t="s">
        <v>1921</v>
      </c>
      <c r="AQ1664" t="s">
        <v>155</v>
      </c>
      <c r="AR1664" t="s">
        <v>229</v>
      </c>
      <c r="AS1664">
        <v>0</v>
      </c>
      <c r="AT1664">
        <v>0</v>
      </c>
      <c r="AU1664">
        <v>0</v>
      </c>
      <c r="AV1664">
        <v>0</v>
      </c>
      <c r="AW1664">
        <v>0</v>
      </c>
      <c r="AX1664">
        <v>0</v>
      </c>
      <c r="AY1664">
        <v>0</v>
      </c>
      <c r="AZ1664" t="s">
        <v>135</v>
      </c>
      <c r="BA1664">
        <v>10</v>
      </c>
      <c r="BB1664">
        <v>0</v>
      </c>
      <c r="BC1664" t="s">
        <v>133</v>
      </c>
      <c r="BD1664">
        <v>0</v>
      </c>
      <c r="BE1664" t="s">
        <v>133</v>
      </c>
      <c r="BF166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65" spans="1:58" x14ac:dyDescent="0.25">
      <c r="A1665" t="s">
        <v>1984</v>
      </c>
      <c r="B1665" t="s">
        <v>19</v>
      </c>
      <c r="C1665">
        <v>6</v>
      </c>
      <c r="D1665">
        <v>5</v>
      </c>
      <c r="E1665" t="s">
        <v>2109</v>
      </c>
      <c r="F1665" t="s">
        <v>123</v>
      </c>
      <c r="G1665" t="s">
        <v>124</v>
      </c>
      <c r="H1665" t="s">
        <v>136</v>
      </c>
      <c r="I1665" t="s">
        <v>1553</v>
      </c>
      <c r="J1665" t="s">
        <v>137</v>
      </c>
      <c r="K1665" t="s">
        <v>166</v>
      </c>
      <c r="L1665">
        <v>50</v>
      </c>
      <c r="M1665">
        <v>3504151</v>
      </c>
      <c r="N1665">
        <v>10</v>
      </c>
      <c r="O1665">
        <v>8</v>
      </c>
      <c r="P1665" t="s">
        <v>186</v>
      </c>
      <c r="Q1665" t="s">
        <v>129</v>
      </c>
      <c r="R1665">
        <v>1</v>
      </c>
      <c r="S1665" t="s">
        <v>1981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>
        <v>50</v>
      </c>
      <c r="AC1665">
        <v>0</v>
      </c>
      <c r="AD1665">
        <v>0</v>
      </c>
      <c r="AE1665">
        <v>0</v>
      </c>
      <c r="AF1665">
        <v>0</v>
      </c>
      <c r="AG1665">
        <v>0</v>
      </c>
      <c r="AH1665">
        <v>50</v>
      </c>
      <c r="AI1665">
        <v>50</v>
      </c>
      <c r="AJ1665">
        <v>50</v>
      </c>
      <c r="AK1665">
        <v>50</v>
      </c>
      <c r="AL1665">
        <v>0</v>
      </c>
      <c r="AM1665">
        <v>0.2</v>
      </c>
      <c r="AN1665">
        <v>4.5454545454545459</v>
      </c>
      <c r="AO1665">
        <v>0</v>
      </c>
      <c r="AP1665" t="s">
        <v>1921</v>
      </c>
      <c r="AQ1665" t="s">
        <v>155</v>
      </c>
      <c r="AR1665" t="s">
        <v>229</v>
      </c>
      <c r="AS1665">
        <v>0</v>
      </c>
      <c r="AT1665">
        <v>0</v>
      </c>
      <c r="AU1665">
        <v>0</v>
      </c>
      <c r="AV1665">
        <v>0</v>
      </c>
      <c r="AW1665">
        <v>0</v>
      </c>
      <c r="AX1665">
        <v>0</v>
      </c>
      <c r="AY1665">
        <v>0</v>
      </c>
      <c r="AZ1665" t="s">
        <v>135</v>
      </c>
      <c r="BA1665">
        <v>10</v>
      </c>
      <c r="BB1665">
        <v>0</v>
      </c>
      <c r="BC1665" t="s">
        <v>133</v>
      </c>
      <c r="BD1665">
        <v>0</v>
      </c>
      <c r="BE1665" t="s">
        <v>133</v>
      </c>
      <c r="BF166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66" spans="1:58" x14ac:dyDescent="0.25">
      <c r="A1666" t="s">
        <v>1985</v>
      </c>
      <c r="B1666" t="s">
        <v>19</v>
      </c>
      <c r="C1666">
        <v>6</v>
      </c>
      <c r="D1666">
        <v>6</v>
      </c>
      <c r="E1666" t="s">
        <v>2109</v>
      </c>
      <c r="F1666" t="s">
        <v>123</v>
      </c>
      <c r="G1666" t="s">
        <v>124</v>
      </c>
      <c r="H1666" t="s">
        <v>136</v>
      </c>
      <c r="I1666" t="s">
        <v>1553</v>
      </c>
      <c r="J1666" t="s">
        <v>137</v>
      </c>
      <c r="K1666" t="s">
        <v>166</v>
      </c>
      <c r="L1666">
        <v>50</v>
      </c>
      <c r="M1666">
        <v>3504153</v>
      </c>
      <c r="N1666">
        <v>10</v>
      </c>
      <c r="O1666">
        <v>8</v>
      </c>
      <c r="P1666" t="s">
        <v>186</v>
      </c>
      <c r="Q1666" t="s">
        <v>129</v>
      </c>
      <c r="R1666">
        <v>1</v>
      </c>
      <c r="S1666" t="s">
        <v>1981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50</v>
      </c>
      <c r="AC1666">
        <v>0</v>
      </c>
      <c r="AD1666">
        <v>0</v>
      </c>
      <c r="AE1666">
        <v>0</v>
      </c>
      <c r="AF1666">
        <v>0</v>
      </c>
      <c r="AG1666">
        <v>0</v>
      </c>
      <c r="AH1666">
        <v>50</v>
      </c>
      <c r="AI1666">
        <v>50</v>
      </c>
      <c r="AJ1666">
        <v>50</v>
      </c>
      <c r="AK1666">
        <v>50</v>
      </c>
      <c r="AL1666">
        <v>0</v>
      </c>
      <c r="AM1666">
        <v>0.2</v>
      </c>
      <c r="AN1666">
        <v>4.5454545454545459</v>
      </c>
      <c r="AO1666">
        <v>0</v>
      </c>
      <c r="AP1666" t="s">
        <v>1921</v>
      </c>
      <c r="AQ1666" t="s">
        <v>155</v>
      </c>
      <c r="AR1666" t="s">
        <v>229</v>
      </c>
      <c r="AS1666">
        <v>0</v>
      </c>
      <c r="AT1666">
        <v>0</v>
      </c>
      <c r="AU1666">
        <v>0</v>
      </c>
      <c r="AV1666">
        <v>0</v>
      </c>
      <c r="AW1666">
        <v>0</v>
      </c>
      <c r="AX1666">
        <v>0</v>
      </c>
      <c r="AY1666">
        <v>0</v>
      </c>
      <c r="AZ1666" t="s">
        <v>135</v>
      </c>
      <c r="BA1666">
        <v>10</v>
      </c>
      <c r="BB1666">
        <v>0</v>
      </c>
      <c r="BC1666" t="s">
        <v>133</v>
      </c>
      <c r="BD1666">
        <v>0</v>
      </c>
      <c r="BE1666" t="s">
        <v>133</v>
      </c>
      <c r="BF166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67" spans="1:58" x14ac:dyDescent="0.25">
      <c r="A1667" t="s">
        <v>1986</v>
      </c>
      <c r="B1667" t="s">
        <v>19</v>
      </c>
      <c r="C1667">
        <v>6</v>
      </c>
      <c r="D1667">
        <v>7</v>
      </c>
      <c r="E1667" t="s">
        <v>2109</v>
      </c>
      <c r="F1667" t="s">
        <v>123</v>
      </c>
      <c r="G1667" t="s">
        <v>124</v>
      </c>
      <c r="H1667" t="s">
        <v>136</v>
      </c>
      <c r="I1667" t="s">
        <v>1553</v>
      </c>
      <c r="J1667" t="s">
        <v>137</v>
      </c>
      <c r="K1667" t="s">
        <v>166</v>
      </c>
      <c r="L1667">
        <v>50</v>
      </c>
      <c r="M1667">
        <v>3504155</v>
      </c>
      <c r="N1667">
        <v>10</v>
      </c>
      <c r="O1667">
        <v>8</v>
      </c>
      <c r="P1667" t="s">
        <v>186</v>
      </c>
      <c r="Q1667" t="s">
        <v>129</v>
      </c>
      <c r="R1667">
        <v>1</v>
      </c>
      <c r="S1667" t="s">
        <v>1981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0</v>
      </c>
      <c r="AA1667">
        <v>0</v>
      </c>
      <c r="AB1667">
        <v>50</v>
      </c>
      <c r="AC1667">
        <v>0</v>
      </c>
      <c r="AD1667">
        <v>0</v>
      </c>
      <c r="AE1667">
        <v>0</v>
      </c>
      <c r="AF1667">
        <v>0</v>
      </c>
      <c r="AG1667">
        <v>0</v>
      </c>
      <c r="AH1667">
        <v>50</v>
      </c>
      <c r="AI1667">
        <v>50</v>
      </c>
      <c r="AJ1667">
        <v>50</v>
      </c>
      <c r="AK1667">
        <v>50</v>
      </c>
      <c r="AL1667">
        <v>0</v>
      </c>
      <c r="AM1667">
        <v>0.2</v>
      </c>
      <c r="AN1667">
        <v>4.5454545454545459</v>
      </c>
      <c r="AO1667">
        <v>0</v>
      </c>
      <c r="AP1667" t="s">
        <v>1921</v>
      </c>
      <c r="AQ1667" t="s">
        <v>155</v>
      </c>
      <c r="AR1667" t="s">
        <v>229</v>
      </c>
      <c r="AS1667">
        <v>0</v>
      </c>
      <c r="AT1667">
        <v>0</v>
      </c>
      <c r="AU1667">
        <v>0</v>
      </c>
      <c r="AV1667">
        <v>0</v>
      </c>
      <c r="AW1667">
        <v>0</v>
      </c>
      <c r="AX1667">
        <v>0</v>
      </c>
      <c r="AY1667">
        <v>0</v>
      </c>
      <c r="AZ1667" t="s">
        <v>135</v>
      </c>
      <c r="BA1667">
        <v>10</v>
      </c>
      <c r="BB1667">
        <v>0</v>
      </c>
      <c r="BC1667" t="s">
        <v>133</v>
      </c>
      <c r="BD1667">
        <v>0</v>
      </c>
      <c r="BE1667" t="s">
        <v>133</v>
      </c>
      <c r="BF166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68" spans="1:58" x14ac:dyDescent="0.25">
      <c r="A1668" t="s">
        <v>1987</v>
      </c>
      <c r="B1668" t="s">
        <v>19</v>
      </c>
      <c r="C1668">
        <v>6</v>
      </c>
      <c r="D1668">
        <v>8</v>
      </c>
      <c r="E1668" t="s">
        <v>2109</v>
      </c>
      <c r="F1668" t="s">
        <v>123</v>
      </c>
      <c r="G1668" t="s">
        <v>124</v>
      </c>
      <c r="H1668" t="s">
        <v>136</v>
      </c>
      <c r="I1668" t="s">
        <v>1553</v>
      </c>
      <c r="J1668" t="s">
        <v>137</v>
      </c>
      <c r="K1668" t="s">
        <v>166</v>
      </c>
      <c r="L1668">
        <v>50</v>
      </c>
      <c r="M1668">
        <v>3504157</v>
      </c>
      <c r="N1668">
        <v>10</v>
      </c>
      <c r="O1668">
        <v>8</v>
      </c>
      <c r="P1668" t="s">
        <v>186</v>
      </c>
      <c r="Q1668" t="s">
        <v>129</v>
      </c>
      <c r="R1668">
        <v>1</v>
      </c>
      <c r="S1668" t="s">
        <v>1981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0</v>
      </c>
      <c r="AA1668">
        <v>0</v>
      </c>
      <c r="AB1668">
        <v>50</v>
      </c>
      <c r="AC1668">
        <v>0</v>
      </c>
      <c r="AD1668">
        <v>0</v>
      </c>
      <c r="AE1668">
        <v>0</v>
      </c>
      <c r="AF1668">
        <v>0</v>
      </c>
      <c r="AG1668">
        <v>0</v>
      </c>
      <c r="AH1668">
        <v>50</v>
      </c>
      <c r="AI1668">
        <v>50</v>
      </c>
      <c r="AJ1668">
        <v>50</v>
      </c>
      <c r="AK1668">
        <v>50</v>
      </c>
      <c r="AL1668">
        <v>0</v>
      </c>
      <c r="AM1668">
        <v>0.2</v>
      </c>
      <c r="AN1668">
        <v>4.5454545454545459</v>
      </c>
      <c r="AO1668">
        <v>0</v>
      </c>
      <c r="AP1668" t="s">
        <v>1921</v>
      </c>
      <c r="AQ1668" t="s">
        <v>155</v>
      </c>
      <c r="AR1668" t="s">
        <v>229</v>
      </c>
      <c r="AS1668">
        <v>0</v>
      </c>
      <c r="AT1668">
        <v>0</v>
      </c>
      <c r="AU1668">
        <v>0</v>
      </c>
      <c r="AV1668">
        <v>0</v>
      </c>
      <c r="AW1668">
        <v>0</v>
      </c>
      <c r="AX1668">
        <v>0</v>
      </c>
      <c r="AY1668">
        <v>0</v>
      </c>
      <c r="AZ1668" t="s">
        <v>135</v>
      </c>
      <c r="BA1668">
        <v>10</v>
      </c>
      <c r="BB1668">
        <v>0</v>
      </c>
      <c r="BC1668" t="s">
        <v>133</v>
      </c>
      <c r="BD1668">
        <v>0</v>
      </c>
      <c r="BE1668" t="s">
        <v>133</v>
      </c>
      <c r="BF166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69" spans="1:58" x14ac:dyDescent="0.25">
      <c r="A1669" t="s">
        <v>1988</v>
      </c>
      <c r="B1669" t="s">
        <v>19</v>
      </c>
      <c r="C1669">
        <v>6</v>
      </c>
      <c r="D1669">
        <v>9</v>
      </c>
      <c r="E1669" t="s">
        <v>2109</v>
      </c>
      <c r="F1669" t="s">
        <v>123</v>
      </c>
      <c r="G1669" t="s">
        <v>124</v>
      </c>
      <c r="H1669" t="s">
        <v>136</v>
      </c>
      <c r="I1669" t="s">
        <v>1553</v>
      </c>
      <c r="J1669" t="s">
        <v>137</v>
      </c>
      <c r="K1669" t="s">
        <v>166</v>
      </c>
      <c r="L1669">
        <v>50</v>
      </c>
      <c r="M1669">
        <v>3504159</v>
      </c>
      <c r="N1669">
        <v>10</v>
      </c>
      <c r="O1669">
        <v>8</v>
      </c>
      <c r="P1669" t="s">
        <v>186</v>
      </c>
      <c r="Q1669" t="s">
        <v>129</v>
      </c>
      <c r="R1669">
        <v>1</v>
      </c>
      <c r="S1669" t="s">
        <v>1981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0</v>
      </c>
      <c r="AA1669">
        <v>0</v>
      </c>
      <c r="AB1669">
        <v>50</v>
      </c>
      <c r="AC1669">
        <v>0</v>
      </c>
      <c r="AD1669">
        <v>0</v>
      </c>
      <c r="AE1669">
        <v>0</v>
      </c>
      <c r="AF1669">
        <v>0</v>
      </c>
      <c r="AG1669">
        <v>0</v>
      </c>
      <c r="AH1669">
        <v>50</v>
      </c>
      <c r="AI1669">
        <v>50</v>
      </c>
      <c r="AJ1669">
        <v>50</v>
      </c>
      <c r="AK1669">
        <v>50</v>
      </c>
      <c r="AL1669">
        <v>0</v>
      </c>
      <c r="AM1669">
        <v>0.2</v>
      </c>
      <c r="AN1669">
        <v>4.5454545454545459</v>
      </c>
      <c r="AO1669">
        <v>0</v>
      </c>
      <c r="AP1669" t="s">
        <v>1921</v>
      </c>
      <c r="AQ1669" t="s">
        <v>155</v>
      </c>
      <c r="AR1669" t="s">
        <v>229</v>
      </c>
      <c r="AS1669">
        <v>0</v>
      </c>
      <c r="AT1669">
        <v>0</v>
      </c>
      <c r="AU1669">
        <v>0</v>
      </c>
      <c r="AV1669">
        <v>0</v>
      </c>
      <c r="AW1669">
        <v>0</v>
      </c>
      <c r="AX1669">
        <v>0</v>
      </c>
      <c r="AY1669">
        <v>0</v>
      </c>
      <c r="AZ1669" t="s">
        <v>135</v>
      </c>
      <c r="BA1669">
        <v>10</v>
      </c>
      <c r="BB1669">
        <v>0</v>
      </c>
      <c r="BC1669" t="s">
        <v>133</v>
      </c>
      <c r="BD1669">
        <v>0</v>
      </c>
      <c r="BE1669" t="s">
        <v>133</v>
      </c>
      <c r="BF166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70" spans="1:58" x14ac:dyDescent="0.25">
      <c r="A1670" t="s">
        <v>1989</v>
      </c>
      <c r="B1670" t="s">
        <v>19</v>
      </c>
      <c r="C1670">
        <v>6</v>
      </c>
      <c r="D1670">
        <v>10</v>
      </c>
      <c r="E1670" t="s">
        <v>2109</v>
      </c>
      <c r="F1670" t="s">
        <v>123</v>
      </c>
      <c r="G1670" t="s">
        <v>124</v>
      </c>
      <c r="H1670" t="s">
        <v>125</v>
      </c>
      <c r="I1670" t="s">
        <v>1553</v>
      </c>
      <c r="J1670" t="s">
        <v>1554</v>
      </c>
      <c r="K1670" t="s">
        <v>166</v>
      </c>
      <c r="L1670">
        <v>50</v>
      </c>
      <c r="M1670">
        <v>3504161</v>
      </c>
      <c r="N1670">
        <v>10</v>
      </c>
      <c r="O1670">
        <v>8</v>
      </c>
      <c r="P1670" t="s">
        <v>186</v>
      </c>
      <c r="Q1670" t="s">
        <v>129</v>
      </c>
      <c r="R1670">
        <v>1</v>
      </c>
      <c r="S1670" t="s">
        <v>1990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0</v>
      </c>
      <c r="AA1670">
        <v>0</v>
      </c>
      <c r="AB1670">
        <v>50</v>
      </c>
      <c r="AC1670">
        <v>0</v>
      </c>
      <c r="AD1670">
        <v>0</v>
      </c>
      <c r="AE1670">
        <v>0</v>
      </c>
      <c r="AF1670">
        <v>0</v>
      </c>
      <c r="AG1670">
        <v>0</v>
      </c>
      <c r="AH1670">
        <v>50</v>
      </c>
      <c r="AI1670">
        <v>50</v>
      </c>
      <c r="AJ1670">
        <v>50</v>
      </c>
      <c r="AK1670">
        <v>50</v>
      </c>
      <c r="AL1670">
        <v>0</v>
      </c>
      <c r="AM1670">
        <v>0.2</v>
      </c>
      <c r="AN1670">
        <v>4.5454545454545459</v>
      </c>
      <c r="AO1670">
        <v>0</v>
      </c>
      <c r="AP1670" t="s">
        <v>1921</v>
      </c>
      <c r="AQ1670" t="s">
        <v>155</v>
      </c>
      <c r="AR1670" t="s">
        <v>229</v>
      </c>
      <c r="AS1670">
        <v>0</v>
      </c>
      <c r="AT1670">
        <v>0</v>
      </c>
      <c r="AU1670">
        <v>0</v>
      </c>
      <c r="AV1670">
        <v>0</v>
      </c>
      <c r="AW1670">
        <v>0</v>
      </c>
      <c r="AX1670">
        <v>0</v>
      </c>
      <c r="AY1670">
        <v>0</v>
      </c>
      <c r="AZ1670" t="s">
        <v>135</v>
      </c>
      <c r="BA1670">
        <v>10</v>
      </c>
      <c r="BB1670">
        <v>0</v>
      </c>
      <c r="BC1670" t="s">
        <v>133</v>
      </c>
      <c r="BD1670">
        <v>0</v>
      </c>
      <c r="BE1670" t="s">
        <v>133</v>
      </c>
      <c r="BF167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71" spans="1:58" x14ac:dyDescent="0.25">
      <c r="A1671" t="s">
        <v>1991</v>
      </c>
      <c r="B1671" t="s">
        <v>19</v>
      </c>
      <c r="C1671">
        <v>6</v>
      </c>
      <c r="D1671">
        <v>11</v>
      </c>
      <c r="E1671" t="s">
        <v>2109</v>
      </c>
      <c r="F1671" t="s">
        <v>123</v>
      </c>
      <c r="G1671" t="s">
        <v>124</v>
      </c>
      <c r="H1671" t="s">
        <v>125</v>
      </c>
      <c r="I1671" t="s">
        <v>1553</v>
      </c>
      <c r="J1671" t="s">
        <v>1554</v>
      </c>
      <c r="K1671" t="s">
        <v>166</v>
      </c>
      <c r="L1671">
        <v>50</v>
      </c>
      <c r="M1671">
        <v>3504163</v>
      </c>
      <c r="N1671">
        <v>10</v>
      </c>
      <c r="O1671">
        <v>8</v>
      </c>
      <c r="P1671" t="s">
        <v>186</v>
      </c>
      <c r="Q1671" t="s">
        <v>129</v>
      </c>
      <c r="R1671">
        <v>1</v>
      </c>
      <c r="S1671" t="s">
        <v>1990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0</v>
      </c>
      <c r="AA1671">
        <v>0</v>
      </c>
      <c r="AB1671">
        <v>50</v>
      </c>
      <c r="AC1671">
        <v>0</v>
      </c>
      <c r="AD1671">
        <v>0</v>
      </c>
      <c r="AE1671">
        <v>0</v>
      </c>
      <c r="AF1671">
        <v>0</v>
      </c>
      <c r="AG1671">
        <v>0</v>
      </c>
      <c r="AH1671">
        <v>50</v>
      </c>
      <c r="AI1671">
        <v>50</v>
      </c>
      <c r="AJ1671">
        <v>50</v>
      </c>
      <c r="AK1671">
        <v>50</v>
      </c>
      <c r="AL1671">
        <v>0</v>
      </c>
      <c r="AM1671">
        <v>0.2</v>
      </c>
      <c r="AN1671">
        <v>4.5454545454545459</v>
      </c>
      <c r="AO1671">
        <v>0</v>
      </c>
      <c r="AP1671" t="s">
        <v>1921</v>
      </c>
      <c r="AQ1671" t="s">
        <v>155</v>
      </c>
      <c r="AR1671" t="s">
        <v>229</v>
      </c>
      <c r="AS1671">
        <v>0</v>
      </c>
      <c r="AT1671">
        <v>0</v>
      </c>
      <c r="AU1671">
        <v>0</v>
      </c>
      <c r="AV1671">
        <v>0</v>
      </c>
      <c r="AW1671">
        <v>0</v>
      </c>
      <c r="AX1671">
        <v>0</v>
      </c>
      <c r="AY1671">
        <v>0</v>
      </c>
      <c r="AZ1671" t="s">
        <v>135</v>
      </c>
      <c r="BA1671">
        <v>10</v>
      </c>
      <c r="BB1671">
        <v>0</v>
      </c>
      <c r="BC1671" t="s">
        <v>133</v>
      </c>
      <c r="BD1671">
        <v>0</v>
      </c>
      <c r="BE1671" t="s">
        <v>133</v>
      </c>
      <c r="BF167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72" spans="1:58" x14ac:dyDescent="0.25">
      <c r="A1672" t="s">
        <v>1992</v>
      </c>
      <c r="B1672" t="s">
        <v>19</v>
      </c>
      <c r="C1672">
        <v>6</v>
      </c>
      <c r="D1672">
        <v>12</v>
      </c>
      <c r="E1672" t="s">
        <v>2109</v>
      </c>
      <c r="F1672" t="s">
        <v>123</v>
      </c>
      <c r="G1672" t="s">
        <v>124</v>
      </c>
      <c r="H1672" t="s">
        <v>125</v>
      </c>
      <c r="I1672" t="s">
        <v>183</v>
      </c>
      <c r="J1672" t="s">
        <v>140</v>
      </c>
      <c r="K1672" t="s">
        <v>166</v>
      </c>
      <c r="L1672">
        <v>50</v>
      </c>
      <c r="M1672">
        <v>3504165</v>
      </c>
      <c r="N1672">
        <v>20</v>
      </c>
      <c r="O1672">
        <v>8</v>
      </c>
      <c r="P1672" t="s">
        <v>186</v>
      </c>
      <c r="Q1672" t="s">
        <v>129</v>
      </c>
      <c r="R1672">
        <v>1</v>
      </c>
      <c r="S1672" t="s">
        <v>1979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50</v>
      </c>
      <c r="AC1672">
        <v>0</v>
      </c>
      <c r="AD1672">
        <v>0</v>
      </c>
      <c r="AE1672">
        <v>0</v>
      </c>
      <c r="AF1672">
        <v>0</v>
      </c>
      <c r="AG1672">
        <v>0</v>
      </c>
      <c r="AH1672">
        <v>50</v>
      </c>
      <c r="AI1672">
        <v>50</v>
      </c>
      <c r="AJ1672">
        <v>50</v>
      </c>
      <c r="AK1672">
        <v>50</v>
      </c>
      <c r="AL1672">
        <v>0</v>
      </c>
      <c r="AM1672">
        <v>0.4</v>
      </c>
      <c r="AN1672">
        <v>4.5454545454545459</v>
      </c>
      <c r="AO1672">
        <v>0</v>
      </c>
      <c r="AP1672" t="s">
        <v>184</v>
      </c>
      <c r="AQ1672" t="s">
        <v>155</v>
      </c>
      <c r="AR1672" t="s">
        <v>229</v>
      </c>
      <c r="AS1672">
        <v>0</v>
      </c>
      <c r="AT1672">
        <v>0</v>
      </c>
      <c r="AU1672">
        <v>0</v>
      </c>
      <c r="AV1672">
        <v>0</v>
      </c>
      <c r="AW1672">
        <v>0</v>
      </c>
      <c r="AX1672">
        <v>0</v>
      </c>
      <c r="AY1672">
        <v>0</v>
      </c>
      <c r="AZ1672" t="s">
        <v>135</v>
      </c>
      <c r="BA1672">
        <v>20</v>
      </c>
      <c r="BB1672">
        <v>0</v>
      </c>
      <c r="BC1672" t="s">
        <v>144</v>
      </c>
      <c r="BD1672">
        <v>0</v>
      </c>
      <c r="BE1672" t="s">
        <v>133</v>
      </c>
      <c r="BF167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73" spans="1:58" x14ac:dyDescent="0.25">
      <c r="A1673" t="s">
        <v>1993</v>
      </c>
      <c r="B1673" t="s">
        <v>19</v>
      </c>
      <c r="C1673">
        <v>6</v>
      </c>
      <c r="D1673">
        <v>13</v>
      </c>
      <c r="E1673" t="s">
        <v>2109</v>
      </c>
      <c r="F1673" t="s">
        <v>123</v>
      </c>
      <c r="G1673" t="s">
        <v>124</v>
      </c>
      <c r="H1673" t="s">
        <v>136</v>
      </c>
      <c r="I1673" t="s">
        <v>1553</v>
      </c>
      <c r="J1673" t="s">
        <v>187</v>
      </c>
      <c r="K1673" t="s">
        <v>166</v>
      </c>
      <c r="L1673">
        <v>50</v>
      </c>
      <c r="M1673">
        <v>3504167</v>
      </c>
      <c r="N1673">
        <v>15</v>
      </c>
      <c r="O1673">
        <v>8</v>
      </c>
      <c r="P1673" t="s">
        <v>186</v>
      </c>
      <c r="Q1673" t="s">
        <v>129</v>
      </c>
      <c r="R1673">
        <v>2</v>
      </c>
      <c r="S1673" t="s">
        <v>1994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0</v>
      </c>
      <c r="AA1673">
        <v>0</v>
      </c>
      <c r="AB1673">
        <v>50</v>
      </c>
      <c r="AC1673">
        <v>0</v>
      </c>
      <c r="AD1673">
        <v>0</v>
      </c>
      <c r="AE1673">
        <v>0</v>
      </c>
      <c r="AF1673">
        <v>0</v>
      </c>
      <c r="AG1673">
        <v>0</v>
      </c>
      <c r="AH1673">
        <v>50</v>
      </c>
      <c r="AI1673">
        <v>50</v>
      </c>
      <c r="AJ1673">
        <v>50</v>
      </c>
      <c r="AK1673">
        <v>50</v>
      </c>
      <c r="AL1673">
        <v>0</v>
      </c>
      <c r="AM1673">
        <v>0.3</v>
      </c>
      <c r="AN1673">
        <v>4.5454545454545459</v>
      </c>
      <c r="AO1673">
        <v>0</v>
      </c>
      <c r="AP1673" t="s">
        <v>1921</v>
      </c>
      <c r="AQ1673" t="s">
        <v>155</v>
      </c>
      <c r="AR1673" t="s">
        <v>229</v>
      </c>
      <c r="AS1673">
        <v>0</v>
      </c>
      <c r="AT1673">
        <v>0</v>
      </c>
      <c r="AU1673">
        <v>0</v>
      </c>
      <c r="AV1673">
        <v>0</v>
      </c>
      <c r="AW1673">
        <v>0</v>
      </c>
      <c r="AX1673">
        <v>0</v>
      </c>
      <c r="AY1673">
        <v>0</v>
      </c>
      <c r="AZ1673" t="s">
        <v>135</v>
      </c>
      <c r="BA1673">
        <v>15</v>
      </c>
      <c r="BB1673">
        <v>0</v>
      </c>
      <c r="BC1673" t="s">
        <v>132</v>
      </c>
      <c r="BD1673">
        <v>0</v>
      </c>
      <c r="BE1673" t="s">
        <v>133</v>
      </c>
      <c r="BF167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74" spans="1:58" x14ac:dyDescent="0.25">
      <c r="A1674" t="s">
        <v>1995</v>
      </c>
      <c r="B1674" t="s">
        <v>19</v>
      </c>
      <c r="C1674">
        <v>6</v>
      </c>
      <c r="D1674">
        <v>14</v>
      </c>
      <c r="E1674" t="s">
        <v>2109</v>
      </c>
      <c r="F1674" t="s">
        <v>123</v>
      </c>
      <c r="G1674" t="s">
        <v>124</v>
      </c>
      <c r="H1674" t="s">
        <v>136</v>
      </c>
      <c r="I1674" t="s">
        <v>1553</v>
      </c>
      <c r="J1674" t="s">
        <v>187</v>
      </c>
      <c r="K1674" t="s">
        <v>166</v>
      </c>
      <c r="L1674">
        <v>50</v>
      </c>
      <c r="M1674">
        <v>3504169</v>
      </c>
      <c r="N1674">
        <v>15</v>
      </c>
      <c r="O1674">
        <v>8</v>
      </c>
      <c r="P1674" t="s">
        <v>186</v>
      </c>
      <c r="Q1674" t="s">
        <v>129</v>
      </c>
      <c r="R1674">
        <v>2</v>
      </c>
      <c r="S1674" t="s">
        <v>1994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0</v>
      </c>
      <c r="AA1674">
        <v>0</v>
      </c>
      <c r="AB1674">
        <v>50</v>
      </c>
      <c r="AC1674">
        <v>0</v>
      </c>
      <c r="AD1674">
        <v>0</v>
      </c>
      <c r="AE1674">
        <v>0</v>
      </c>
      <c r="AF1674">
        <v>0</v>
      </c>
      <c r="AG1674">
        <v>0</v>
      </c>
      <c r="AH1674">
        <v>50</v>
      </c>
      <c r="AI1674">
        <v>50</v>
      </c>
      <c r="AJ1674">
        <v>50</v>
      </c>
      <c r="AK1674">
        <v>50</v>
      </c>
      <c r="AL1674">
        <v>0</v>
      </c>
      <c r="AM1674">
        <v>0.3</v>
      </c>
      <c r="AN1674">
        <v>4.5454545454545459</v>
      </c>
      <c r="AO1674">
        <v>0</v>
      </c>
      <c r="AP1674" t="s">
        <v>1921</v>
      </c>
      <c r="AQ1674" t="s">
        <v>155</v>
      </c>
      <c r="AR1674" t="s">
        <v>229</v>
      </c>
      <c r="AS1674">
        <v>0</v>
      </c>
      <c r="AT1674">
        <v>0</v>
      </c>
      <c r="AU1674">
        <v>0</v>
      </c>
      <c r="AV1674">
        <v>0</v>
      </c>
      <c r="AW1674">
        <v>0</v>
      </c>
      <c r="AX1674">
        <v>0</v>
      </c>
      <c r="AY1674">
        <v>0</v>
      </c>
      <c r="AZ1674" t="s">
        <v>135</v>
      </c>
      <c r="BA1674">
        <v>15</v>
      </c>
      <c r="BB1674">
        <v>0</v>
      </c>
      <c r="BC1674" t="s">
        <v>133</v>
      </c>
      <c r="BD1674">
        <v>0</v>
      </c>
      <c r="BE1674" t="s">
        <v>133</v>
      </c>
      <c r="BF167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75" spans="1:58" x14ac:dyDescent="0.25">
      <c r="A1675" t="s">
        <v>1996</v>
      </c>
      <c r="B1675" t="s">
        <v>19</v>
      </c>
      <c r="C1675">
        <v>6</v>
      </c>
      <c r="D1675">
        <v>15</v>
      </c>
      <c r="E1675" t="s">
        <v>2109</v>
      </c>
      <c r="F1675" t="s">
        <v>123</v>
      </c>
      <c r="G1675" t="s">
        <v>124</v>
      </c>
      <c r="H1675" t="s">
        <v>136</v>
      </c>
      <c r="I1675" t="s">
        <v>1553</v>
      </c>
      <c r="J1675" t="s">
        <v>187</v>
      </c>
      <c r="K1675" t="s">
        <v>166</v>
      </c>
      <c r="L1675">
        <v>50</v>
      </c>
      <c r="M1675">
        <v>3504171</v>
      </c>
      <c r="N1675">
        <v>15</v>
      </c>
      <c r="O1675">
        <v>8</v>
      </c>
      <c r="P1675" t="s">
        <v>186</v>
      </c>
      <c r="Q1675" t="s">
        <v>129</v>
      </c>
      <c r="R1675">
        <v>2</v>
      </c>
      <c r="S1675" t="s">
        <v>1994</v>
      </c>
      <c r="T1675">
        <v>0</v>
      </c>
      <c r="U1675">
        <v>0</v>
      </c>
      <c r="V1675">
        <v>0</v>
      </c>
      <c r="W1675">
        <v>0</v>
      </c>
      <c r="X1675">
        <v>0</v>
      </c>
      <c r="Y1675">
        <v>0</v>
      </c>
      <c r="Z1675">
        <v>0</v>
      </c>
      <c r="AA1675">
        <v>0</v>
      </c>
      <c r="AB1675">
        <v>50</v>
      </c>
      <c r="AC1675">
        <v>0</v>
      </c>
      <c r="AD1675">
        <v>0</v>
      </c>
      <c r="AE1675">
        <v>0</v>
      </c>
      <c r="AF1675">
        <v>0</v>
      </c>
      <c r="AG1675">
        <v>0</v>
      </c>
      <c r="AH1675">
        <v>50</v>
      </c>
      <c r="AI1675">
        <v>50</v>
      </c>
      <c r="AJ1675">
        <v>50</v>
      </c>
      <c r="AK1675">
        <v>50</v>
      </c>
      <c r="AL1675">
        <v>0</v>
      </c>
      <c r="AM1675">
        <v>0.3</v>
      </c>
      <c r="AN1675">
        <v>4.5454545454545459</v>
      </c>
      <c r="AO1675">
        <v>0</v>
      </c>
      <c r="AP1675" t="s">
        <v>1921</v>
      </c>
      <c r="AQ1675" t="s">
        <v>155</v>
      </c>
      <c r="AR1675" t="s">
        <v>229</v>
      </c>
      <c r="AS1675">
        <v>0</v>
      </c>
      <c r="AT1675">
        <v>0</v>
      </c>
      <c r="AU1675">
        <v>0</v>
      </c>
      <c r="AV1675">
        <v>0</v>
      </c>
      <c r="AW1675">
        <v>0</v>
      </c>
      <c r="AX1675">
        <v>0</v>
      </c>
      <c r="AY1675">
        <v>0</v>
      </c>
      <c r="AZ1675" t="s">
        <v>135</v>
      </c>
      <c r="BA1675">
        <v>15</v>
      </c>
      <c r="BB1675">
        <v>0</v>
      </c>
      <c r="BC1675" t="s">
        <v>133</v>
      </c>
      <c r="BD1675">
        <v>0</v>
      </c>
      <c r="BE1675" t="s">
        <v>133</v>
      </c>
      <c r="BF167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76" spans="1:58" x14ac:dyDescent="0.25">
      <c r="A1676" t="s">
        <v>1997</v>
      </c>
      <c r="B1676" t="s">
        <v>19</v>
      </c>
      <c r="C1676">
        <v>6</v>
      </c>
      <c r="D1676">
        <v>16</v>
      </c>
      <c r="E1676" t="s">
        <v>2109</v>
      </c>
      <c r="F1676" t="s">
        <v>123</v>
      </c>
      <c r="G1676" t="s">
        <v>124</v>
      </c>
      <c r="H1676" t="s">
        <v>136</v>
      </c>
      <c r="I1676" t="s">
        <v>1553</v>
      </c>
      <c r="J1676" t="s">
        <v>187</v>
      </c>
      <c r="K1676" t="s">
        <v>166</v>
      </c>
      <c r="L1676">
        <v>50</v>
      </c>
      <c r="M1676">
        <v>3504173</v>
      </c>
      <c r="N1676">
        <v>15</v>
      </c>
      <c r="O1676">
        <v>8</v>
      </c>
      <c r="P1676" t="s">
        <v>186</v>
      </c>
      <c r="Q1676" t="s">
        <v>129</v>
      </c>
      <c r="R1676">
        <v>2</v>
      </c>
      <c r="S1676" t="s">
        <v>1994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0</v>
      </c>
      <c r="AA1676">
        <v>0</v>
      </c>
      <c r="AB1676">
        <v>50</v>
      </c>
      <c r="AC1676">
        <v>0</v>
      </c>
      <c r="AD1676">
        <v>0</v>
      </c>
      <c r="AE1676">
        <v>0</v>
      </c>
      <c r="AF1676">
        <v>0</v>
      </c>
      <c r="AG1676">
        <v>0</v>
      </c>
      <c r="AH1676">
        <v>50</v>
      </c>
      <c r="AI1676">
        <v>50</v>
      </c>
      <c r="AJ1676">
        <v>50</v>
      </c>
      <c r="AK1676">
        <v>50</v>
      </c>
      <c r="AL1676">
        <v>0</v>
      </c>
      <c r="AM1676">
        <v>0.3</v>
      </c>
      <c r="AN1676">
        <v>4.5454545454545459</v>
      </c>
      <c r="AO1676">
        <v>0</v>
      </c>
      <c r="AP1676" t="s">
        <v>1921</v>
      </c>
      <c r="AQ1676" t="s">
        <v>155</v>
      </c>
      <c r="AR1676" t="s">
        <v>229</v>
      </c>
      <c r="AS1676">
        <v>0</v>
      </c>
      <c r="AT1676">
        <v>0</v>
      </c>
      <c r="AU1676">
        <v>0</v>
      </c>
      <c r="AV1676">
        <v>0</v>
      </c>
      <c r="AW1676">
        <v>0</v>
      </c>
      <c r="AX1676">
        <v>0</v>
      </c>
      <c r="AY1676">
        <v>0</v>
      </c>
      <c r="AZ1676" t="s">
        <v>135</v>
      </c>
      <c r="BA1676">
        <v>15</v>
      </c>
      <c r="BB1676">
        <v>0</v>
      </c>
      <c r="BC1676" t="s">
        <v>133</v>
      </c>
      <c r="BD1676">
        <v>0</v>
      </c>
      <c r="BE1676" t="s">
        <v>133</v>
      </c>
      <c r="BF167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77" spans="1:58" x14ac:dyDescent="0.25">
      <c r="A1677" t="s">
        <v>1998</v>
      </c>
      <c r="B1677" t="s">
        <v>19</v>
      </c>
      <c r="C1677">
        <v>6</v>
      </c>
      <c r="D1677">
        <v>17</v>
      </c>
      <c r="E1677" t="s">
        <v>2109</v>
      </c>
      <c r="F1677" t="s">
        <v>123</v>
      </c>
      <c r="G1677" t="s">
        <v>124</v>
      </c>
      <c r="H1677" t="s">
        <v>125</v>
      </c>
      <c r="I1677" t="s">
        <v>1553</v>
      </c>
      <c r="J1677" t="s">
        <v>140</v>
      </c>
      <c r="K1677" t="s">
        <v>166</v>
      </c>
      <c r="L1677">
        <v>50</v>
      </c>
      <c r="M1677">
        <v>3504175</v>
      </c>
      <c r="N1677">
        <v>20</v>
      </c>
      <c r="O1677">
        <v>8</v>
      </c>
      <c r="P1677" t="s">
        <v>186</v>
      </c>
      <c r="Q1677" t="s">
        <v>129</v>
      </c>
      <c r="R1677">
        <v>2</v>
      </c>
      <c r="S1677" t="s">
        <v>1999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50</v>
      </c>
      <c r="AC1677">
        <v>0</v>
      </c>
      <c r="AD1677">
        <v>0</v>
      </c>
      <c r="AE1677">
        <v>0</v>
      </c>
      <c r="AF1677">
        <v>0</v>
      </c>
      <c r="AG1677">
        <v>0</v>
      </c>
      <c r="AH1677">
        <v>50</v>
      </c>
      <c r="AI1677">
        <v>50</v>
      </c>
      <c r="AJ1677">
        <v>50</v>
      </c>
      <c r="AK1677">
        <v>50</v>
      </c>
      <c r="AL1677">
        <v>0</v>
      </c>
      <c r="AM1677">
        <v>0.4</v>
      </c>
      <c r="AN1677">
        <v>4.5454545454545459</v>
      </c>
      <c r="AO1677">
        <v>0</v>
      </c>
      <c r="AP1677" t="s">
        <v>1921</v>
      </c>
      <c r="AQ1677" t="s">
        <v>155</v>
      </c>
      <c r="AR1677" t="s">
        <v>229</v>
      </c>
      <c r="AS1677">
        <v>0</v>
      </c>
      <c r="AT1677">
        <v>0</v>
      </c>
      <c r="AU1677">
        <v>0</v>
      </c>
      <c r="AV1677">
        <v>0</v>
      </c>
      <c r="AW1677">
        <v>0</v>
      </c>
      <c r="AX1677">
        <v>0</v>
      </c>
      <c r="AY1677">
        <v>0</v>
      </c>
      <c r="AZ1677" t="s">
        <v>135</v>
      </c>
      <c r="BA1677">
        <v>20</v>
      </c>
      <c r="BB1677">
        <v>0</v>
      </c>
      <c r="BC1677" t="s">
        <v>133</v>
      </c>
      <c r="BD1677">
        <v>0</v>
      </c>
      <c r="BE1677" t="s">
        <v>133</v>
      </c>
      <c r="BF167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78" spans="1:58" x14ac:dyDescent="0.25">
      <c r="A1678" t="s">
        <v>2000</v>
      </c>
      <c r="B1678" t="s">
        <v>19</v>
      </c>
      <c r="C1678">
        <v>6</v>
      </c>
      <c r="D1678">
        <v>18</v>
      </c>
      <c r="E1678" t="s">
        <v>2109</v>
      </c>
      <c r="F1678" t="s">
        <v>123</v>
      </c>
      <c r="G1678" t="s">
        <v>124</v>
      </c>
      <c r="H1678" t="s">
        <v>125</v>
      </c>
      <c r="I1678" t="s">
        <v>1553</v>
      </c>
      <c r="J1678" t="s">
        <v>140</v>
      </c>
      <c r="K1678" t="s">
        <v>166</v>
      </c>
      <c r="L1678">
        <v>50</v>
      </c>
      <c r="M1678">
        <v>3504177</v>
      </c>
      <c r="N1678">
        <v>20</v>
      </c>
      <c r="O1678">
        <v>8</v>
      </c>
      <c r="P1678" t="s">
        <v>186</v>
      </c>
      <c r="Q1678" t="s">
        <v>129</v>
      </c>
      <c r="R1678">
        <v>2</v>
      </c>
      <c r="S1678" t="s">
        <v>1999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0</v>
      </c>
      <c r="AA1678">
        <v>0</v>
      </c>
      <c r="AB1678">
        <v>50</v>
      </c>
      <c r="AC1678">
        <v>0</v>
      </c>
      <c r="AD1678">
        <v>0</v>
      </c>
      <c r="AE1678">
        <v>0</v>
      </c>
      <c r="AF1678">
        <v>0</v>
      </c>
      <c r="AG1678">
        <v>0</v>
      </c>
      <c r="AH1678">
        <v>50</v>
      </c>
      <c r="AI1678">
        <v>50</v>
      </c>
      <c r="AJ1678">
        <v>50</v>
      </c>
      <c r="AK1678">
        <v>50</v>
      </c>
      <c r="AL1678">
        <v>0</v>
      </c>
      <c r="AM1678">
        <v>0.4</v>
      </c>
      <c r="AN1678">
        <v>4.5454545454545459</v>
      </c>
      <c r="AO1678">
        <v>0</v>
      </c>
      <c r="AP1678" t="s">
        <v>1921</v>
      </c>
      <c r="AQ1678" t="s">
        <v>155</v>
      </c>
      <c r="AR1678" t="s">
        <v>229</v>
      </c>
      <c r="AS1678">
        <v>0</v>
      </c>
      <c r="AT1678">
        <v>0</v>
      </c>
      <c r="AU1678">
        <v>0</v>
      </c>
      <c r="AV1678">
        <v>0</v>
      </c>
      <c r="AW1678">
        <v>0</v>
      </c>
      <c r="AX1678">
        <v>0</v>
      </c>
      <c r="AY1678">
        <v>0</v>
      </c>
      <c r="AZ1678" t="s">
        <v>135</v>
      </c>
      <c r="BA1678">
        <v>20</v>
      </c>
      <c r="BB1678">
        <v>0</v>
      </c>
      <c r="BC1678" t="s">
        <v>133</v>
      </c>
      <c r="BD1678">
        <v>0</v>
      </c>
      <c r="BE1678" t="s">
        <v>133</v>
      </c>
      <c r="BF167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79" spans="1:58" x14ac:dyDescent="0.25">
      <c r="A1679" t="s">
        <v>2001</v>
      </c>
      <c r="B1679" t="s">
        <v>19</v>
      </c>
      <c r="C1679">
        <v>6</v>
      </c>
      <c r="D1679">
        <v>19</v>
      </c>
      <c r="E1679" t="s">
        <v>2109</v>
      </c>
      <c r="F1679" t="s">
        <v>123</v>
      </c>
      <c r="G1679" t="s">
        <v>124</v>
      </c>
      <c r="H1679" t="s">
        <v>125</v>
      </c>
      <c r="I1679" t="s">
        <v>1553</v>
      </c>
      <c r="J1679" t="s">
        <v>140</v>
      </c>
      <c r="K1679" t="s">
        <v>166</v>
      </c>
      <c r="L1679">
        <v>50</v>
      </c>
      <c r="M1679">
        <v>3504179</v>
      </c>
      <c r="N1679">
        <v>20</v>
      </c>
      <c r="O1679">
        <v>8</v>
      </c>
      <c r="P1679" t="s">
        <v>186</v>
      </c>
      <c r="Q1679" t="s">
        <v>129</v>
      </c>
      <c r="R1679">
        <v>2</v>
      </c>
      <c r="S1679" t="s">
        <v>1999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50</v>
      </c>
      <c r="AC1679">
        <v>0</v>
      </c>
      <c r="AD1679">
        <v>0</v>
      </c>
      <c r="AE1679">
        <v>0</v>
      </c>
      <c r="AF1679">
        <v>0</v>
      </c>
      <c r="AG1679">
        <v>0</v>
      </c>
      <c r="AH1679">
        <v>50</v>
      </c>
      <c r="AI1679">
        <v>50</v>
      </c>
      <c r="AJ1679">
        <v>50</v>
      </c>
      <c r="AK1679">
        <v>50</v>
      </c>
      <c r="AL1679">
        <v>0</v>
      </c>
      <c r="AM1679">
        <v>0.4</v>
      </c>
      <c r="AN1679">
        <v>4.5454545454545459</v>
      </c>
      <c r="AO1679">
        <v>0</v>
      </c>
      <c r="AP1679" t="s">
        <v>1921</v>
      </c>
      <c r="AQ1679" t="s">
        <v>155</v>
      </c>
      <c r="AR1679" t="s">
        <v>229</v>
      </c>
      <c r="AS1679">
        <v>0</v>
      </c>
      <c r="AT1679">
        <v>0</v>
      </c>
      <c r="AU1679">
        <v>0</v>
      </c>
      <c r="AV1679">
        <v>0</v>
      </c>
      <c r="AW1679">
        <v>0</v>
      </c>
      <c r="AX1679">
        <v>0</v>
      </c>
      <c r="AY1679">
        <v>0</v>
      </c>
      <c r="AZ1679" t="s">
        <v>135</v>
      </c>
      <c r="BA1679">
        <v>20</v>
      </c>
      <c r="BB1679">
        <v>0</v>
      </c>
      <c r="BC1679" t="s">
        <v>133</v>
      </c>
      <c r="BD1679">
        <v>0</v>
      </c>
      <c r="BE1679" t="s">
        <v>133</v>
      </c>
      <c r="BF167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80" spans="1:58" x14ac:dyDescent="0.25">
      <c r="A1680" t="s">
        <v>2002</v>
      </c>
      <c r="B1680" t="s">
        <v>19</v>
      </c>
      <c r="C1680">
        <v>6</v>
      </c>
      <c r="D1680">
        <v>20</v>
      </c>
      <c r="E1680" t="s">
        <v>2109</v>
      </c>
      <c r="F1680" t="s">
        <v>123</v>
      </c>
      <c r="G1680" t="s">
        <v>124</v>
      </c>
      <c r="H1680" t="s">
        <v>125</v>
      </c>
      <c r="I1680" t="s">
        <v>1553</v>
      </c>
      <c r="J1680" t="s">
        <v>140</v>
      </c>
      <c r="K1680" t="s">
        <v>166</v>
      </c>
      <c r="L1680">
        <v>50</v>
      </c>
      <c r="M1680">
        <v>3504181</v>
      </c>
      <c r="N1680">
        <v>20</v>
      </c>
      <c r="O1680">
        <v>8</v>
      </c>
      <c r="P1680" t="s">
        <v>186</v>
      </c>
      <c r="Q1680" t="s">
        <v>129</v>
      </c>
      <c r="R1680">
        <v>2</v>
      </c>
      <c r="S1680" t="s">
        <v>1999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50</v>
      </c>
      <c r="AC1680">
        <v>0</v>
      </c>
      <c r="AD1680">
        <v>0</v>
      </c>
      <c r="AE1680">
        <v>0</v>
      </c>
      <c r="AF1680">
        <v>0</v>
      </c>
      <c r="AG1680">
        <v>0</v>
      </c>
      <c r="AH1680">
        <v>50</v>
      </c>
      <c r="AI1680">
        <v>50</v>
      </c>
      <c r="AJ1680">
        <v>50</v>
      </c>
      <c r="AK1680">
        <v>50</v>
      </c>
      <c r="AL1680">
        <v>0</v>
      </c>
      <c r="AM1680">
        <v>0.4</v>
      </c>
      <c r="AN1680">
        <v>4.5454545454545459</v>
      </c>
      <c r="AO1680">
        <v>0</v>
      </c>
      <c r="AP1680" t="s">
        <v>1921</v>
      </c>
      <c r="AQ1680" t="s">
        <v>155</v>
      </c>
      <c r="AR1680" t="s">
        <v>229</v>
      </c>
      <c r="AS1680">
        <v>0</v>
      </c>
      <c r="AT1680">
        <v>0</v>
      </c>
      <c r="AU1680">
        <v>0</v>
      </c>
      <c r="AV1680">
        <v>0</v>
      </c>
      <c r="AW1680">
        <v>0</v>
      </c>
      <c r="AX1680">
        <v>0</v>
      </c>
      <c r="AY1680">
        <v>0</v>
      </c>
      <c r="AZ1680" t="s">
        <v>135</v>
      </c>
      <c r="BA1680">
        <v>20</v>
      </c>
      <c r="BB1680">
        <v>0</v>
      </c>
      <c r="BC1680" t="s">
        <v>133</v>
      </c>
      <c r="BD1680">
        <v>0</v>
      </c>
      <c r="BE1680" t="s">
        <v>133</v>
      </c>
      <c r="BF168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81" spans="1:58" x14ac:dyDescent="0.25">
      <c r="A1681" t="s">
        <v>2003</v>
      </c>
      <c r="B1681" t="s">
        <v>19</v>
      </c>
      <c r="C1681">
        <v>6</v>
      </c>
      <c r="D1681">
        <v>21</v>
      </c>
      <c r="E1681" t="s">
        <v>2109</v>
      </c>
      <c r="F1681" t="s">
        <v>123</v>
      </c>
      <c r="G1681" t="s">
        <v>124</v>
      </c>
      <c r="H1681" t="s">
        <v>125</v>
      </c>
      <c r="I1681" t="s">
        <v>1553</v>
      </c>
      <c r="J1681" t="s">
        <v>149</v>
      </c>
      <c r="K1681" t="s">
        <v>166</v>
      </c>
      <c r="L1681">
        <v>50</v>
      </c>
      <c r="M1681">
        <v>3504183</v>
      </c>
      <c r="N1681">
        <v>6</v>
      </c>
      <c r="O1681">
        <v>8</v>
      </c>
      <c r="P1681" t="s">
        <v>186</v>
      </c>
      <c r="Q1681" t="s">
        <v>129</v>
      </c>
      <c r="R1681">
        <v>2</v>
      </c>
      <c r="S1681" t="s">
        <v>2004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50</v>
      </c>
      <c r="AC1681">
        <v>0</v>
      </c>
      <c r="AD1681">
        <v>0</v>
      </c>
      <c r="AE1681">
        <v>0</v>
      </c>
      <c r="AF1681">
        <v>0</v>
      </c>
      <c r="AG1681">
        <v>0</v>
      </c>
      <c r="AH1681">
        <v>50</v>
      </c>
      <c r="AI1681">
        <v>50</v>
      </c>
      <c r="AJ1681">
        <v>50</v>
      </c>
      <c r="AK1681">
        <v>50</v>
      </c>
      <c r="AL1681">
        <v>0</v>
      </c>
      <c r="AM1681">
        <v>0.12</v>
      </c>
      <c r="AN1681">
        <v>4.5454545454545459</v>
      </c>
      <c r="AO1681">
        <v>0</v>
      </c>
      <c r="AP1681" t="s">
        <v>1921</v>
      </c>
      <c r="AQ1681" t="s">
        <v>155</v>
      </c>
      <c r="AR1681" t="s">
        <v>229</v>
      </c>
      <c r="AS1681">
        <v>0</v>
      </c>
      <c r="AT1681">
        <v>0</v>
      </c>
      <c r="AU1681">
        <v>0</v>
      </c>
      <c r="AV1681">
        <v>0</v>
      </c>
      <c r="AW1681">
        <v>0</v>
      </c>
      <c r="AX1681">
        <v>0</v>
      </c>
      <c r="AY1681">
        <v>0</v>
      </c>
      <c r="AZ1681" t="s">
        <v>135</v>
      </c>
      <c r="BA1681">
        <v>6</v>
      </c>
      <c r="BB1681">
        <v>0</v>
      </c>
      <c r="BC1681" t="s">
        <v>133</v>
      </c>
      <c r="BD1681">
        <v>0</v>
      </c>
      <c r="BE1681" t="s">
        <v>133</v>
      </c>
      <c r="BF168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82" spans="1:58" x14ac:dyDescent="0.25">
      <c r="A1682" t="s">
        <v>2005</v>
      </c>
      <c r="B1682" t="s">
        <v>19</v>
      </c>
      <c r="C1682">
        <v>6</v>
      </c>
      <c r="D1682">
        <v>22</v>
      </c>
      <c r="E1682" t="s">
        <v>2109</v>
      </c>
      <c r="F1682" t="s">
        <v>123</v>
      </c>
      <c r="G1682" t="s">
        <v>124</v>
      </c>
      <c r="H1682" t="s">
        <v>125</v>
      </c>
      <c r="I1682" t="s">
        <v>1553</v>
      </c>
      <c r="J1682" t="s">
        <v>149</v>
      </c>
      <c r="K1682" t="s">
        <v>166</v>
      </c>
      <c r="L1682">
        <v>50</v>
      </c>
      <c r="M1682">
        <v>3504185</v>
      </c>
      <c r="N1682">
        <v>6</v>
      </c>
      <c r="O1682">
        <v>8</v>
      </c>
      <c r="P1682" t="s">
        <v>186</v>
      </c>
      <c r="Q1682" t="s">
        <v>129</v>
      </c>
      <c r="R1682">
        <v>2</v>
      </c>
      <c r="S1682" t="s">
        <v>2004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50</v>
      </c>
      <c r="AC1682">
        <v>0</v>
      </c>
      <c r="AD1682">
        <v>0</v>
      </c>
      <c r="AE1682">
        <v>0</v>
      </c>
      <c r="AF1682">
        <v>0</v>
      </c>
      <c r="AG1682">
        <v>0</v>
      </c>
      <c r="AH1682">
        <v>50</v>
      </c>
      <c r="AI1682">
        <v>50</v>
      </c>
      <c r="AJ1682">
        <v>50</v>
      </c>
      <c r="AK1682">
        <v>50</v>
      </c>
      <c r="AL1682">
        <v>0</v>
      </c>
      <c r="AM1682">
        <v>0.12</v>
      </c>
      <c r="AN1682">
        <v>4.5454545454545459</v>
      </c>
      <c r="AO1682">
        <v>0</v>
      </c>
      <c r="AP1682" t="s">
        <v>1921</v>
      </c>
      <c r="AQ1682" t="s">
        <v>155</v>
      </c>
      <c r="AR1682" t="s">
        <v>229</v>
      </c>
      <c r="AS1682">
        <v>0</v>
      </c>
      <c r="AT1682">
        <v>0</v>
      </c>
      <c r="AU1682">
        <v>0</v>
      </c>
      <c r="AV1682">
        <v>0</v>
      </c>
      <c r="AW1682">
        <v>0</v>
      </c>
      <c r="AX1682">
        <v>0</v>
      </c>
      <c r="AY1682">
        <v>0</v>
      </c>
      <c r="AZ1682" t="s">
        <v>135</v>
      </c>
      <c r="BA1682">
        <v>6</v>
      </c>
      <c r="BB1682">
        <v>0</v>
      </c>
      <c r="BC1682" t="s">
        <v>133</v>
      </c>
      <c r="BD1682">
        <v>0</v>
      </c>
      <c r="BE1682" t="s">
        <v>133</v>
      </c>
      <c r="BF168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83" spans="1:58" x14ac:dyDescent="0.25">
      <c r="A1683" t="s">
        <v>2006</v>
      </c>
      <c r="B1683" t="s">
        <v>19</v>
      </c>
      <c r="C1683">
        <v>6</v>
      </c>
      <c r="D1683">
        <v>23</v>
      </c>
      <c r="E1683" t="s">
        <v>2109</v>
      </c>
      <c r="F1683" t="s">
        <v>123</v>
      </c>
      <c r="G1683" t="s">
        <v>124</v>
      </c>
      <c r="H1683" t="s">
        <v>125</v>
      </c>
      <c r="I1683" t="s">
        <v>1553</v>
      </c>
      <c r="J1683" t="s">
        <v>149</v>
      </c>
      <c r="K1683" t="s">
        <v>166</v>
      </c>
      <c r="L1683">
        <v>50</v>
      </c>
      <c r="M1683">
        <v>3504187</v>
      </c>
      <c r="N1683">
        <v>6</v>
      </c>
      <c r="O1683">
        <v>8</v>
      </c>
      <c r="P1683" t="s">
        <v>186</v>
      </c>
      <c r="Q1683" t="s">
        <v>129</v>
      </c>
      <c r="R1683">
        <v>2</v>
      </c>
      <c r="S1683" t="s">
        <v>2004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50</v>
      </c>
      <c r="AC1683">
        <v>0</v>
      </c>
      <c r="AD1683">
        <v>0</v>
      </c>
      <c r="AE1683">
        <v>0</v>
      </c>
      <c r="AF1683">
        <v>0</v>
      </c>
      <c r="AG1683">
        <v>0</v>
      </c>
      <c r="AH1683">
        <v>50</v>
      </c>
      <c r="AI1683">
        <v>50</v>
      </c>
      <c r="AJ1683">
        <v>50</v>
      </c>
      <c r="AK1683">
        <v>50</v>
      </c>
      <c r="AL1683">
        <v>0</v>
      </c>
      <c r="AM1683">
        <v>0.12</v>
      </c>
      <c r="AN1683">
        <v>4.5454545454545459</v>
      </c>
      <c r="AO1683">
        <v>0</v>
      </c>
      <c r="AP1683" t="s">
        <v>1921</v>
      </c>
      <c r="AQ1683" t="s">
        <v>155</v>
      </c>
      <c r="AR1683" t="s">
        <v>229</v>
      </c>
      <c r="AS1683">
        <v>0</v>
      </c>
      <c r="AT1683">
        <v>0</v>
      </c>
      <c r="AU1683">
        <v>0</v>
      </c>
      <c r="AV1683">
        <v>0</v>
      </c>
      <c r="AW1683">
        <v>0</v>
      </c>
      <c r="AX1683">
        <v>0</v>
      </c>
      <c r="AY1683">
        <v>0</v>
      </c>
      <c r="AZ1683" t="s">
        <v>135</v>
      </c>
      <c r="BA1683">
        <v>6</v>
      </c>
      <c r="BB1683">
        <v>0</v>
      </c>
      <c r="BC1683" t="s">
        <v>133</v>
      </c>
      <c r="BD1683">
        <v>0</v>
      </c>
      <c r="BE1683" t="s">
        <v>133</v>
      </c>
      <c r="BF168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84" spans="1:58" x14ac:dyDescent="0.25">
      <c r="A1684" t="s">
        <v>2007</v>
      </c>
      <c r="B1684" t="s">
        <v>19</v>
      </c>
      <c r="C1684">
        <v>6</v>
      </c>
      <c r="D1684">
        <v>24</v>
      </c>
      <c r="E1684" t="s">
        <v>2109</v>
      </c>
      <c r="F1684" t="s">
        <v>123</v>
      </c>
      <c r="G1684" t="s">
        <v>124</v>
      </c>
      <c r="H1684" t="s">
        <v>125</v>
      </c>
      <c r="I1684" t="s">
        <v>1553</v>
      </c>
      <c r="J1684" t="s">
        <v>149</v>
      </c>
      <c r="K1684" t="s">
        <v>166</v>
      </c>
      <c r="L1684">
        <v>50</v>
      </c>
      <c r="M1684">
        <v>3504189</v>
      </c>
      <c r="N1684">
        <v>6</v>
      </c>
      <c r="O1684">
        <v>8</v>
      </c>
      <c r="P1684" t="s">
        <v>186</v>
      </c>
      <c r="Q1684" t="s">
        <v>129</v>
      </c>
      <c r="R1684">
        <v>2</v>
      </c>
      <c r="S1684" t="s">
        <v>2004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0</v>
      </c>
      <c r="AA1684">
        <v>0</v>
      </c>
      <c r="AB1684">
        <v>50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>
        <v>50</v>
      </c>
      <c r="AI1684">
        <v>50</v>
      </c>
      <c r="AJ1684">
        <v>50</v>
      </c>
      <c r="AK1684">
        <v>50</v>
      </c>
      <c r="AL1684">
        <v>0</v>
      </c>
      <c r="AM1684">
        <v>0.12</v>
      </c>
      <c r="AN1684">
        <v>4.5454545454545459</v>
      </c>
      <c r="AO1684">
        <v>0</v>
      </c>
      <c r="AP1684" t="s">
        <v>1921</v>
      </c>
      <c r="AQ1684" t="s">
        <v>155</v>
      </c>
      <c r="AR1684" t="s">
        <v>229</v>
      </c>
      <c r="AS1684">
        <v>0</v>
      </c>
      <c r="AT1684">
        <v>0</v>
      </c>
      <c r="AU1684">
        <v>0</v>
      </c>
      <c r="AV1684">
        <v>0</v>
      </c>
      <c r="AW1684">
        <v>0</v>
      </c>
      <c r="AX1684">
        <v>0</v>
      </c>
      <c r="AY1684">
        <v>0</v>
      </c>
      <c r="AZ1684" t="s">
        <v>135</v>
      </c>
      <c r="BA1684">
        <v>6</v>
      </c>
      <c r="BB1684">
        <v>0</v>
      </c>
      <c r="BC1684" t="s">
        <v>144</v>
      </c>
      <c r="BD1684">
        <v>0</v>
      </c>
      <c r="BE1684" t="s">
        <v>133</v>
      </c>
      <c r="BF168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85" spans="1:58" x14ac:dyDescent="0.25">
      <c r="A1685" t="s">
        <v>2008</v>
      </c>
      <c r="B1685" t="s">
        <v>19</v>
      </c>
      <c r="C1685">
        <v>6</v>
      </c>
      <c r="D1685">
        <v>25</v>
      </c>
      <c r="E1685" t="s">
        <v>2109</v>
      </c>
      <c r="F1685" t="s">
        <v>123</v>
      </c>
      <c r="G1685" t="s">
        <v>124</v>
      </c>
      <c r="H1685" t="s">
        <v>136</v>
      </c>
      <c r="I1685" t="s">
        <v>137</v>
      </c>
      <c r="J1685" t="s">
        <v>152</v>
      </c>
      <c r="K1685" t="s">
        <v>166</v>
      </c>
      <c r="L1685">
        <v>50</v>
      </c>
      <c r="M1685">
        <v>3504191</v>
      </c>
      <c r="N1685">
        <v>0</v>
      </c>
      <c r="O1685">
        <v>8</v>
      </c>
      <c r="P1685" t="s">
        <v>186</v>
      </c>
      <c r="Q1685" t="s">
        <v>129</v>
      </c>
      <c r="R1685">
        <v>3</v>
      </c>
      <c r="S1685" t="s">
        <v>2009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0</v>
      </c>
      <c r="Z1685">
        <v>0</v>
      </c>
      <c r="AA1685">
        <v>0</v>
      </c>
      <c r="AB1685">
        <v>50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>
        <v>50</v>
      </c>
      <c r="AI1685">
        <v>50</v>
      </c>
      <c r="AJ1685">
        <v>50</v>
      </c>
      <c r="AK1685">
        <v>50</v>
      </c>
      <c r="AL1685">
        <v>0</v>
      </c>
      <c r="AM1685">
        <v>0</v>
      </c>
      <c r="AN1685">
        <v>4.5454545454545459</v>
      </c>
      <c r="AO1685">
        <v>0</v>
      </c>
      <c r="AP1685" t="s">
        <v>175</v>
      </c>
      <c r="AQ1685" t="s">
        <v>155</v>
      </c>
      <c r="AR1685" t="s">
        <v>229</v>
      </c>
      <c r="AS1685">
        <v>0</v>
      </c>
      <c r="AT1685">
        <v>0</v>
      </c>
      <c r="AU1685">
        <v>0</v>
      </c>
      <c r="AV1685">
        <v>0</v>
      </c>
      <c r="AW1685">
        <v>0</v>
      </c>
      <c r="AX1685">
        <v>0</v>
      </c>
      <c r="AY1685">
        <v>0</v>
      </c>
      <c r="AZ1685" t="s">
        <v>135</v>
      </c>
      <c r="BA1685">
        <v>0</v>
      </c>
      <c r="BB1685">
        <v>0</v>
      </c>
      <c r="BC1685" t="s">
        <v>132</v>
      </c>
      <c r="BD1685">
        <v>1</v>
      </c>
      <c r="BE1685" t="s">
        <v>133</v>
      </c>
      <c r="BF168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86" spans="1:58" x14ac:dyDescent="0.25">
      <c r="A1686" t="s">
        <v>2010</v>
      </c>
      <c r="B1686" t="s">
        <v>19</v>
      </c>
      <c r="C1686">
        <v>6</v>
      </c>
      <c r="D1686">
        <v>26</v>
      </c>
      <c r="E1686" t="s">
        <v>2109</v>
      </c>
      <c r="F1686" t="s">
        <v>123</v>
      </c>
      <c r="G1686" t="s">
        <v>124</v>
      </c>
      <c r="H1686" t="s">
        <v>136</v>
      </c>
      <c r="I1686" t="s">
        <v>1553</v>
      </c>
      <c r="J1686" t="s">
        <v>137</v>
      </c>
      <c r="K1686" t="s">
        <v>166</v>
      </c>
      <c r="L1686">
        <v>50</v>
      </c>
      <c r="M1686">
        <v>3504193</v>
      </c>
      <c r="N1686">
        <v>10</v>
      </c>
      <c r="O1686">
        <v>8</v>
      </c>
      <c r="P1686" t="s">
        <v>186</v>
      </c>
      <c r="Q1686" t="s">
        <v>129</v>
      </c>
      <c r="R1686">
        <v>3</v>
      </c>
      <c r="S1686" t="s">
        <v>1981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0</v>
      </c>
      <c r="AB1686">
        <v>50</v>
      </c>
      <c r="AC1686">
        <v>0</v>
      </c>
      <c r="AD1686">
        <v>0</v>
      </c>
      <c r="AE1686">
        <v>0</v>
      </c>
      <c r="AF1686">
        <v>0</v>
      </c>
      <c r="AG1686">
        <v>0</v>
      </c>
      <c r="AH1686">
        <v>50</v>
      </c>
      <c r="AI1686">
        <v>50</v>
      </c>
      <c r="AJ1686">
        <v>50</v>
      </c>
      <c r="AK1686">
        <v>50</v>
      </c>
      <c r="AL1686">
        <v>0</v>
      </c>
      <c r="AM1686">
        <v>0.2</v>
      </c>
      <c r="AN1686">
        <v>4.5454545454545459</v>
      </c>
      <c r="AO1686">
        <v>0</v>
      </c>
      <c r="AP1686" t="s">
        <v>1921</v>
      </c>
      <c r="AQ1686" t="s">
        <v>155</v>
      </c>
      <c r="AR1686" t="s">
        <v>229</v>
      </c>
      <c r="AS1686">
        <v>0</v>
      </c>
      <c r="AT1686">
        <v>0</v>
      </c>
      <c r="AU1686">
        <v>0</v>
      </c>
      <c r="AV1686">
        <v>0</v>
      </c>
      <c r="AW1686">
        <v>0</v>
      </c>
      <c r="AX1686">
        <v>0</v>
      </c>
      <c r="AY1686">
        <v>0</v>
      </c>
      <c r="AZ1686" t="s">
        <v>135</v>
      </c>
      <c r="BA1686">
        <v>10</v>
      </c>
      <c r="BB1686">
        <v>0</v>
      </c>
      <c r="BC1686" t="s">
        <v>133</v>
      </c>
      <c r="BD1686">
        <v>0</v>
      </c>
      <c r="BE1686" t="s">
        <v>133</v>
      </c>
      <c r="BF168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87" spans="1:58" x14ac:dyDescent="0.25">
      <c r="A1687" t="s">
        <v>2011</v>
      </c>
      <c r="B1687" t="s">
        <v>19</v>
      </c>
      <c r="C1687">
        <v>6</v>
      </c>
      <c r="D1687">
        <v>27</v>
      </c>
      <c r="E1687" t="s">
        <v>2109</v>
      </c>
      <c r="F1687" t="s">
        <v>123</v>
      </c>
      <c r="G1687" t="s">
        <v>124</v>
      </c>
      <c r="H1687" t="s">
        <v>136</v>
      </c>
      <c r="I1687" t="s">
        <v>1553</v>
      </c>
      <c r="J1687" t="s">
        <v>137</v>
      </c>
      <c r="K1687" t="s">
        <v>166</v>
      </c>
      <c r="L1687">
        <v>50</v>
      </c>
      <c r="M1687">
        <v>3504195</v>
      </c>
      <c r="N1687">
        <v>10</v>
      </c>
      <c r="O1687">
        <v>8</v>
      </c>
      <c r="P1687" t="s">
        <v>186</v>
      </c>
      <c r="Q1687" t="s">
        <v>129</v>
      </c>
      <c r="R1687">
        <v>3</v>
      </c>
      <c r="S1687" t="s">
        <v>1981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50</v>
      </c>
      <c r="AC1687">
        <v>0</v>
      </c>
      <c r="AD1687">
        <v>0</v>
      </c>
      <c r="AE1687">
        <v>0</v>
      </c>
      <c r="AF1687">
        <v>0</v>
      </c>
      <c r="AG1687">
        <v>0</v>
      </c>
      <c r="AH1687">
        <v>50</v>
      </c>
      <c r="AI1687">
        <v>50</v>
      </c>
      <c r="AJ1687">
        <v>50</v>
      </c>
      <c r="AK1687">
        <v>50</v>
      </c>
      <c r="AL1687">
        <v>0</v>
      </c>
      <c r="AM1687">
        <v>0.2</v>
      </c>
      <c r="AN1687">
        <v>4.5454545454545459</v>
      </c>
      <c r="AO1687">
        <v>0</v>
      </c>
      <c r="AP1687" t="s">
        <v>1921</v>
      </c>
      <c r="AQ1687" t="s">
        <v>155</v>
      </c>
      <c r="AR1687" t="s">
        <v>229</v>
      </c>
      <c r="AS1687">
        <v>0</v>
      </c>
      <c r="AT1687">
        <v>0</v>
      </c>
      <c r="AU1687">
        <v>0</v>
      </c>
      <c r="AV1687">
        <v>0</v>
      </c>
      <c r="AW1687">
        <v>0</v>
      </c>
      <c r="AX1687">
        <v>0</v>
      </c>
      <c r="AY1687">
        <v>0</v>
      </c>
      <c r="AZ1687" t="s">
        <v>135</v>
      </c>
      <c r="BA1687">
        <v>10</v>
      </c>
      <c r="BB1687">
        <v>0</v>
      </c>
      <c r="BC1687" t="s">
        <v>133</v>
      </c>
      <c r="BD1687">
        <v>0</v>
      </c>
      <c r="BE1687" t="s">
        <v>133</v>
      </c>
      <c r="BF168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88" spans="1:58" x14ac:dyDescent="0.25">
      <c r="A1688" t="s">
        <v>2012</v>
      </c>
      <c r="B1688" t="s">
        <v>19</v>
      </c>
      <c r="C1688">
        <v>6</v>
      </c>
      <c r="D1688">
        <v>28</v>
      </c>
      <c r="E1688" t="s">
        <v>2109</v>
      </c>
      <c r="F1688" t="s">
        <v>123</v>
      </c>
      <c r="G1688" t="s">
        <v>124</v>
      </c>
      <c r="H1688" t="s">
        <v>136</v>
      </c>
      <c r="I1688" t="s">
        <v>1553</v>
      </c>
      <c r="J1688" t="s">
        <v>137</v>
      </c>
      <c r="K1688" t="s">
        <v>166</v>
      </c>
      <c r="L1688">
        <v>50</v>
      </c>
      <c r="M1688">
        <v>3504197</v>
      </c>
      <c r="N1688">
        <v>10</v>
      </c>
      <c r="O1688">
        <v>8</v>
      </c>
      <c r="P1688" t="s">
        <v>186</v>
      </c>
      <c r="Q1688" t="s">
        <v>129</v>
      </c>
      <c r="R1688">
        <v>3</v>
      </c>
      <c r="S1688" t="s">
        <v>1981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50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>
        <v>50</v>
      </c>
      <c r="AI1688">
        <v>50</v>
      </c>
      <c r="AJ1688">
        <v>50</v>
      </c>
      <c r="AK1688">
        <v>50</v>
      </c>
      <c r="AL1688">
        <v>0</v>
      </c>
      <c r="AM1688">
        <v>0.2</v>
      </c>
      <c r="AN1688">
        <v>4.5454545454545459</v>
      </c>
      <c r="AO1688">
        <v>0</v>
      </c>
      <c r="AP1688" t="s">
        <v>1921</v>
      </c>
      <c r="AQ1688" t="s">
        <v>155</v>
      </c>
      <c r="AR1688" t="s">
        <v>229</v>
      </c>
      <c r="AS1688">
        <v>0</v>
      </c>
      <c r="AT1688">
        <v>0</v>
      </c>
      <c r="AU1688">
        <v>0</v>
      </c>
      <c r="AV1688">
        <v>0</v>
      </c>
      <c r="AW1688">
        <v>0</v>
      </c>
      <c r="AX1688">
        <v>0</v>
      </c>
      <c r="AY1688">
        <v>0</v>
      </c>
      <c r="AZ1688" t="s">
        <v>135</v>
      </c>
      <c r="BA1688">
        <v>10</v>
      </c>
      <c r="BB1688">
        <v>0</v>
      </c>
      <c r="BC1688" t="s">
        <v>133</v>
      </c>
      <c r="BD1688">
        <v>0</v>
      </c>
      <c r="BE1688" t="s">
        <v>133</v>
      </c>
      <c r="BF168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89" spans="1:58" x14ac:dyDescent="0.25">
      <c r="A1689" t="s">
        <v>2013</v>
      </c>
      <c r="B1689" t="s">
        <v>19</v>
      </c>
      <c r="C1689">
        <v>6</v>
      </c>
      <c r="D1689">
        <v>29</v>
      </c>
      <c r="E1689" t="s">
        <v>2109</v>
      </c>
      <c r="F1689" t="s">
        <v>123</v>
      </c>
      <c r="G1689" t="s">
        <v>124</v>
      </c>
      <c r="H1689" t="s">
        <v>136</v>
      </c>
      <c r="I1689" t="s">
        <v>1553</v>
      </c>
      <c r="J1689" t="s">
        <v>137</v>
      </c>
      <c r="K1689" t="s">
        <v>166</v>
      </c>
      <c r="L1689">
        <v>50</v>
      </c>
      <c r="M1689">
        <v>3504199</v>
      </c>
      <c r="N1689">
        <v>10</v>
      </c>
      <c r="O1689">
        <v>8</v>
      </c>
      <c r="P1689" t="s">
        <v>186</v>
      </c>
      <c r="Q1689" t="s">
        <v>129</v>
      </c>
      <c r="R1689">
        <v>3</v>
      </c>
      <c r="S1689" t="s">
        <v>1981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0</v>
      </c>
      <c r="Z1689">
        <v>0</v>
      </c>
      <c r="AA1689">
        <v>0</v>
      </c>
      <c r="AB1689">
        <v>50</v>
      </c>
      <c r="AC1689">
        <v>0</v>
      </c>
      <c r="AD1689">
        <v>0</v>
      </c>
      <c r="AE1689">
        <v>0</v>
      </c>
      <c r="AF1689">
        <v>0</v>
      </c>
      <c r="AG1689">
        <v>0</v>
      </c>
      <c r="AH1689">
        <v>50</v>
      </c>
      <c r="AI1689">
        <v>50</v>
      </c>
      <c r="AJ1689">
        <v>50</v>
      </c>
      <c r="AK1689">
        <v>50</v>
      </c>
      <c r="AL1689">
        <v>0</v>
      </c>
      <c r="AM1689">
        <v>0.2</v>
      </c>
      <c r="AN1689">
        <v>4.5454545454545459</v>
      </c>
      <c r="AO1689">
        <v>0</v>
      </c>
      <c r="AP1689" t="s">
        <v>1921</v>
      </c>
      <c r="AQ1689" t="s">
        <v>155</v>
      </c>
      <c r="AR1689" t="s">
        <v>229</v>
      </c>
      <c r="AS1689">
        <v>0</v>
      </c>
      <c r="AT1689">
        <v>0</v>
      </c>
      <c r="AU1689">
        <v>0</v>
      </c>
      <c r="AV1689">
        <v>0</v>
      </c>
      <c r="AW1689">
        <v>0</v>
      </c>
      <c r="AX1689">
        <v>0</v>
      </c>
      <c r="AY1689">
        <v>0</v>
      </c>
      <c r="AZ1689" t="s">
        <v>135</v>
      </c>
      <c r="BA1689">
        <v>10</v>
      </c>
      <c r="BB1689">
        <v>0</v>
      </c>
      <c r="BC1689" t="s">
        <v>133</v>
      </c>
      <c r="BD1689">
        <v>0</v>
      </c>
      <c r="BE1689" t="s">
        <v>133</v>
      </c>
      <c r="BF168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90" spans="1:58" x14ac:dyDescent="0.25">
      <c r="A1690" t="s">
        <v>2014</v>
      </c>
      <c r="B1690" t="s">
        <v>19</v>
      </c>
      <c r="C1690">
        <v>6</v>
      </c>
      <c r="D1690">
        <v>30</v>
      </c>
      <c r="E1690" t="s">
        <v>2109</v>
      </c>
      <c r="F1690" t="s">
        <v>123</v>
      </c>
      <c r="G1690" t="s">
        <v>124</v>
      </c>
      <c r="H1690" t="s">
        <v>136</v>
      </c>
      <c r="I1690" t="s">
        <v>1553</v>
      </c>
      <c r="J1690" t="s">
        <v>137</v>
      </c>
      <c r="K1690" t="s">
        <v>166</v>
      </c>
      <c r="L1690">
        <v>50</v>
      </c>
      <c r="M1690">
        <v>3504201</v>
      </c>
      <c r="N1690">
        <v>10</v>
      </c>
      <c r="O1690">
        <v>8</v>
      </c>
      <c r="P1690" t="s">
        <v>186</v>
      </c>
      <c r="Q1690" t="s">
        <v>129</v>
      </c>
      <c r="R1690">
        <v>3</v>
      </c>
      <c r="S1690" t="s">
        <v>1981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0</v>
      </c>
      <c r="AA1690">
        <v>0</v>
      </c>
      <c r="AB1690">
        <v>50</v>
      </c>
      <c r="AC1690">
        <v>0</v>
      </c>
      <c r="AD1690">
        <v>0</v>
      </c>
      <c r="AE1690">
        <v>0</v>
      </c>
      <c r="AF1690">
        <v>0</v>
      </c>
      <c r="AG1690">
        <v>0</v>
      </c>
      <c r="AH1690">
        <v>50</v>
      </c>
      <c r="AI1690">
        <v>50</v>
      </c>
      <c r="AJ1690">
        <v>50</v>
      </c>
      <c r="AK1690">
        <v>50</v>
      </c>
      <c r="AL1690">
        <v>0</v>
      </c>
      <c r="AM1690">
        <v>0.2</v>
      </c>
      <c r="AN1690">
        <v>4.5454545454545459</v>
      </c>
      <c r="AO1690">
        <v>0</v>
      </c>
      <c r="AP1690" t="s">
        <v>1921</v>
      </c>
      <c r="AQ1690" t="s">
        <v>155</v>
      </c>
      <c r="AR1690" t="s">
        <v>229</v>
      </c>
      <c r="AS1690">
        <v>0</v>
      </c>
      <c r="AT1690">
        <v>0</v>
      </c>
      <c r="AU1690">
        <v>0</v>
      </c>
      <c r="AV1690">
        <v>0</v>
      </c>
      <c r="AW1690">
        <v>0</v>
      </c>
      <c r="AX1690">
        <v>0</v>
      </c>
      <c r="AY1690">
        <v>0</v>
      </c>
      <c r="AZ1690" t="s">
        <v>135</v>
      </c>
      <c r="BA1690">
        <v>10</v>
      </c>
      <c r="BB1690">
        <v>0</v>
      </c>
      <c r="BC1690" t="s">
        <v>133</v>
      </c>
      <c r="BD1690">
        <v>0</v>
      </c>
      <c r="BE1690" t="s">
        <v>133</v>
      </c>
      <c r="BF169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91" spans="1:58" x14ac:dyDescent="0.25">
      <c r="A1691" t="s">
        <v>2015</v>
      </c>
      <c r="B1691" t="s">
        <v>19</v>
      </c>
      <c r="C1691">
        <v>6</v>
      </c>
      <c r="D1691">
        <v>31</v>
      </c>
      <c r="E1691" t="s">
        <v>2109</v>
      </c>
      <c r="F1691" t="s">
        <v>123</v>
      </c>
      <c r="G1691" t="s">
        <v>124</v>
      </c>
      <c r="H1691" t="s">
        <v>136</v>
      </c>
      <c r="I1691" t="s">
        <v>1553</v>
      </c>
      <c r="J1691" t="s">
        <v>137</v>
      </c>
      <c r="K1691" t="s">
        <v>166</v>
      </c>
      <c r="L1691">
        <v>50</v>
      </c>
      <c r="M1691">
        <v>3504203</v>
      </c>
      <c r="N1691">
        <v>10</v>
      </c>
      <c r="O1691">
        <v>8</v>
      </c>
      <c r="P1691" t="s">
        <v>186</v>
      </c>
      <c r="Q1691" t="s">
        <v>129</v>
      </c>
      <c r="R1691">
        <v>3</v>
      </c>
      <c r="S1691" t="s">
        <v>1981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50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>
        <v>50</v>
      </c>
      <c r="AI1691">
        <v>50</v>
      </c>
      <c r="AJ1691">
        <v>50</v>
      </c>
      <c r="AK1691">
        <v>50</v>
      </c>
      <c r="AL1691">
        <v>0</v>
      </c>
      <c r="AM1691">
        <v>0.2</v>
      </c>
      <c r="AN1691">
        <v>4.5454545454545459</v>
      </c>
      <c r="AO1691">
        <v>0</v>
      </c>
      <c r="AP1691" t="s">
        <v>1921</v>
      </c>
      <c r="AQ1691" t="s">
        <v>155</v>
      </c>
      <c r="AR1691" t="s">
        <v>229</v>
      </c>
      <c r="AS1691">
        <v>0</v>
      </c>
      <c r="AT1691">
        <v>0</v>
      </c>
      <c r="AU1691">
        <v>0</v>
      </c>
      <c r="AV1691">
        <v>0</v>
      </c>
      <c r="AW1691">
        <v>0</v>
      </c>
      <c r="AX1691">
        <v>0</v>
      </c>
      <c r="AY1691">
        <v>0</v>
      </c>
      <c r="AZ1691" t="s">
        <v>135</v>
      </c>
      <c r="BA1691">
        <v>10</v>
      </c>
      <c r="BB1691">
        <v>0</v>
      </c>
      <c r="BC1691" t="s">
        <v>133</v>
      </c>
      <c r="BD1691">
        <v>0</v>
      </c>
      <c r="BE1691" t="s">
        <v>133</v>
      </c>
      <c r="BF169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92" spans="1:58" x14ac:dyDescent="0.25">
      <c r="A1692" t="s">
        <v>2016</v>
      </c>
      <c r="B1692" t="s">
        <v>19</v>
      </c>
      <c r="C1692">
        <v>6</v>
      </c>
      <c r="D1692">
        <v>32</v>
      </c>
      <c r="E1692" t="s">
        <v>2109</v>
      </c>
      <c r="F1692" t="s">
        <v>123</v>
      </c>
      <c r="G1692" t="s">
        <v>124</v>
      </c>
      <c r="H1692" t="s">
        <v>136</v>
      </c>
      <c r="I1692" t="s">
        <v>1553</v>
      </c>
      <c r="J1692" t="s">
        <v>137</v>
      </c>
      <c r="K1692" t="s">
        <v>166</v>
      </c>
      <c r="L1692">
        <v>50</v>
      </c>
      <c r="M1692">
        <v>3504205</v>
      </c>
      <c r="N1692">
        <v>10</v>
      </c>
      <c r="O1692">
        <v>8</v>
      </c>
      <c r="P1692" t="s">
        <v>186</v>
      </c>
      <c r="Q1692" t="s">
        <v>129</v>
      </c>
      <c r="R1692">
        <v>3</v>
      </c>
      <c r="S1692" t="s">
        <v>1981</v>
      </c>
      <c r="T1692">
        <v>0</v>
      </c>
      <c r="U1692">
        <v>0</v>
      </c>
      <c r="V1692">
        <v>0</v>
      </c>
      <c r="W1692">
        <v>0</v>
      </c>
      <c r="X1692">
        <v>0</v>
      </c>
      <c r="Y1692">
        <v>0</v>
      </c>
      <c r="Z1692">
        <v>0</v>
      </c>
      <c r="AA1692">
        <v>0</v>
      </c>
      <c r="AB1692">
        <v>50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>
        <v>50</v>
      </c>
      <c r="AI1692">
        <v>50</v>
      </c>
      <c r="AJ1692">
        <v>50</v>
      </c>
      <c r="AK1692">
        <v>50</v>
      </c>
      <c r="AL1692">
        <v>0</v>
      </c>
      <c r="AM1692">
        <v>0.2</v>
      </c>
      <c r="AN1692">
        <v>4.5454545454545459</v>
      </c>
      <c r="AO1692">
        <v>0</v>
      </c>
      <c r="AP1692" t="s">
        <v>1921</v>
      </c>
      <c r="AQ1692" t="s">
        <v>155</v>
      </c>
      <c r="AR1692" t="s">
        <v>229</v>
      </c>
      <c r="AS1692">
        <v>0</v>
      </c>
      <c r="AT1692">
        <v>0</v>
      </c>
      <c r="AU1692">
        <v>0</v>
      </c>
      <c r="AV1692">
        <v>0</v>
      </c>
      <c r="AW1692">
        <v>0</v>
      </c>
      <c r="AX1692">
        <v>0</v>
      </c>
      <c r="AY1692">
        <v>0</v>
      </c>
      <c r="AZ1692" t="s">
        <v>135</v>
      </c>
      <c r="BA1692">
        <v>10</v>
      </c>
      <c r="BB1692">
        <v>0</v>
      </c>
      <c r="BC1692" t="s">
        <v>133</v>
      </c>
      <c r="BD1692">
        <v>0</v>
      </c>
      <c r="BE1692" t="s">
        <v>133</v>
      </c>
      <c r="BF169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93" spans="1:58" x14ac:dyDescent="0.25">
      <c r="A1693" t="s">
        <v>2017</v>
      </c>
      <c r="B1693" t="s">
        <v>19</v>
      </c>
      <c r="C1693">
        <v>6</v>
      </c>
      <c r="D1693">
        <v>33</v>
      </c>
      <c r="E1693" t="s">
        <v>2109</v>
      </c>
      <c r="F1693" t="s">
        <v>123</v>
      </c>
      <c r="G1693" t="s">
        <v>124</v>
      </c>
      <c r="H1693" t="s">
        <v>136</v>
      </c>
      <c r="I1693" t="s">
        <v>1553</v>
      </c>
      <c r="J1693" t="s">
        <v>137</v>
      </c>
      <c r="K1693" t="s">
        <v>166</v>
      </c>
      <c r="L1693">
        <v>50</v>
      </c>
      <c r="M1693">
        <v>3504207</v>
      </c>
      <c r="N1693">
        <v>10</v>
      </c>
      <c r="O1693">
        <v>8</v>
      </c>
      <c r="P1693" t="s">
        <v>186</v>
      </c>
      <c r="Q1693" t="s">
        <v>129</v>
      </c>
      <c r="R1693">
        <v>3</v>
      </c>
      <c r="S1693" t="s">
        <v>1981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0</v>
      </c>
      <c r="AA1693">
        <v>0</v>
      </c>
      <c r="AB1693">
        <v>50</v>
      </c>
      <c r="AC1693">
        <v>0</v>
      </c>
      <c r="AD1693">
        <v>0</v>
      </c>
      <c r="AE1693">
        <v>0</v>
      </c>
      <c r="AF1693">
        <v>0</v>
      </c>
      <c r="AG1693">
        <v>0</v>
      </c>
      <c r="AH1693">
        <v>50</v>
      </c>
      <c r="AI1693">
        <v>50</v>
      </c>
      <c r="AJ1693">
        <v>50</v>
      </c>
      <c r="AK1693">
        <v>50</v>
      </c>
      <c r="AL1693">
        <v>0</v>
      </c>
      <c r="AM1693">
        <v>0.2</v>
      </c>
      <c r="AN1693">
        <v>4.5454545454545459</v>
      </c>
      <c r="AO1693">
        <v>0</v>
      </c>
      <c r="AP1693" t="s">
        <v>1921</v>
      </c>
      <c r="AQ1693" t="s">
        <v>155</v>
      </c>
      <c r="AR1693" t="s">
        <v>229</v>
      </c>
      <c r="AS1693">
        <v>0</v>
      </c>
      <c r="AT1693">
        <v>0</v>
      </c>
      <c r="AU1693">
        <v>0</v>
      </c>
      <c r="AV1693">
        <v>0</v>
      </c>
      <c r="AW1693">
        <v>0</v>
      </c>
      <c r="AX1693">
        <v>0</v>
      </c>
      <c r="AY1693">
        <v>0</v>
      </c>
      <c r="AZ1693" t="s">
        <v>135</v>
      </c>
      <c r="BA1693">
        <v>10</v>
      </c>
      <c r="BB1693">
        <v>0</v>
      </c>
      <c r="BC1693" t="s">
        <v>133</v>
      </c>
      <c r="BD1693">
        <v>0</v>
      </c>
      <c r="BE1693" t="s">
        <v>133</v>
      </c>
      <c r="BF169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94" spans="1:58" x14ac:dyDescent="0.25">
      <c r="A1694" t="s">
        <v>2018</v>
      </c>
      <c r="B1694" t="s">
        <v>19</v>
      </c>
      <c r="C1694">
        <v>6</v>
      </c>
      <c r="D1694">
        <v>34</v>
      </c>
      <c r="E1694" t="s">
        <v>2109</v>
      </c>
      <c r="F1694" t="s">
        <v>123</v>
      </c>
      <c r="G1694" t="s">
        <v>124</v>
      </c>
      <c r="H1694" t="s">
        <v>125</v>
      </c>
      <c r="I1694" t="s">
        <v>1553</v>
      </c>
      <c r="J1694" t="s">
        <v>1554</v>
      </c>
      <c r="K1694" t="s">
        <v>166</v>
      </c>
      <c r="L1694">
        <v>50</v>
      </c>
      <c r="M1694">
        <v>3504209</v>
      </c>
      <c r="N1694">
        <v>10</v>
      </c>
      <c r="O1694">
        <v>8</v>
      </c>
      <c r="P1694" t="s">
        <v>186</v>
      </c>
      <c r="Q1694" t="s">
        <v>129</v>
      </c>
      <c r="R1694">
        <v>3</v>
      </c>
      <c r="S1694" t="s">
        <v>1990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0</v>
      </c>
      <c r="AA1694">
        <v>0</v>
      </c>
      <c r="AB1694">
        <v>50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50</v>
      </c>
      <c r="AI1694">
        <v>50</v>
      </c>
      <c r="AJ1694">
        <v>50</v>
      </c>
      <c r="AK1694">
        <v>50</v>
      </c>
      <c r="AL1694">
        <v>0</v>
      </c>
      <c r="AM1694">
        <v>0.2</v>
      </c>
      <c r="AN1694">
        <v>4.5454545454545459</v>
      </c>
      <c r="AO1694">
        <v>0</v>
      </c>
      <c r="AP1694" t="s">
        <v>1921</v>
      </c>
      <c r="AQ1694" t="s">
        <v>155</v>
      </c>
      <c r="AR1694" t="s">
        <v>229</v>
      </c>
      <c r="AS1694">
        <v>0</v>
      </c>
      <c r="AT1694">
        <v>0</v>
      </c>
      <c r="AU1694">
        <v>0</v>
      </c>
      <c r="AV1694">
        <v>0</v>
      </c>
      <c r="AW1694">
        <v>0</v>
      </c>
      <c r="AX1694">
        <v>0</v>
      </c>
      <c r="AY1694">
        <v>0</v>
      </c>
      <c r="AZ1694" t="s">
        <v>135</v>
      </c>
      <c r="BA1694">
        <v>10</v>
      </c>
      <c r="BB1694">
        <v>0</v>
      </c>
      <c r="BC1694" t="s">
        <v>133</v>
      </c>
      <c r="BD1694">
        <v>0</v>
      </c>
      <c r="BE1694" t="s">
        <v>133</v>
      </c>
      <c r="BF169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95" spans="1:58" x14ac:dyDescent="0.25">
      <c r="A1695" t="s">
        <v>2019</v>
      </c>
      <c r="B1695" t="s">
        <v>19</v>
      </c>
      <c r="C1695">
        <v>6</v>
      </c>
      <c r="D1695">
        <v>35</v>
      </c>
      <c r="E1695" t="s">
        <v>2109</v>
      </c>
      <c r="F1695" t="s">
        <v>123</v>
      </c>
      <c r="G1695" t="s">
        <v>124</v>
      </c>
      <c r="H1695" t="s">
        <v>125</v>
      </c>
      <c r="I1695" t="s">
        <v>1553</v>
      </c>
      <c r="J1695" t="s">
        <v>1554</v>
      </c>
      <c r="K1695" t="s">
        <v>166</v>
      </c>
      <c r="L1695">
        <v>50</v>
      </c>
      <c r="M1695">
        <v>3504211</v>
      </c>
      <c r="N1695">
        <v>10</v>
      </c>
      <c r="O1695">
        <v>8</v>
      </c>
      <c r="P1695" t="s">
        <v>186</v>
      </c>
      <c r="Q1695" t="s">
        <v>129</v>
      </c>
      <c r="R1695">
        <v>3</v>
      </c>
      <c r="S1695" t="s">
        <v>1990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50</v>
      </c>
      <c r="AC1695">
        <v>0</v>
      </c>
      <c r="AD1695">
        <v>0</v>
      </c>
      <c r="AE1695">
        <v>0</v>
      </c>
      <c r="AF1695">
        <v>0</v>
      </c>
      <c r="AG1695">
        <v>0</v>
      </c>
      <c r="AH1695">
        <v>50</v>
      </c>
      <c r="AI1695">
        <v>50</v>
      </c>
      <c r="AJ1695">
        <v>50</v>
      </c>
      <c r="AK1695">
        <v>50</v>
      </c>
      <c r="AL1695">
        <v>0</v>
      </c>
      <c r="AM1695">
        <v>0.2</v>
      </c>
      <c r="AN1695">
        <v>4.5454545454545459</v>
      </c>
      <c r="AO1695">
        <v>0</v>
      </c>
      <c r="AP1695" t="s">
        <v>1921</v>
      </c>
      <c r="AQ1695" t="s">
        <v>155</v>
      </c>
      <c r="AR1695" t="s">
        <v>229</v>
      </c>
      <c r="AS1695">
        <v>0</v>
      </c>
      <c r="AT1695">
        <v>0</v>
      </c>
      <c r="AU1695">
        <v>0</v>
      </c>
      <c r="AV1695">
        <v>0</v>
      </c>
      <c r="AW1695">
        <v>0</v>
      </c>
      <c r="AX1695">
        <v>0</v>
      </c>
      <c r="AY1695">
        <v>0</v>
      </c>
      <c r="AZ1695" t="s">
        <v>135</v>
      </c>
      <c r="BA1695">
        <v>10</v>
      </c>
      <c r="BB1695">
        <v>0</v>
      </c>
      <c r="BC1695" t="s">
        <v>133</v>
      </c>
      <c r="BD1695">
        <v>0</v>
      </c>
      <c r="BE1695" t="s">
        <v>133</v>
      </c>
      <c r="BF169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96" spans="1:58" x14ac:dyDescent="0.25">
      <c r="A1696" t="s">
        <v>2020</v>
      </c>
      <c r="B1696" t="s">
        <v>19</v>
      </c>
      <c r="C1696">
        <v>6</v>
      </c>
      <c r="D1696">
        <v>36</v>
      </c>
      <c r="E1696" t="s">
        <v>2109</v>
      </c>
      <c r="F1696" t="s">
        <v>123</v>
      </c>
      <c r="G1696" t="s">
        <v>124</v>
      </c>
      <c r="H1696" t="s">
        <v>125</v>
      </c>
      <c r="I1696" t="s">
        <v>183</v>
      </c>
      <c r="J1696" t="s">
        <v>140</v>
      </c>
      <c r="K1696" t="s">
        <v>166</v>
      </c>
      <c r="L1696">
        <v>50</v>
      </c>
      <c r="M1696">
        <v>3504213</v>
      </c>
      <c r="N1696">
        <v>20</v>
      </c>
      <c r="O1696">
        <v>8</v>
      </c>
      <c r="P1696" t="s">
        <v>186</v>
      </c>
      <c r="Q1696" t="s">
        <v>129</v>
      </c>
      <c r="R1696">
        <v>3</v>
      </c>
      <c r="S1696" t="s">
        <v>1979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0</v>
      </c>
      <c r="AA1696">
        <v>0</v>
      </c>
      <c r="AB1696">
        <v>50</v>
      </c>
      <c r="AC1696">
        <v>0</v>
      </c>
      <c r="AD1696">
        <v>0</v>
      </c>
      <c r="AE1696">
        <v>0</v>
      </c>
      <c r="AF1696">
        <v>0</v>
      </c>
      <c r="AG1696">
        <v>0</v>
      </c>
      <c r="AH1696">
        <v>50</v>
      </c>
      <c r="AI1696">
        <v>50</v>
      </c>
      <c r="AJ1696">
        <v>50</v>
      </c>
      <c r="AK1696">
        <v>50</v>
      </c>
      <c r="AL1696">
        <v>0</v>
      </c>
      <c r="AM1696">
        <v>0.4</v>
      </c>
      <c r="AN1696">
        <v>4.5454545454545459</v>
      </c>
      <c r="AO1696">
        <v>0</v>
      </c>
      <c r="AP1696" t="s">
        <v>184</v>
      </c>
      <c r="AQ1696" t="s">
        <v>155</v>
      </c>
      <c r="AR1696" t="s">
        <v>229</v>
      </c>
      <c r="AS1696">
        <v>0</v>
      </c>
      <c r="AT1696">
        <v>0</v>
      </c>
      <c r="AU1696">
        <v>0</v>
      </c>
      <c r="AV1696">
        <v>0</v>
      </c>
      <c r="AW1696">
        <v>0</v>
      </c>
      <c r="AX1696">
        <v>0</v>
      </c>
      <c r="AY1696">
        <v>0</v>
      </c>
      <c r="AZ1696" t="s">
        <v>135</v>
      </c>
      <c r="BA1696">
        <v>20</v>
      </c>
      <c r="BB1696">
        <v>0</v>
      </c>
      <c r="BC1696" t="s">
        <v>144</v>
      </c>
      <c r="BD1696">
        <v>0</v>
      </c>
      <c r="BE1696" t="s">
        <v>133</v>
      </c>
      <c r="BF169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97" spans="1:58" x14ac:dyDescent="0.25">
      <c r="A1697" t="s">
        <v>2021</v>
      </c>
      <c r="B1697" t="s">
        <v>19</v>
      </c>
      <c r="C1697">
        <v>6</v>
      </c>
      <c r="D1697">
        <v>37</v>
      </c>
      <c r="E1697" t="s">
        <v>2109</v>
      </c>
      <c r="F1697" t="s">
        <v>123</v>
      </c>
      <c r="G1697" t="s">
        <v>124</v>
      </c>
      <c r="H1697" t="s">
        <v>136</v>
      </c>
      <c r="I1697" t="s">
        <v>1553</v>
      </c>
      <c r="J1697" t="s">
        <v>187</v>
      </c>
      <c r="K1697" t="s">
        <v>166</v>
      </c>
      <c r="L1697">
        <v>50</v>
      </c>
      <c r="M1697">
        <v>3504215</v>
      </c>
      <c r="N1697">
        <v>15</v>
      </c>
      <c r="O1697">
        <v>8</v>
      </c>
      <c r="P1697" t="s">
        <v>186</v>
      </c>
      <c r="Q1697" t="s">
        <v>129</v>
      </c>
      <c r="R1697">
        <v>4</v>
      </c>
      <c r="S1697" t="s">
        <v>1994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0</v>
      </c>
      <c r="AA1697">
        <v>0</v>
      </c>
      <c r="AB1697">
        <v>50</v>
      </c>
      <c r="AC1697">
        <v>0</v>
      </c>
      <c r="AD1697">
        <v>0</v>
      </c>
      <c r="AE1697">
        <v>0</v>
      </c>
      <c r="AF1697">
        <v>0</v>
      </c>
      <c r="AG1697">
        <v>0</v>
      </c>
      <c r="AH1697">
        <v>50</v>
      </c>
      <c r="AI1697">
        <v>50</v>
      </c>
      <c r="AJ1697">
        <v>50</v>
      </c>
      <c r="AK1697">
        <v>50</v>
      </c>
      <c r="AL1697">
        <v>0</v>
      </c>
      <c r="AM1697">
        <v>0.3</v>
      </c>
      <c r="AN1697">
        <v>4.5454545454545459</v>
      </c>
      <c r="AO1697">
        <v>0</v>
      </c>
      <c r="AP1697" t="s">
        <v>1921</v>
      </c>
      <c r="AQ1697" t="s">
        <v>155</v>
      </c>
      <c r="AR1697" t="s">
        <v>229</v>
      </c>
      <c r="AS1697">
        <v>0</v>
      </c>
      <c r="AT1697">
        <v>0</v>
      </c>
      <c r="AU1697">
        <v>0</v>
      </c>
      <c r="AV1697">
        <v>0</v>
      </c>
      <c r="AW1697">
        <v>0</v>
      </c>
      <c r="AX1697">
        <v>0</v>
      </c>
      <c r="AY1697">
        <v>0</v>
      </c>
      <c r="AZ1697" t="s">
        <v>135</v>
      </c>
      <c r="BA1697">
        <v>15</v>
      </c>
      <c r="BB1697">
        <v>0</v>
      </c>
      <c r="BC1697" t="s">
        <v>132</v>
      </c>
      <c r="BD1697">
        <v>0</v>
      </c>
      <c r="BE1697" t="s">
        <v>133</v>
      </c>
      <c r="BF169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98" spans="1:58" x14ac:dyDescent="0.25">
      <c r="A1698" t="s">
        <v>2022</v>
      </c>
      <c r="B1698" t="s">
        <v>19</v>
      </c>
      <c r="C1698">
        <v>6</v>
      </c>
      <c r="D1698">
        <v>38</v>
      </c>
      <c r="E1698" t="s">
        <v>2109</v>
      </c>
      <c r="F1698" t="s">
        <v>123</v>
      </c>
      <c r="G1698" t="s">
        <v>124</v>
      </c>
      <c r="H1698" t="s">
        <v>136</v>
      </c>
      <c r="I1698" t="s">
        <v>1553</v>
      </c>
      <c r="J1698" t="s">
        <v>187</v>
      </c>
      <c r="K1698" t="s">
        <v>166</v>
      </c>
      <c r="L1698">
        <v>50</v>
      </c>
      <c r="M1698">
        <v>3504217</v>
      </c>
      <c r="N1698">
        <v>15</v>
      </c>
      <c r="O1698">
        <v>8</v>
      </c>
      <c r="P1698" t="s">
        <v>186</v>
      </c>
      <c r="Q1698" t="s">
        <v>129</v>
      </c>
      <c r="R1698">
        <v>4</v>
      </c>
      <c r="S1698" t="s">
        <v>1994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0</v>
      </c>
      <c r="AA1698">
        <v>0</v>
      </c>
      <c r="AB1698">
        <v>50</v>
      </c>
      <c r="AC1698">
        <v>0</v>
      </c>
      <c r="AD1698">
        <v>0</v>
      </c>
      <c r="AE1698">
        <v>0</v>
      </c>
      <c r="AF1698">
        <v>0</v>
      </c>
      <c r="AG1698">
        <v>0</v>
      </c>
      <c r="AH1698">
        <v>50</v>
      </c>
      <c r="AI1698">
        <v>50</v>
      </c>
      <c r="AJ1698">
        <v>50</v>
      </c>
      <c r="AK1698">
        <v>50</v>
      </c>
      <c r="AL1698">
        <v>0</v>
      </c>
      <c r="AM1698">
        <v>0.3</v>
      </c>
      <c r="AN1698">
        <v>4.5454545454545459</v>
      </c>
      <c r="AO1698">
        <v>0</v>
      </c>
      <c r="AP1698" t="s">
        <v>1921</v>
      </c>
      <c r="AQ1698" t="s">
        <v>155</v>
      </c>
      <c r="AR1698" t="s">
        <v>229</v>
      </c>
      <c r="AS1698">
        <v>0</v>
      </c>
      <c r="AT1698">
        <v>0</v>
      </c>
      <c r="AU1698">
        <v>0</v>
      </c>
      <c r="AV1698">
        <v>0</v>
      </c>
      <c r="AW1698">
        <v>0</v>
      </c>
      <c r="AX1698">
        <v>0</v>
      </c>
      <c r="AY1698">
        <v>0</v>
      </c>
      <c r="AZ1698" t="s">
        <v>135</v>
      </c>
      <c r="BA1698">
        <v>15</v>
      </c>
      <c r="BB1698">
        <v>0</v>
      </c>
      <c r="BC1698" t="s">
        <v>133</v>
      </c>
      <c r="BD1698">
        <v>0</v>
      </c>
      <c r="BE1698" t="s">
        <v>133</v>
      </c>
      <c r="BF169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699" spans="1:58" x14ac:dyDescent="0.25">
      <c r="A1699" t="s">
        <v>2023</v>
      </c>
      <c r="B1699" t="s">
        <v>19</v>
      </c>
      <c r="C1699">
        <v>6</v>
      </c>
      <c r="D1699">
        <v>39</v>
      </c>
      <c r="E1699" t="s">
        <v>2109</v>
      </c>
      <c r="F1699" t="s">
        <v>123</v>
      </c>
      <c r="G1699" t="s">
        <v>124</v>
      </c>
      <c r="H1699" t="s">
        <v>136</v>
      </c>
      <c r="I1699" t="s">
        <v>1553</v>
      </c>
      <c r="J1699" t="s">
        <v>187</v>
      </c>
      <c r="K1699" t="s">
        <v>166</v>
      </c>
      <c r="L1699">
        <v>50</v>
      </c>
      <c r="M1699">
        <v>3504219</v>
      </c>
      <c r="N1699">
        <v>15</v>
      </c>
      <c r="O1699">
        <v>8</v>
      </c>
      <c r="P1699" t="s">
        <v>186</v>
      </c>
      <c r="Q1699" t="s">
        <v>129</v>
      </c>
      <c r="R1699">
        <v>4</v>
      </c>
      <c r="S1699" t="s">
        <v>1994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50</v>
      </c>
      <c r="AC1699">
        <v>0</v>
      </c>
      <c r="AD1699">
        <v>0</v>
      </c>
      <c r="AE1699">
        <v>0</v>
      </c>
      <c r="AF1699">
        <v>0</v>
      </c>
      <c r="AG1699">
        <v>0</v>
      </c>
      <c r="AH1699">
        <v>50</v>
      </c>
      <c r="AI1699">
        <v>50</v>
      </c>
      <c r="AJ1699">
        <v>50</v>
      </c>
      <c r="AK1699">
        <v>50</v>
      </c>
      <c r="AL1699">
        <v>0</v>
      </c>
      <c r="AM1699">
        <v>0.3</v>
      </c>
      <c r="AN1699">
        <v>4.5454545454545459</v>
      </c>
      <c r="AO1699">
        <v>0</v>
      </c>
      <c r="AP1699" t="s">
        <v>1921</v>
      </c>
      <c r="AQ1699" t="s">
        <v>155</v>
      </c>
      <c r="AR1699" t="s">
        <v>229</v>
      </c>
      <c r="AS1699">
        <v>0</v>
      </c>
      <c r="AT1699">
        <v>0</v>
      </c>
      <c r="AU1699">
        <v>0</v>
      </c>
      <c r="AV1699">
        <v>0</v>
      </c>
      <c r="AW1699">
        <v>0</v>
      </c>
      <c r="AX1699">
        <v>0</v>
      </c>
      <c r="AY1699">
        <v>0</v>
      </c>
      <c r="AZ1699" t="s">
        <v>135</v>
      </c>
      <c r="BA1699">
        <v>15</v>
      </c>
      <c r="BB1699">
        <v>0</v>
      </c>
      <c r="BC1699" t="s">
        <v>133</v>
      </c>
      <c r="BD1699">
        <v>0</v>
      </c>
      <c r="BE1699" t="s">
        <v>133</v>
      </c>
      <c r="BF169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700" spans="1:58" x14ac:dyDescent="0.25">
      <c r="A1700" t="s">
        <v>2024</v>
      </c>
      <c r="B1700" t="s">
        <v>19</v>
      </c>
      <c r="C1700">
        <v>6</v>
      </c>
      <c r="D1700">
        <v>40</v>
      </c>
      <c r="E1700" t="s">
        <v>2109</v>
      </c>
      <c r="F1700" t="s">
        <v>123</v>
      </c>
      <c r="G1700" t="s">
        <v>124</v>
      </c>
      <c r="H1700" t="s">
        <v>136</v>
      </c>
      <c r="I1700" t="s">
        <v>1553</v>
      </c>
      <c r="J1700" t="s">
        <v>187</v>
      </c>
      <c r="K1700" t="s">
        <v>166</v>
      </c>
      <c r="L1700">
        <v>50</v>
      </c>
      <c r="M1700">
        <v>3504221</v>
      </c>
      <c r="N1700">
        <v>15</v>
      </c>
      <c r="O1700">
        <v>8</v>
      </c>
      <c r="P1700" t="s">
        <v>186</v>
      </c>
      <c r="Q1700" t="s">
        <v>129</v>
      </c>
      <c r="R1700">
        <v>4</v>
      </c>
      <c r="S1700" t="s">
        <v>1994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0</v>
      </c>
      <c r="AA1700">
        <v>0</v>
      </c>
      <c r="AB1700">
        <v>50</v>
      </c>
      <c r="AC1700">
        <v>0</v>
      </c>
      <c r="AD1700">
        <v>0</v>
      </c>
      <c r="AE1700">
        <v>0</v>
      </c>
      <c r="AF1700">
        <v>0</v>
      </c>
      <c r="AG1700">
        <v>0</v>
      </c>
      <c r="AH1700">
        <v>50</v>
      </c>
      <c r="AI1700">
        <v>50</v>
      </c>
      <c r="AJ1700">
        <v>50</v>
      </c>
      <c r="AK1700">
        <v>50</v>
      </c>
      <c r="AL1700">
        <v>0</v>
      </c>
      <c r="AM1700">
        <v>0.3</v>
      </c>
      <c r="AN1700">
        <v>4.5454545454545459</v>
      </c>
      <c r="AO1700">
        <v>0</v>
      </c>
      <c r="AP1700" t="s">
        <v>1921</v>
      </c>
      <c r="AQ1700" t="s">
        <v>155</v>
      </c>
      <c r="AR1700" t="s">
        <v>229</v>
      </c>
      <c r="AS1700">
        <v>0</v>
      </c>
      <c r="AT1700">
        <v>0</v>
      </c>
      <c r="AU1700">
        <v>0</v>
      </c>
      <c r="AV1700">
        <v>0</v>
      </c>
      <c r="AW1700">
        <v>0</v>
      </c>
      <c r="AX1700">
        <v>0</v>
      </c>
      <c r="AY1700">
        <v>0</v>
      </c>
      <c r="AZ1700" t="s">
        <v>135</v>
      </c>
      <c r="BA1700">
        <v>15</v>
      </c>
      <c r="BB1700">
        <v>0</v>
      </c>
      <c r="BC1700" t="s">
        <v>133</v>
      </c>
      <c r="BD1700">
        <v>0</v>
      </c>
      <c r="BE1700" t="s">
        <v>133</v>
      </c>
      <c r="BF170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701" spans="1:58" x14ac:dyDescent="0.25">
      <c r="A1701" t="s">
        <v>2025</v>
      </c>
      <c r="B1701" t="s">
        <v>19</v>
      </c>
      <c r="C1701">
        <v>6</v>
      </c>
      <c r="D1701">
        <v>41</v>
      </c>
      <c r="E1701" t="s">
        <v>2109</v>
      </c>
      <c r="F1701" t="s">
        <v>123</v>
      </c>
      <c r="G1701" t="s">
        <v>124</v>
      </c>
      <c r="H1701" t="s">
        <v>125</v>
      </c>
      <c r="I1701" t="s">
        <v>1553</v>
      </c>
      <c r="J1701" t="s">
        <v>140</v>
      </c>
      <c r="K1701" t="s">
        <v>166</v>
      </c>
      <c r="L1701">
        <v>50</v>
      </c>
      <c r="M1701">
        <v>3504223</v>
      </c>
      <c r="N1701">
        <v>20</v>
      </c>
      <c r="O1701">
        <v>8</v>
      </c>
      <c r="P1701" t="s">
        <v>186</v>
      </c>
      <c r="Q1701" t="s">
        <v>129</v>
      </c>
      <c r="R1701">
        <v>4</v>
      </c>
      <c r="S1701" t="s">
        <v>1999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50</v>
      </c>
      <c r="AC1701">
        <v>0</v>
      </c>
      <c r="AD1701">
        <v>0</v>
      </c>
      <c r="AE1701">
        <v>0</v>
      </c>
      <c r="AF1701">
        <v>0</v>
      </c>
      <c r="AG1701">
        <v>0</v>
      </c>
      <c r="AH1701">
        <v>50</v>
      </c>
      <c r="AI1701">
        <v>50</v>
      </c>
      <c r="AJ1701">
        <v>50</v>
      </c>
      <c r="AK1701">
        <v>50</v>
      </c>
      <c r="AL1701">
        <v>0</v>
      </c>
      <c r="AM1701">
        <v>0.4</v>
      </c>
      <c r="AN1701">
        <v>4.5454545454545459</v>
      </c>
      <c r="AO1701">
        <v>0</v>
      </c>
      <c r="AP1701" t="s">
        <v>1921</v>
      </c>
      <c r="AQ1701" t="s">
        <v>155</v>
      </c>
      <c r="AR1701" t="s">
        <v>229</v>
      </c>
      <c r="AS1701">
        <v>0</v>
      </c>
      <c r="AT1701">
        <v>0</v>
      </c>
      <c r="AU1701">
        <v>0</v>
      </c>
      <c r="AV1701">
        <v>0</v>
      </c>
      <c r="AW1701">
        <v>0</v>
      </c>
      <c r="AX1701">
        <v>0</v>
      </c>
      <c r="AY1701">
        <v>0</v>
      </c>
      <c r="AZ1701" t="s">
        <v>135</v>
      </c>
      <c r="BA1701">
        <v>20</v>
      </c>
      <c r="BB1701">
        <v>0</v>
      </c>
      <c r="BC1701" t="s">
        <v>133</v>
      </c>
      <c r="BD1701">
        <v>0</v>
      </c>
      <c r="BE1701" t="s">
        <v>133</v>
      </c>
      <c r="BF170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702" spans="1:58" x14ac:dyDescent="0.25">
      <c r="A1702" t="s">
        <v>2026</v>
      </c>
      <c r="B1702" t="s">
        <v>19</v>
      </c>
      <c r="C1702">
        <v>6</v>
      </c>
      <c r="D1702">
        <v>42</v>
      </c>
      <c r="E1702" t="s">
        <v>2109</v>
      </c>
      <c r="F1702" t="s">
        <v>123</v>
      </c>
      <c r="G1702" t="s">
        <v>124</v>
      </c>
      <c r="H1702" t="s">
        <v>125</v>
      </c>
      <c r="I1702" t="s">
        <v>1553</v>
      </c>
      <c r="J1702" t="s">
        <v>140</v>
      </c>
      <c r="K1702" t="s">
        <v>166</v>
      </c>
      <c r="L1702">
        <v>50</v>
      </c>
      <c r="M1702">
        <v>3504425</v>
      </c>
      <c r="N1702">
        <v>20</v>
      </c>
      <c r="O1702">
        <v>8</v>
      </c>
      <c r="P1702" t="s">
        <v>186</v>
      </c>
      <c r="Q1702" t="s">
        <v>129</v>
      </c>
      <c r="R1702">
        <v>4</v>
      </c>
      <c r="S1702" t="s">
        <v>1999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50</v>
      </c>
      <c r="AC1702">
        <v>0</v>
      </c>
      <c r="AD1702">
        <v>0</v>
      </c>
      <c r="AE1702">
        <v>0</v>
      </c>
      <c r="AF1702">
        <v>0</v>
      </c>
      <c r="AG1702">
        <v>0</v>
      </c>
      <c r="AH1702">
        <v>50</v>
      </c>
      <c r="AI1702">
        <v>50</v>
      </c>
      <c r="AJ1702">
        <v>50</v>
      </c>
      <c r="AK1702">
        <v>50</v>
      </c>
      <c r="AL1702">
        <v>0</v>
      </c>
      <c r="AM1702">
        <v>0.4</v>
      </c>
      <c r="AN1702">
        <v>4.5454545454545459</v>
      </c>
      <c r="AO1702">
        <v>0</v>
      </c>
      <c r="AP1702" t="s">
        <v>1921</v>
      </c>
      <c r="AQ1702" t="s">
        <v>155</v>
      </c>
      <c r="AR1702" t="s">
        <v>229</v>
      </c>
      <c r="AS1702">
        <v>0</v>
      </c>
      <c r="AT1702">
        <v>0</v>
      </c>
      <c r="AU1702">
        <v>0</v>
      </c>
      <c r="AV1702">
        <v>0</v>
      </c>
      <c r="AW1702">
        <v>0</v>
      </c>
      <c r="AX1702">
        <v>0</v>
      </c>
      <c r="AY1702">
        <v>0</v>
      </c>
      <c r="AZ1702" t="s">
        <v>135</v>
      </c>
      <c r="BA1702">
        <v>20</v>
      </c>
      <c r="BB1702">
        <v>0</v>
      </c>
      <c r="BC1702" t="s">
        <v>133</v>
      </c>
      <c r="BD1702">
        <v>0</v>
      </c>
      <c r="BE1702" t="s">
        <v>133</v>
      </c>
      <c r="BF170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703" spans="1:58" x14ac:dyDescent="0.25">
      <c r="A1703" t="s">
        <v>2027</v>
      </c>
      <c r="B1703" t="s">
        <v>19</v>
      </c>
      <c r="C1703">
        <v>6</v>
      </c>
      <c r="D1703">
        <v>43</v>
      </c>
      <c r="E1703" t="s">
        <v>2109</v>
      </c>
      <c r="F1703" t="s">
        <v>123</v>
      </c>
      <c r="G1703" t="s">
        <v>124</v>
      </c>
      <c r="H1703" t="s">
        <v>125</v>
      </c>
      <c r="I1703" t="s">
        <v>1553</v>
      </c>
      <c r="J1703" t="s">
        <v>140</v>
      </c>
      <c r="K1703" t="s">
        <v>166</v>
      </c>
      <c r="L1703">
        <v>50</v>
      </c>
      <c r="M1703">
        <v>3504427</v>
      </c>
      <c r="N1703">
        <v>20</v>
      </c>
      <c r="O1703">
        <v>8</v>
      </c>
      <c r="P1703" t="s">
        <v>186</v>
      </c>
      <c r="Q1703" t="s">
        <v>129</v>
      </c>
      <c r="R1703">
        <v>4</v>
      </c>
      <c r="S1703" t="s">
        <v>1999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0</v>
      </c>
      <c r="AA1703">
        <v>0</v>
      </c>
      <c r="AB1703">
        <v>50</v>
      </c>
      <c r="AC1703">
        <v>0</v>
      </c>
      <c r="AD1703">
        <v>0</v>
      </c>
      <c r="AE1703">
        <v>0</v>
      </c>
      <c r="AF1703">
        <v>0</v>
      </c>
      <c r="AG1703">
        <v>0</v>
      </c>
      <c r="AH1703">
        <v>50</v>
      </c>
      <c r="AI1703">
        <v>50</v>
      </c>
      <c r="AJ1703">
        <v>50</v>
      </c>
      <c r="AK1703">
        <v>50</v>
      </c>
      <c r="AL1703">
        <v>0</v>
      </c>
      <c r="AM1703">
        <v>0.4</v>
      </c>
      <c r="AN1703">
        <v>4.5454545454545459</v>
      </c>
      <c r="AO1703">
        <v>0</v>
      </c>
      <c r="AP1703" t="s">
        <v>1921</v>
      </c>
      <c r="AQ1703" t="s">
        <v>155</v>
      </c>
      <c r="AR1703" t="s">
        <v>229</v>
      </c>
      <c r="AS1703">
        <v>0</v>
      </c>
      <c r="AT1703">
        <v>0</v>
      </c>
      <c r="AU1703">
        <v>0</v>
      </c>
      <c r="AV1703">
        <v>0</v>
      </c>
      <c r="AW1703">
        <v>0</v>
      </c>
      <c r="AX1703">
        <v>0</v>
      </c>
      <c r="AY1703">
        <v>0</v>
      </c>
      <c r="AZ1703" t="s">
        <v>135</v>
      </c>
      <c r="BA1703">
        <v>20</v>
      </c>
      <c r="BB1703">
        <v>0</v>
      </c>
      <c r="BC1703" t="s">
        <v>133</v>
      </c>
      <c r="BD1703">
        <v>0</v>
      </c>
      <c r="BE1703" t="s">
        <v>133</v>
      </c>
      <c r="BF170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704" spans="1:58" x14ac:dyDescent="0.25">
      <c r="A1704" t="s">
        <v>2028</v>
      </c>
      <c r="B1704" t="s">
        <v>19</v>
      </c>
      <c r="C1704">
        <v>6</v>
      </c>
      <c r="D1704">
        <v>44</v>
      </c>
      <c r="E1704" t="s">
        <v>2109</v>
      </c>
      <c r="F1704" t="s">
        <v>123</v>
      </c>
      <c r="G1704" t="s">
        <v>124</v>
      </c>
      <c r="H1704" t="s">
        <v>125</v>
      </c>
      <c r="I1704" t="s">
        <v>1553</v>
      </c>
      <c r="J1704" t="s">
        <v>140</v>
      </c>
      <c r="K1704" t="s">
        <v>166</v>
      </c>
      <c r="L1704">
        <v>50</v>
      </c>
      <c r="M1704">
        <v>3504429</v>
      </c>
      <c r="N1704">
        <v>20</v>
      </c>
      <c r="O1704">
        <v>8</v>
      </c>
      <c r="P1704" t="s">
        <v>186</v>
      </c>
      <c r="Q1704" t="s">
        <v>129</v>
      </c>
      <c r="R1704">
        <v>4</v>
      </c>
      <c r="S1704" t="s">
        <v>1999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50</v>
      </c>
      <c r="AC1704">
        <v>0</v>
      </c>
      <c r="AD1704">
        <v>0</v>
      </c>
      <c r="AE1704">
        <v>0</v>
      </c>
      <c r="AF1704">
        <v>0</v>
      </c>
      <c r="AG1704">
        <v>0</v>
      </c>
      <c r="AH1704">
        <v>50</v>
      </c>
      <c r="AI1704">
        <v>50</v>
      </c>
      <c r="AJ1704">
        <v>50</v>
      </c>
      <c r="AK1704">
        <v>50</v>
      </c>
      <c r="AL1704">
        <v>0</v>
      </c>
      <c r="AM1704">
        <v>0.4</v>
      </c>
      <c r="AN1704">
        <v>4.5454545454545459</v>
      </c>
      <c r="AO1704">
        <v>0</v>
      </c>
      <c r="AP1704" t="s">
        <v>1921</v>
      </c>
      <c r="AQ1704" t="s">
        <v>155</v>
      </c>
      <c r="AR1704" t="s">
        <v>229</v>
      </c>
      <c r="AS1704">
        <v>0</v>
      </c>
      <c r="AT1704">
        <v>0</v>
      </c>
      <c r="AU1704">
        <v>0</v>
      </c>
      <c r="AV1704">
        <v>0</v>
      </c>
      <c r="AW1704">
        <v>0</v>
      </c>
      <c r="AX1704">
        <v>0</v>
      </c>
      <c r="AY1704">
        <v>0</v>
      </c>
      <c r="AZ1704" t="s">
        <v>135</v>
      </c>
      <c r="BA1704">
        <v>20</v>
      </c>
      <c r="BB1704">
        <v>0</v>
      </c>
      <c r="BC1704" t="s">
        <v>133</v>
      </c>
      <c r="BD1704">
        <v>0</v>
      </c>
      <c r="BE1704" t="s">
        <v>133</v>
      </c>
      <c r="BF170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705" spans="1:58" x14ac:dyDescent="0.25">
      <c r="A1705" t="s">
        <v>2029</v>
      </c>
      <c r="B1705" t="s">
        <v>19</v>
      </c>
      <c r="C1705">
        <v>6</v>
      </c>
      <c r="D1705">
        <v>45</v>
      </c>
      <c r="E1705" t="s">
        <v>2109</v>
      </c>
      <c r="F1705" t="s">
        <v>123</v>
      </c>
      <c r="G1705" t="s">
        <v>124</v>
      </c>
      <c r="H1705" t="s">
        <v>125</v>
      </c>
      <c r="I1705" t="s">
        <v>1553</v>
      </c>
      <c r="J1705" t="s">
        <v>149</v>
      </c>
      <c r="K1705" t="s">
        <v>166</v>
      </c>
      <c r="L1705">
        <v>50</v>
      </c>
      <c r="M1705">
        <v>3504431</v>
      </c>
      <c r="N1705">
        <v>6</v>
      </c>
      <c r="O1705">
        <v>8</v>
      </c>
      <c r="P1705" t="s">
        <v>186</v>
      </c>
      <c r="Q1705" t="s">
        <v>129</v>
      </c>
      <c r="R1705">
        <v>4</v>
      </c>
      <c r="S1705" t="s">
        <v>2004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50</v>
      </c>
      <c r="AC1705">
        <v>0</v>
      </c>
      <c r="AD1705">
        <v>0</v>
      </c>
      <c r="AE1705">
        <v>0</v>
      </c>
      <c r="AF1705">
        <v>0</v>
      </c>
      <c r="AG1705">
        <v>0</v>
      </c>
      <c r="AH1705">
        <v>50</v>
      </c>
      <c r="AI1705">
        <v>50</v>
      </c>
      <c r="AJ1705">
        <v>50</v>
      </c>
      <c r="AK1705">
        <v>50</v>
      </c>
      <c r="AL1705">
        <v>0</v>
      </c>
      <c r="AM1705">
        <v>0.12</v>
      </c>
      <c r="AN1705">
        <v>4.5454545454545459</v>
      </c>
      <c r="AO1705">
        <v>0</v>
      </c>
      <c r="AP1705" t="s">
        <v>1921</v>
      </c>
      <c r="AQ1705" t="s">
        <v>155</v>
      </c>
      <c r="AR1705" t="s">
        <v>229</v>
      </c>
      <c r="AS1705">
        <v>0</v>
      </c>
      <c r="AT1705">
        <v>0</v>
      </c>
      <c r="AU1705">
        <v>0</v>
      </c>
      <c r="AV1705">
        <v>0</v>
      </c>
      <c r="AW1705">
        <v>0</v>
      </c>
      <c r="AX1705">
        <v>0</v>
      </c>
      <c r="AY1705">
        <v>0</v>
      </c>
      <c r="AZ1705" t="s">
        <v>135</v>
      </c>
      <c r="BA1705">
        <v>6</v>
      </c>
      <c r="BB1705">
        <v>0</v>
      </c>
      <c r="BC1705" t="s">
        <v>133</v>
      </c>
      <c r="BD1705">
        <v>0</v>
      </c>
      <c r="BE1705" t="s">
        <v>133</v>
      </c>
      <c r="BF170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706" spans="1:58" x14ac:dyDescent="0.25">
      <c r="A1706" t="s">
        <v>2030</v>
      </c>
      <c r="B1706" t="s">
        <v>19</v>
      </c>
      <c r="C1706">
        <v>6</v>
      </c>
      <c r="D1706">
        <v>46</v>
      </c>
      <c r="E1706" t="s">
        <v>2109</v>
      </c>
      <c r="F1706" t="s">
        <v>123</v>
      </c>
      <c r="G1706" t="s">
        <v>124</v>
      </c>
      <c r="H1706" t="s">
        <v>125</v>
      </c>
      <c r="I1706" t="s">
        <v>1553</v>
      </c>
      <c r="J1706" t="s">
        <v>149</v>
      </c>
      <c r="K1706" t="s">
        <v>166</v>
      </c>
      <c r="L1706">
        <v>50</v>
      </c>
      <c r="M1706">
        <v>3504433</v>
      </c>
      <c r="N1706">
        <v>6</v>
      </c>
      <c r="O1706">
        <v>8</v>
      </c>
      <c r="P1706" t="s">
        <v>186</v>
      </c>
      <c r="Q1706" t="s">
        <v>129</v>
      </c>
      <c r="R1706">
        <v>4</v>
      </c>
      <c r="S1706" t="s">
        <v>2004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0</v>
      </c>
      <c r="AB1706">
        <v>50</v>
      </c>
      <c r="AC1706">
        <v>0</v>
      </c>
      <c r="AD1706">
        <v>0</v>
      </c>
      <c r="AE1706">
        <v>0</v>
      </c>
      <c r="AF1706">
        <v>0</v>
      </c>
      <c r="AG1706">
        <v>0</v>
      </c>
      <c r="AH1706">
        <v>50</v>
      </c>
      <c r="AI1706">
        <v>50</v>
      </c>
      <c r="AJ1706">
        <v>50</v>
      </c>
      <c r="AK1706">
        <v>50</v>
      </c>
      <c r="AL1706">
        <v>0</v>
      </c>
      <c r="AM1706">
        <v>0.12</v>
      </c>
      <c r="AN1706">
        <v>4.5454545454545459</v>
      </c>
      <c r="AO1706">
        <v>0</v>
      </c>
      <c r="AP1706" t="s">
        <v>1921</v>
      </c>
      <c r="AQ1706" t="s">
        <v>155</v>
      </c>
      <c r="AR1706" t="s">
        <v>229</v>
      </c>
      <c r="AS1706">
        <v>0</v>
      </c>
      <c r="AT1706">
        <v>0</v>
      </c>
      <c r="AU1706">
        <v>0</v>
      </c>
      <c r="AV1706">
        <v>0</v>
      </c>
      <c r="AW1706">
        <v>0</v>
      </c>
      <c r="AX1706">
        <v>0</v>
      </c>
      <c r="AY1706">
        <v>0</v>
      </c>
      <c r="AZ1706" t="s">
        <v>135</v>
      </c>
      <c r="BA1706">
        <v>6</v>
      </c>
      <c r="BB1706">
        <v>0</v>
      </c>
      <c r="BC1706" t="s">
        <v>133</v>
      </c>
      <c r="BD1706">
        <v>0</v>
      </c>
      <c r="BE1706" t="s">
        <v>133</v>
      </c>
      <c r="BF170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707" spans="1:58" x14ac:dyDescent="0.25">
      <c r="A1707" t="s">
        <v>2031</v>
      </c>
      <c r="B1707" t="s">
        <v>19</v>
      </c>
      <c r="C1707">
        <v>6</v>
      </c>
      <c r="D1707">
        <v>47</v>
      </c>
      <c r="E1707" t="s">
        <v>2109</v>
      </c>
      <c r="F1707" t="s">
        <v>123</v>
      </c>
      <c r="G1707" t="s">
        <v>124</v>
      </c>
      <c r="H1707" t="s">
        <v>125</v>
      </c>
      <c r="I1707" t="s">
        <v>1553</v>
      </c>
      <c r="J1707" t="s">
        <v>149</v>
      </c>
      <c r="K1707" t="s">
        <v>166</v>
      </c>
      <c r="L1707">
        <v>50</v>
      </c>
      <c r="M1707">
        <v>3504435</v>
      </c>
      <c r="N1707">
        <v>6</v>
      </c>
      <c r="O1707">
        <v>8</v>
      </c>
      <c r="P1707" t="s">
        <v>186</v>
      </c>
      <c r="Q1707" t="s">
        <v>129</v>
      </c>
      <c r="R1707">
        <v>4</v>
      </c>
      <c r="S1707" t="s">
        <v>2004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50</v>
      </c>
      <c r="AC1707">
        <v>0</v>
      </c>
      <c r="AD1707">
        <v>0</v>
      </c>
      <c r="AE1707">
        <v>0</v>
      </c>
      <c r="AF1707">
        <v>0</v>
      </c>
      <c r="AG1707">
        <v>0</v>
      </c>
      <c r="AH1707">
        <v>50</v>
      </c>
      <c r="AI1707">
        <v>50</v>
      </c>
      <c r="AJ1707">
        <v>50</v>
      </c>
      <c r="AK1707">
        <v>50</v>
      </c>
      <c r="AL1707">
        <v>0</v>
      </c>
      <c r="AM1707">
        <v>0.12</v>
      </c>
      <c r="AN1707">
        <v>4.5454545454545459</v>
      </c>
      <c r="AO1707">
        <v>0</v>
      </c>
      <c r="AP1707" t="s">
        <v>1921</v>
      </c>
      <c r="AQ1707" t="s">
        <v>155</v>
      </c>
      <c r="AR1707" t="s">
        <v>229</v>
      </c>
      <c r="AS1707">
        <v>0</v>
      </c>
      <c r="AT1707">
        <v>0</v>
      </c>
      <c r="AU1707">
        <v>0</v>
      </c>
      <c r="AV1707">
        <v>0</v>
      </c>
      <c r="AW1707">
        <v>0</v>
      </c>
      <c r="AX1707">
        <v>0</v>
      </c>
      <c r="AY1707">
        <v>0</v>
      </c>
      <c r="AZ1707" t="s">
        <v>135</v>
      </c>
      <c r="BA1707">
        <v>6</v>
      </c>
      <c r="BB1707">
        <v>0</v>
      </c>
      <c r="BC1707" t="s">
        <v>133</v>
      </c>
      <c r="BD1707">
        <v>0</v>
      </c>
      <c r="BE1707" t="s">
        <v>133</v>
      </c>
      <c r="BF170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708" spans="1:58" x14ac:dyDescent="0.25">
      <c r="A1708" t="s">
        <v>2032</v>
      </c>
      <c r="B1708" t="s">
        <v>19</v>
      </c>
      <c r="C1708">
        <v>6</v>
      </c>
      <c r="D1708">
        <v>48</v>
      </c>
      <c r="E1708" t="s">
        <v>2109</v>
      </c>
      <c r="F1708" t="s">
        <v>123</v>
      </c>
      <c r="G1708" t="s">
        <v>124</v>
      </c>
      <c r="H1708" t="s">
        <v>125</v>
      </c>
      <c r="I1708" t="s">
        <v>1553</v>
      </c>
      <c r="J1708" t="s">
        <v>149</v>
      </c>
      <c r="K1708" t="s">
        <v>166</v>
      </c>
      <c r="L1708">
        <v>50</v>
      </c>
      <c r="M1708">
        <v>3504437</v>
      </c>
      <c r="N1708">
        <v>6</v>
      </c>
      <c r="O1708">
        <v>8</v>
      </c>
      <c r="P1708" t="s">
        <v>186</v>
      </c>
      <c r="Q1708" t="s">
        <v>129</v>
      </c>
      <c r="R1708">
        <v>4</v>
      </c>
      <c r="S1708" t="s">
        <v>2004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0</v>
      </c>
      <c r="AB1708">
        <v>50</v>
      </c>
      <c r="AC1708">
        <v>0</v>
      </c>
      <c r="AD1708">
        <v>0</v>
      </c>
      <c r="AE1708">
        <v>0</v>
      </c>
      <c r="AF1708">
        <v>0</v>
      </c>
      <c r="AG1708">
        <v>0</v>
      </c>
      <c r="AH1708">
        <v>50</v>
      </c>
      <c r="AI1708">
        <v>50</v>
      </c>
      <c r="AJ1708">
        <v>50</v>
      </c>
      <c r="AK1708">
        <v>50</v>
      </c>
      <c r="AL1708">
        <v>0</v>
      </c>
      <c r="AM1708">
        <v>0.12</v>
      </c>
      <c r="AN1708">
        <v>4.5454545454545459</v>
      </c>
      <c r="AO1708">
        <v>0</v>
      </c>
      <c r="AP1708" t="s">
        <v>1921</v>
      </c>
      <c r="AQ1708" t="s">
        <v>155</v>
      </c>
      <c r="AR1708" t="s">
        <v>229</v>
      </c>
      <c r="AS1708">
        <v>0</v>
      </c>
      <c r="AT1708">
        <v>0</v>
      </c>
      <c r="AU1708">
        <v>0</v>
      </c>
      <c r="AV1708">
        <v>0</v>
      </c>
      <c r="AW1708">
        <v>0</v>
      </c>
      <c r="AX1708">
        <v>0</v>
      </c>
      <c r="AY1708">
        <v>0</v>
      </c>
      <c r="AZ1708" t="s">
        <v>135</v>
      </c>
      <c r="BA1708">
        <v>6</v>
      </c>
      <c r="BB1708">
        <v>0</v>
      </c>
      <c r="BC1708" t="s">
        <v>144</v>
      </c>
      <c r="BD1708">
        <v>0</v>
      </c>
      <c r="BE1708" t="s">
        <v>133</v>
      </c>
      <c r="BF170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709" spans="1:58" x14ac:dyDescent="0.25">
      <c r="A1709" t="s">
        <v>2033</v>
      </c>
      <c r="B1709" t="s">
        <v>19</v>
      </c>
      <c r="C1709">
        <v>6</v>
      </c>
      <c r="D1709">
        <v>49</v>
      </c>
      <c r="E1709" t="s">
        <v>2109</v>
      </c>
      <c r="F1709" t="s">
        <v>123</v>
      </c>
      <c r="G1709" t="s">
        <v>124</v>
      </c>
      <c r="H1709" t="s">
        <v>125</v>
      </c>
      <c r="I1709" t="s">
        <v>1553</v>
      </c>
      <c r="J1709" t="s">
        <v>157</v>
      </c>
      <c r="K1709" t="s">
        <v>166</v>
      </c>
      <c r="L1709">
        <v>50</v>
      </c>
      <c r="M1709">
        <v>3504439</v>
      </c>
      <c r="N1709">
        <v>6</v>
      </c>
      <c r="O1709">
        <v>8</v>
      </c>
      <c r="P1709" t="s">
        <v>186</v>
      </c>
      <c r="Q1709" t="s">
        <v>129</v>
      </c>
      <c r="R1709">
        <v>5</v>
      </c>
      <c r="S1709" t="s">
        <v>2034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5</v>
      </c>
      <c r="Z1709">
        <v>0</v>
      </c>
      <c r="AA1709">
        <v>5</v>
      </c>
      <c r="AB1709">
        <v>50</v>
      </c>
      <c r="AC1709">
        <v>0</v>
      </c>
      <c r="AD1709">
        <v>0</v>
      </c>
      <c r="AE1709">
        <v>20</v>
      </c>
      <c r="AF1709">
        <v>20</v>
      </c>
      <c r="AG1709">
        <v>0</v>
      </c>
      <c r="AH1709">
        <v>50</v>
      </c>
      <c r="AI1709">
        <v>30</v>
      </c>
      <c r="AJ1709">
        <v>30</v>
      </c>
      <c r="AK1709">
        <v>50</v>
      </c>
      <c r="AL1709">
        <v>0</v>
      </c>
      <c r="AM1709">
        <v>0.12</v>
      </c>
      <c r="AN1709">
        <v>2.7272727272727275</v>
      </c>
      <c r="AO1709">
        <v>0</v>
      </c>
      <c r="AP1709" t="s">
        <v>1921</v>
      </c>
      <c r="AQ1709" t="s">
        <v>131</v>
      </c>
      <c r="AR1709" t="s">
        <v>229</v>
      </c>
      <c r="AS1709">
        <v>0</v>
      </c>
      <c r="AT1709">
        <v>0</v>
      </c>
      <c r="AU1709">
        <v>0</v>
      </c>
      <c r="AV1709">
        <v>0</v>
      </c>
      <c r="AW1709">
        <v>0</v>
      </c>
      <c r="AX1709">
        <v>0</v>
      </c>
      <c r="AY1709">
        <v>0</v>
      </c>
      <c r="AZ1709" t="s">
        <v>135</v>
      </c>
      <c r="BA1709">
        <v>6</v>
      </c>
      <c r="BB1709">
        <v>0</v>
      </c>
      <c r="BC1709" t="s">
        <v>132</v>
      </c>
      <c r="BD1709">
        <v>0</v>
      </c>
      <c r="BE1709" t="s">
        <v>133</v>
      </c>
      <c r="BF170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710" spans="1:58" x14ac:dyDescent="0.25">
      <c r="A1710" t="s">
        <v>2035</v>
      </c>
      <c r="B1710" t="s">
        <v>19</v>
      </c>
      <c r="C1710">
        <v>6</v>
      </c>
      <c r="D1710">
        <v>50</v>
      </c>
      <c r="E1710" t="s">
        <v>2109</v>
      </c>
      <c r="F1710" t="s">
        <v>123</v>
      </c>
      <c r="G1710" t="s">
        <v>124</v>
      </c>
      <c r="H1710" t="s">
        <v>125</v>
      </c>
      <c r="I1710" t="s">
        <v>1553</v>
      </c>
      <c r="J1710" t="s">
        <v>157</v>
      </c>
      <c r="K1710" t="s">
        <v>166</v>
      </c>
      <c r="L1710">
        <v>50</v>
      </c>
      <c r="M1710">
        <v>3504441</v>
      </c>
      <c r="N1710">
        <v>6</v>
      </c>
      <c r="O1710">
        <v>8</v>
      </c>
      <c r="P1710" t="s">
        <v>186</v>
      </c>
      <c r="Q1710" t="s">
        <v>129</v>
      </c>
      <c r="R1710">
        <v>5</v>
      </c>
      <c r="S1710" t="s">
        <v>2034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5</v>
      </c>
      <c r="Z1710">
        <v>0</v>
      </c>
      <c r="AA1710">
        <v>5</v>
      </c>
      <c r="AB1710">
        <v>50</v>
      </c>
      <c r="AC1710">
        <v>0</v>
      </c>
      <c r="AD1710">
        <v>0</v>
      </c>
      <c r="AE1710">
        <v>20</v>
      </c>
      <c r="AF1710">
        <v>20</v>
      </c>
      <c r="AG1710">
        <v>0</v>
      </c>
      <c r="AH1710">
        <v>50</v>
      </c>
      <c r="AI1710">
        <v>30</v>
      </c>
      <c r="AJ1710">
        <v>30</v>
      </c>
      <c r="AK1710">
        <v>50</v>
      </c>
      <c r="AL1710">
        <v>0</v>
      </c>
      <c r="AM1710">
        <v>0.12</v>
      </c>
      <c r="AN1710">
        <v>2.7272727272727275</v>
      </c>
      <c r="AO1710">
        <v>0</v>
      </c>
      <c r="AP1710" t="s">
        <v>1921</v>
      </c>
      <c r="AQ1710" t="s">
        <v>131</v>
      </c>
      <c r="AR1710" t="s">
        <v>229</v>
      </c>
      <c r="AS1710">
        <v>0</v>
      </c>
      <c r="AT1710">
        <v>0</v>
      </c>
      <c r="AU1710">
        <v>0</v>
      </c>
      <c r="AV1710">
        <v>0</v>
      </c>
      <c r="AW1710">
        <v>0</v>
      </c>
      <c r="AX1710">
        <v>0</v>
      </c>
      <c r="AY1710">
        <v>0</v>
      </c>
      <c r="AZ1710" t="s">
        <v>135</v>
      </c>
      <c r="BA1710">
        <v>6</v>
      </c>
      <c r="BB1710">
        <v>0</v>
      </c>
      <c r="BC1710" t="s">
        <v>133</v>
      </c>
      <c r="BD1710">
        <v>0</v>
      </c>
      <c r="BE1710" t="s">
        <v>133</v>
      </c>
      <c r="BF171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711" spans="1:58" x14ac:dyDescent="0.25">
      <c r="A1711" t="s">
        <v>2036</v>
      </c>
      <c r="B1711" t="s">
        <v>19</v>
      </c>
      <c r="C1711">
        <v>6</v>
      </c>
      <c r="D1711">
        <v>51</v>
      </c>
      <c r="E1711" t="s">
        <v>2109</v>
      </c>
      <c r="F1711" t="s">
        <v>123</v>
      </c>
      <c r="G1711" t="s">
        <v>124</v>
      </c>
      <c r="H1711" t="s">
        <v>125</v>
      </c>
      <c r="I1711" t="s">
        <v>1553</v>
      </c>
      <c r="J1711" t="s">
        <v>157</v>
      </c>
      <c r="K1711" t="s">
        <v>166</v>
      </c>
      <c r="L1711">
        <v>50</v>
      </c>
      <c r="M1711">
        <v>3504443</v>
      </c>
      <c r="N1711">
        <v>6</v>
      </c>
      <c r="O1711">
        <v>8</v>
      </c>
      <c r="P1711" t="s">
        <v>186</v>
      </c>
      <c r="Q1711" t="s">
        <v>129</v>
      </c>
      <c r="R1711">
        <v>5</v>
      </c>
      <c r="S1711" t="s">
        <v>2037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5</v>
      </c>
      <c r="Z1711">
        <v>0</v>
      </c>
      <c r="AA1711">
        <v>5</v>
      </c>
      <c r="AB1711">
        <v>50</v>
      </c>
      <c r="AC1711">
        <v>0</v>
      </c>
      <c r="AD1711">
        <v>0</v>
      </c>
      <c r="AE1711">
        <v>20</v>
      </c>
      <c r="AF1711">
        <v>20</v>
      </c>
      <c r="AG1711">
        <v>0</v>
      </c>
      <c r="AH1711">
        <v>50</v>
      </c>
      <c r="AI1711">
        <v>30</v>
      </c>
      <c r="AJ1711">
        <v>30</v>
      </c>
      <c r="AK1711">
        <v>50</v>
      </c>
      <c r="AL1711">
        <v>0</v>
      </c>
      <c r="AM1711">
        <v>0.12</v>
      </c>
      <c r="AN1711">
        <v>2.7272727272727275</v>
      </c>
      <c r="AO1711">
        <v>0</v>
      </c>
      <c r="AP1711" t="s">
        <v>1921</v>
      </c>
      <c r="AQ1711" t="s">
        <v>131</v>
      </c>
      <c r="AR1711" t="s">
        <v>229</v>
      </c>
      <c r="AS1711">
        <v>0</v>
      </c>
      <c r="AT1711">
        <v>0</v>
      </c>
      <c r="AU1711">
        <v>0</v>
      </c>
      <c r="AV1711">
        <v>0</v>
      </c>
      <c r="AW1711">
        <v>0</v>
      </c>
      <c r="AX1711">
        <v>0</v>
      </c>
      <c r="AY1711">
        <v>0</v>
      </c>
      <c r="AZ1711" t="s">
        <v>135</v>
      </c>
      <c r="BA1711">
        <v>6</v>
      </c>
      <c r="BB1711">
        <v>0</v>
      </c>
      <c r="BC1711" t="s">
        <v>133</v>
      </c>
      <c r="BD1711">
        <v>0</v>
      </c>
      <c r="BE1711" t="s">
        <v>133</v>
      </c>
      <c r="BF1711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712" spans="1:58" x14ac:dyDescent="0.25">
      <c r="A1712" t="s">
        <v>2038</v>
      </c>
      <c r="B1712" t="s">
        <v>19</v>
      </c>
      <c r="C1712">
        <v>6</v>
      </c>
      <c r="D1712">
        <v>52</v>
      </c>
      <c r="E1712" t="s">
        <v>2109</v>
      </c>
      <c r="F1712" t="s">
        <v>123</v>
      </c>
      <c r="G1712" t="s">
        <v>124</v>
      </c>
      <c r="H1712" t="s">
        <v>125</v>
      </c>
      <c r="I1712" t="s">
        <v>1553</v>
      </c>
      <c r="J1712" t="s">
        <v>157</v>
      </c>
      <c r="K1712" t="s">
        <v>166</v>
      </c>
      <c r="L1712">
        <v>50</v>
      </c>
      <c r="M1712">
        <v>3504445</v>
      </c>
      <c r="N1712">
        <v>6</v>
      </c>
      <c r="O1712">
        <v>8</v>
      </c>
      <c r="P1712" t="s">
        <v>186</v>
      </c>
      <c r="Q1712" t="s">
        <v>129</v>
      </c>
      <c r="R1712">
        <v>5</v>
      </c>
      <c r="S1712" t="s">
        <v>2037</v>
      </c>
      <c r="T1712">
        <v>0</v>
      </c>
      <c r="U1712">
        <v>0</v>
      </c>
      <c r="V1712">
        <v>0</v>
      </c>
      <c r="W1712">
        <v>0</v>
      </c>
      <c r="X1712">
        <v>0</v>
      </c>
      <c r="Y1712">
        <v>5</v>
      </c>
      <c r="Z1712">
        <v>0</v>
      </c>
      <c r="AA1712">
        <v>5</v>
      </c>
      <c r="AB1712">
        <v>50</v>
      </c>
      <c r="AC1712">
        <v>0</v>
      </c>
      <c r="AD1712">
        <v>0</v>
      </c>
      <c r="AE1712">
        <v>20</v>
      </c>
      <c r="AF1712">
        <v>20</v>
      </c>
      <c r="AG1712">
        <v>0</v>
      </c>
      <c r="AH1712">
        <v>50</v>
      </c>
      <c r="AI1712">
        <v>30</v>
      </c>
      <c r="AJ1712">
        <v>30</v>
      </c>
      <c r="AK1712">
        <v>50</v>
      </c>
      <c r="AL1712">
        <v>0</v>
      </c>
      <c r="AM1712">
        <v>0.12</v>
      </c>
      <c r="AN1712">
        <v>2.7272727272727275</v>
      </c>
      <c r="AO1712">
        <v>0</v>
      </c>
      <c r="AP1712" t="s">
        <v>1921</v>
      </c>
      <c r="AQ1712" t="s">
        <v>131</v>
      </c>
      <c r="AR1712" t="s">
        <v>229</v>
      </c>
      <c r="AS1712">
        <v>0</v>
      </c>
      <c r="AT1712">
        <v>0</v>
      </c>
      <c r="AU1712">
        <v>0</v>
      </c>
      <c r="AV1712">
        <v>0</v>
      </c>
      <c r="AW1712">
        <v>0</v>
      </c>
      <c r="AX1712">
        <v>0</v>
      </c>
      <c r="AY1712">
        <v>0</v>
      </c>
      <c r="AZ1712" t="s">
        <v>135</v>
      </c>
      <c r="BA1712">
        <v>6</v>
      </c>
      <c r="BB1712">
        <v>0</v>
      </c>
      <c r="BC1712" t="s">
        <v>133</v>
      </c>
      <c r="BD1712">
        <v>0</v>
      </c>
      <c r="BE1712" t="s">
        <v>133</v>
      </c>
      <c r="BF1712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713" spans="1:58" x14ac:dyDescent="0.25">
      <c r="A1713" t="s">
        <v>2039</v>
      </c>
      <c r="B1713" t="s">
        <v>19</v>
      </c>
      <c r="C1713">
        <v>6</v>
      </c>
      <c r="D1713">
        <v>53</v>
      </c>
      <c r="E1713" t="s">
        <v>2109</v>
      </c>
      <c r="F1713" t="s">
        <v>123</v>
      </c>
      <c r="G1713" t="s">
        <v>124</v>
      </c>
      <c r="H1713" t="s">
        <v>125</v>
      </c>
      <c r="I1713" t="s">
        <v>183</v>
      </c>
      <c r="J1713" t="s">
        <v>140</v>
      </c>
      <c r="K1713" t="s">
        <v>166</v>
      </c>
      <c r="L1713">
        <v>50</v>
      </c>
      <c r="M1713">
        <v>3504447</v>
      </c>
      <c r="N1713">
        <v>20</v>
      </c>
      <c r="O1713">
        <v>8</v>
      </c>
      <c r="P1713" t="s">
        <v>186</v>
      </c>
      <c r="Q1713" t="s">
        <v>129</v>
      </c>
      <c r="R1713">
        <v>5</v>
      </c>
      <c r="S1713" t="s">
        <v>1979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0</v>
      </c>
      <c r="Z1713">
        <v>0</v>
      </c>
      <c r="AA1713">
        <v>0</v>
      </c>
      <c r="AB1713">
        <v>50</v>
      </c>
      <c r="AC1713">
        <v>0</v>
      </c>
      <c r="AD1713">
        <v>0</v>
      </c>
      <c r="AE1713">
        <v>0</v>
      </c>
      <c r="AF1713">
        <v>0</v>
      </c>
      <c r="AG1713">
        <v>0</v>
      </c>
      <c r="AH1713">
        <v>50</v>
      </c>
      <c r="AI1713">
        <v>50</v>
      </c>
      <c r="AJ1713">
        <v>50</v>
      </c>
      <c r="AK1713">
        <v>50</v>
      </c>
      <c r="AL1713">
        <v>0</v>
      </c>
      <c r="AM1713">
        <v>0.4</v>
      </c>
      <c r="AN1713">
        <v>4.5454545454545459</v>
      </c>
      <c r="AO1713">
        <v>0</v>
      </c>
      <c r="AP1713" t="s">
        <v>184</v>
      </c>
      <c r="AQ1713" t="s">
        <v>155</v>
      </c>
      <c r="AR1713" t="s">
        <v>229</v>
      </c>
      <c r="AS1713">
        <v>0</v>
      </c>
      <c r="AT1713">
        <v>0</v>
      </c>
      <c r="AU1713">
        <v>0</v>
      </c>
      <c r="AV1713">
        <v>0</v>
      </c>
      <c r="AW1713">
        <v>0</v>
      </c>
      <c r="AX1713">
        <v>0</v>
      </c>
      <c r="AY1713">
        <v>0</v>
      </c>
      <c r="AZ1713" t="s">
        <v>135</v>
      </c>
      <c r="BA1713">
        <v>20</v>
      </c>
      <c r="BB1713">
        <v>0</v>
      </c>
      <c r="BC1713" t="s">
        <v>133</v>
      </c>
      <c r="BD1713">
        <v>0</v>
      </c>
      <c r="BE1713" t="s">
        <v>133</v>
      </c>
      <c r="BF1713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714" spans="1:58" x14ac:dyDescent="0.25">
      <c r="A1714" t="s">
        <v>2040</v>
      </c>
      <c r="B1714" t="s">
        <v>19</v>
      </c>
      <c r="C1714">
        <v>6</v>
      </c>
      <c r="D1714">
        <v>54</v>
      </c>
      <c r="E1714" t="s">
        <v>2109</v>
      </c>
      <c r="F1714" t="s">
        <v>123</v>
      </c>
      <c r="G1714" t="s">
        <v>124</v>
      </c>
      <c r="H1714" t="s">
        <v>125</v>
      </c>
      <c r="I1714" t="s">
        <v>183</v>
      </c>
      <c r="J1714" t="s">
        <v>140</v>
      </c>
      <c r="K1714" t="s">
        <v>166</v>
      </c>
      <c r="L1714">
        <v>50</v>
      </c>
      <c r="M1714">
        <v>3504449</v>
      </c>
      <c r="N1714">
        <v>20</v>
      </c>
      <c r="O1714">
        <v>8</v>
      </c>
      <c r="P1714" t="s">
        <v>186</v>
      </c>
      <c r="Q1714" t="s">
        <v>129</v>
      </c>
      <c r="R1714">
        <v>5</v>
      </c>
      <c r="S1714" t="s">
        <v>1979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50</v>
      </c>
      <c r="AC1714">
        <v>0</v>
      </c>
      <c r="AD1714">
        <v>0</v>
      </c>
      <c r="AE1714">
        <v>0</v>
      </c>
      <c r="AF1714">
        <v>0</v>
      </c>
      <c r="AG1714">
        <v>0</v>
      </c>
      <c r="AH1714">
        <v>50</v>
      </c>
      <c r="AI1714">
        <v>50</v>
      </c>
      <c r="AJ1714">
        <v>50</v>
      </c>
      <c r="AK1714">
        <v>50</v>
      </c>
      <c r="AL1714">
        <v>0</v>
      </c>
      <c r="AM1714">
        <v>0.4</v>
      </c>
      <c r="AN1714">
        <v>4.5454545454545459</v>
      </c>
      <c r="AO1714">
        <v>0</v>
      </c>
      <c r="AP1714" t="s">
        <v>184</v>
      </c>
      <c r="AQ1714" t="s">
        <v>155</v>
      </c>
      <c r="AR1714" t="s">
        <v>229</v>
      </c>
      <c r="AS1714">
        <v>0</v>
      </c>
      <c r="AT1714">
        <v>0</v>
      </c>
      <c r="AU1714">
        <v>0</v>
      </c>
      <c r="AV1714">
        <v>0</v>
      </c>
      <c r="AW1714">
        <v>0</v>
      </c>
      <c r="AX1714">
        <v>0</v>
      </c>
      <c r="AY1714">
        <v>0</v>
      </c>
      <c r="AZ1714" t="s">
        <v>135</v>
      </c>
      <c r="BA1714">
        <v>20</v>
      </c>
      <c r="BB1714">
        <v>0</v>
      </c>
      <c r="BC1714" t="s">
        <v>133</v>
      </c>
      <c r="BD1714">
        <v>0</v>
      </c>
      <c r="BE1714" t="s">
        <v>133</v>
      </c>
      <c r="BF1714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715" spans="1:58" x14ac:dyDescent="0.25">
      <c r="A1715" t="s">
        <v>2041</v>
      </c>
      <c r="B1715" t="s">
        <v>19</v>
      </c>
      <c r="C1715">
        <v>6</v>
      </c>
      <c r="D1715">
        <v>55</v>
      </c>
      <c r="E1715" t="s">
        <v>2109</v>
      </c>
      <c r="F1715" t="s">
        <v>123</v>
      </c>
      <c r="G1715" t="s">
        <v>124</v>
      </c>
      <c r="H1715" t="s">
        <v>125</v>
      </c>
      <c r="I1715" t="s">
        <v>183</v>
      </c>
      <c r="J1715" t="s">
        <v>140</v>
      </c>
      <c r="K1715" t="s">
        <v>166</v>
      </c>
      <c r="L1715">
        <v>50</v>
      </c>
      <c r="M1715">
        <v>3504233</v>
      </c>
      <c r="N1715">
        <v>20</v>
      </c>
      <c r="O1715">
        <v>8</v>
      </c>
      <c r="P1715" t="s">
        <v>186</v>
      </c>
      <c r="Q1715" t="s">
        <v>129</v>
      </c>
      <c r="R1715">
        <v>5</v>
      </c>
      <c r="S1715" t="s">
        <v>1979</v>
      </c>
      <c r="T1715">
        <v>0</v>
      </c>
      <c r="U1715">
        <v>0</v>
      </c>
      <c r="V1715">
        <v>25</v>
      </c>
      <c r="W1715">
        <v>0</v>
      </c>
      <c r="X1715">
        <v>25</v>
      </c>
      <c r="Y1715">
        <v>0</v>
      </c>
      <c r="Z1715">
        <v>22</v>
      </c>
      <c r="AA1715">
        <v>25</v>
      </c>
      <c r="AB1715">
        <v>50</v>
      </c>
      <c r="AC1715">
        <v>0</v>
      </c>
      <c r="AD1715">
        <v>49</v>
      </c>
      <c r="AE1715">
        <v>0</v>
      </c>
      <c r="AF1715">
        <v>49</v>
      </c>
      <c r="AG1715">
        <v>0</v>
      </c>
      <c r="AH1715">
        <v>50</v>
      </c>
      <c r="AI1715">
        <v>1</v>
      </c>
      <c r="AJ1715">
        <v>50</v>
      </c>
      <c r="AK1715">
        <v>50</v>
      </c>
      <c r="AL1715">
        <v>0</v>
      </c>
      <c r="AM1715">
        <v>0.4</v>
      </c>
      <c r="AN1715">
        <v>4.5454545454545459</v>
      </c>
      <c r="AO1715">
        <v>0</v>
      </c>
      <c r="AP1715" t="s">
        <v>184</v>
      </c>
      <c r="AQ1715" t="s">
        <v>131</v>
      </c>
      <c r="AR1715" t="s">
        <v>229</v>
      </c>
      <c r="AS1715">
        <v>0</v>
      </c>
      <c r="AT1715">
        <v>0</v>
      </c>
      <c r="AU1715">
        <v>0</v>
      </c>
      <c r="AV1715">
        <v>0</v>
      </c>
      <c r="AW1715">
        <v>0</v>
      </c>
      <c r="AX1715">
        <v>0</v>
      </c>
      <c r="AY1715">
        <v>0</v>
      </c>
      <c r="AZ1715" t="s">
        <v>135</v>
      </c>
      <c r="BA1715">
        <v>20</v>
      </c>
      <c r="BB1715">
        <v>0</v>
      </c>
      <c r="BC1715" t="s">
        <v>133</v>
      </c>
      <c r="BD1715">
        <v>0</v>
      </c>
      <c r="BE1715" t="s">
        <v>133</v>
      </c>
      <c r="BF1715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716" spans="1:58" x14ac:dyDescent="0.25">
      <c r="A1716" t="s">
        <v>2042</v>
      </c>
      <c r="B1716" t="s">
        <v>19</v>
      </c>
      <c r="C1716">
        <v>6</v>
      </c>
      <c r="D1716">
        <v>56</v>
      </c>
      <c r="E1716" t="s">
        <v>2109</v>
      </c>
      <c r="F1716" t="s">
        <v>123</v>
      </c>
      <c r="G1716" t="s">
        <v>124</v>
      </c>
      <c r="H1716" t="s">
        <v>125</v>
      </c>
      <c r="I1716" t="s">
        <v>183</v>
      </c>
      <c r="J1716" t="s">
        <v>140</v>
      </c>
      <c r="K1716" t="s">
        <v>166</v>
      </c>
      <c r="L1716">
        <v>50</v>
      </c>
      <c r="M1716">
        <v>3504235</v>
      </c>
      <c r="N1716">
        <v>20</v>
      </c>
      <c r="O1716">
        <v>8</v>
      </c>
      <c r="P1716" t="s">
        <v>186</v>
      </c>
      <c r="Q1716" t="s">
        <v>129</v>
      </c>
      <c r="R1716">
        <v>5</v>
      </c>
      <c r="S1716" t="s">
        <v>1979</v>
      </c>
      <c r="T1716">
        <v>0</v>
      </c>
      <c r="U1716">
        <v>0</v>
      </c>
      <c r="V1716">
        <v>24</v>
      </c>
      <c r="W1716">
        <v>0</v>
      </c>
      <c r="X1716">
        <v>24</v>
      </c>
      <c r="Y1716">
        <v>1</v>
      </c>
      <c r="Z1716">
        <v>22</v>
      </c>
      <c r="AA1716">
        <v>25</v>
      </c>
      <c r="AB1716">
        <v>50</v>
      </c>
      <c r="AC1716">
        <v>0</v>
      </c>
      <c r="AD1716">
        <v>47</v>
      </c>
      <c r="AE1716">
        <v>2</v>
      </c>
      <c r="AF1716">
        <v>49</v>
      </c>
      <c r="AG1716">
        <v>0</v>
      </c>
      <c r="AH1716">
        <v>50</v>
      </c>
      <c r="AI1716">
        <v>1</v>
      </c>
      <c r="AJ1716">
        <v>48</v>
      </c>
      <c r="AK1716">
        <v>50</v>
      </c>
      <c r="AL1716">
        <v>0</v>
      </c>
      <c r="AM1716">
        <v>0.4</v>
      </c>
      <c r="AN1716">
        <v>4.3636363636363633</v>
      </c>
      <c r="AO1716">
        <v>0</v>
      </c>
      <c r="AP1716" t="s">
        <v>184</v>
      </c>
      <c r="AQ1716" t="s">
        <v>131</v>
      </c>
      <c r="AR1716" t="s">
        <v>229</v>
      </c>
      <c r="AS1716">
        <v>0</v>
      </c>
      <c r="AT1716">
        <v>0</v>
      </c>
      <c r="AU1716">
        <v>0</v>
      </c>
      <c r="AV1716">
        <v>0</v>
      </c>
      <c r="AW1716">
        <v>0</v>
      </c>
      <c r="AX1716">
        <v>0</v>
      </c>
      <c r="AY1716">
        <v>0</v>
      </c>
      <c r="AZ1716" t="s">
        <v>135</v>
      </c>
      <c r="BA1716">
        <v>20</v>
      </c>
      <c r="BB1716">
        <v>0</v>
      </c>
      <c r="BC1716" t="s">
        <v>133</v>
      </c>
      <c r="BD1716">
        <v>0</v>
      </c>
      <c r="BE1716" t="s">
        <v>133</v>
      </c>
      <c r="BF1716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717" spans="1:58" x14ac:dyDescent="0.25">
      <c r="A1717" t="s">
        <v>2043</v>
      </c>
      <c r="B1717" t="s">
        <v>19</v>
      </c>
      <c r="C1717">
        <v>6</v>
      </c>
      <c r="D1717">
        <v>57</v>
      </c>
      <c r="E1717" t="s">
        <v>2109</v>
      </c>
      <c r="F1717" t="s">
        <v>123</v>
      </c>
      <c r="G1717" t="s">
        <v>124</v>
      </c>
      <c r="H1717" t="s">
        <v>125</v>
      </c>
      <c r="I1717" t="s">
        <v>183</v>
      </c>
      <c r="J1717" t="s">
        <v>140</v>
      </c>
      <c r="K1717" t="s">
        <v>166</v>
      </c>
      <c r="L1717">
        <v>50</v>
      </c>
      <c r="M1717">
        <v>3504237</v>
      </c>
      <c r="N1717">
        <v>20</v>
      </c>
      <c r="O1717">
        <v>8</v>
      </c>
      <c r="P1717" t="s">
        <v>186</v>
      </c>
      <c r="Q1717" t="s">
        <v>129</v>
      </c>
      <c r="R1717">
        <v>5</v>
      </c>
      <c r="S1717" t="s">
        <v>1979</v>
      </c>
      <c r="T1717">
        <v>0</v>
      </c>
      <c r="U1717">
        <v>0</v>
      </c>
      <c r="V1717">
        <v>25</v>
      </c>
      <c r="W1717">
        <v>0</v>
      </c>
      <c r="X1717">
        <v>25</v>
      </c>
      <c r="Y1717">
        <v>0</v>
      </c>
      <c r="Z1717">
        <v>22</v>
      </c>
      <c r="AA1717">
        <v>25</v>
      </c>
      <c r="AB1717">
        <v>50</v>
      </c>
      <c r="AC1717">
        <v>0</v>
      </c>
      <c r="AD1717">
        <v>49</v>
      </c>
      <c r="AE1717">
        <v>0</v>
      </c>
      <c r="AF1717">
        <v>49</v>
      </c>
      <c r="AG1717">
        <v>0</v>
      </c>
      <c r="AH1717">
        <v>50</v>
      </c>
      <c r="AI1717">
        <v>1</v>
      </c>
      <c r="AJ1717">
        <v>50</v>
      </c>
      <c r="AK1717">
        <v>50</v>
      </c>
      <c r="AL1717">
        <v>0</v>
      </c>
      <c r="AM1717">
        <v>0.4</v>
      </c>
      <c r="AN1717">
        <v>4.5454545454545459</v>
      </c>
      <c r="AO1717">
        <v>0</v>
      </c>
      <c r="AP1717" t="s">
        <v>184</v>
      </c>
      <c r="AQ1717" t="s">
        <v>131</v>
      </c>
      <c r="AR1717" t="s">
        <v>229</v>
      </c>
      <c r="AS1717">
        <v>0</v>
      </c>
      <c r="AT1717">
        <v>0</v>
      </c>
      <c r="AU1717">
        <v>0</v>
      </c>
      <c r="AV1717">
        <v>0</v>
      </c>
      <c r="AW1717">
        <v>0</v>
      </c>
      <c r="AX1717">
        <v>0</v>
      </c>
      <c r="AY1717">
        <v>0</v>
      </c>
      <c r="AZ1717" t="s">
        <v>135</v>
      </c>
      <c r="BA1717">
        <v>20</v>
      </c>
      <c r="BB1717">
        <v>0</v>
      </c>
      <c r="BC1717" t="s">
        <v>133</v>
      </c>
      <c r="BD1717">
        <v>0</v>
      </c>
      <c r="BE1717" t="s">
        <v>133</v>
      </c>
      <c r="BF1717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718" spans="1:58" x14ac:dyDescent="0.25">
      <c r="A1718" t="s">
        <v>2044</v>
      </c>
      <c r="B1718" t="s">
        <v>19</v>
      </c>
      <c r="C1718">
        <v>6</v>
      </c>
      <c r="D1718">
        <v>58</v>
      </c>
      <c r="E1718" t="s">
        <v>2109</v>
      </c>
      <c r="F1718" t="s">
        <v>123</v>
      </c>
      <c r="G1718" t="s">
        <v>124</v>
      </c>
      <c r="H1718" t="s">
        <v>125</v>
      </c>
      <c r="I1718" t="s">
        <v>183</v>
      </c>
      <c r="J1718" t="s">
        <v>140</v>
      </c>
      <c r="K1718" t="s">
        <v>166</v>
      </c>
      <c r="L1718">
        <v>50</v>
      </c>
      <c r="M1718">
        <v>3504239</v>
      </c>
      <c r="N1718">
        <v>20</v>
      </c>
      <c r="O1718">
        <v>8</v>
      </c>
      <c r="P1718" t="s">
        <v>186</v>
      </c>
      <c r="Q1718" t="s">
        <v>129</v>
      </c>
      <c r="R1718">
        <v>5</v>
      </c>
      <c r="S1718" t="s">
        <v>1979</v>
      </c>
      <c r="T1718">
        <v>0</v>
      </c>
      <c r="U1718">
        <v>0</v>
      </c>
      <c r="V1718">
        <v>25</v>
      </c>
      <c r="W1718">
        <v>0</v>
      </c>
      <c r="X1718">
        <v>25</v>
      </c>
      <c r="Y1718">
        <v>0</v>
      </c>
      <c r="Z1718">
        <v>22</v>
      </c>
      <c r="AA1718">
        <v>25</v>
      </c>
      <c r="AB1718">
        <v>50</v>
      </c>
      <c r="AC1718">
        <v>0</v>
      </c>
      <c r="AD1718">
        <v>49</v>
      </c>
      <c r="AE1718">
        <v>0</v>
      </c>
      <c r="AF1718">
        <v>49</v>
      </c>
      <c r="AG1718">
        <v>0</v>
      </c>
      <c r="AH1718">
        <v>50</v>
      </c>
      <c r="AI1718">
        <v>1</v>
      </c>
      <c r="AJ1718">
        <v>50</v>
      </c>
      <c r="AK1718">
        <v>50</v>
      </c>
      <c r="AL1718">
        <v>0</v>
      </c>
      <c r="AM1718">
        <v>0.4</v>
      </c>
      <c r="AN1718">
        <v>4.5454545454545459</v>
      </c>
      <c r="AO1718">
        <v>0</v>
      </c>
      <c r="AP1718" t="s">
        <v>184</v>
      </c>
      <c r="AQ1718" t="s">
        <v>131</v>
      </c>
      <c r="AR1718" t="s">
        <v>229</v>
      </c>
      <c r="AS1718">
        <v>0</v>
      </c>
      <c r="AT1718">
        <v>0</v>
      </c>
      <c r="AU1718">
        <v>0</v>
      </c>
      <c r="AV1718">
        <v>0</v>
      </c>
      <c r="AW1718">
        <v>0</v>
      </c>
      <c r="AX1718">
        <v>0</v>
      </c>
      <c r="AY1718">
        <v>0</v>
      </c>
      <c r="AZ1718" t="s">
        <v>135</v>
      </c>
      <c r="BA1718">
        <v>20</v>
      </c>
      <c r="BB1718">
        <v>0</v>
      </c>
      <c r="BC1718" t="s">
        <v>133</v>
      </c>
      <c r="BD1718">
        <v>0</v>
      </c>
      <c r="BE1718" t="s">
        <v>133</v>
      </c>
      <c r="BF1718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719" spans="1:58" x14ac:dyDescent="0.25">
      <c r="A1719" t="s">
        <v>2045</v>
      </c>
      <c r="B1719" t="s">
        <v>19</v>
      </c>
      <c r="C1719">
        <v>6</v>
      </c>
      <c r="D1719">
        <v>59</v>
      </c>
      <c r="E1719" t="s">
        <v>2109</v>
      </c>
      <c r="F1719" t="s">
        <v>123</v>
      </c>
      <c r="G1719" t="s">
        <v>124</v>
      </c>
      <c r="H1719" t="s">
        <v>125</v>
      </c>
      <c r="I1719" t="s">
        <v>183</v>
      </c>
      <c r="J1719" t="s">
        <v>140</v>
      </c>
      <c r="K1719" t="s">
        <v>166</v>
      </c>
      <c r="L1719">
        <v>50</v>
      </c>
      <c r="M1719">
        <v>3504241</v>
      </c>
      <c r="N1719">
        <v>20</v>
      </c>
      <c r="O1719">
        <v>8</v>
      </c>
      <c r="P1719" t="s">
        <v>186</v>
      </c>
      <c r="Q1719" t="s">
        <v>129</v>
      </c>
      <c r="R1719">
        <v>5</v>
      </c>
      <c r="S1719" t="s">
        <v>1979</v>
      </c>
      <c r="T1719">
        <v>0</v>
      </c>
      <c r="U1719">
        <v>0</v>
      </c>
      <c r="V1719">
        <v>24</v>
      </c>
      <c r="W1719">
        <v>0</v>
      </c>
      <c r="X1719">
        <v>24</v>
      </c>
      <c r="Y1719">
        <v>0</v>
      </c>
      <c r="Z1719">
        <v>21</v>
      </c>
      <c r="AA1719">
        <v>24</v>
      </c>
      <c r="AB1719">
        <v>50</v>
      </c>
      <c r="AC1719">
        <v>0</v>
      </c>
      <c r="AD1719">
        <v>47</v>
      </c>
      <c r="AE1719">
        <v>0</v>
      </c>
      <c r="AF1719">
        <v>47</v>
      </c>
      <c r="AG1719">
        <v>0</v>
      </c>
      <c r="AH1719">
        <v>50</v>
      </c>
      <c r="AI1719">
        <v>3</v>
      </c>
      <c r="AJ1719">
        <v>50</v>
      </c>
      <c r="AK1719">
        <v>50</v>
      </c>
      <c r="AL1719">
        <v>0</v>
      </c>
      <c r="AM1719">
        <v>0.4</v>
      </c>
      <c r="AN1719">
        <v>4.5454545454545459</v>
      </c>
      <c r="AO1719">
        <v>0</v>
      </c>
      <c r="AP1719" t="s">
        <v>184</v>
      </c>
      <c r="AQ1719" t="s">
        <v>131</v>
      </c>
      <c r="AR1719" t="s">
        <v>229</v>
      </c>
      <c r="AS1719">
        <v>0</v>
      </c>
      <c r="AT1719">
        <v>0</v>
      </c>
      <c r="AU1719">
        <v>0</v>
      </c>
      <c r="AV1719">
        <v>0</v>
      </c>
      <c r="AW1719">
        <v>0</v>
      </c>
      <c r="AX1719">
        <v>0</v>
      </c>
      <c r="AY1719">
        <v>0</v>
      </c>
      <c r="AZ1719" t="s">
        <v>135</v>
      </c>
      <c r="BA1719">
        <v>20</v>
      </c>
      <c r="BB1719">
        <v>0</v>
      </c>
      <c r="BC1719" t="s">
        <v>133</v>
      </c>
      <c r="BD1719">
        <v>0</v>
      </c>
      <c r="BE1719" t="s">
        <v>133</v>
      </c>
      <c r="BF1719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  <row r="1720" spans="1:58" x14ac:dyDescent="0.25">
      <c r="A1720" t="s">
        <v>2046</v>
      </c>
      <c r="B1720" t="s">
        <v>19</v>
      </c>
      <c r="C1720">
        <v>6</v>
      </c>
      <c r="D1720">
        <v>60</v>
      </c>
      <c r="E1720" t="s">
        <v>2109</v>
      </c>
      <c r="F1720" t="s">
        <v>123</v>
      </c>
      <c r="G1720" t="s">
        <v>124</v>
      </c>
      <c r="H1720" t="s">
        <v>125</v>
      </c>
      <c r="I1720" t="s">
        <v>183</v>
      </c>
      <c r="J1720" t="s">
        <v>140</v>
      </c>
      <c r="K1720" t="s">
        <v>166</v>
      </c>
      <c r="L1720">
        <v>50</v>
      </c>
      <c r="M1720">
        <v>3504243</v>
      </c>
      <c r="N1720">
        <v>20</v>
      </c>
      <c r="O1720">
        <v>8</v>
      </c>
      <c r="P1720" t="s">
        <v>186</v>
      </c>
      <c r="Q1720" t="s">
        <v>129</v>
      </c>
      <c r="R1720">
        <v>5</v>
      </c>
      <c r="S1720" t="s">
        <v>1979</v>
      </c>
      <c r="T1720">
        <v>0</v>
      </c>
      <c r="U1720">
        <v>0</v>
      </c>
      <c r="V1720">
        <v>24</v>
      </c>
      <c r="W1720">
        <v>0</v>
      </c>
      <c r="X1720">
        <v>24</v>
      </c>
      <c r="Y1720">
        <v>0</v>
      </c>
      <c r="Z1720">
        <v>21</v>
      </c>
      <c r="AA1720">
        <v>24</v>
      </c>
      <c r="AB1720">
        <v>50</v>
      </c>
      <c r="AC1720">
        <v>0</v>
      </c>
      <c r="AD1720">
        <v>47</v>
      </c>
      <c r="AE1720">
        <v>0</v>
      </c>
      <c r="AF1720">
        <v>47</v>
      </c>
      <c r="AG1720">
        <v>0</v>
      </c>
      <c r="AH1720">
        <v>50</v>
      </c>
      <c r="AI1720">
        <v>3</v>
      </c>
      <c r="AJ1720">
        <v>50</v>
      </c>
      <c r="AK1720">
        <v>50</v>
      </c>
      <c r="AL1720">
        <v>0</v>
      </c>
      <c r="AM1720">
        <v>0.4</v>
      </c>
      <c r="AN1720">
        <v>4.5454545454545459</v>
      </c>
      <c r="AO1720">
        <v>0</v>
      </c>
      <c r="AP1720" t="s">
        <v>184</v>
      </c>
      <c r="AQ1720" t="s">
        <v>131</v>
      </c>
      <c r="AR1720" t="s">
        <v>229</v>
      </c>
      <c r="AS1720">
        <v>0</v>
      </c>
      <c r="AT1720">
        <v>0</v>
      </c>
      <c r="AU1720">
        <v>0</v>
      </c>
      <c r="AV1720">
        <v>0</v>
      </c>
      <c r="AW1720">
        <v>0</v>
      </c>
      <c r="AX1720">
        <v>0</v>
      </c>
      <c r="AY1720">
        <v>0</v>
      </c>
      <c r="AZ1720" t="s">
        <v>135</v>
      </c>
      <c r="BA1720">
        <v>20</v>
      </c>
      <c r="BB1720">
        <v>0</v>
      </c>
      <c r="BC1720" t="s">
        <v>144</v>
      </c>
      <c r="BD1720">
        <v>0</v>
      </c>
      <c r="BE1720" t="s">
        <v>133</v>
      </c>
      <c r="BF1720" s="74">
        <f ca="1">IFERROR(_xlfn.LET(_xlpm.manual_reading, _xlfn.XLOOKUP(rack_breakdown[[#This Row],[Rack Path]],INDIRECT("'sr0"&amp;rack_breakdown[[#This Row],[Server Room]]&amp;"'!B:B"),INDIRECT("'sr0"&amp;rack_breakdown[[#This Row],[Server Room]]&amp;"'!AC:AC")), MAX(_xlpm.manual_reading,rack_breakdown[[#This Row],[Total]])),rack_breakdown[[#This Row],[Total]])</f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ADF27-36C2-4893-96E7-9F1627BE8BDA}">
  <sheetPr codeName="Sheet10">
    <tabColor theme="9" tint="0.59999389629810485"/>
  </sheetPr>
  <dimension ref="A1:G131"/>
  <sheetViews>
    <sheetView zoomScale="85" zoomScaleNormal="85" workbookViewId="0"/>
  </sheetViews>
  <sheetFormatPr defaultRowHeight="15" x14ac:dyDescent="0.25"/>
  <cols>
    <col min="1" max="1" width="14.5703125" bestFit="1" customWidth="1"/>
    <col min="2" max="2" width="15.140625" bestFit="1" customWidth="1"/>
    <col min="3" max="3" width="12.28515625" bestFit="1" customWidth="1"/>
    <col min="4" max="4" width="45.28515625" bestFit="1" customWidth="1"/>
    <col min="5" max="5" width="8.5703125" style="1" bestFit="1" customWidth="1"/>
    <col min="6" max="6" width="8.85546875" bestFit="1" customWidth="1"/>
    <col min="7" max="7" width="16.28515625" bestFit="1" customWidth="1"/>
  </cols>
  <sheetData>
    <row r="1" spans="1:7" x14ac:dyDescent="0.25">
      <c r="A1" t="s">
        <v>4</v>
      </c>
      <c r="B1" t="s">
        <v>5</v>
      </c>
      <c r="C1" t="s">
        <v>6</v>
      </c>
      <c r="D1" t="s">
        <v>7</v>
      </c>
      <c r="E1" s="1" t="s">
        <v>66</v>
      </c>
      <c r="F1" t="s">
        <v>67</v>
      </c>
      <c r="G1" t="s">
        <v>68</v>
      </c>
    </row>
    <row r="2" spans="1:7" x14ac:dyDescent="0.25">
      <c r="A2" t="s">
        <v>8</v>
      </c>
      <c r="B2">
        <v>1</v>
      </c>
      <c r="C2">
        <v>5</v>
      </c>
      <c r="D2" t="s">
        <v>9</v>
      </c>
      <c r="E2" s="1">
        <f>IF($C2=0,"",VALUE(MID(site_assumptions[[#This Row],[Details]],SEARCH("(",site_assumptions[[#This Row],[Details]])+1,SEARCH("/",site_assumptions[[#This Row],[Details]])-SEARCH("(",site_assumptions[[#This Row],[Details]])-1)))</f>
        <v>208</v>
      </c>
      <c r="F2">
        <f>IF($C2=0,"",VALUE(MID(site_assumptions[[#This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2" t="str">
        <f>IF($C2=0,"",TRIM(MID(site_assumptions[[#This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Single ATS</v>
      </c>
    </row>
    <row r="3" spans="1:7" x14ac:dyDescent="0.25">
      <c r="A3" t="s">
        <v>8</v>
      </c>
      <c r="B3">
        <v>2</v>
      </c>
      <c r="C3">
        <v>7</v>
      </c>
      <c r="D3" t="s">
        <v>10</v>
      </c>
      <c r="E3" s="1">
        <f>IF($C3=0,"",VALUE(MID(site_assumptions[[#This Row],[Details]],SEARCH("(",site_assumptions[[#This Row],[Details]])+1,SEARCH("/",site_assumptions[[#This Row],[Details]])-SEARCH("(",site_assumptions[[#This Row],[Details]])-1)))</f>
        <v>400</v>
      </c>
      <c r="F3">
        <f>IF($C3=0,"",VALUE(MID(site_assumptions[[#This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3" t="str">
        <f>IF($C3=0,"",TRIM(MID(site_assumptions[[#This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4" spans="1:7" x14ac:dyDescent="0.25">
      <c r="A4" t="s">
        <v>8</v>
      </c>
      <c r="B4">
        <v>3</v>
      </c>
      <c r="C4">
        <v>7</v>
      </c>
      <c r="D4" t="s">
        <v>10</v>
      </c>
      <c r="E4" s="1">
        <f>IF($C4=0,"",VALUE(MID(site_assumptions[[#This Row],[Details]],SEARCH("(",site_assumptions[[#This Row],[Details]])+1,SEARCH("/",site_assumptions[[#This Row],[Details]])-SEARCH("(",site_assumptions[[#This Row],[Details]])-1)))</f>
        <v>400</v>
      </c>
      <c r="F4">
        <f>IF($C4=0,"",VALUE(MID(site_assumptions[[#This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4" t="str">
        <f>IF($C4=0,"",TRIM(MID(site_assumptions[[#This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5" spans="1:7" x14ac:dyDescent="0.25">
      <c r="A5" t="s">
        <v>11</v>
      </c>
      <c r="B5">
        <v>1</v>
      </c>
      <c r="C5">
        <v>2</v>
      </c>
      <c r="D5" t="s">
        <v>12</v>
      </c>
      <c r="E5" s="1">
        <f>IF($C5=0,"",VALUE(MID(site_assumptions[[#This Row],[Details]],SEARCH("(",site_assumptions[[#This Row],[Details]])+1,SEARCH("/",site_assumptions[[#This Row],[Details]])-SEARCH("(",site_assumptions[[#This Row],[Details]])-1)))</f>
        <v>208</v>
      </c>
      <c r="F5">
        <f>IF($C5=0,"",VALUE(MID(site_assumptions[[#This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5" t="str">
        <f>IF($C5=0,"",TRIM(MID(site_assumptions[[#This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Single</v>
      </c>
    </row>
    <row r="6" spans="1:7" x14ac:dyDescent="0.25">
      <c r="A6" t="s">
        <v>11</v>
      </c>
      <c r="B6">
        <v>3</v>
      </c>
      <c r="C6">
        <v>2</v>
      </c>
      <c r="D6" t="s">
        <v>12</v>
      </c>
      <c r="E6" s="1">
        <f>IF($C6=0,"",VALUE(MID(site_assumptions[[#This Row],[Details]],SEARCH("(",site_assumptions[[#This Row],[Details]])+1,SEARCH("/",site_assumptions[[#This Row],[Details]])-SEARCH("(",site_assumptions[[#This Row],[Details]])-1)))</f>
        <v>208</v>
      </c>
      <c r="F6">
        <f>IF($C6=0,"",VALUE(MID(site_assumptions[[#This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6" t="str">
        <f>IF($C6=0,"",TRIM(MID(site_assumptions[[#This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Single</v>
      </c>
    </row>
    <row r="7" spans="1:7" x14ac:dyDescent="0.25">
      <c r="A7" t="s">
        <v>13</v>
      </c>
      <c r="B7">
        <v>1</v>
      </c>
      <c r="C7">
        <v>2</v>
      </c>
      <c r="D7" t="s">
        <v>12</v>
      </c>
      <c r="E7" s="1">
        <f>IF($C7=0,"",VALUE(MID(site_assumptions[[#This Row],[Details]],SEARCH("(",site_assumptions[[#This Row],[Details]])+1,SEARCH("/",site_assumptions[[#This Row],[Details]])-SEARCH("(",site_assumptions[[#This Row],[Details]])-1)))</f>
        <v>208</v>
      </c>
      <c r="F7">
        <f>IF($C7=0,"",VALUE(MID(site_assumptions[[#This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7" t="str">
        <f>IF($C7=0,"",TRIM(MID(site_assumptions[[#This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Single</v>
      </c>
    </row>
    <row r="8" spans="1:7" x14ac:dyDescent="0.25">
      <c r="A8" t="s">
        <v>14</v>
      </c>
      <c r="B8">
        <v>1</v>
      </c>
      <c r="C8">
        <v>8</v>
      </c>
      <c r="D8" t="s">
        <v>15</v>
      </c>
      <c r="E8" s="1">
        <f>IF($C8=0,"",VALUE(MID(site_assumptions[[#This Row],[Details]],SEARCH("(",site_assumptions[[#This Row],[Details]])+1,SEARCH("/",site_assumptions[[#This Row],[Details]])-SEARCH("(",site_assumptions[[#This Row],[Details]])-1)))</f>
        <v>400</v>
      </c>
      <c r="F8">
        <f>IF($C8=0,"",VALUE(MID(site_assumptions[[#This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8" t="str">
        <f>IF($C8=0,"",TRIM(MID(site_assumptions[[#This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9" spans="1:7" x14ac:dyDescent="0.25">
      <c r="A9" t="s">
        <v>14</v>
      </c>
      <c r="B9">
        <v>2</v>
      </c>
      <c r="C9">
        <v>8</v>
      </c>
      <c r="D9" t="s">
        <v>15</v>
      </c>
      <c r="E9" s="1">
        <f>IF($C9=0,"",VALUE(MID(site_assumptions[[#This Row],[Details]],SEARCH("(",site_assumptions[[#This Row],[Details]])+1,SEARCH("/",site_assumptions[[#This Row],[Details]])-SEARCH("(",site_assumptions[[#This Row],[Details]])-1)))</f>
        <v>400</v>
      </c>
      <c r="F9">
        <f>IF($C9=0,"",VALUE(MID(site_assumptions[[#This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9" t="str">
        <f>IF($C9=0,"",TRIM(MID(site_assumptions[[#This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0" spans="1:7" x14ac:dyDescent="0.25">
      <c r="A10" t="s">
        <v>16</v>
      </c>
      <c r="B10">
        <v>1</v>
      </c>
      <c r="C10">
        <v>3</v>
      </c>
      <c r="D10" t="s">
        <v>17</v>
      </c>
      <c r="E10" s="1">
        <f>IF($C10=0,"",VALUE(MID(site_assumptions[[#This Row],[Details]],SEARCH("(",site_assumptions[[#This Row],[Details]])+1,SEARCH("/",site_assumptions[[#This Row],[Details]])-SEARCH("(",site_assumptions[[#This Row],[Details]])-1)))</f>
        <v>208</v>
      </c>
      <c r="F10">
        <f>IF($C10=0,"",VALUE(MID(site_assumptions[[#This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0" t="str">
        <f>IF($C10=0,"",TRIM(MID(site_assumptions[[#This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Single</v>
      </c>
    </row>
    <row r="11" spans="1:7" x14ac:dyDescent="0.25">
      <c r="A11" t="s">
        <v>16</v>
      </c>
      <c r="B11">
        <v>2</v>
      </c>
      <c r="C11">
        <v>3</v>
      </c>
      <c r="D11" t="s">
        <v>17</v>
      </c>
      <c r="E11" s="1">
        <f>IF($C11=0,"",VALUE(MID(site_assumptions[[#This Row],[Details]],SEARCH("(",site_assumptions[[#This Row],[Details]])+1,SEARCH("/",site_assumptions[[#This Row],[Details]])-SEARCH("(",site_assumptions[[#This Row],[Details]])-1)))</f>
        <v>208</v>
      </c>
      <c r="F11">
        <f>IF($C11=0,"",VALUE(MID(site_assumptions[[#This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1" t="str">
        <f>IF($C11=0,"",TRIM(MID(site_assumptions[[#This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Single</v>
      </c>
    </row>
    <row r="12" spans="1:7" x14ac:dyDescent="0.25">
      <c r="A12" t="s">
        <v>16</v>
      </c>
      <c r="B12">
        <v>3</v>
      </c>
      <c r="C12">
        <v>6</v>
      </c>
      <c r="D12" t="s">
        <v>18</v>
      </c>
      <c r="E12" s="1">
        <f>IF($C12=0,"",VALUE(MID(site_assumptions[[#This Row],[Details]],SEARCH("(",site_assumptions[[#This Row],[Details]])+1,SEARCH("/",site_assumptions[[#This Row],[Details]])-SEARCH("(",site_assumptions[[#This Row],[Details]])-1)))</f>
        <v>208</v>
      </c>
      <c r="F12">
        <f>IF($C12=0,"",VALUE(MID(site_assumptions[[#This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2" t="str">
        <f>IF($C12=0,"",TRIM(MID(site_assumptions[[#This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3" spans="1:7" x14ac:dyDescent="0.25">
      <c r="A13" t="s">
        <v>16</v>
      </c>
      <c r="B13">
        <v>4</v>
      </c>
      <c r="C13">
        <v>6</v>
      </c>
      <c r="D13" t="s">
        <v>18</v>
      </c>
      <c r="E13" s="1">
        <f>IF($C13=0,"",VALUE(MID(site_assumptions[[#This Row],[Details]],SEARCH("(",site_assumptions[[#This Row],[Details]])+1,SEARCH("/",site_assumptions[[#This Row],[Details]])-SEARCH("(",site_assumptions[[#This Row],[Details]])-1)))</f>
        <v>208</v>
      </c>
      <c r="F13">
        <f>IF($C13=0,"",VALUE(MID(site_assumptions[[#This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3" t="str">
        <f>IF($C13=0,"",TRIM(MID(site_assumptions[[#This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4" spans="1:7" x14ac:dyDescent="0.25">
      <c r="A14" t="s">
        <v>16</v>
      </c>
      <c r="B14">
        <v>5</v>
      </c>
      <c r="C14">
        <v>6</v>
      </c>
      <c r="D14" t="s">
        <v>18</v>
      </c>
      <c r="E14" s="1">
        <f>IF($C14=0,"",VALUE(MID(site_assumptions[[#This Row],[Details]],SEARCH("(",site_assumptions[[#This Row],[Details]])+1,SEARCH("/",site_assumptions[[#This Row],[Details]])-SEARCH("(",site_assumptions[[#This Row],[Details]])-1)))</f>
        <v>208</v>
      </c>
      <c r="F14">
        <f>IF($C14=0,"",VALUE(MID(site_assumptions[[#This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4" t="str">
        <f>IF($C14=0,"",TRIM(MID(site_assumptions[[#This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5" spans="1:7" x14ac:dyDescent="0.25">
      <c r="A15" t="s">
        <v>16</v>
      </c>
      <c r="B15">
        <v>6</v>
      </c>
      <c r="C15">
        <v>6</v>
      </c>
      <c r="D15" t="s">
        <v>18</v>
      </c>
      <c r="E15" s="1">
        <f>IF($C15=0,"",VALUE(MID(site_assumptions[[#This Row],[Details]],SEARCH("(",site_assumptions[[#This Row],[Details]])+1,SEARCH("/",site_assumptions[[#This Row],[Details]])-SEARCH("(",site_assumptions[[#This Row],[Details]])-1)))</f>
        <v>208</v>
      </c>
      <c r="F15">
        <f>IF($C15=0,"",VALUE(MID(site_assumptions[[#This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5" t="str">
        <f>IF($C15=0,"",TRIM(MID(site_assumptions[[#This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6" spans="1:7" x14ac:dyDescent="0.25">
      <c r="A16" t="s">
        <v>16</v>
      </c>
      <c r="B16">
        <v>7</v>
      </c>
      <c r="C16">
        <v>7</v>
      </c>
      <c r="D16" t="s">
        <v>10</v>
      </c>
      <c r="E16" s="1">
        <f>IF($C16=0,"",VALUE(MID(site_assumptions[[#This Row],[Details]],SEARCH("(",site_assumptions[[#This Row],[Details]])+1,SEARCH("/",site_assumptions[[#This Row],[Details]])-SEARCH("(",site_assumptions[[#This Row],[Details]])-1)))</f>
        <v>400</v>
      </c>
      <c r="F16">
        <f>IF($C16=0,"",VALUE(MID(site_assumptions[[#This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6" t="str">
        <f>IF($C16=0,"",TRIM(MID(site_assumptions[[#This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7" spans="1:7" x14ac:dyDescent="0.25">
      <c r="A17" t="s">
        <v>16</v>
      </c>
      <c r="B17">
        <v>8</v>
      </c>
      <c r="C17">
        <v>7</v>
      </c>
      <c r="D17" t="s">
        <v>10</v>
      </c>
      <c r="E17" s="1">
        <f>IF($C17=0,"",VALUE(MID(site_assumptions[[#This Row],[Details]],SEARCH("(",site_assumptions[[#This Row],[Details]])+1,SEARCH("/",site_assumptions[[#This Row],[Details]])-SEARCH("(",site_assumptions[[#This Row],[Details]])-1)))</f>
        <v>400</v>
      </c>
      <c r="F17">
        <f>IF($C17=0,"",VALUE(MID(site_assumptions[[#This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7" t="str">
        <f>IF($C17=0,"",TRIM(MID(site_assumptions[[#This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8" spans="1:7" x14ac:dyDescent="0.25">
      <c r="A18" t="s">
        <v>16</v>
      </c>
      <c r="B18">
        <v>9</v>
      </c>
      <c r="C18">
        <v>7</v>
      </c>
      <c r="D18" t="s">
        <v>10</v>
      </c>
      <c r="E18" s="1">
        <f>IF($C18=0,"",VALUE(MID(site_assumptions[[#This Row],[Details]],SEARCH("(",site_assumptions[[#This Row],[Details]])+1,SEARCH("/",site_assumptions[[#This Row],[Details]])-SEARCH("(",site_assumptions[[#This Row],[Details]])-1)))</f>
        <v>400</v>
      </c>
      <c r="F18">
        <f>IF($C18=0,"",VALUE(MID(site_assumptions[[#This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8" t="str">
        <f>IF($C18=0,"",TRIM(MID(site_assumptions[[#This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9" spans="1:7" x14ac:dyDescent="0.25">
      <c r="A19" t="s">
        <v>19</v>
      </c>
      <c r="B19">
        <v>1</v>
      </c>
      <c r="C19">
        <v>7</v>
      </c>
      <c r="D19" t="s">
        <v>10</v>
      </c>
      <c r="E19" s="1">
        <f>IF($C19=0,"",VALUE(MID(site_assumptions[[#This Row],[Details]],SEARCH("(",site_assumptions[[#This Row],[Details]])+1,SEARCH("/",site_assumptions[[#This Row],[Details]])-SEARCH("(",site_assumptions[[#This Row],[Details]])-1)))</f>
        <v>400</v>
      </c>
      <c r="F19">
        <f>IF($C19=0,"",VALUE(MID(site_assumptions[[#This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9" t="str">
        <f>IF($C19=0,"",TRIM(MID(site_assumptions[[#This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20" spans="1:7" x14ac:dyDescent="0.25">
      <c r="A20" t="s">
        <v>19</v>
      </c>
      <c r="B20">
        <v>2</v>
      </c>
      <c r="C20">
        <v>7</v>
      </c>
      <c r="D20" t="s">
        <v>10</v>
      </c>
      <c r="E20" s="1">
        <f>IF($C20=0,"",VALUE(MID(site_assumptions[[#This Row],[Details]],SEARCH("(",site_assumptions[[#This Row],[Details]])+1,SEARCH("/",site_assumptions[[#This Row],[Details]])-SEARCH("(",site_assumptions[[#This Row],[Details]])-1)))</f>
        <v>400</v>
      </c>
      <c r="F20">
        <f>IF($C20=0,"",VALUE(MID(site_assumptions[[#This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20" t="str">
        <f>IF($C20=0,"",TRIM(MID(site_assumptions[[#This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21" spans="1:7" x14ac:dyDescent="0.25">
      <c r="A21" t="s">
        <v>19</v>
      </c>
      <c r="B21">
        <v>3</v>
      </c>
      <c r="C21">
        <v>7</v>
      </c>
      <c r="D21" t="s">
        <v>10</v>
      </c>
      <c r="E21" s="1">
        <f>IF($C21=0,"",VALUE(MID(site_assumptions[[#This Row],[Details]],SEARCH("(",site_assumptions[[#This Row],[Details]])+1,SEARCH("/",site_assumptions[[#This Row],[Details]])-SEARCH("(",site_assumptions[[#This Row],[Details]])-1)))</f>
        <v>400</v>
      </c>
      <c r="F21">
        <f>IF($C21=0,"",VALUE(MID(site_assumptions[[#This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21" t="str">
        <f>IF($C21=0,"",TRIM(MID(site_assumptions[[#This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22" spans="1:7" x14ac:dyDescent="0.25">
      <c r="A22" t="s">
        <v>19</v>
      </c>
      <c r="B22">
        <v>4</v>
      </c>
      <c r="C22">
        <v>7</v>
      </c>
      <c r="D22" t="s">
        <v>10</v>
      </c>
      <c r="E22" s="1">
        <f>IF($C22=0,"",VALUE(MID(site_assumptions[[#This Row],[Details]],SEARCH("(",site_assumptions[[#This Row],[Details]])+1,SEARCH("/",site_assumptions[[#This Row],[Details]])-SEARCH("(",site_assumptions[[#This Row],[Details]])-1)))</f>
        <v>400</v>
      </c>
      <c r="F22">
        <f>IF($C22=0,"",VALUE(MID(site_assumptions[[#This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22" t="str">
        <f>IF($C22=0,"",TRIM(MID(site_assumptions[[#This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23" spans="1:7" x14ac:dyDescent="0.25">
      <c r="A23" t="s">
        <v>19</v>
      </c>
      <c r="B23">
        <v>5</v>
      </c>
      <c r="C23">
        <v>0</v>
      </c>
      <c r="D23" t="s">
        <v>20</v>
      </c>
      <c r="E23" s="1" t="str">
        <f>IF($C23=0,"",VALUE(MID(site_assumptions[[#This Row],[Details]],SEARCH("(",site_assumptions[[#This Row],[Details]])+1,SEARCH("/",site_assumptions[[#This Row],[Details]])-SEARCH("(",site_assumptions[[#This Row],[Details]])-1)))</f>
        <v/>
      </c>
      <c r="F23" t="str">
        <f>IF($C23=0,"",VALUE(MID(site_assumptions[[#This Row],[Details]],SEARCH("/",site_assumptions[[#This Row],[Details]])+1,SEARCH("#",SUBSTITUTE(site_assumptions[[#This Row],[Details]],"/","#",2))-SEARCH("/",site_assumptions[[#This Row],[Details]])-1)))</f>
        <v/>
      </c>
      <c r="G23" t="str">
        <f>IF($C23=0,"",TRIM(MID(site_assumptions[[#This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/>
      </c>
    </row>
    <row r="24" spans="1:7" x14ac:dyDescent="0.25">
      <c r="A24" t="s">
        <v>19</v>
      </c>
      <c r="B24">
        <v>6</v>
      </c>
      <c r="C24">
        <v>0</v>
      </c>
      <c r="D24" t="s">
        <v>20</v>
      </c>
      <c r="E24" s="1" t="str">
        <f>IF($C24=0,"",VALUE(MID(site_assumptions[[#This Row],[Details]],SEARCH("(",site_assumptions[[#This Row],[Details]])+1,SEARCH("/",site_assumptions[[#This Row],[Details]])-SEARCH("(",site_assumptions[[#This Row],[Details]])-1)))</f>
        <v/>
      </c>
      <c r="F24" t="str">
        <f>IF($C24=0,"",VALUE(MID(site_assumptions[[#This Row],[Details]],SEARCH("/",site_assumptions[[#This Row],[Details]])+1,SEARCH("#",SUBSTITUTE(site_assumptions[[#This Row],[Details]],"/","#",2))-SEARCH("/",site_assumptions[[#This Row],[Details]])-1)))</f>
        <v/>
      </c>
      <c r="G24" t="str">
        <f>IF($C24=0,"",TRIM(MID(site_assumptions[[#This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/>
      </c>
    </row>
    <row r="25" spans="1:7" x14ac:dyDescent="0.25">
      <c r="A25" t="s">
        <v>21</v>
      </c>
      <c r="B25">
        <v>1</v>
      </c>
      <c r="C25">
        <v>7</v>
      </c>
      <c r="D25" t="s">
        <v>10</v>
      </c>
      <c r="E25" s="1">
        <f>IF($C25=0,"",VALUE(MID(site_assumptions[[#This Row],[Details]],SEARCH("(",site_assumptions[[#This Row],[Details]])+1,SEARCH("/",site_assumptions[[#This Row],[Details]])-SEARCH("(",site_assumptions[[#This Row],[Details]])-1)))</f>
        <v>400</v>
      </c>
      <c r="F25">
        <f>IF($C25=0,"",VALUE(MID(site_assumptions[[#This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25" t="str">
        <f>IF($C25=0,"",TRIM(MID(site_assumptions[[#This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26" spans="1:7" x14ac:dyDescent="0.25">
      <c r="A26" t="s">
        <v>21</v>
      </c>
      <c r="B26">
        <v>2</v>
      </c>
      <c r="C26">
        <v>7</v>
      </c>
      <c r="D26" t="s">
        <v>10</v>
      </c>
      <c r="E26" s="1">
        <f>IF($C26=0,"",VALUE(MID(site_assumptions[[#This Row],[Details]],SEARCH("(",site_assumptions[[#This Row],[Details]])+1,SEARCH("/",site_assumptions[[#This Row],[Details]])-SEARCH("(",site_assumptions[[#This Row],[Details]])-1)))</f>
        <v>400</v>
      </c>
      <c r="F26">
        <f>IF($C26=0,"",VALUE(MID(site_assumptions[[#This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26" t="str">
        <f>IF($C26=0,"",TRIM(MID(site_assumptions[[#This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27" spans="1:7" x14ac:dyDescent="0.25">
      <c r="A27" t="s">
        <v>21</v>
      </c>
      <c r="B27">
        <v>3</v>
      </c>
      <c r="C27">
        <v>9</v>
      </c>
      <c r="D27" t="s">
        <v>22</v>
      </c>
      <c r="E27" s="1">
        <f>IF($C27=0,"",VALUE(MID(site_assumptions[[#This Row],[Details]],SEARCH("(",site_assumptions[[#This Row],[Details]])+1,SEARCH("/",site_assumptions[[#This Row],[Details]])-SEARCH("(",site_assumptions[[#This Row],[Details]])-1)))</f>
        <v>208</v>
      </c>
      <c r="F27">
        <f>IF($C27=0,"",VALUE(MID(site_assumptions[[#This Row],[Details]],SEARCH("/",site_assumptions[[#This Row],[Details]])+1,SEARCH("#",SUBSTITUTE(site_assumptions[[#This Row],[Details]],"/","#",2))-SEARCH("/",site_assumptions[[#This Row],[Details]])-1)))</f>
        <v>60</v>
      </c>
      <c r="G27" t="str">
        <f>IF($C27=0,"",TRIM(MID(site_assumptions[[#This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28" spans="1:7" x14ac:dyDescent="0.25">
      <c r="A28" t="s">
        <v>23</v>
      </c>
      <c r="B28">
        <v>1</v>
      </c>
      <c r="C28">
        <v>7</v>
      </c>
      <c r="D28" t="s">
        <v>10</v>
      </c>
      <c r="E28" s="1">
        <f>IF($C28=0,"",VALUE(MID(site_assumptions[[#This Row],[Details]],SEARCH("(",site_assumptions[[#This Row],[Details]])+1,SEARCH("/",site_assumptions[[#This Row],[Details]])-SEARCH("(",site_assumptions[[#This Row],[Details]])-1)))</f>
        <v>400</v>
      </c>
      <c r="F28">
        <f>IF($C28=0,"",VALUE(MID(site_assumptions[[#This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28" t="str">
        <f>IF($C28=0,"",TRIM(MID(site_assumptions[[#This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29" spans="1:7" x14ac:dyDescent="0.25">
      <c r="A29" t="s">
        <v>23</v>
      </c>
      <c r="B29">
        <v>2</v>
      </c>
      <c r="C29">
        <v>7</v>
      </c>
      <c r="D29" t="s">
        <v>10</v>
      </c>
      <c r="E29" s="1">
        <f>IF($C29=0,"",VALUE(MID(site_assumptions[[#This Row],[Details]],SEARCH("(",site_assumptions[[#This Row],[Details]])+1,SEARCH("/",site_assumptions[[#This Row],[Details]])-SEARCH("(",site_assumptions[[#This Row],[Details]])-1)))</f>
        <v>400</v>
      </c>
      <c r="F29">
        <f>IF($C29=0,"",VALUE(MID(site_assumptions[[#This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29" t="str">
        <f>IF($C29=0,"",TRIM(MID(site_assumptions[[#This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30" spans="1:7" x14ac:dyDescent="0.25">
      <c r="A30" t="s">
        <v>23</v>
      </c>
      <c r="B30">
        <v>3</v>
      </c>
      <c r="C30">
        <v>7</v>
      </c>
      <c r="D30" t="s">
        <v>10</v>
      </c>
      <c r="E30" s="1">
        <f>IF($C30=0,"",VALUE(MID(site_assumptions[[#This Row],[Details]],SEARCH("(",site_assumptions[[#This Row],[Details]])+1,SEARCH("/",site_assumptions[[#This Row],[Details]])-SEARCH("(",site_assumptions[[#This Row],[Details]])-1)))</f>
        <v>400</v>
      </c>
      <c r="F30">
        <f>IF($C30=0,"",VALUE(MID(site_assumptions[[#This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30" t="str">
        <f>IF($C30=0,"",TRIM(MID(site_assumptions[[#This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31" spans="1:7" x14ac:dyDescent="0.25">
      <c r="A31" t="s">
        <v>24</v>
      </c>
      <c r="B31">
        <v>1</v>
      </c>
      <c r="C31">
        <v>7</v>
      </c>
      <c r="D31" t="s">
        <v>10</v>
      </c>
      <c r="E31" s="1">
        <f>IF($C31=0,"",VALUE(MID(site_assumptions[[#This Row],[Details]],SEARCH("(",site_assumptions[[#This Row],[Details]])+1,SEARCH("/",site_assumptions[[#This Row],[Details]])-SEARCH("(",site_assumptions[[#This Row],[Details]])-1)))</f>
        <v>400</v>
      </c>
      <c r="F31">
        <f>IF($C31=0,"",VALUE(MID(site_assumptions[[#This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31" t="str">
        <f>IF($C31=0,"",TRIM(MID(site_assumptions[[#This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32" spans="1:7" x14ac:dyDescent="0.25">
      <c r="A32" t="s">
        <v>25</v>
      </c>
      <c r="B32">
        <v>1</v>
      </c>
      <c r="C32">
        <v>5</v>
      </c>
      <c r="D32" t="s">
        <v>9</v>
      </c>
      <c r="E32" s="1">
        <f>IF($C32=0,"",VALUE(MID(site_assumptions[[#This Row],[Details]],SEARCH("(",site_assumptions[[#This Row],[Details]])+1,SEARCH("/",site_assumptions[[#This Row],[Details]])-SEARCH("(",site_assumptions[[#This Row],[Details]])-1)))</f>
        <v>208</v>
      </c>
      <c r="F32">
        <f>IF($C32=0,"",VALUE(MID(site_assumptions[[#This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32" t="str">
        <f>IF($C32=0,"",TRIM(MID(site_assumptions[[#This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Single ATS</v>
      </c>
    </row>
    <row r="33" spans="1:7" x14ac:dyDescent="0.25">
      <c r="A33" t="s">
        <v>25</v>
      </c>
      <c r="B33">
        <v>2</v>
      </c>
      <c r="C33">
        <v>5</v>
      </c>
      <c r="D33" t="s">
        <v>9</v>
      </c>
      <c r="E33" s="1">
        <f>IF($C33=0,"",VALUE(MID(site_assumptions[[#This Row],[Details]],SEARCH("(",site_assumptions[[#This Row],[Details]])+1,SEARCH("/",site_assumptions[[#This Row],[Details]])-SEARCH("(",site_assumptions[[#This Row],[Details]])-1)))</f>
        <v>208</v>
      </c>
      <c r="F33">
        <f>IF($C33=0,"",VALUE(MID(site_assumptions[[#This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33" t="str">
        <f>IF($C33=0,"",TRIM(MID(site_assumptions[[#This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Single ATS</v>
      </c>
    </row>
    <row r="34" spans="1:7" x14ac:dyDescent="0.25">
      <c r="A34" t="s">
        <v>25</v>
      </c>
      <c r="B34">
        <v>3</v>
      </c>
      <c r="C34">
        <v>7</v>
      </c>
      <c r="D34" t="s">
        <v>10</v>
      </c>
      <c r="E34" s="1">
        <f>IF($C34=0,"",VALUE(MID(site_assumptions[[#This Row],[Details]],SEARCH("(",site_assumptions[[#This Row],[Details]])+1,SEARCH("/",site_assumptions[[#This Row],[Details]])-SEARCH("(",site_assumptions[[#This Row],[Details]])-1)))</f>
        <v>400</v>
      </c>
      <c r="F34">
        <f>IF($C34=0,"",VALUE(MID(site_assumptions[[#This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34" t="str">
        <f>IF($C34=0,"",TRIM(MID(site_assumptions[[#This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35" spans="1:7" x14ac:dyDescent="0.25">
      <c r="A35" t="s">
        <v>25</v>
      </c>
      <c r="B35">
        <v>4</v>
      </c>
      <c r="C35">
        <v>7</v>
      </c>
      <c r="D35" t="s">
        <v>10</v>
      </c>
      <c r="E35" s="1">
        <f>IF($C35=0,"",VALUE(MID(site_assumptions[[#This Row],[Details]],SEARCH("(",site_assumptions[[#This Row],[Details]])+1,SEARCH("/",site_assumptions[[#This Row],[Details]])-SEARCH("(",site_assumptions[[#This Row],[Details]])-1)))</f>
        <v>400</v>
      </c>
      <c r="F35">
        <f>IF($C35=0,"",VALUE(MID(site_assumptions[[#This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35" t="str">
        <f>IF($C35=0,"",TRIM(MID(site_assumptions[[#This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36" spans="1:7" x14ac:dyDescent="0.25">
      <c r="A36" t="s">
        <v>25</v>
      </c>
      <c r="B36">
        <v>5</v>
      </c>
      <c r="C36">
        <v>7</v>
      </c>
      <c r="D36" t="s">
        <v>10</v>
      </c>
      <c r="E36" s="1">
        <f>IF($C36=0,"",VALUE(MID(site_assumptions[[#This Row],[Details]],SEARCH("(",site_assumptions[[#This Row],[Details]])+1,SEARCH("/",site_assumptions[[#This Row],[Details]])-SEARCH("(",site_assumptions[[#This Row],[Details]])-1)))</f>
        <v>400</v>
      </c>
      <c r="F36">
        <f>IF($C36=0,"",VALUE(MID(site_assumptions[[#This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36" t="str">
        <f>IF($C36=0,"",TRIM(MID(site_assumptions[[#This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37" spans="1:7" x14ac:dyDescent="0.25">
      <c r="A37" t="s">
        <v>25</v>
      </c>
      <c r="B37">
        <v>6</v>
      </c>
      <c r="C37">
        <v>7</v>
      </c>
      <c r="D37" t="s">
        <v>10</v>
      </c>
      <c r="E37" s="1">
        <f>IF($C37=0,"",VALUE(MID(site_assumptions[[#This Row],[Details]],SEARCH("(",site_assumptions[[#This Row],[Details]])+1,SEARCH("/",site_assumptions[[#This Row],[Details]])-SEARCH("(",site_assumptions[[#This Row],[Details]])-1)))</f>
        <v>400</v>
      </c>
      <c r="F37">
        <f>IF($C37=0,"",VALUE(MID(site_assumptions[[#This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37" t="str">
        <f>IF($C37=0,"",TRIM(MID(site_assumptions[[#This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38" spans="1:7" x14ac:dyDescent="0.25">
      <c r="A38" t="s">
        <v>26</v>
      </c>
      <c r="B38">
        <v>1</v>
      </c>
      <c r="C38">
        <v>6</v>
      </c>
      <c r="D38" t="s">
        <v>18</v>
      </c>
      <c r="E38" s="1">
        <f>IF($C38=0,"",VALUE(MID(site_assumptions[[#This Row],[Details]],SEARCH("(",site_assumptions[[#This Row],[Details]])+1,SEARCH("/",site_assumptions[[#This Row],[Details]])-SEARCH("(",site_assumptions[[#This Row],[Details]])-1)))</f>
        <v>208</v>
      </c>
      <c r="F38">
        <f>IF($C38=0,"",VALUE(MID(site_assumptions[[#This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38" t="str">
        <f>IF($C38=0,"",TRIM(MID(site_assumptions[[#This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39" spans="1:7" x14ac:dyDescent="0.25">
      <c r="A39" t="s">
        <v>26</v>
      </c>
      <c r="B39">
        <v>2</v>
      </c>
      <c r="C39">
        <v>6</v>
      </c>
      <c r="D39" t="s">
        <v>18</v>
      </c>
      <c r="E39" s="1">
        <f>IF($C39=0,"",VALUE(MID(site_assumptions[[#This Row],[Details]],SEARCH("(",site_assumptions[[#This Row],[Details]])+1,SEARCH("/",site_assumptions[[#This Row],[Details]])-SEARCH("(",site_assumptions[[#This Row],[Details]])-1)))</f>
        <v>208</v>
      </c>
      <c r="F39">
        <f>IF($C39=0,"",VALUE(MID(site_assumptions[[#This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39" t="str">
        <f>IF($C39=0,"",TRIM(MID(site_assumptions[[#This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40" spans="1:7" x14ac:dyDescent="0.25">
      <c r="A40" t="s">
        <v>26</v>
      </c>
      <c r="B40">
        <v>3</v>
      </c>
      <c r="C40">
        <v>6</v>
      </c>
      <c r="D40" t="s">
        <v>18</v>
      </c>
      <c r="E40" s="1">
        <f>IF($C40=0,"",VALUE(MID(site_assumptions[[#This Row],[Details]],SEARCH("(",site_assumptions[[#This Row],[Details]])+1,SEARCH("/",site_assumptions[[#This Row],[Details]])-SEARCH("(",site_assumptions[[#This Row],[Details]])-1)))</f>
        <v>208</v>
      </c>
      <c r="F40">
        <f>IF($C40=0,"",VALUE(MID(site_assumptions[[#This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40" t="str">
        <f>IF($C40=0,"",TRIM(MID(site_assumptions[[#This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41" spans="1:7" x14ac:dyDescent="0.25">
      <c r="A41" t="s">
        <v>26</v>
      </c>
      <c r="B41">
        <v>4</v>
      </c>
      <c r="C41">
        <v>6</v>
      </c>
      <c r="D41" t="s">
        <v>18</v>
      </c>
      <c r="E41" s="1">
        <f>IF($C41=0,"",VALUE(MID(site_assumptions[[#This Row],[Details]],SEARCH("(",site_assumptions[[#This Row],[Details]])+1,SEARCH("/",site_assumptions[[#This Row],[Details]])-SEARCH("(",site_assumptions[[#This Row],[Details]])-1)))</f>
        <v>208</v>
      </c>
      <c r="F41">
        <f>IF($C41=0,"",VALUE(MID(site_assumptions[[#This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41" t="str">
        <f>IF($C41=0,"",TRIM(MID(site_assumptions[[#This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42" spans="1:7" x14ac:dyDescent="0.25">
      <c r="A42" t="s">
        <v>27</v>
      </c>
      <c r="B42">
        <v>1</v>
      </c>
      <c r="C42">
        <v>6</v>
      </c>
      <c r="D42" t="s">
        <v>18</v>
      </c>
      <c r="E42" s="1">
        <f>IF($C42=0,"",VALUE(MID(site_assumptions[[#This Row],[Details]],SEARCH("(",site_assumptions[[#This Row],[Details]])+1,SEARCH("/",site_assumptions[[#This Row],[Details]])-SEARCH("(",site_assumptions[[#This Row],[Details]])-1)))</f>
        <v>208</v>
      </c>
      <c r="F42">
        <f>IF($C42=0,"",VALUE(MID(site_assumptions[[#This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42" t="str">
        <f>IF($C42=0,"",TRIM(MID(site_assumptions[[#This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43" spans="1:7" x14ac:dyDescent="0.25">
      <c r="A43" t="s">
        <v>27</v>
      </c>
      <c r="B43">
        <v>2</v>
      </c>
      <c r="C43">
        <v>6</v>
      </c>
      <c r="D43" t="s">
        <v>18</v>
      </c>
      <c r="E43" s="1">
        <f>IF($C43=0,"",VALUE(MID(site_assumptions[[#This Row],[Details]],SEARCH("(",site_assumptions[[#This Row],[Details]])+1,SEARCH("/",site_assumptions[[#This Row],[Details]])-SEARCH("(",site_assumptions[[#This Row],[Details]])-1)))</f>
        <v>208</v>
      </c>
      <c r="F43">
        <f>IF($C43=0,"",VALUE(MID(site_assumptions[[#This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43" t="str">
        <f>IF($C43=0,"",TRIM(MID(site_assumptions[[#This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44" spans="1:7" x14ac:dyDescent="0.25">
      <c r="A44" t="s">
        <v>27</v>
      </c>
      <c r="B44">
        <v>3</v>
      </c>
      <c r="C44">
        <v>0</v>
      </c>
      <c r="D44" t="s">
        <v>20</v>
      </c>
      <c r="E44" s="1" t="str">
        <f>IF($C44=0,"",VALUE(MID(site_assumptions[[#This Row],[Details]],SEARCH("(",site_assumptions[[#This Row],[Details]])+1,SEARCH("/",site_assumptions[[#This Row],[Details]])-SEARCH("(",site_assumptions[[#This Row],[Details]])-1)))</f>
        <v/>
      </c>
      <c r="F44" t="str">
        <f>IF($C44=0,"",VALUE(MID(site_assumptions[[#This Row],[Details]],SEARCH("/",site_assumptions[[#This Row],[Details]])+1,SEARCH("#",SUBSTITUTE(site_assumptions[[#This Row],[Details]],"/","#",2))-SEARCH("/",site_assumptions[[#This Row],[Details]])-1)))</f>
        <v/>
      </c>
      <c r="G44" t="str">
        <f>IF($C44=0,"",TRIM(MID(site_assumptions[[#This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/>
      </c>
    </row>
    <row r="45" spans="1:7" x14ac:dyDescent="0.25">
      <c r="A45" t="s">
        <v>28</v>
      </c>
      <c r="B45">
        <v>1</v>
      </c>
      <c r="C45">
        <v>3</v>
      </c>
      <c r="D45" t="s">
        <v>17</v>
      </c>
      <c r="E45" s="1">
        <f>IF($C45=0,"",VALUE(MID(site_assumptions[[#This Row],[Details]],SEARCH("(",site_assumptions[[#This Row],[Details]])+1,SEARCH("/",site_assumptions[[#This Row],[Details]])-SEARCH("(",site_assumptions[[#This Row],[Details]])-1)))</f>
        <v>208</v>
      </c>
      <c r="F45">
        <f>IF($C45=0,"",VALUE(MID(site_assumptions[[#This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45" t="str">
        <f>IF($C45=0,"",TRIM(MID(site_assumptions[[#This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Single</v>
      </c>
    </row>
    <row r="46" spans="1:7" x14ac:dyDescent="0.25">
      <c r="A46" t="s">
        <v>28</v>
      </c>
      <c r="B46">
        <v>2</v>
      </c>
      <c r="C46">
        <v>3</v>
      </c>
      <c r="D46" t="s">
        <v>17</v>
      </c>
      <c r="E46" s="1">
        <f>IF($C46=0,"",VALUE(MID(site_assumptions[[#This Row],[Details]],SEARCH("(",site_assumptions[[#This Row],[Details]])+1,SEARCH("/",site_assumptions[[#This Row],[Details]])-SEARCH("(",site_assumptions[[#This Row],[Details]])-1)))</f>
        <v>208</v>
      </c>
      <c r="F46">
        <f>IF($C46=0,"",VALUE(MID(site_assumptions[[#This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46" t="str">
        <f>IF($C46=0,"",TRIM(MID(site_assumptions[[#This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Single</v>
      </c>
    </row>
    <row r="47" spans="1:7" x14ac:dyDescent="0.25">
      <c r="A47" t="s">
        <v>28</v>
      </c>
      <c r="B47">
        <v>3</v>
      </c>
      <c r="C47">
        <v>6</v>
      </c>
      <c r="D47" t="s">
        <v>18</v>
      </c>
      <c r="E47" s="1">
        <f>IF($C47=0,"",VALUE(MID(site_assumptions[[#This Row],[Details]],SEARCH("(",site_assumptions[[#This Row],[Details]])+1,SEARCH("/",site_assumptions[[#This Row],[Details]])-SEARCH("(",site_assumptions[[#This Row],[Details]])-1)))</f>
        <v>208</v>
      </c>
      <c r="F47">
        <f>IF($C47=0,"",VALUE(MID(site_assumptions[[#This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47" t="str">
        <f>IF($C47=0,"",TRIM(MID(site_assumptions[[#This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48" spans="1:7" x14ac:dyDescent="0.25">
      <c r="A48" t="s">
        <v>28</v>
      </c>
      <c r="B48">
        <v>4</v>
      </c>
      <c r="C48">
        <v>6</v>
      </c>
      <c r="D48" t="s">
        <v>18</v>
      </c>
      <c r="E48" s="1">
        <f>IF($C48=0,"",VALUE(MID(site_assumptions[[#This Row],[Details]],SEARCH("(",site_assumptions[[#This Row],[Details]])+1,SEARCH("/",site_assumptions[[#This Row],[Details]])-SEARCH("(",site_assumptions[[#This Row],[Details]])-1)))</f>
        <v>208</v>
      </c>
      <c r="F48">
        <f>IF($C48=0,"",VALUE(MID(site_assumptions[[#This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48" t="str">
        <f>IF($C48=0,"",TRIM(MID(site_assumptions[[#This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49" spans="1:7" x14ac:dyDescent="0.25">
      <c r="A49" t="s">
        <v>29</v>
      </c>
      <c r="B49">
        <v>1</v>
      </c>
      <c r="C49">
        <v>6</v>
      </c>
      <c r="D49" t="s">
        <v>18</v>
      </c>
      <c r="E49" s="1">
        <f>IF($C49=0,"",VALUE(MID(site_assumptions[[#This Row],[Details]],SEARCH("(",site_assumptions[[#This Row],[Details]])+1,SEARCH("/",site_assumptions[[#This Row],[Details]])-SEARCH("(",site_assumptions[[#This Row],[Details]])-1)))</f>
        <v>208</v>
      </c>
      <c r="F49">
        <f>IF($C49=0,"",VALUE(MID(site_assumptions[[#This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49" t="str">
        <f>IF($C49=0,"",TRIM(MID(site_assumptions[[#This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50" spans="1:7" x14ac:dyDescent="0.25">
      <c r="A50" t="s">
        <v>29</v>
      </c>
      <c r="B50">
        <v>2</v>
      </c>
      <c r="C50">
        <v>6</v>
      </c>
      <c r="D50" t="s">
        <v>18</v>
      </c>
      <c r="E50" s="1">
        <f>IF($C50=0,"",VALUE(MID(site_assumptions[[#This Row],[Details]],SEARCH("(",site_assumptions[[#This Row],[Details]])+1,SEARCH("/",site_assumptions[[#This Row],[Details]])-SEARCH("(",site_assumptions[[#This Row],[Details]])-1)))</f>
        <v>208</v>
      </c>
      <c r="F50">
        <f>IF($C50=0,"",VALUE(MID(site_assumptions[[#This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50" t="str">
        <f>IF($C50=0,"",TRIM(MID(site_assumptions[[#This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51" spans="1:7" x14ac:dyDescent="0.25">
      <c r="A51" t="s">
        <v>29</v>
      </c>
      <c r="B51">
        <v>3</v>
      </c>
      <c r="C51">
        <v>6</v>
      </c>
      <c r="D51" t="s">
        <v>18</v>
      </c>
      <c r="E51" s="1">
        <f>IF($C51=0,"",VALUE(MID(site_assumptions[[#This Row],[Details]],SEARCH("(",site_assumptions[[#This Row],[Details]])+1,SEARCH("/",site_assumptions[[#This Row],[Details]])-SEARCH("(",site_assumptions[[#This Row],[Details]])-1)))</f>
        <v>208</v>
      </c>
      <c r="F51">
        <f>IF($C51=0,"",VALUE(MID(site_assumptions[[#This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51" t="str">
        <f>IF($C51=0,"",TRIM(MID(site_assumptions[[#This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52" spans="1:7" x14ac:dyDescent="0.25">
      <c r="A52" t="s">
        <v>29</v>
      </c>
      <c r="B52">
        <v>4</v>
      </c>
      <c r="C52">
        <v>6</v>
      </c>
      <c r="D52" t="s">
        <v>18</v>
      </c>
      <c r="E52" s="1">
        <f>IF($C52=0,"",VALUE(MID(site_assumptions[[#This Row],[Details]],SEARCH("(",site_assumptions[[#This Row],[Details]])+1,SEARCH("/",site_assumptions[[#This Row],[Details]])-SEARCH("(",site_assumptions[[#This Row],[Details]])-1)))</f>
        <v>208</v>
      </c>
      <c r="F52">
        <f>IF($C52=0,"",VALUE(MID(site_assumptions[[#This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52" t="str">
        <f>IF($C52=0,"",TRIM(MID(site_assumptions[[#This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53" spans="1:7" x14ac:dyDescent="0.25">
      <c r="A53" t="s">
        <v>29</v>
      </c>
      <c r="B53">
        <v>5</v>
      </c>
      <c r="C53">
        <v>6</v>
      </c>
      <c r="D53" t="s">
        <v>18</v>
      </c>
      <c r="E53" s="1">
        <f>IF($C53=0,"",VALUE(MID(site_assumptions[[#This Row],[Details]],SEARCH("(",site_assumptions[[#This Row],[Details]])+1,SEARCH("/",site_assumptions[[#This Row],[Details]])-SEARCH("(",site_assumptions[[#This Row],[Details]])-1)))</f>
        <v>208</v>
      </c>
      <c r="F53">
        <f>IF($C53=0,"",VALUE(MID(site_assumptions[[#This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53" t="str">
        <f>IF($C53=0,"",TRIM(MID(site_assumptions[[#This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54" spans="1:7" x14ac:dyDescent="0.25">
      <c r="A54" t="s">
        <v>29</v>
      </c>
      <c r="B54">
        <v>6</v>
      </c>
      <c r="C54">
        <v>6</v>
      </c>
      <c r="D54" t="s">
        <v>18</v>
      </c>
      <c r="E54" s="1">
        <f>IF($C54=0,"",VALUE(MID(site_assumptions[[#This Row],[Details]],SEARCH("(",site_assumptions[[#This Row],[Details]])+1,SEARCH("/",site_assumptions[[#This Row],[Details]])-SEARCH("(",site_assumptions[[#This Row],[Details]])-1)))</f>
        <v>208</v>
      </c>
      <c r="F54">
        <f>IF($C54=0,"",VALUE(MID(site_assumptions[[#This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54" t="str">
        <f>IF($C54=0,"",TRIM(MID(site_assumptions[[#This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55" spans="1:7" x14ac:dyDescent="0.25">
      <c r="A55" t="s">
        <v>29</v>
      </c>
      <c r="B55">
        <v>7</v>
      </c>
      <c r="C55">
        <v>0</v>
      </c>
      <c r="D55" t="s">
        <v>20</v>
      </c>
      <c r="E55" s="1" t="str">
        <f>IF($C55=0,"",VALUE(MID(site_assumptions[[#This Row],[Details]],SEARCH("(",site_assumptions[[#This Row],[Details]])+1,SEARCH("/",site_assumptions[[#This Row],[Details]])-SEARCH("(",site_assumptions[[#This Row],[Details]])-1)))</f>
        <v/>
      </c>
      <c r="F55" t="str">
        <f>IF($C55=0,"",VALUE(MID(site_assumptions[[#This Row],[Details]],SEARCH("/",site_assumptions[[#This Row],[Details]])+1,SEARCH("#",SUBSTITUTE(site_assumptions[[#This Row],[Details]],"/","#",2))-SEARCH("/",site_assumptions[[#This Row],[Details]])-1)))</f>
        <v/>
      </c>
      <c r="G55" t="str">
        <f>IF($C55=0,"",TRIM(MID(site_assumptions[[#This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/>
      </c>
    </row>
    <row r="56" spans="1:7" x14ac:dyDescent="0.25">
      <c r="A56" t="s">
        <v>30</v>
      </c>
      <c r="B56">
        <v>1</v>
      </c>
      <c r="C56">
        <v>6</v>
      </c>
      <c r="D56" t="s">
        <v>18</v>
      </c>
      <c r="E56" s="1">
        <f>IF($C56=0,"",VALUE(MID(site_assumptions[[#This Row],[Details]],SEARCH("(",site_assumptions[[#This Row],[Details]])+1,SEARCH("/",site_assumptions[[#This Row],[Details]])-SEARCH("(",site_assumptions[[#This Row],[Details]])-1)))</f>
        <v>208</v>
      </c>
      <c r="F56">
        <f>IF($C56=0,"",VALUE(MID(site_assumptions[[#This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56" t="str">
        <f>IF($C56=0,"",TRIM(MID(site_assumptions[[#This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57" spans="1:7" x14ac:dyDescent="0.25">
      <c r="A57" t="s">
        <v>30</v>
      </c>
      <c r="B57">
        <v>2</v>
      </c>
      <c r="C57">
        <v>6</v>
      </c>
      <c r="D57" t="s">
        <v>18</v>
      </c>
      <c r="E57" s="1">
        <f>IF($C57=0,"",VALUE(MID(site_assumptions[[#This Row],[Details]],SEARCH("(",site_assumptions[[#This Row],[Details]])+1,SEARCH("/",site_assumptions[[#This Row],[Details]])-SEARCH("(",site_assumptions[[#This Row],[Details]])-1)))</f>
        <v>208</v>
      </c>
      <c r="F57">
        <f>IF($C57=0,"",VALUE(MID(site_assumptions[[#This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57" t="str">
        <f>IF($C57=0,"",TRIM(MID(site_assumptions[[#This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58" spans="1:7" x14ac:dyDescent="0.25">
      <c r="A58" t="s">
        <v>30</v>
      </c>
      <c r="B58">
        <v>3</v>
      </c>
      <c r="C58">
        <v>0</v>
      </c>
      <c r="D58" t="s">
        <v>20</v>
      </c>
      <c r="E58" s="1" t="str">
        <f>IF($C58=0,"",VALUE(MID(site_assumptions[[#This Row],[Details]],SEARCH("(",site_assumptions[[#This Row],[Details]])+1,SEARCH("/",site_assumptions[[#This Row],[Details]])-SEARCH("(",site_assumptions[[#This Row],[Details]])-1)))</f>
        <v/>
      </c>
      <c r="F58" t="str">
        <f>IF($C58=0,"",VALUE(MID(site_assumptions[[#This Row],[Details]],SEARCH("/",site_assumptions[[#This Row],[Details]])+1,SEARCH("#",SUBSTITUTE(site_assumptions[[#This Row],[Details]],"/","#",2))-SEARCH("/",site_assumptions[[#This Row],[Details]])-1)))</f>
        <v/>
      </c>
      <c r="G58" t="str">
        <f>IF($C58=0,"",TRIM(MID(site_assumptions[[#This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/>
      </c>
    </row>
    <row r="59" spans="1:7" x14ac:dyDescent="0.25">
      <c r="A59" t="s">
        <v>31</v>
      </c>
      <c r="B59">
        <v>1</v>
      </c>
      <c r="C59">
        <v>6</v>
      </c>
      <c r="D59" t="s">
        <v>18</v>
      </c>
      <c r="E59" s="1">
        <f>IF($C59=0,"",VALUE(MID(site_assumptions[[#This Row],[Details]],SEARCH("(",site_assumptions[[#This Row],[Details]])+1,SEARCH("/",site_assumptions[[#This Row],[Details]])-SEARCH("(",site_assumptions[[#This Row],[Details]])-1)))</f>
        <v>208</v>
      </c>
      <c r="F59">
        <f>IF($C59=0,"",VALUE(MID(site_assumptions[[#This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59" t="str">
        <f>IF($C59=0,"",TRIM(MID(site_assumptions[[#This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60" spans="1:7" x14ac:dyDescent="0.25">
      <c r="A60" t="s">
        <v>31</v>
      </c>
      <c r="B60">
        <v>2</v>
      </c>
      <c r="C60">
        <v>6</v>
      </c>
      <c r="D60" t="s">
        <v>18</v>
      </c>
      <c r="E60" s="1">
        <f>IF($C60=0,"",VALUE(MID(site_assumptions[[#This Row],[Details]],SEARCH("(",site_assumptions[[#This Row],[Details]])+1,SEARCH("/",site_assumptions[[#This Row],[Details]])-SEARCH("(",site_assumptions[[#This Row],[Details]])-1)))</f>
        <v>208</v>
      </c>
      <c r="F60">
        <f>IF($C60=0,"",VALUE(MID(site_assumptions[[#This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60" t="str">
        <f>IF($C60=0,"",TRIM(MID(site_assumptions[[#This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61" spans="1:7" x14ac:dyDescent="0.25">
      <c r="A61" t="s">
        <v>32</v>
      </c>
      <c r="B61">
        <v>1</v>
      </c>
      <c r="C61">
        <v>0</v>
      </c>
      <c r="D61" t="s">
        <v>20</v>
      </c>
      <c r="E61" s="1" t="str">
        <f>IF($C61=0,"",VALUE(MID(site_assumptions[[#This Row],[Details]],SEARCH("(",site_assumptions[[#This Row],[Details]])+1,SEARCH("/",site_assumptions[[#This Row],[Details]])-SEARCH("(",site_assumptions[[#This Row],[Details]])-1)))</f>
        <v/>
      </c>
      <c r="F61" t="str">
        <f>IF($C61=0,"",VALUE(MID(site_assumptions[[#This Row],[Details]],SEARCH("/",site_assumptions[[#This Row],[Details]])+1,SEARCH("#",SUBSTITUTE(site_assumptions[[#This Row],[Details]],"/","#",2))-SEARCH("/",site_assumptions[[#This Row],[Details]])-1)))</f>
        <v/>
      </c>
      <c r="G61" t="str">
        <f>IF($C61=0,"",TRIM(MID(site_assumptions[[#This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/>
      </c>
    </row>
    <row r="62" spans="1:7" x14ac:dyDescent="0.25">
      <c r="A62" t="s">
        <v>33</v>
      </c>
      <c r="B62">
        <v>1</v>
      </c>
      <c r="C62">
        <v>0</v>
      </c>
      <c r="D62" t="s">
        <v>20</v>
      </c>
      <c r="E62" s="1" t="str">
        <f>IF($C62=0,"",VALUE(MID(site_assumptions[[#This Row],[Details]],SEARCH("(",site_assumptions[[#This Row],[Details]])+1,SEARCH("/",site_assumptions[[#This Row],[Details]])-SEARCH("(",site_assumptions[[#This Row],[Details]])-1)))</f>
        <v/>
      </c>
      <c r="F62" t="str">
        <f>IF($C62=0,"",VALUE(MID(site_assumptions[[#This Row],[Details]],SEARCH("/",site_assumptions[[#This Row],[Details]])+1,SEARCH("#",SUBSTITUTE(site_assumptions[[#This Row],[Details]],"/","#",2))-SEARCH("/",site_assumptions[[#This Row],[Details]])-1)))</f>
        <v/>
      </c>
      <c r="G62" t="str">
        <f>IF($C62=0,"",TRIM(MID(site_assumptions[[#This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/>
      </c>
    </row>
    <row r="63" spans="1:7" x14ac:dyDescent="0.25">
      <c r="A63" t="s">
        <v>33</v>
      </c>
      <c r="B63">
        <v>2</v>
      </c>
      <c r="C63">
        <v>0</v>
      </c>
      <c r="D63" t="s">
        <v>20</v>
      </c>
      <c r="E63" s="1" t="str">
        <f>IF($C63=0,"",VALUE(MID(site_assumptions[[#This Row],[Details]],SEARCH("(",site_assumptions[[#This Row],[Details]])+1,SEARCH("/",site_assumptions[[#This Row],[Details]])-SEARCH("(",site_assumptions[[#This Row],[Details]])-1)))</f>
        <v/>
      </c>
      <c r="F63" t="str">
        <f>IF($C63=0,"",VALUE(MID(site_assumptions[[#This Row],[Details]],SEARCH("/",site_assumptions[[#This Row],[Details]])+1,SEARCH("#",SUBSTITUTE(site_assumptions[[#This Row],[Details]],"/","#",2))-SEARCH("/",site_assumptions[[#This Row],[Details]])-1)))</f>
        <v/>
      </c>
      <c r="G63" t="str">
        <f>IF($C63=0,"",TRIM(MID(site_assumptions[[#This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/>
      </c>
    </row>
    <row r="64" spans="1:7" x14ac:dyDescent="0.25">
      <c r="A64" t="s">
        <v>34</v>
      </c>
      <c r="B64">
        <v>1</v>
      </c>
      <c r="C64">
        <v>0</v>
      </c>
      <c r="D64" t="s">
        <v>20</v>
      </c>
      <c r="E64" s="1" t="str">
        <f>IF($C64=0,"",VALUE(MID(site_assumptions[[#This Row],[Details]],SEARCH("(",site_assumptions[[#This Row],[Details]])+1,SEARCH("/",site_assumptions[[#This Row],[Details]])-SEARCH("(",site_assumptions[[#This Row],[Details]])-1)))</f>
        <v/>
      </c>
      <c r="F64" t="str">
        <f>IF($C64=0,"",VALUE(MID(site_assumptions[[#This Row],[Details]],SEARCH("/",site_assumptions[[#This Row],[Details]])+1,SEARCH("#",SUBSTITUTE(site_assumptions[[#This Row],[Details]],"/","#",2))-SEARCH("/",site_assumptions[[#This Row],[Details]])-1)))</f>
        <v/>
      </c>
      <c r="G64" t="str">
        <f>IF($C64=0,"",TRIM(MID(site_assumptions[[#This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/>
      </c>
    </row>
    <row r="65" spans="1:7" x14ac:dyDescent="0.25">
      <c r="A65" t="s">
        <v>35</v>
      </c>
      <c r="B65">
        <v>1</v>
      </c>
      <c r="C65">
        <v>3</v>
      </c>
      <c r="D65" t="s">
        <v>17</v>
      </c>
      <c r="E65" s="1">
        <f>IF($C65=0,"",VALUE(MID(site_assumptions[[#This Row],[Details]],SEARCH("(",site_assumptions[[#This Row],[Details]])+1,SEARCH("/",site_assumptions[[#This Row],[Details]])-SEARCH("(",site_assumptions[[#This Row],[Details]])-1)))</f>
        <v>208</v>
      </c>
      <c r="F65">
        <f>IF($C65=0,"",VALUE(MID(site_assumptions[[#This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65" t="str">
        <f>IF($C65=0,"",TRIM(MID(site_assumptions[[#This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Single</v>
      </c>
    </row>
    <row r="66" spans="1:7" x14ac:dyDescent="0.25">
      <c r="A66" t="s">
        <v>35</v>
      </c>
      <c r="B66">
        <v>2</v>
      </c>
      <c r="C66">
        <v>4</v>
      </c>
      <c r="D66" t="s">
        <v>36</v>
      </c>
      <c r="E66" s="1">
        <f>IF($C66=0,"",VALUE(MID(site_assumptions[[#This Row],[Details]],SEARCH("(",site_assumptions[[#This Row],[Details]])+1,SEARCH("/",site_assumptions[[#This Row],[Details]])-SEARCH("(",site_assumptions[[#This Row],[Details]])-1)))</f>
        <v>208</v>
      </c>
      <c r="F66">
        <f>IF($C66=0,"",VALUE(MID(site_assumptions[[#This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66" t="str">
        <f>IF($C66=0,"",TRIM(MID(site_assumptions[[#This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Single Quad PSU</v>
      </c>
    </row>
    <row r="67" spans="1:7" x14ac:dyDescent="0.25">
      <c r="A67" t="s">
        <v>35</v>
      </c>
      <c r="B67">
        <v>3</v>
      </c>
      <c r="C67">
        <v>3</v>
      </c>
      <c r="D67" t="s">
        <v>17</v>
      </c>
      <c r="E67" s="1">
        <f>IF($C67=0,"",VALUE(MID(site_assumptions[[#This Row],[Details]],SEARCH("(",site_assumptions[[#This Row],[Details]])+1,SEARCH("/",site_assumptions[[#This Row],[Details]])-SEARCH("(",site_assumptions[[#This Row],[Details]])-1)))</f>
        <v>208</v>
      </c>
      <c r="F67">
        <f>IF($C67=0,"",VALUE(MID(site_assumptions[[#This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67" t="str">
        <f>IF($C67=0,"",TRIM(MID(site_assumptions[[#This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Single</v>
      </c>
    </row>
    <row r="68" spans="1:7" x14ac:dyDescent="0.25">
      <c r="A68" t="s">
        <v>37</v>
      </c>
      <c r="B68">
        <v>1</v>
      </c>
      <c r="C68">
        <v>5</v>
      </c>
      <c r="D68" t="s">
        <v>9</v>
      </c>
      <c r="E68" s="1">
        <f>IF($C68=0,"",VALUE(MID(site_assumptions[[#This Row],[Details]],SEARCH("(",site_assumptions[[#This Row],[Details]])+1,SEARCH("/",site_assumptions[[#This Row],[Details]])-SEARCH("(",site_assumptions[[#This Row],[Details]])-1)))</f>
        <v>208</v>
      </c>
      <c r="F68">
        <f>IF($C68=0,"",VALUE(MID(site_assumptions[[#This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68" t="str">
        <f>IF($C68=0,"",TRIM(MID(site_assumptions[[#This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Single ATS</v>
      </c>
    </row>
    <row r="69" spans="1:7" x14ac:dyDescent="0.25">
      <c r="A69" t="s">
        <v>37</v>
      </c>
      <c r="B69">
        <v>2</v>
      </c>
      <c r="C69">
        <v>6</v>
      </c>
      <c r="D69" t="s">
        <v>18</v>
      </c>
      <c r="E69" s="1">
        <f>IF($C69=0,"",VALUE(MID(site_assumptions[[#This Row],[Details]],SEARCH("(",site_assumptions[[#This Row],[Details]])+1,SEARCH("/",site_assumptions[[#This Row],[Details]])-SEARCH("(",site_assumptions[[#This Row],[Details]])-1)))</f>
        <v>208</v>
      </c>
      <c r="F69">
        <f>IF($C69=0,"",VALUE(MID(site_assumptions[[#This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69" t="str">
        <f>IF($C69=0,"",TRIM(MID(site_assumptions[[#This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70" spans="1:7" x14ac:dyDescent="0.25">
      <c r="A70" t="s">
        <v>38</v>
      </c>
      <c r="B70">
        <v>1</v>
      </c>
      <c r="C70">
        <v>7</v>
      </c>
      <c r="D70" t="s">
        <v>10</v>
      </c>
      <c r="E70" s="1">
        <f>IF($C70=0,"",VALUE(MID(site_assumptions[[#This Row],[Details]],SEARCH("(",site_assumptions[[#This Row],[Details]])+1,SEARCH("/",site_assumptions[[#This Row],[Details]])-SEARCH("(",site_assumptions[[#This Row],[Details]])-1)))</f>
        <v>400</v>
      </c>
      <c r="F70">
        <f>IF($C70=0,"",VALUE(MID(site_assumptions[[#This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70" t="str">
        <f>IF($C70=0,"",TRIM(MID(site_assumptions[[#This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71" spans="1:7" x14ac:dyDescent="0.25">
      <c r="A71" t="s">
        <v>39</v>
      </c>
      <c r="B71">
        <v>2</v>
      </c>
      <c r="C71">
        <v>7</v>
      </c>
      <c r="D71" t="s">
        <v>10</v>
      </c>
      <c r="E71" s="1">
        <f>IF($C71=0,"",VALUE(MID(site_assumptions[[#This Row],[Details]],SEARCH("(",site_assumptions[[#This Row],[Details]])+1,SEARCH("/",site_assumptions[[#This Row],[Details]])-SEARCH("(",site_assumptions[[#This Row],[Details]])-1)))</f>
        <v>400</v>
      </c>
      <c r="F71">
        <f>IF($C71=0,"",VALUE(MID(site_assumptions[[#This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71" t="str">
        <f>IF($C71=0,"",TRIM(MID(site_assumptions[[#This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72" spans="1:7" x14ac:dyDescent="0.25">
      <c r="A72" t="s">
        <v>40</v>
      </c>
      <c r="B72">
        <v>1</v>
      </c>
      <c r="C72">
        <v>7</v>
      </c>
      <c r="D72" t="s">
        <v>10</v>
      </c>
      <c r="E72" s="1">
        <f>IF($C72=0,"",VALUE(MID(site_assumptions[[#This Row],[Details]],SEARCH("(",site_assumptions[[#This Row],[Details]])+1,SEARCH("/",site_assumptions[[#This Row],[Details]])-SEARCH("(",site_assumptions[[#This Row],[Details]])-1)))</f>
        <v>400</v>
      </c>
      <c r="F72">
        <f>IF($C72=0,"",VALUE(MID(site_assumptions[[#This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72" t="str">
        <f>IF($C72=0,"",TRIM(MID(site_assumptions[[#This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73" spans="1:7" x14ac:dyDescent="0.25">
      <c r="A73" t="s">
        <v>41</v>
      </c>
      <c r="B73">
        <v>1</v>
      </c>
      <c r="C73">
        <v>3</v>
      </c>
      <c r="D73" t="s">
        <v>17</v>
      </c>
      <c r="E73" s="1">
        <f>IF($C73=0,"",VALUE(MID(site_assumptions[[#This Row],[Details]],SEARCH("(",site_assumptions[[#This Row],[Details]])+1,SEARCH("/",site_assumptions[[#This Row],[Details]])-SEARCH("(",site_assumptions[[#This Row],[Details]])-1)))</f>
        <v>208</v>
      </c>
      <c r="F73">
        <f>IF($C73=0,"",VALUE(MID(site_assumptions[[#This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73" t="str">
        <f>IF($C73=0,"",TRIM(MID(site_assumptions[[#This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Single</v>
      </c>
    </row>
    <row r="74" spans="1:7" x14ac:dyDescent="0.25">
      <c r="A74" t="s">
        <v>41</v>
      </c>
      <c r="B74">
        <v>2</v>
      </c>
      <c r="C74">
        <v>6</v>
      </c>
      <c r="D74" t="s">
        <v>18</v>
      </c>
      <c r="E74" s="1">
        <f>IF($C74=0,"",VALUE(MID(site_assumptions[[#This Row],[Details]],SEARCH("(",site_assumptions[[#This Row],[Details]])+1,SEARCH("/",site_assumptions[[#This Row],[Details]])-SEARCH("(",site_assumptions[[#This Row],[Details]])-1)))</f>
        <v>208</v>
      </c>
      <c r="F74">
        <f>IF($C74=0,"",VALUE(MID(site_assumptions[[#This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74" t="str">
        <f>IF($C74=0,"",TRIM(MID(site_assumptions[[#This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75" spans="1:7" x14ac:dyDescent="0.25">
      <c r="A75" t="s">
        <v>42</v>
      </c>
      <c r="B75">
        <v>1</v>
      </c>
      <c r="C75">
        <v>7</v>
      </c>
      <c r="D75" t="s">
        <v>10</v>
      </c>
      <c r="E75" s="1">
        <f>IF($C75=0,"",VALUE(MID(site_assumptions[[#This Row],[Details]],SEARCH("(",site_assumptions[[#This Row],[Details]])+1,SEARCH("/",site_assumptions[[#This Row],[Details]])-SEARCH("(",site_assumptions[[#This Row],[Details]])-1)))</f>
        <v>400</v>
      </c>
      <c r="F75">
        <f>IF($C75=0,"",VALUE(MID(site_assumptions[[#This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75" t="str">
        <f>IF($C75=0,"",TRIM(MID(site_assumptions[[#This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76" spans="1:7" x14ac:dyDescent="0.25">
      <c r="A76" t="s">
        <v>43</v>
      </c>
      <c r="B76">
        <v>1</v>
      </c>
      <c r="C76">
        <v>7</v>
      </c>
      <c r="D76" t="s">
        <v>10</v>
      </c>
      <c r="E76" s="1">
        <f>IF($C76=0,"",VALUE(MID(site_assumptions[[#This Row],[Details]],SEARCH("(",site_assumptions[[#This Row],[Details]])+1,SEARCH("/",site_assumptions[[#This Row],[Details]])-SEARCH("(",site_assumptions[[#This Row],[Details]])-1)))</f>
        <v>400</v>
      </c>
      <c r="F76">
        <f>IF($C76=0,"",VALUE(MID(site_assumptions[[#This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76" t="str">
        <f>IF($C76=0,"",TRIM(MID(site_assumptions[[#This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77" spans="1:7" x14ac:dyDescent="0.25">
      <c r="A77" t="s">
        <v>44</v>
      </c>
      <c r="B77">
        <v>1</v>
      </c>
      <c r="C77">
        <v>7</v>
      </c>
      <c r="D77" t="s">
        <v>10</v>
      </c>
      <c r="E77" s="1">
        <f>IF($C77=0,"",VALUE(MID(site_assumptions[[#This Row],[Details]],SEARCH("(",site_assumptions[[#This Row],[Details]])+1,SEARCH("/",site_assumptions[[#This Row],[Details]])-SEARCH("(",site_assumptions[[#This Row],[Details]])-1)))</f>
        <v>400</v>
      </c>
      <c r="F77">
        <f>IF($C77=0,"",VALUE(MID(site_assumptions[[#This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77" t="str">
        <f>IF($C77=0,"",TRIM(MID(site_assumptions[[#This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78" spans="1:7" x14ac:dyDescent="0.25">
      <c r="A78" t="s">
        <v>45</v>
      </c>
      <c r="B78">
        <v>1</v>
      </c>
      <c r="C78">
        <v>6</v>
      </c>
      <c r="D78" t="s">
        <v>18</v>
      </c>
      <c r="E78" s="1">
        <f>IF($C78=0,"",VALUE(MID(site_assumptions[[#This Row],[Details]],SEARCH("(",site_assumptions[[#This Row],[Details]])+1,SEARCH("/",site_assumptions[[#This Row],[Details]])-SEARCH("(",site_assumptions[[#This Row],[Details]])-1)))</f>
        <v>208</v>
      </c>
      <c r="F78">
        <f>IF($C78=0,"",VALUE(MID(site_assumptions[[#This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78" t="str">
        <f>IF($C78=0,"",TRIM(MID(site_assumptions[[#This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79" spans="1:7" x14ac:dyDescent="0.25">
      <c r="A79" t="s">
        <v>45</v>
      </c>
      <c r="B79">
        <v>2</v>
      </c>
      <c r="C79">
        <v>7</v>
      </c>
      <c r="D79" t="s">
        <v>10</v>
      </c>
      <c r="E79" s="1">
        <f>IF($C79=0,"",VALUE(MID(site_assumptions[[#This Row],[Details]],SEARCH("(",site_assumptions[[#This Row],[Details]])+1,SEARCH("/",site_assumptions[[#This Row],[Details]])-SEARCH("(",site_assumptions[[#This Row],[Details]])-1)))</f>
        <v>400</v>
      </c>
      <c r="F79">
        <f>IF($C79=0,"",VALUE(MID(site_assumptions[[#This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79" t="str">
        <f>IF($C79=0,"",TRIM(MID(site_assumptions[[#This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80" spans="1:7" x14ac:dyDescent="0.25">
      <c r="A80" t="s">
        <v>46</v>
      </c>
      <c r="B80">
        <v>1</v>
      </c>
      <c r="C80">
        <v>7</v>
      </c>
      <c r="D80" t="s">
        <v>10</v>
      </c>
      <c r="E80" s="1">
        <f>IF($C80=0,"",VALUE(MID(site_assumptions[[#This Row],[Details]],SEARCH("(",site_assumptions[[#This Row],[Details]])+1,SEARCH("/",site_assumptions[[#This Row],[Details]])-SEARCH("(",site_assumptions[[#This Row],[Details]])-1)))</f>
        <v>400</v>
      </c>
      <c r="F80">
        <f>IF($C80=0,"",VALUE(MID(site_assumptions[[#This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80" t="str">
        <f>IF($C80=0,"",TRIM(MID(site_assumptions[[#This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81" spans="1:7" x14ac:dyDescent="0.25">
      <c r="A81" t="s">
        <v>47</v>
      </c>
      <c r="B81">
        <v>1</v>
      </c>
      <c r="C81">
        <v>7</v>
      </c>
      <c r="D81" t="s">
        <v>10</v>
      </c>
      <c r="E81" s="1">
        <f>IF($C81=0,"",VALUE(MID(site_assumptions[[#This Row],[Details]],SEARCH("(",site_assumptions[[#This Row],[Details]])+1,SEARCH("/",site_assumptions[[#This Row],[Details]])-SEARCH("(",site_assumptions[[#This Row],[Details]])-1)))</f>
        <v>400</v>
      </c>
      <c r="F81">
        <f>IF($C81=0,"",VALUE(MID(site_assumptions[[#This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81" t="str">
        <f>IF($C81=0,"",TRIM(MID(site_assumptions[[#This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82" spans="1:7" x14ac:dyDescent="0.25">
      <c r="A82" t="s">
        <v>48</v>
      </c>
      <c r="B82">
        <v>1</v>
      </c>
      <c r="C82">
        <v>2</v>
      </c>
      <c r="D82" t="s">
        <v>12</v>
      </c>
      <c r="E82" s="1">
        <f>IF($C82=0,"",VALUE(MID(site_assumptions[[#This Row],[Details]],SEARCH("(",site_assumptions[[#This Row],[Details]])+1,SEARCH("/",site_assumptions[[#This Row],[Details]])-SEARCH("(",site_assumptions[[#This Row],[Details]])-1)))</f>
        <v>208</v>
      </c>
      <c r="F82">
        <f>IF($C82=0,"",VALUE(MID(site_assumptions[[#This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82" t="str">
        <f>IF($C82=0,"",TRIM(MID(site_assumptions[[#This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Single</v>
      </c>
    </row>
    <row r="83" spans="1:7" x14ac:dyDescent="0.25">
      <c r="A83" t="s">
        <v>48</v>
      </c>
      <c r="B83">
        <v>2</v>
      </c>
      <c r="C83">
        <v>2</v>
      </c>
      <c r="D83" t="s">
        <v>12</v>
      </c>
      <c r="E83" s="1">
        <f>IF($C83=0,"",VALUE(MID(site_assumptions[[#This Row],[Details]],SEARCH("(",site_assumptions[[#This Row],[Details]])+1,SEARCH("/",site_assumptions[[#This Row],[Details]])-SEARCH("(",site_assumptions[[#This Row],[Details]])-1)))</f>
        <v>208</v>
      </c>
      <c r="F83">
        <f>IF($C83=0,"",VALUE(MID(site_assumptions[[#This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83" t="str">
        <f>IF($C83=0,"",TRIM(MID(site_assumptions[[#This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Single</v>
      </c>
    </row>
    <row r="84" spans="1:7" x14ac:dyDescent="0.25">
      <c r="A84" t="s">
        <v>48</v>
      </c>
      <c r="B84">
        <v>3</v>
      </c>
      <c r="C84">
        <v>2</v>
      </c>
      <c r="D84" t="s">
        <v>12</v>
      </c>
      <c r="E84" s="1">
        <f>IF($C84=0,"",VALUE(MID(site_assumptions[[#This Row],[Details]],SEARCH("(",site_assumptions[[#This Row],[Details]])+1,SEARCH("/",site_assumptions[[#This Row],[Details]])-SEARCH("(",site_assumptions[[#This Row],[Details]])-1)))</f>
        <v>208</v>
      </c>
      <c r="F84">
        <f>IF($C84=0,"",VALUE(MID(site_assumptions[[#This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84" t="str">
        <f>IF($C84=0,"",TRIM(MID(site_assumptions[[#This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Single</v>
      </c>
    </row>
    <row r="85" spans="1:7" x14ac:dyDescent="0.25">
      <c r="A85" t="s">
        <v>49</v>
      </c>
      <c r="B85">
        <v>1</v>
      </c>
      <c r="C85">
        <v>6</v>
      </c>
      <c r="D85" t="s">
        <v>18</v>
      </c>
      <c r="E85" s="1">
        <f>IF($C85=0,"",VALUE(MID(site_assumptions[[#This Row],[Details]],SEARCH("(",site_assumptions[[#This Row],[Details]])+1,SEARCH("/",site_assumptions[[#This Row],[Details]])-SEARCH("(",site_assumptions[[#This Row],[Details]])-1)))</f>
        <v>208</v>
      </c>
      <c r="F85">
        <f>IF($C85=0,"",VALUE(MID(site_assumptions[[#This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85" t="str">
        <f>IF($C85=0,"",TRIM(MID(site_assumptions[[#This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86" spans="1:7" x14ac:dyDescent="0.25">
      <c r="A86" t="s">
        <v>50</v>
      </c>
      <c r="B86">
        <v>1</v>
      </c>
      <c r="C86">
        <v>7</v>
      </c>
      <c r="D86" t="s">
        <v>10</v>
      </c>
      <c r="E86" s="1">
        <f>IF($C86=0,"",VALUE(MID(site_assumptions[[#This Row],[Details]],SEARCH("(",site_assumptions[[#This Row],[Details]])+1,SEARCH("/",site_assumptions[[#This Row],[Details]])-SEARCH("(",site_assumptions[[#This Row],[Details]])-1)))</f>
        <v>400</v>
      </c>
      <c r="F86">
        <f>IF($C86=0,"",VALUE(MID(site_assumptions[[#This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86" t="str">
        <f>IF($C86=0,"",TRIM(MID(site_assumptions[[#This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87" spans="1:7" x14ac:dyDescent="0.25">
      <c r="A87" t="s">
        <v>51</v>
      </c>
      <c r="B87">
        <v>1</v>
      </c>
      <c r="C87">
        <v>2</v>
      </c>
      <c r="D87" t="s">
        <v>12</v>
      </c>
      <c r="E87" s="1">
        <f>IF($C87=0,"",VALUE(MID(site_assumptions[[#This Row],[Details]],SEARCH("(",site_assumptions[[#This Row],[Details]])+1,SEARCH("/",site_assumptions[[#This Row],[Details]])-SEARCH("(",site_assumptions[[#This Row],[Details]])-1)))</f>
        <v>208</v>
      </c>
      <c r="F87">
        <f>IF($C87=0,"",VALUE(MID(site_assumptions[[#This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87" t="str">
        <f>IF($C87=0,"",TRIM(MID(site_assumptions[[#This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Single</v>
      </c>
    </row>
    <row r="88" spans="1:7" x14ac:dyDescent="0.25">
      <c r="A88" t="s">
        <v>51</v>
      </c>
      <c r="B88">
        <v>2</v>
      </c>
      <c r="C88">
        <v>3</v>
      </c>
      <c r="D88" t="s">
        <v>17</v>
      </c>
      <c r="E88" s="1">
        <f>IF($C88=0,"",VALUE(MID(site_assumptions[[#This Row],[Details]],SEARCH("(",site_assumptions[[#This Row],[Details]])+1,SEARCH("/",site_assumptions[[#This Row],[Details]])-SEARCH("(",site_assumptions[[#This Row],[Details]])-1)))</f>
        <v>208</v>
      </c>
      <c r="F88">
        <f>IF($C88=0,"",VALUE(MID(site_assumptions[[#This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88" t="str">
        <f>IF($C88=0,"",TRIM(MID(site_assumptions[[#This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Single</v>
      </c>
    </row>
    <row r="89" spans="1:7" x14ac:dyDescent="0.25">
      <c r="A89" t="s">
        <v>51</v>
      </c>
      <c r="B89">
        <v>3</v>
      </c>
      <c r="C89">
        <v>2</v>
      </c>
      <c r="D89" t="s">
        <v>12</v>
      </c>
      <c r="E89" s="1">
        <f>IF($C89=0,"",VALUE(MID(site_assumptions[[#This Row],[Details]],SEARCH("(",site_assumptions[[#This Row],[Details]])+1,SEARCH("/",site_assumptions[[#This Row],[Details]])-SEARCH("(",site_assumptions[[#This Row],[Details]])-1)))</f>
        <v>208</v>
      </c>
      <c r="F89">
        <f>IF($C89=0,"",VALUE(MID(site_assumptions[[#This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89" t="str">
        <f>IF($C89=0,"",TRIM(MID(site_assumptions[[#This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Single</v>
      </c>
    </row>
    <row r="90" spans="1:7" x14ac:dyDescent="0.25">
      <c r="A90" t="s">
        <v>51</v>
      </c>
      <c r="B90">
        <v>4</v>
      </c>
      <c r="C90">
        <v>2</v>
      </c>
      <c r="D90" t="s">
        <v>12</v>
      </c>
      <c r="E90" s="1">
        <f>IF($C90=0,"",VALUE(MID(site_assumptions[[#This Row],[Details]],SEARCH("(",site_assumptions[[#This Row],[Details]])+1,SEARCH("/",site_assumptions[[#This Row],[Details]])-SEARCH("(",site_assumptions[[#This Row],[Details]])-1)))</f>
        <v>208</v>
      </c>
      <c r="F90">
        <f>IF($C90=0,"",VALUE(MID(site_assumptions[[#This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90" t="str">
        <f>IF($C90=0,"",TRIM(MID(site_assumptions[[#This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Single</v>
      </c>
    </row>
    <row r="91" spans="1:7" x14ac:dyDescent="0.25">
      <c r="A91" t="s">
        <v>52</v>
      </c>
      <c r="B91">
        <v>1</v>
      </c>
      <c r="C91">
        <v>5</v>
      </c>
      <c r="D91" t="s">
        <v>9</v>
      </c>
      <c r="E91" s="1">
        <f>IF($C91=0,"",VALUE(MID(site_assumptions[[#This Row],[Details]],SEARCH("(",site_assumptions[[#This Row],[Details]])+1,SEARCH("/",site_assumptions[[#This Row],[Details]])-SEARCH("(",site_assumptions[[#This Row],[Details]])-1)))</f>
        <v>208</v>
      </c>
      <c r="F91">
        <f>IF($C91=0,"",VALUE(MID(site_assumptions[[#This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91" t="str">
        <f>IF($C91=0,"",TRIM(MID(site_assumptions[[#This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Single ATS</v>
      </c>
    </row>
    <row r="92" spans="1:7" x14ac:dyDescent="0.25">
      <c r="A92" t="s">
        <v>52</v>
      </c>
      <c r="B92">
        <v>2</v>
      </c>
      <c r="C92">
        <v>5</v>
      </c>
      <c r="D92" t="s">
        <v>9</v>
      </c>
      <c r="E92" s="1">
        <f>IF($C92=0,"",VALUE(MID(site_assumptions[[#This Row],[Details]],SEARCH("(",site_assumptions[[#This Row],[Details]])+1,SEARCH("/",site_assumptions[[#This Row],[Details]])-SEARCH("(",site_assumptions[[#This Row],[Details]])-1)))</f>
        <v>208</v>
      </c>
      <c r="F92">
        <f>IF($C92=0,"",VALUE(MID(site_assumptions[[#This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92" t="str">
        <f>IF($C92=0,"",TRIM(MID(site_assumptions[[#This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Single ATS</v>
      </c>
    </row>
    <row r="93" spans="1:7" x14ac:dyDescent="0.25">
      <c r="A93" t="s">
        <v>52</v>
      </c>
      <c r="B93">
        <v>3</v>
      </c>
      <c r="C93">
        <v>6</v>
      </c>
      <c r="D93" t="s">
        <v>18</v>
      </c>
      <c r="E93" s="1">
        <f>IF($C93=0,"",VALUE(MID(site_assumptions[[#This Row],[Details]],SEARCH("(",site_assumptions[[#This Row],[Details]])+1,SEARCH("/",site_assumptions[[#This Row],[Details]])-SEARCH("(",site_assumptions[[#This Row],[Details]])-1)))</f>
        <v>208</v>
      </c>
      <c r="F93">
        <f>IF($C93=0,"",VALUE(MID(site_assumptions[[#This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93" t="str">
        <f>IF($C93=0,"",TRIM(MID(site_assumptions[[#This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94" spans="1:7" x14ac:dyDescent="0.25">
      <c r="A94" t="s">
        <v>52</v>
      </c>
      <c r="B94">
        <v>4</v>
      </c>
      <c r="C94">
        <v>6</v>
      </c>
      <c r="D94" t="s">
        <v>18</v>
      </c>
      <c r="E94" s="1">
        <f>IF($C94=0,"",VALUE(MID(site_assumptions[[#This Row],[Details]],SEARCH("(",site_assumptions[[#This Row],[Details]])+1,SEARCH("/",site_assumptions[[#This Row],[Details]])-SEARCH("(",site_assumptions[[#This Row],[Details]])-1)))</f>
        <v>208</v>
      </c>
      <c r="F94">
        <f>IF($C94=0,"",VALUE(MID(site_assumptions[[#This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94" t="str">
        <f>IF($C94=0,"",TRIM(MID(site_assumptions[[#This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95" spans="1:7" x14ac:dyDescent="0.25">
      <c r="A95" t="s">
        <v>53</v>
      </c>
      <c r="B95">
        <v>1</v>
      </c>
      <c r="C95">
        <v>6</v>
      </c>
      <c r="D95" t="s">
        <v>18</v>
      </c>
      <c r="E95" s="1">
        <f>IF($C95=0,"",VALUE(MID(site_assumptions[[#This Row],[Details]],SEARCH("(",site_assumptions[[#This Row],[Details]])+1,SEARCH("/",site_assumptions[[#This Row],[Details]])-SEARCH("(",site_assumptions[[#This Row],[Details]])-1)))</f>
        <v>208</v>
      </c>
      <c r="F95">
        <f>IF($C95=0,"",VALUE(MID(site_assumptions[[#This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95" t="str">
        <f>IF($C95=0,"",TRIM(MID(site_assumptions[[#This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96" spans="1:7" x14ac:dyDescent="0.25">
      <c r="A96" t="s">
        <v>53</v>
      </c>
      <c r="B96">
        <v>2</v>
      </c>
      <c r="C96">
        <v>6</v>
      </c>
      <c r="D96" t="s">
        <v>18</v>
      </c>
      <c r="E96" s="1">
        <f>IF($C96=0,"",VALUE(MID(site_assumptions[[#This Row],[Details]],SEARCH("(",site_assumptions[[#This Row],[Details]])+1,SEARCH("/",site_assumptions[[#This Row],[Details]])-SEARCH("(",site_assumptions[[#This Row],[Details]])-1)))</f>
        <v>208</v>
      </c>
      <c r="F96">
        <f>IF($C96=0,"",VALUE(MID(site_assumptions[[#This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96" t="str">
        <f>IF($C96=0,"",TRIM(MID(site_assumptions[[#This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97" spans="1:7" x14ac:dyDescent="0.25">
      <c r="A97" t="s">
        <v>54</v>
      </c>
      <c r="B97">
        <v>1</v>
      </c>
      <c r="C97">
        <v>7</v>
      </c>
      <c r="D97" t="s">
        <v>10</v>
      </c>
      <c r="E97" s="1">
        <f>IF($C97=0,"",VALUE(MID(site_assumptions[[#This Row],[Details]],SEARCH("(",site_assumptions[[#This Row],[Details]])+1,SEARCH("/",site_assumptions[[#This Row],[Details]])-SEARCH("(",site_assumptions[[#This Row],[Details]])-1)))</f>
        <v>400</v>
      </c>
      <c r="F97">
        <f>IF($C97=0,"",VALUE(MID(site_assumptions[[#This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97" t="str">
        <f>IF($C97=0,"",TRIM(MID(site_assumptions[[#This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98" spans="1:7" x14ac:dyDescent="0.25">
      <c r="A98" t="s">
        <v>55</v>
      </c>
      <c r="B98">
        <v>1</v>
      </c>
      <c r="C98">
        <v>3</v>
      </c>
      <c r="D98" t="s">
        <v>17</v>
      </c>
      <c r="E98" s="1">
        <f>IF($C98=0,"",VALUE(MID(site_assumptions[[#This Row],[Details]],SEARCH("(",site_assumptions[[#This Row],[Details]])+1,SEARCH("/",site_assumptions[[#This Row],[Details]])-SEARCH("(",site_assumptions[[#This Row],[Details]])-1)))</f>
        <v>208</v>
      </c>
      <c r="F98">
        <f>IF($C98=0,"",VALUE(MID(site_assumptions[[#This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98" t="str">
        <f>IF($C98=0,"",TRIM(MID(site_assumptions[[#This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Single</v>
      </c>
    </row>
    <row r="99" spans="1:7" x14ac:dyDescent="0.25">
      <c r="A99" t="s">
        <v>55</v>
      </c>
      <c r="B99">
        <v>2</v>
      </c>
      <c r="C99">
        <v>3</v>
      </c>
      <c r="D99" t="s">
        <v>17</v>
      </c>
      <c r="E99" s="1">
        <f>IF($C99=0,"",VALUE(MID(site_assumptions[[#This Row],[Details]],SEARCH("(",site_assumptions[[#This Row],[Details]])+1,SEARCH("/",site_assumptions[[#This Row],[Details]])-SEARCH("(",site_assumptions[[#This Row],[Details]])-1)))</f>
        <v>208</v>
      </c>
      <c r="F99">
        <f>IF($C99=0,"",VALUE(MID(site_assumptions[[#This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99" t="str">
        <f>IF($C99=0,"",TRIM(MID(site_assumptions[[#This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Single</v>
      </c>
    </row>
    <row r="100" spans="1:7" x14ac:dyDescent="0.25">
      <c r="A100" t="s">
        <v>55</v>
      </c>
      <c r="B100">
        <v>3</v>
      </c>
      <c r="C100">
        <v>6</v>
      </c>
      <c r="D100" t="s">
        <v>18</v>
      </c>
      <c r="E100" s="1">
        <f>IF($C100=0,"",VALUE(MID(site_assumptions[[#This Row],[Details]],SEARCH("(",site_assumptions[[#This Row],[Details]])+1,SEARCH("/",site_assumptions[[#This Row],[Details]])-SEARCH("(",site_assumptions[[#This Row],[Details]])-1)))</f>
        <v>208</v>
      </c>
      <c r="F100">
        <f>IF($C100=0,"",VALUE(MID(site_assumptions[[#This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00" t="str">
        <f>IF($C100=0,"",TRIM(MID(site_assumptions[[#This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01" spans="1:7" x14ac:dyDescent="0.25">
      <c r="A101" t="s">
        <v>55</v>
      </c>
      <c r="B101">
        <v>4</v>
      </c>
      <c r="C101">
        <v>6</v>
      </c>
      <c r="D101" t="s">
        <v>18</v>
      </c>
      <c r="E101" s="1">
        <f>IF($C101=0,"",VALUE(MID(site_assumptions[[#This Row],[Details]],SEARCH("(",site_assumptions[[#This Row],[Details]])+1,SEARCH("/",site_assumptions[[#This Row],[Details]])-SEARCH("(",site_assumptions[[#This Row],[Details]])-1)))</f>
        <v>208</v>
      </c>
      <c r="F101">
        <f>IF($C101=0,"",VALUE(MID(site_assumptions[[#This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01" t="str">
        <f>IF($C101=0,"",TRIM(MID(site_assumptions[[#This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02" spans="1:7" x14ac:dyDescent="0.25">
      <c r="A102" t="s">
        <v>55</v>
      </c>
      <c r="B102">
        <v>5</v>
      </c>
      <c r="C102">
        <v>7</v>
      </c>
      <c r="D102" t="s">
        <v>10</v>
      </c>
      <c r="E102" s="1">
        <f>IF($C102=0,"",VALUE(MID(site_assumptions[[#This Row],[Details]],SEARCH("(",site_assumptions[[#This Row],[Details]])+1,SEARCH("/",site_assumptions[[#This Row],[Details]])-SEARCH("(",site_assumptions[[#This Row],[Details]])-1)))</f>
        <v>400</v>
      </c>
      <c r="F102">
        <f>IF($C102=0,"",VALUE(MID(site_assumptions[[#This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02" t="str">
        <f>IF($C102=0,"",TRIM(MID(site_assumptions[[#This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03" spans="1:7" x14ac:dyDescent="0.25">
      <c r="A103" t="s">
        <v>56</v>
      </c>
      <c r="B103">
        <v>1</v>
      </c>
      <c r="C103">
        <v>7</v>
      </c>
      <c r="D103" t="s">
        <v>10</v>
      </c>
      <c r="E103" s="1">
        <f>IF($C103=0,"",VALUE(MID(site_assumptions[[#This Row],[Details]],SEARCH("(",site_assumptions[[#This Row],[Details]])+1,SEARCH("/",site_assumptions[[#This Row],[Details]])-SEARCH("(",site_assumptions[[#This Row],[Details]])-1)))</f>
        <v>400</v>
      </c>
      <c r="F103">
        <f>IF($C103=0,"",VALUE(MID(site_assumptions[[#This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03" t="str">
        <f>IF($C103=0,"",TRIM(MID(site_assumptions[[#This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04" spans="1:7" x14ac:dyDescent="0.25">
      <c r="A104" t="s">
        <v>56</v>
      </c>
      <c r="B104">
        <v>2</v>
      </c>
      <c r="C104">
        <v>7</v>
      </c>
      <c r="D104" t="s">
        <v>10</v>
      </c>
      <c r="E104" s="1">
        <f>IF($C104=0,"",VALUE(MID(site_assumptions[[#This Row],[Details]],SEARCH("(",site_assumptions[[#This Row],[Details]])+1,SEARCH("/",site_assumptions[[#This Row],[Details]])-SEARCH("(",site_assumptions[[#This Row],[Details]])-1)))</f>
        <v>400</v>
      </c>
      <c r="F104">
        <f>IF($C104=0,"",VALUE(MID(site_assumptions[[#This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04" t="str">
        <f>IF($C104=0,"",TRIM(MID(site_assumptions[[#This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05" spans="1:7" x14ac:dyDescent="0.25">
      <c r="A105" t="s">
        <v>57</v>
      </c>
      <c r="B105">
        <v>1</v>
      </c>
      <c r="C105">
        <v>7</v>
      </c>
      <c r="D105" t="s">
        <v>10</v>
      </c>
      <c r="E105" s="1">
        <f>IF($C105=0,"",VALUE(MID(site_assumptions[[#This Row],[Details]],SEARCH("(",site_assumptions[[#This Row],[Details]])+1,SEARCH("/",site_assumptions[[#This Row],[Details]])-SEARCH("(",site_assumptions[[#This Row],[Details]])-1)))</f>
        <v>400</v>
      </c>
      <c r="F105">
        <f>IF($C105=0,"",VALUE(MID(site_assumptions[[#This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05" t="str">
        <f>IF($C105=0,"",TRIM(MID(site_assumptions[[#This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06" spans="1:7" x14ac:dyDescent="0.25">
      <c r="A106" t="s">
        <v>57</v>
      </c>
      <c r="B106">
        <v>2</v>
      </c>
      <c r="C106">
        <v>7</v>
      </c>
      <c r="D106" t="s">
        <v>10</v>
      </c>
      <c r="E106" s="1">
        <f>IF($C106=0,"",VALUE(MID(site_assumptions[[#This Row],[Details]],SEARCH("(",site_assumptions[[#This Row],[Details]])+1,SEARCH("/",site_assumptions[[#This Row],[Details]])-SEARCH("(",site_assumptions[[#This Row],[Details]])-1)))</f>
        <v>400</v>
      </c>
      <c r="F106">
        <f>IF($C106=0,"",VALUE(MID(site_assumptions[[#This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06" t="str">
        <f>IF($C106=0,"",TRIM(MID(site_assumptions[[#This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07" spans="1:7" x14ac:dyDescent="0.25">
      <c r="A107" t="s">
        <v>58</v>
      </c>
      <c r="B107">
        <v>1</v>
      </c>
      <c r="C107">
        <v>3</v>
      </c>
      <c r="D107" t="s">
        <v>17</v>
      </c>
      <c r="E107" s="1">
        <f>IF($C107=0,"",VALUE(MID(site_assumptions[[#This Row],[Details]],SEARCH("(",site_assumptions[[#This Row],[Details]])+1,SEARCH("/",site_assumptions[[#This Row],[Details]])-SEARCH("(",site_assumptions[[#This Row],[Details]])-1)))</f>
        <v>208</v>
      </c>
      <c r="F107">
        <f>IF($C107=0,"",VALUE(MID(site_assumptions[[#This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07" t="str">
        <f>IF($C107=0,"",TRIM(MID(site_assumptions[[#This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Single</v>
      </c>
    </row>
    <row r="108" spans="1:7" x14ac:dyDescent="0.25">
      <c r="A108" t="s">
        <v>58</v>
      </c>
      <c r="B108">
        <v>2</v>
      </c>
      <c r="C108">
        <v>6</v>
      </c>
      <c r="D108" t="s">
        <v>18</v>
      </c>
      <c r="E108" s="1">
        <f>IF($C108=0,"",VALUE(MID(site_assumptions[[#This Row],[Details]],SEARCH("(",site_assumptions[[#This Row],[Details]])+1,SEARCH("/",site_assumptions[[#This Row],[Details]])-SEARCH("(",site_assumptions[[#This Row],[Details]])-1)))</f>
        <v>208</v>
      </c>
      <c r="F108">
        <f>IF($C108=0,"",VALUE(MID(site_assumptions[[#This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08" t="str">
        <f>IF($C108=0,"",TRIM(MID(site_assumptions[[#This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09" spans="1:7" x14ac:dyDescent="0.25">
      <c r="A109" t="s">
        <v>58</v>
      </c>
      <c r="B109">
        <v>3</v>
      </c>
      <c r="C109">
        <v>7</v>
      </c>
      <c r="D109" t="s">
        <v>10</v>
      </c>
      <c r="E109" s="1">
        <f>IF($C109=0,"",VALUE(MID(site_assumptions[[#This Row],[Details]],SEARCH("(",site_assumptions[[#This Row],[Details]])+1,SEARCH("/",site_assumptions[[#This Row],[Details]])-SEARCH("(",site_assumptions[[#This Row],[Details]])-1)))</f>
        <v>400</v>
      </c>
      <c r="F109">
        <f>IF($C109=0,"",VALUE(MID(site_assumptions[[#This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09" t="str">
        <f>IF($C109=0,"",TRIM(MID(site_assumptions[[#This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10" spans="1:7" x14ac:dyDescent="0.25">
      <c r="A110" t="s">
        <v>59</v>
      </c>
      <c r="B110">
        <v>1</v>
      </c>
      <c r="C110">
        <v>7</v>
      </c>
      <c r="D110" t="s">
        <v>10</v>
      </c>
      <c r="E110" s="1">
        <f>IF($C110=0,"",VALUE(MID(site_assumptions[[#This Row],[Details]],SEARCH("(",site_assumptions[[#This Row],[Details]])+1,SEARCH("/",site_assumptions[[#This Row],[Details]])-SEARCH("(",site_assumptions[[#This Row],[Details]])-1)))</f>
        <v>400</v>
      </c>
      <c r="F110">
        <f>IF($C110=0,"",VALUE(MID(site_assumptions[[#This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10" t="str">
        <f>IF($C110=0,"",TRIM(MID(site_assumptions[[#This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11" spans="1:7" x14ac:dyDescent="0.25">
      <c r="A111" t="s">
        <v>59</v>
      </c>
      <c r="B111">
        <v>2</v>
      </c>
      <c r="C111">
        <v>0</v>
      </c>
      <c r="D111" t="s">
        <v>20</v>
      </c>
      <c r="E111" s="1" t="str">
        <f>IF($C111=0,"",VALUE(MID(site_assumptions[[#This Row],[Details]],SEARCH("(",site_assumptions[[#This Row],[Details]])+1,SEARCH("/",site_assumptions[[#This Row],[Details]])-SEARCH("(",site_assumptions[[#This Row],[Details]])-1)))</f>
        <v/>
      </c>
      <c r="F111" t="str">
        <f>IF($C111=0,"",VALUE(MID(site_assumptions[[#This Row],[Details]],SEARCH("/",site_assumptions[[#This Row],[Details]])+1,SEARCH("#",SUBSTITUTE(site_assumptions[[#This Row],[Details]],"/","#",2))-SEARCH("/",site_assumptions[[#This Row],[Details]])-1)))</f>
        <v/>
      </c>
      <c r="G111" t="str">
        <f>IF($C111=0,"",TRIM(MID(site_assumptions[[#This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/>
      </c>
    </row>
    <row r="112" spans="1:7" x14ac:dyDescent="0.25">
      <c r="A112" t="s">
        <v>60</v>
      </c>
      <c r="B112">
        <v>1</v>
      </c>
      <c r="C112">
        <v>7</v>
      </c>
      <c r="D112" t="s">
        <v>10</v>
      </c>
      <c r="E112" s="1">
        <f>IF($C112=0,"",VALUE(MID(site_assumptions[[#This Row],[Details]],SEARCH("(",site_assumptions[[#This Row],[Details]])+1,SEARCH("/",site_assumptions[[#This Row],[Details]])-SEARCH("(",site_assumptions[[#This Row],[Details]])-1)))</f>
        <v>400</v>
      </c>
      <c r="F112">
        <f>IF($C112=0,"",VALUE(MID(site_assumptions[[#This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12" t="str">
        <f>IF($C112=0,"",TRIM(MID(site_assumptions[[#This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13" spans="1:7" x14ac:dyDescent="0.25">
      <c r="A113" t="s">
        <v>60</v>
      </c>
      <c r="B113">
        <v>2</v>
      </c>
      <c r="C113">
        <v>0</v>
      </c>
      <c r="D113" t="s">
        <v>20</v>
      </c>
      <c r="E113" s="1" t="str">
        <f>IF($C113=0,"",VALUE(MID(site_assumptions[[#This Row],[Details]],SEARCH("(",site_assumptions[[#This Row],[Details]])+1,SEARCH("/",site_assumptions[[#This Row],[Details]])-SEARCH("(",site_assumptions[[#This Row],[Details]])-1)))</f>
        <v/>
      </c>
      <c r="F113" t="str">
        <f>IF($C113=0,"",VALUE(MID(site_assumptions[[#This Row],[Details]],SEARCH("/",site_assumptions[[#This Row],[Details]])+1,SEARCH("#",SUBSTITUTE(site_assumptions[[#This Row],[Details]],"/","#",2))-SEARCH("/",site_assumptions[[#This Row],[Details]])-1)))</f>
        <v/>
      </c>
      <c r="G113" t="str">
        <f>IF($C113=0,"",TRIM(MID(site_assumptions[[#This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/>
      </c>
    </row>
    <row r="114" spans="1:7" x14ac:dyDescent="0.25">
      <c r="A114" t="s">
        <v>61</v>
      </c>
      <c r="B114">
        <v>2</v>
      </c>
      <c r="C114">
        <v>2</v>
      </c>
      <c r="D114" t="s">
        <v>12</v>
      </c>
      <c r="E114" s="1">
        <f>IF($C114=0,"",VALUE(MID(site_assumptions[[#This Row],[Details]],SEARCH("(",site_assumptions[[#This Row],[Details]])+1,SEARCH("/",site_assumptions[[#This Row],[Details]])-SEARCH("(",site_assumptions[[#This Row],[Details]])-1)))</f>
        <v>208</v>
      </c>
      <c r="F114">
        <f>IF($C114=0,"",VALUE(MID(site_assumptions[[#This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14" t="str">
        <f>IF($C114=0,"",TRIM(MID(site_assumptions[[#This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Single</v>
      </c>
    </row>
    <row r="115" spans="1:7" x14ac:dyDescent="0.25">
      <c r="A115" t="s">
        <v>61</v>
      </c>
      <c r="B115">
        <v>3</v>
      </c>
      <c r="C115">
        <v>2</v>
      </c>
      <c r="D115" t="s">
        <v>12</v>
      </c>
      <c r="E115" s="1">
        <f>IF($C115=0,"",VALUE(MID(site_assumptions[[#This Row],[Details]],SEARCH("(",site_assumptions[[#This Row],[Details]])+1,SEARCH("/",site_assumptions[[#This Row],[Details]])-SEARCH("(",site_assumptions[[#This Row],[Details]])-1)))</f>
        <v>208</v>
      </c>
      <c r="F115">
        <f>IF($C115=0,"",VALUE(MID(site_assumptions[[#This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15" t="str">
        <f>IF($C115=0,"",TRIM(MID(site_assumptions[[#This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Single</v>
      </c>
    </row>
    <row r="116" spans="1:7" x14ac:dyDescent="0.25">
      <c r="A116" t="s">
        <v>62</v>
      </c>
      <c r="B116">
        <v>1</v>
      </c>
      <c r="C116">
        <v>2</v>
      </c>
      <c r="D116" t="s">
        <v>12</v>
      </c>
      <c r="E116" s="1">
        <f>IF($C116=0,"",VALUE(MID(site_assumptions[[#This Row],[Details]],SEARCH("(",site_assumptions[[#This Row],[Details]])+1,SEARCH("/",site_assumptions[[#This Row],[Details]])-SEARCH("(",site_assumptions[[#This Row],[Details]])-1)))</f>
        <v>208</v>
      </c>
      <c r="F116">
        <f>IF($C116=0,"",VALUE(MID(site_assumptions[[#This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16" t="str">
        <f>IF($C116=0,"",TRIM(MID(site_assumptions[[#This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Single</v>
      </c>
    </row>
    <row r="117" spans="1:7" x14ac:dyDescent="0.25">
      <c r="A117" t="s">
        <v>63</v>
      </c>
      <c r="B117">
        <v>1</v>
      </c>
      <c r="C117">
        <v>6</v>
      </c>
      <c r="D117" t="s">
        <v>18</v>
      </c>
      <c r="E117" s="1">
        <f>IF($C117=0,"",VALUE(MID(site_assumptions[[#This Row],[Details]],SEARCH("(",site_assumptions[[#This Row],[Details]])+1,SEARCH("/",site_assumptions[[#This Row],[Details]])-SEARCH("(",site_assumptions[[#This Row],[Details]])-1)))</f>
        <v>208</v>
      </c>
      <c r="F117">
        <f>IF($C117=0,"",VALUE(MID(site_assumptions[[#This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17" t="str">
        <f>IF($C117=0,"",TRIM(MID(site_assumptions[[#This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18" spans="1:7" x14ac:dyDescent="0.25">
      <c r="A118" t="s">
        <v>63</v>
      </c>
      <c r="B118">
        <v>2</v>
      </c>
      <c r="C118">
        <v>6</v>
      </c>
      <c r="D118" t="s">
        <v>18</v>
      </c>
      <c r="E118" s="1">
        <f>IF($C118=0,"",VALUE(MID(site_assumptions[[#This Row],[Details]],SEARCH("(",site_assumptions[[#This Row],[Details]])+1,SEARCH("/",site_assumptions[[#This Row],[Details]])-SEARCH("(",site_assumptions[[#This Row],[Details]])-1)))</f>
        <v>208</v>
      </c>
      <c r="F118">
        <f>IF($C118=0,"",VALUE(MID(site_assumptions[[#This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18" t="str">
        <f>IF($C118=0,"",TRIM(MID(site_assumptions[[#This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19" spans="1:7" x14ac:dyDescent="0.25">
      <c r="A119" t="s">
        <v>63</v>
      </c>
      <c r="B119">
        <v>3</v>
      </c>
      <c r="C119">
        <v>7</v>
      </c>
      <c r="D119" t="s">
        <v>10</v>
      </c>
      <c r="E119" s="1">
        <f>IF($C119=0,"",VALUE(MID(site_assumptions[[#This Row],[Details]],SEARCH("(",site_assumptions[[#This Row],[Details]])+1,SEARCH("/",site_assumptions[[#This Row],[Details]])-SEARCH("(",site_assumptions[[#This Row],[Details]])-1)))</f>
        <v>400</v>
      </c>
      <c r="F119">
        <f>IF($C119=0,"",VALUE(MID(site_assumptions[[#This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19" t="str">
        <f>IF($C119=0,"",TRIM(MID(site_assumptions[[#This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20" spans="1:7" x14ac:dyDescent="0.25">
      <c r="A120" t="s">
        <v>63</v>
      </c>
      <c r="B120">
        <v>4</v>
      </c>
      <c r="C120">
        <v>7</v>
      </c>
      <c r="D120" t="s">
        <v>10</v>
      </c>
      <c r="E120" s="1">
        <f>IF($C120=0,"",VALUE(MID(site_assumptions[[#This Row],[Details]],SEARCH("(",site_assumptions[[#This Row],[Details]])+1,SEARCH("/",site_assumptions[[#This Row],[Details]])-SEARCH("(",site_assumptions[[#This Row],[Details]])-1)))</f>
        <v>400</v>
      </c>
      <c r="F120">
        <f>IF($C120=0,"",VALUE(MID(site_assumptions[[#This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20" t="str">
        <f>IF($C120=0,"",TRIM(MID(site_assumptions[[#This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21" spans="1:7" x14ac:dyDescent="0.25">
      <c r="A121" t="s">
        <v>63</v>
      </c>
      <c r="B121">
        <v>5</v>
      </c>
      <c r="C121">
        <v>7</v>
      </c>
      <c r="D121" t="s">
        <v>10</v>
      </c>
      <c r="E121" s="1">
        <f>IF($C121=0,"",VALUE(MID(site_assumptions[[#This Row],[Details]],SEARCH("(",site_assumptions[[#This Row],[Details]])+1,SEARCH("/",site_assumptions[[#This Row],[Details]])-SEARCH("(",site_assumptions[[#This Row],[Details]])-1)))</f>
        <v>400</v>
      </c>
      <c r="F121">
        <f>IF($C121=0,"",VALUE(MID(site_assumptions[[#This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21" t="str">
        <f>IF($C121=0,"",TRIM(MID(site_assumptions[[#This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22" spans="1:7" x14ac:dyDescent="0.25">
      <c r="A122" t="s">
        <v>63</v>
      </c>
      <c r="B122">
        <v>6</v>
      </c>
      <c r="C122">
        <v>7</v>
      </c>
      <c r="D122" t="s">
        <v>10</v>
      </c>
      <c r="E122" s="1">
        <f>IF($C122=0,"",VALUE(MID(site_assumptions[[#This Row],[Details]],SEARCH("(",site_assumptions[[#This Row],[Details]])+1,SEARCH("/",site_assumptions[[#This Row],[Details]])-SEARCH("(",site_assumptions[[#This Row],[Details]])-1)))</f>
        <v>400</v>
      </c>
      <c r="F122">
        <f>IF($C122=0,"",VALUE(MID(site_assumptions[[#This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22" t="str">
        <f>IF($C122=0,"",TRIM(MID(site_assumptions[[#This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23" spans="1:7" x14ac:dyDescent="0.25">
      <c r="A123" t="s">
        <v>63</v>
      </c>
      <c r="B123">
        <v>7</v>
      </c>
      <c r="C123">
        <v>7</v>
      </c>
      <c r="D123" t="s">
        <v>10</v>
      </c>
      <c r="E123" s="1">
        <f>IF($C123=0,"",VALUE(MID(site_assumptions[[#This Row],[Details]],SEARCH("(",site_assumptions[[#This Row],[Details]])+1,SEARCH("/",site_assumptions[[#This Row],[Details]])-SEARCH("(",site_assumptions[[#This Row],[Details]])-1)))</f>
        <v>400</v>
      </c>
      <c r="F123">
        <f>IF($C123=0,"",VALUE(MID(site_assumptions[[#This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23" t="str">
        <f>IF($C123=0,"",TRIM(MID(site_assumptions[[#This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24" spans="1:7" x14ac:dyDescent="0.25">
      <c r="A124" t="s">
        <v>63</v>
      </c>
      <c r="B124">
        <v>8</v>
      </c>
      <c r="C124">
        <v>9</v>
      </c>
      <c r="D124" t="s">
        <v>22</v>
      </c>
      <c r="E124" s="1">
        <f>IF($C124=0,"",VALUE(MID(site_assumptions[[#This Row],[Details]],SEARCH("(",site_assumptions[[#This Row],[Details]])+1,SEARCH("/",site_assumptions[[#This Row],[Details]])-SEARCH("(",site_assumptions[[#This Row],[Details]])-1)))</f>
        <v>208</v>
      </c>
      <c r="F124">
        <f>IF($C124=0,"",VALUE(MID(site_assumptions[[#This Row],[Details]],SEARCH("/",site_assumptions[[#This Row],[Details]])+1,SEARCH("#",SUBSTITUTE(site_assumptions[[#This Row],[Details]],"/","#",2))-SEARCH("/",site_assumptions[[#This Row],[Details]])-1)))</f>
        <v>60</v>
      </c>
      <c r="G124" t="str">
        <f>IF($C124=0,"",TRIM(MID(site_assumptions[[#This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25" spans="1:7" x14ac:dyDescent="0.25">
      <c r="A125" t="s">
        <v>64</v>
      </c>
      <c r="B125">
        <v>1</v>
      </c>
      <c r="C125">
        <v>7</v>
      </c>
      <c r="D125" t="s">
        <v>10</v>
      </c>
      <c r="E125" s="1">
        <f>IF($C125=0,"",VALUE(MID(site_assumptions[[#This Row],[Details]],SEARCH("(",site_assumptions[[#This Row],[Details]])+1,SEARCH("/",site_assumptions[[#This Row],[Details]])-SEARCH("(",site_assumptions[[#This Row],[Details]])-1)))</f>
        <v>400</v>
      </c>
      <c r="F125">
        <f>IF($C125=0,"",VALUE(MID(site_assumptions[[#This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25" t="str">
        <f>IF($C125=0,"",TRIM(MID(site_assumptions[[#This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26" spans="1:7" x14ac:dyDescent="0.25">
      <c r="A126" t="s">
        <v>64</v>
      </c>
      <c r="B126">
        <v>2</v>
      </c>
      <c r="C126">
        <v>7</v>
      </c>
      <c r="D126" t="s">
        <v>10</v>
      </c>
      <c r="E126" s="1">
        <f>IF($C126=0,"",VALUE(MID(site_assumptions[[#This Row],[Details]],SEARCH("(",site_assumptions[[#This Row],[Details]])+1,SEARCH("/",site_assumptions[[#This Row],[Details]])-SEARCH("(",site_assumptions[[#This Row],[Details]])-1)))</f>
        <v>400</v>
      </c>
      <c r="F126">
        <f>IF($C126=0,"",VALUE(MID(site_assumptions[[#This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26" t="str">
        <f>IF($C126=0,"",TRIM(MID(site_assumptions[[#This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27" spans="1:7" x14ac:dyDescent="0.25">
      <c r="A127" t="s">
        <v>64</v>
      </c>
      <c r="B127">
        <v>3</v>
      </c>
      <c r="C127">
        <v>0</v>
      </c>
      <c r="D127" t="s">
        <v>20</v>
      </c>
      <c r="E127" s="1" t="str">
        <f>IF($C127=0,"",VALUE(MID(site_assumptions[[#This Row],[Details]],SEARCH("(",site_assumptions[[#This Row],[Details]])+1,SEARCH("/",site_assumptions[[#This Row],[Details]])-SEARCH("(",site_assumptions[[#This Row],[Details]])-1)))</f>
        <v/>
      </c>
      <c r="F127" t="str">
        <f>IF($C127=0,"",VALUE(MID(site_assumptions[[#This Row],[Details]],SEARCH("/",site_assumptions[[#This Row],[Details]])+1,SEARCH("#",SUBSTITUTE(site_assumptions[[#This Row],[Details]],"/","#",2))-SEARCH("/",site_assumptions[[#This Row],[Details]])-1)))</f>
        <v/>
      </c>
      <c r="G127" t="str">
        <f>IF($C127=0,"",TRIM(MID(site_assumptions[[#This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/>
      </c>
    </row>
    <row r="128" spans="1:7" x14ac:dyDescent="0.25">
      <c r="A128" t="s">
        <v>65</v>
      </c>
      <c r="B128">
        <v>1</v>
      </c>
      <c r="C128">
        <v>7</v>
      </c>
      <c r="D128" t="s">
        <v>10</v>
      </c>
      <c r="E128" s="1">
        <f>IF($C128=0,"",VALUE(MID(site_assumptions[[#This Row],[Details]],SEARCH("(",site_assumptions[[#This Row],[Details]])+1,SEARCH("/",site_assumptions[[#This Row],[Details]])-SEARCH("(",site_assumptions[[#This Row],[Details]])-1)))</f>
        <v>400</v>
      </c>
      <c r="F128">
        <f>IF($C128=0,"",VALUE(MID(site_assumptions[[#This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28" t="str">
        <f>IF($C128=0,"",TRIM(MID(site_assumptions[[#This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29" spans="1:7" x14ac:dyDescent="0.25">
      <c r="A129" t="s">
        <v>65</v>
      </c>
      <c r="B129">
        <v>2</v>
      </c>
      <c r="C129">
        <v>7</v>
      </c>
      <c r="D129" t="s">
        <v>10</v>
      </c>
      <c r="E129" s="1">
        <f>IF($C129=0,"",VALUE(MID(site_assumptions[[#This Row],[Details]],SEARCH("(",site_assumptions[[#This Row],[Details]])+1,SEARCH("/",site_assumptions[[#This Row],[Details]])-SEARCH("(",site_assumptions[[#This Row],[Details]])-1)))</f>
        <v>400</v>
      </c>
      <c r="F129">
        <f>IF($C129=0,"",VALUE(MID(site_assumptions[[#This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29" t="str">
        <f>IF($C129=0,"",TRIM(MID(site_assumptions[[#This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30" spans="1:7" x14ac:dyDescent="0.25">
      <c r="A130" t="s">
        <v>65</v>
      </c>
      <c r="B130">
        <v>3</v>
      </c>
      <c r="C130">
        <v>7</v>
      </c>
      <c r="D130" t="s">
        <v>10</v>
      </c>
      <c r="E130" s="1">
        <f>IF($C130=0,"",VALUE(MID(site_assumptions[[#This Row],[Details]],SEARCH("(",site_assumptions[[#This Row],[Details]])+1,SEARCH("/",site_assumptions[[#This Row],[Details]])-SEARCH("(",site_assumptions[[#This Row],[Details]])-1)))</f>
        <v>400</v>
      </c>
      <c r="F130">
        <f>IF($C130=0,"",VALUE(MID(site_assumptions[[#This Row],[Details]],SEARCH("/",site_assumptions[[#This Row],[Details]])+1,SEARCH("#",SUBSTITUTE(site_assumptions[[#This Row],[Details]],"/","#",2))-SEARCH("/",site_assumptions[[#This Row],[Details]])-1)))</f>
        <v>30</v>
      </c>
      <c r="G130" t="str">
        <f>IF($C130=0,"",TRIM(MID(site_assumptions[[#This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>3Phase</v>
      </c>
    </row>
    <row r="131" spans="1:7" x14ac:dyDescent="0.25">
      <c r="A131" t="s">
        <v>65</v>
      </c>
      <c r="B131">
        <v>4</v>
      </c>
      <c r="C131">
        <v>0</v>
      </c>
      <c r="D131" t="s">
        <v>20</v>
      </c>
      <c r="E131" s="1" t="str">
        <f>IF($C131=0,"",VALUE(MID(site_assumptions[[#This Row],[Details]],SEARCH("(",site_assumptions[[#This Row],[Details]])+1,SEARCH("/",site_assumptions[[#This Row],[Details]])-SEARCH("(",site_assumptions[[#This Row],[Details]])-1)))</f>
        <v/>
      </c>
      <c r="F131" t="str">
        <f>IF($C131=0,"",VALUE(MID(site_assumptions[[#This Row],[Details]],SEARCH("/",site_assumptions[[#This Row],[Details]])+1,SEARCH("#",SUBSTITUTE(site_assumptions[[#This Row],[Details]],"/","#",2))-SEARCH("/",site_assumptions[[#This Row],[Details]])-1)))</f>
        <v/>
      </c>
      <c r="G131" t="str">
        <f>IF($C131=0,"",TRIM(MID(site_assumptions[[#This Row],[Details]],SEARCH("#",SUBSTITUTE(site_assumptions[[#This Row],[Details]],"/","#",2))+1,SEARCH("#",SUBSTITUTE(site_assumptions[[#This Row],[Details]],"-","#",2))-SEARCH("#",SUBSTITUTE(site_assumptions[[#This Row],[Details]],"/","#",2))-1)))</f>
        <v/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C9CFF-D534-495E-9F59-1884735C988D}">
  <sheetPr codeName="Sheet11">
    <tabColor rgb="FFFF0000"/>
  </sheetPr>
  <dimension ref="B3:P30"/>
  <sheetViews>
    <sheetView zoomScale="85" zoomScaleNormal="85" workbookViewId="0"/>
  </sheetViews>
  <sheetFormatPr defaultRowHeight="15" x14ac:dyDescent="0.25"/>
  <cols>
    <col min="2" max="2" width="21.140625" bestFit="1" customWidth="1"/>
    <col min="3" max="3" width="16.42578125" bestFit="1" customWidth="1"/>
    <col min="4" max="4" width="16.28515625" bestFit="1" customWidth="1"/>
  </cols>
  <sheetData>
    <row r="3" spans="2:16" x14ac:dyDescent="0.25">
      <c r="B3" t="s">
        <v>2049</v>
      </c>
      <c r="C3" t="s">
        <v>2050</v>
      </c>
      <c r="D3" t="s">
        <v>2051</v>
      </c>
      <c r="E3" t="s">
        <v>2054</v>
      </c>
      <c r="F3" t="s">
        <v>2058</v>
      </c>
      <c r="G3" t="s">
        <v>2059</v>
      </c>
      <c r="H3" t="s">
        <v>2057</v>
      </c>
      <c r="I3" t="s">
        <v>2060</v>
      </c>
      <c r="J3" t="s">
        <v>2061</v>
      </c>
      <c r="K3" t="s">
        <v>2064</v>
      </c>
      <c r="L3" t="s">
        <v>2066</v>
      </c>
      <c r="M3" t="s">
        <v>2067</v>
      </c>
      <c r="N3" t="s">
        <v>2065</v>
      </c>
      <c r="O3" t="s">
        <v>2068</v>
      </c>
      <c r="P3" t="s">
        <v>2069</v>
      </c>
    </row>
    <row r="4" spans="2:16" x14ac:dyDescent="0.25">
      <c r="B4" t="s">
        <v>2052</v>
      </c>
      <c r="C4" t="s">
        <v>2053</v>
      </c>
      <c r="D4" t="s">
        <v>2053</v>
      </c>
      <c r="E4" t="b">
        <v>1</v>
      </c>
    </row>
    <row r="5" spans="2:16" x14ac:dyDescent="0.25">
      <c r="B5" t="s">
        <v>2055</v>
      </c>
      <c r="C5" t="s">
        <v>2056</v>
      </c>
      <c r="D5" t="s">
        <v>2072</v>
      </c>
      <c r="E5" t="b">
        <v>1</v>
      </c>
      <c r="H5" t="b">
        <v>1</v>
      </c>
    </row>
    <row r="6" spans="2:16" x14ac:dyDescent="0.25">
      <c r="B6" t="s">
        <v>2070</v>
      </c>
      <c r="C6" t="s">
        <v>2056</v>
      </c>
      <c r="D6" t="s">
        <v>2071</v>
      </c>
      <c r="E6" t="b">
        <v>1</v>
      </c>
      <c r="F6" t="b">
        <v>1</v>
      </c>
      <c r="G6" t="b">
        <v>1</v>
      </c>
      <c r="H6" t="b">
        <v>1</v>
      </c>
      <c r="I6" t="b">
        <v>1</v>
      </c>
      <c r="J6" t="b">
        <v>1</v>
      </c>
    </row>
    <row r="7" spans="2:16" x14ac:dyDescent="0.25">
      <c r="B7" t="s">
        <v>2062</v>
      </c>
      <c r="C7" t="s">
        <v>2063</v>
      </c>
      <c r="D7" t="s">
        <v>2073</v>
      </c>
      <c r="E7" t="b">
        <v>1</v>
      </c>
      <c r="H7" t="b">
        <v>1</v>
      </c>
      <c r="K7" t="b">
        <v>1</v>
      </c>
      <c r="N7" t="b">
        <v>1</v>
      </c>
    </row>
    <row r="8" spans="2:16" x14ac:dyDescent="0.25">
      <c r="B8" t="s">
        <v>2075</v>
      </c>
      <c r="C8" t="s">
        <v>2063</v>
      </c>
      <c r="D8" t="s">
        <v>2074</v>
      </c>
      <c r="E8" t="b">
        <v>1</v>
      </c>
      <c r="F8" t="b">
        <v>1</v>
      </c>
      <c r="G8" t="b">
        <v>1</v>
      </c>
      <c r="H8" t="b">
        <v>1</v>
      </c>
      <c r="I8" t="b">
        <v>1</v>
      </c>
      <c r="J8" t="b">
        <v>1</v>
      </c>
      <c r="K8" t="b">
        <v>1</v>
      </c>
      <c r="L8" t="b">
        <v>1</v>
      </c>
      <c r="M8" t="b">
        <v>1</v>
      </c>
      <c r="N8" t="b">
        <v>1</v>
      </c>
      <c r="O8" t="b">
        <v>1</v>
      </c>
      <c r="P8" t="b">
        <v>1</v>
      </c>
    </row>
    <row r="11" spans="2:16" x14ac:dyDescent="0.25">
      <c r="B11" t="s">
        <v>2047</v>
      </c>
      <c r="D11" t="s">
        <v>2136</v>
      </c>
      <c r="E11" t="s">
        <v>2148</v>
      </c>
      <c r="F11" t="s">
        <v>2137</v>
      </c>
      <c r="G11" t="s">
        <v>2138</v>
      </c>
      <c r="H11" t="s">
        <v>2146</v>
      </c>
      <c r="I11" t="s">
        <v>2147</v>
      </c>
    </row>
    <row r="12" spans="2:16" x14ac:dyDescent="0.25">
      <c r="B12" t="str">
        <f>information!C35</f>
        <v>DAL10</v>
      </c>
      <c r="D12" t="str" cm="1">
        <f t="array" ref="D12:D17">"sr0"&amp;_xlfn.UNIQUE(_xlfn._xlws.FILTER(rack_breakdown[Server Room],rack_breakdown[Data Center]=tbl_dc[[#This Row],[DC]]))</f>
        <v>sr01</v>
      </c>
      <c r="E12" t="str" cm="1">
        <f t="array" ref="E12:E17">RIGHT(_xlfn.ANCHORARRAY(D12),1)</f>
        <v>1</v>
      </c>
      <c r="F12" t="s">
        <v>2139</v>
      </c>
      <c r="G12" t="str" cm="1">
        <f t="array" ref="G12:G30">_xlfn.LET(_xlpm.filter,_xlfn._xlws.FILTER(F12:F31,ISERROR(SEARCH("sr0",F12:F31))),IF(_xlpm.filter="","",_xlpm.filter))</f>
        <v>information</v>
      </c>
      <c r="H12">
        <f>COUNTA(_xlfn.ANCHORARRAY(G12))-COUNTBLANK(_xlfn.ANCHORARRAY(G12))</f>
        <v>6</v>
      </c>
      <c r="I12" t="str" cm="1">
        <f t="array" ref="I12:I23">_xlfn.VSTACK(_xlfn.TAKE(_xlfn.ANCHORARRAY(G12),2),_xlfn.ANCHORARRAY(D12),_xlfn.TAKE(_xlfn.TAKE(_xlfn.ANCHORARRAY(G12),H12),-H14))</f>
        <v>information</v>
      </c>
    </row>
    <row r="13" spans="2:16" x14ac:dyDescent="0.25">
      <c r="D13" t="str">
        <v>sr02</v>
      </c>
      <c r="E13" t="str">
        <v>2</v>
      </c>
      <c r="F13" t="s">
        <v>2140</v>
      </c>
      <c r="G13" t="str">
        <v>Sheet1</v>
      </c>
      <c r="H13">
        <v>2</v>
      </c>
      <c r="I13" t="str">
        <v>Sheet1</v>
      </c>
    </row>
    <row r="14" spans="2:16" x14ac:dyDescent="0.25">
      <c r="B14" t="s">
        <v>2117</v>
      </c>
      <c r="D14" t="str">
        <v>sr03</v>
      </c>
      <c r="E14" t="str">
        <v>3</v>
      </c>
      <c r="F14" t="s">
        <v>2141</v>
      </c>
      <c r="G14" t="str">
        <v>rack_breakdown</v>
      </c>
      <c r="H14">
        <f>H12-H13</f>
        <v>4</v>
      </c>
      <c r="I14" t="str">
        <v>sr01</v>
      </c>
    </row>
    <row r="15" spans="2:16" x14ac:dyDescent="0.25">
      <c r="B15" t="s">
        <v>2126</v>
      </c>
      <c r="D15" t="str">
        <v>sr04</v>
      </c>
      <c r="E15" t="str">
        <v>4</v>
      </c>
      <c r="F15" t="s">
        <v>2142</v>
      </c>
      <c r="G15" t="str">
        <v>site_assumptions</v>
      </c>
      <c r="I15" t="str">
        <v>sr02</v>
      </c>
    </row>
    <row r="16" spans="2:16" x14ac:dyDescent="0.25">
      <c r="D16" t="str">
        <v>sr05</v>
      </c>
      <c r="E16" t="str">
        <v>5</v>
      </c>
      <c r="F16" t="s">
        <v>2143</v>
      </c>
      <c r="G16" t="str">
        <v>ancillary</v>
      </c>
      <c r="I16" t="str">
        <v>sr03</v>
      </c>
    </row>
    <row r="17" spans="4:9" x14ac:dyDescent="0.25">
      <c r="D17" t="str">
        <v>sr06</v>
      </c>
      <c r="E17" t="str">
        <v>6</v>
      </c>
      <c r="F17" t="s">
        <v>2144</v>
      </c>
      <c r="G17" t="str">
        <v>file_path</v>
      </c>
      <c r="I17" t="str">
        <v>sr04</v>
      </c>
    </row>
    <row r="18" spans="4:9" x14ac:dyDescent="0.25">
      <c r="F18" t="s">
        <v>2145</v>
      </c>
      <c r="G18" t="str">
        <v/>
      </c>
      <c r="I18" t="str">
        <v>sr05</v>
      </c>
    </row>
    <row r="19" spans="4:9" x14ac:dyDescent="0.25">
      <c r="G19" t="str">
        <v/>
      </c>
      <c r="I19" t="str">
        <v>sr06</v>
      </c>
    </row>
    <row r="20" spans="4:9" x14ac:dyDescent="0.25">
      <c r="G20" t="str">
        <v/>
      </c>
      <c r="I20" t="str">
        <v>rack_breakdown</v>
      </c>
    </row>
    <row r="21" spans="4:9" x14ac:dyDescent="0.25">
      <c r="G21" t="str">
        <v/>
      </c>
      <c r="I21" t="str">
        <v>site_assumptions</v>
      </c>
    </row>
    <row r="22" spans="4:9" x14ac:dyDescent="0.25">
      <c r="G22" t="str">
        <v/>
      </c>
      <c r="I22" t="str">
        <v>ancillary</v>
      </c>
    </row>
    <row r="23" spans="4:9" x14ac:dyDescent="0.25">
      <c r="G23" t="str">
        <v/>
      </c>
      <c r="I23" t="str">
        <v>file_path</v>
      </c>
    </row>
    <row r="24" spans="4:9" x14ac:dyDescent="0.25">
      <c r="G24" t="str">
        <v/>
      </c>
    </row>
    <row r="25" spans="4:9" x14ac:dyDescent="0.25">
      <c r="G25" t="str">
        <v/>
      </c>
    </row>
    <row r="26" spans="4:9" x14ac:dyDescent="0.25">
      <c r="G26" t="str">
        <v/>
      </c>
    </row>
    <row r="27" spans="4:9" x14ac:dyDescent="0.25">
      <c r="G27" t="str">
        <v/>
      </c>
    </row>
    <row r="28" spans="4:9" x14ac:dyDescent="0.25">
      <c r="G28" t="str">
        <v/>
      </c>
    </row>
    <row r="29" spans="4:9" x14ac:dyDescent="0.25">
      <c r="G29" t="str">
        <v/>
      </c>
    </row>
    <row r="30" spans="4:9" x14ac:dyDescent="0.25">
      <c r="G30" t="str">
        <v/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E2621-3736-4415-B768-18ADFF888B51}">
  <sheetPr codeName="Sheet12">
    <tabColor rgb="FFFF0000"/>
  </sheetPr>
  <dimension ref="A1:B4"/>
  <sheetViews>
    <sheetView zoomScale="85" zoomScaleNormal="85" workbookViewId="0"/>
  </sheetViews>
  <sheetFormatPr defaultRowHeight="15" x14ac:dyDescent="0.25"/>
  <cols>
    <col min="1" max="1" width="24.5703125" bestFit="1" customWidth="1"/>
    <col min="2" max="2" width="72.425781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t="str" cm="1">
        <f t="array" aca="1" ref="B2" ca="1">LEFT(CELL("filename"),SEARCH("\[",CELL("filename")))</f>
        <v>C:\Users\4G5597897\Box\IBM Cloud Capacity\DC Files\DC - Rack Power Calculator\</v>
      </c>
    </row>
    <row r="3" spans="1:2" x14ac:dyDescent="0.25">
      <c r="A3" t="s">
        <v>3</v>
      </c>
      <c r="B3" t="str">
        <f ca="1">LEFT(B2,FIND("#",SUBSTITUTE(B2,"\","#",5))-0)</f>
        <v>C:\Users\4G5597897\Box\IBM Cloud Capacity\</v>
      </c>
    </row>
    <row r="4" spans="1:2" x14ac:dyDescent="0.25">
      <c r="A4" t="s">
        <v>2116</v>
      </c>
      <c r="B4" t="str">
        <f ca="1">LEFT(B3,FIND("#",SUBSTITUTE(B3,"\","#",5))-0)&amp;"Capacity Management - Shared Reports\DC Manager Files\"</f>
        <v>C:\Users\4G5597897\Box\IBM Cloud Capacity\Capacity Management - Shared Reports\DC Manager Files\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F6496E-CC74-49C8-AB7D-6361DF569B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information</vt:lpstr>
      <vt:lpstr>aggregate</vt:lpstr>
      <vt:lpstr>Sheet1</vt:lpstr>
      <vt:lpstr>sr01</vt:lpstr>
      <vt:lpstr>rack_breakdown</vt:lpstr>
      <vt:lpstr>site_assumptions</vt:lpstr>
      <vt:lpstr>ancillary</vt:lpstr>
      <vt:lpstr>file_path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LAM</dc:creator>
  <cp:lastModifiedBy>VINCENT LAM</cp:lastModifiedBy>
  <dcterms:created xsi:type="dcterms:W3CDTF">2023-10-17T21:03:06Z</dcterms:created>
  <dcterms:modified xsi:type="dcterms:W3CDTF">2024-07-02T20:50:13Z</dcterms:modified>
</cp:coreProperties>
</file>